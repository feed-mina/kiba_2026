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cost3\kiba\02. 원가분석본부\2026년 원가계산\2026년 스마트공장 구축지원사업\"/>
    </mc:Choice>
  </mc:AlternateContent>
  <xr:revisionPtr revIDLastSave="0" documentId="13_ncr:1_{CB855D0E-D2D7-42DA-A8ED-9E3A001D0E5A}" xr6:coauthVersionLast="47" xr6:coauthVersionMax="47" xr10:uidLastSave="{00000000-0000-0000-0000-000000000000}"/>
  <bookViews>
    <workbookView xWindow="-120" yWindow="-120" windowWidth="24240" windowHeight="13020" xr2:uid="{88B88C39-155A-48CE-95B7-59098B383C5F}"/>
  </bookViews>
  <sheets>
    <sheet name="일별현황_2026" sheetId="15" r:id="rId1"/>
    <sheet name="세부(구축)" sheetId="7" r:id="rId2"/>
    <sheet name="결재도장란" sheetId="14" r:id="rId3"/>
    <sheet name="집계(구축)" sheetId="11" r:id="rId4"/>
    <sheet name="수행" sheetId="12" r:id="rId5"/>
    <sheet name="일별현황(구)" sheetId="13" r:id="rId6"/>
  </sheets>
  <externalReferences>
    <externalReference r:id="rId7"/>
    <externalReference r:id="rId8"/>
  </externalReferences>
  <definedNames>
    <definedName name="_xlnm._FilterDatabase" localSheetId="1" hidden="1">'세부(구축)'!$A$3:$N$294</definedName>
    <definedName name="_xlnm._FilterDatabase" localSheetId="5" hidden="1">'일별현황(구)'!$A$10:$AE$52</definedName>
    <definedName name="_xlnm._FilterDatabase" localSheetId="0" hidden="1">일별현황_2026!$B$7:$W$16</definedName>
    <definedName name="excelContent" localSheetId="0">#REF!</definedName>
    <definedName name="excelContent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_xlnm.Print_Area" localSheetId="1">'세부(구축)'!$A$1:$M$190</definedName>
    <definedName name="_xlnm.Print_Area" localSheetId="5">'일별현황(구)'!$A$1:$AE$122</definedName>
    <definedName name="_xlnm.Print_Area" localSheetId="0">일별현황_2026!$A$1:$V$58</definedName>
    <definedName name="_xlnm.Print_Area" localSheetId="3">'집계(구축)'!$A$1:$G$68</definedName>
    <definedName name="_xlnm.Print_Titles" localSheetId="1">'세부(구축)'!$3:$3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2" i="15" l="1"/>
  <c r="P52" i="15"/>
  <c r="N52" i="15"/>
  <c r="M52" i="15"/>
  <c r="L52" i="15"/>
  <c r="K52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3" i="15"/>
  <c r="N54" i="15"/>
  <c r="N55" i="15"/>
  <c r="N56" i="15"/>
  <c r="N57" i="15"/>
  <c r="N16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3" i="15"/>
  <c r="L54" i="15"/>
  <c r="L55" i="15"/>
  <c r="L56" i="15"/>
  <c r="L57" i="15"/>
  <c r="L17" i="15"/>
  <c r="L18" i="15"/>
  <c r="L19" i="15"/>
  <c r="L20" i="15"/>
  <c r="L21" i="15"/>
  <c r="L16" i="15"/>
  <c r="P19" i="15"/>
  <c r="M19" i="15"/>
  <c r="K19" i="15"/>
  <c r="R52" i="15" l="1"/>
  <c r="U52" i="15"/>
  <c r="R19" i="15"/>
  <c r="K17" i="15"/>
  <c r="I58" i="15"/>
  <c r="J58" i="15"/>
  <c r="R225" i="7"/>
  <c r="R224" i="7"/>
  <c r="R223" i="7"/>
  <c r="R222" i="7"/>
  <c r="R221" i="7"/>
  <c r="R220" i="7"/>
  <c r="R219" i="7"/>
  <c r="R218" i="7"/>
  <c r="P16" i="15"/>
  <c r="R217" i="7"/>
  <c r="R216" i="7"/>
  <c r="R215" i="7"/>
  <c r="R214" i="7"/>
  <c r="R213" i="7"/>
  <c r="R212" i="7"/>
  <c r="R211" i="7"/>
  <c r="M17" i="15" l="1"/>
  <c r="M18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3" i="15"/>
  <c r="M54" i="15"/>
  <c r="M55" i="15"/>
  <c r="M56" i="15"/>
  <c r="M57" i="15"/>
  <c r="M16" i="15"/>
  <c r="K16" i="15" l="1"/>
  <c r="N58" i="15" l="1"/>
  <c r="M58" i="15"/>
  <c r="K18" i="15"/>
  <c r="H58" i="15"/>
  <c r="G58" i="15"/>
  <c r="F58" i="15"/>
  <c r="E58" i="15"/>
  <c r="D58" i="15"/>
  <c r="S13" i="15"/>
  <c r="P17" i="15"/>
  <c r="P18" i="15"/>
  <c r="R18" i="15" s="1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3" i="15"/>
  <c r="P54" i="15"/>
  <c r="P55" i="15"/>
  <c r="P56" i="15"/>
  <c r="P57" i="15"/>
  <c r="R16" i="15"/>
  <c r="Q55" i="14"/>
  <c r="T57" i="15" l="1"/>
  <c r="K57" i="15"/>
  <c r="R57" i="15" s="1"/>
  <c r="T56" i="15"/>
  <c r="K56" i="15"/>
  <c r="R56" i="15" s="1"/>
  <c r="T55" i="15"/>
  <c r="K55" i="15"/>
  <c r="R55" i="15" s="1"/>
  <c r="T54" i="15"/>
  <c r="K54" i="15"/>
  <c r="R54" i="15" s="1"/>
  <c r="T53" i="15"/>
  <c r="K53" i="15"/>
  <c r="R53" i="15" s="1"/>
  <c r="T51" i="15"/>
  <c r="K51" i="15"/>
  <c r="R51" i="15" s="1"/>
  <c r="T50" i="15"/>
  <c r="K50" i="15"/>
  <c r="R50" i="15" s="1"/>
  <c r="T49" i="15"/>
  <c r="K49" i="15"/>
  <c r="R49" i="15" s="1"/>
  <c r="T48" i="15"/>
  <c r="K48" i="15"/>
  <c r="R48" i="15" s="1"/>
  <c r="T47" i="15"/>
  <c r="K47" i="15"/>
  <c r="R47" i="15" s="1"/>
  <c r="T46" i="15"/>
  <c r="K46" i="15"/>
  <c r="R46" i="15" s="1"/>
  <c r="T45" i="15"/>
  <c r="K45" i="15"/>
  <c r="R45" i="15" s="1"/>
  <c r="T44" i="15"/>
  <c r="K44" i="15"/>
  <c r="R44" i="15" s="1"/>
  <c r="T43" i="15"/>
  <c r="K43" i="15"/>
  <c r="R43" i="15" s="1"/>
  <c r="T42" i="15"/>
  <c r="K42" i="15"/>
  <c r="R42" i="15" s="1"/>
  <c r="T41" i="15"/>
  <c r="K41" i="15"/>
  <c r="R41" i="15" s="1"/>
  <c r="T40" i="15"/>
  <c r="K40" i="15"/>
  <c r="R40" i="15" s="1"/>
  <c r="T39" i="15"/>
  <c r="K39" i="15"/>
  <c r="R39" i="15" s="1"/>
  <c r="T38" i="15"/>
  <c r="K38" i="15"/>
  <c r="R38" i="15" s="1"/>
  <c r="T37" i="15"/>
  <c r="K37" i="15"/>
  <c r="R37" i="15" s="1"/>
  <c r="T36" i="15"/>
  <c r="K36" i="15"/>
  <c r="R36" i="15" s="1"/>
  <c r="T35" i="15"/>
  <c r="K35" i="15"/>
  <c r="R35" i="15" s="1"/>
  <c r="T34" i="15"/>
  <c r="K34" i="15"/>
  <c r="R34" i="15" s="1"/>
  <c r="T33" i="15"/>
  <c r="K33" i="15"/>
  <c r="R33" i="15" s="1"/>
  <c r="T32" i="15"/>
  <c r="K32" i="15"/>
  <c r="R32" i="15" s="1"/>
  <c r="T31" i="15"/>
  <c r="K31" i="15"/>
  <c r="R31" i="15" s="1"/>
  <c r="T30" i="15"/>
  <c r="K30" i="15"/>
  <c r="R30" i="15" s="1"/>
  <c r="T29" i="15"/>
  <c r="K29" i="15"/>
  <c r="R29" i="15" s="1"/>
  <c r="T28" i="15"/>
  <c r="K28" i="15"/>
  <c r="R28" i="15" s="1"/>
  <c r="T27" i="15"/>
  <c r="K27" i="15"/>
  <c r="R27" i="15" s="1"/>
  <c r="T26" i="15"/>
  <c r="K26" i="15"/>
  <c r="R26" i="15" s="1"/>
  <c r="T25" i="15"/>
  <c r="K25" i="15"/>
  <c r="R25" i="15" s="1"/>
  <c r="T24" i="15"/>
  <c r="K24" i="15"/>
  <c r="R24" i="15" s="1"/>
  <c r="T23" i="15"/>
  <c r="K23" i="15"/>
  <c r="R23" i="15" s="1"/>
  <c r="T22" i="15"/>
  <c r="K22" i="15"/>
  <c r="R22" i="15" s="1"/>
  <c r="T21" i="15"/>
  <c r="K21" i="15"/>
  <c r="R21" i="15" s="1"/>
  <c r="T20" i="15"/>
  <c r="K20" i="15"/>
  <c r="R20" i="15" s="1"/>
  <c r="T18" i="15"/>
  <c r="T17" i="15"/>
  <c r="R17" i="15"/>
  <c r="T16" i="15"/>
  <c r="AD11" i="15"/>
  <c r="C12" i="15"/>
  <c r="S52" i="15" l="1"/>
  <c r="O52" i="15"/>
  <c r="O16" i="15"/>
  <c r="O19" i="15"/>
  <c r="O17" i="15"/>
  <c r="O25" i="15"/>
  <c r="O33" i="15"/>
  <c r="O41" i="15"/>
  <c r="O49" i="15"/>
  <c r="O18" i="15"/>
  <c r="O26" i="15"/>
  <c r="O34" i="15"/>
  <c r="O42" i="15"/>
  <c r="O50" i="15"/>
  <c r="O27" i="15"/>
  <c r="O35" i="15"/>
  <c r="O43" i="15"/>
  <c r="O51" i="15"/>
  <c r="O20" i="15"/>
  <c r="O28" i="15"/>
  <c r="O36" i="15"/>
  <c r="O44" i="15"/>
  <c r="O53" i="15"/>
  <c r="O21" i="15"/>
  <c r="O29" i="15"/>
  <c r="O37" i="15"/>
  <c r="O45" i="15"/>
  <c r="O54" i="15"/>
  <c r="O22" i="15"/>
  <c r="O30" i="15"/>
  <c r="O38" i="15"/>
  <c r="O46" i="15"/>
  <c r="O55" i="15"/>
  <c r="O23" i="15"/>
  <c r="O31" i="15"/>
  <c r="O39" i="15"/>
  <c r="O47" i="15"/>
  <c r="O56" i="15"/>
  <c r="O24" i="15"/>
  <c r="O32" i="15"/>
  <c r="O40" i="15"/>
  <c r="O48" i="15"/>
  <c r="O57" i="15"/>
  <c r="L58" i="15"/>
  <c r="S16" i="15"/>
  <c r="S18" i="15"/>
  <c r="S26" i="15"/>
  <c r="S34" i="15"/>
  <c r="S42" i="15"/>
  <c r="S50" i="15"/>
  <c r="S27" i="15"/>
  <c r="S35" i="15"/>
  <c r="S43" i="15"/>
  <c r="S51" i="15"/>
  <c r="S20" i="15"/>
  <c r="S28" i="15"/>
  <c r="S36" i="15"/>
  <c r="S44" i="15"/>
  <c r="S29" i="15"/>
  <c r="S45" i="15"/>
  <c r="S22" i="15"/>
  <c r="S38" i="15"/>
  <c r="S55" i="15"/>
  <c r="S31" i="15"/>
  <c r="S47" i="15"/>
  <c r="S24" i="15"/>
  <c r="S32" i="15"/>
  <c r="S40" i="15"/>
  <c r="S48" i="15"/>
  <c r="S57" i="15"/>
  <c r="S17" i="15"/>
  <c r="S25" i="15"/>
  <c r="S33" i="15"/>
  <c r="S41" i="15"/>
  <c r="S49" i="15"/>
  <c r="S53" i="15"/>
  <c r="S21" i="15"/>
  <c r="S37" i="15"/>
  <c r="S54" i="15"/>
  <c r="S30" i="15"/>
  <c r="S46" i="15"/>
  <c r="S23" i="15"/>
  <c r="S39" i="15"/>
  <c r="S56" i="15"/>
  <c r="R58" i="15"/>
  <c r="U18" i="15"/>
  <c r="U22" i="15"/>
  <c r="U26" i="15"/>
  <c r="U30" i="15"/>
  <c r="U34" i="15"/>
  <c r="U38" i="15"/>
  <c r="U42" i="15"/>
  <c r="U46" i="15"/>
  <c r="U50" i="15"/>
  <c r="U55" i="15"/>
  <c r="K58" i="15"/>
  <c r="U43" i="15"/>
  <c r="U40" i="15"/>
  <c r="U31" i="15"/>
  <c r="U49" i="15"/>
  <c r="U32" i="15"/>
  <c r="U28" i="15"/>
  <c r="U53" i="15"/>
  <c r="U51" i="15"/>
  <c r="U21" i="15"/>
  <c r="U35" i="15"/>
  <c r="U44" i="15"/>
  <c r="U54" i="15"/>
  <c r="U25" i="15"/>
  <c r="U39" i="15"/>
  <c r="U48" i="15"/>
  <c r="U23" i="15"/>
  <c r="U17" i="15"/>
  <c r="AD17" i="15" s="1"/>
  <c r="AE17" i="15" s="1"/>
  <c r="U29" i="15"/>
  <c r="U20" i="15"/>
  <c r="U24" i="15"/>
  <c r="U33" i="15"/>
  <c r="U47" i="15"/>
  <c r="U57" i="15"/>
  <c r="U37" i="15"/>
  <c r="U41" i="15"/>
  <c r="U56" i="15"/>
  <c r="U27" i="15"/>
  <c r="U36" i="15"/>
  <c r="U45" i="15"/>
  <c r="T58" i="15"/>
  <c r="U16" i="15"/>
  <c r="AA16" i="15" s="1"/>
  <c r="AA50" i="15" l="1"/>
  <c r="AA27" i="15"/>
  <c r="AA36" i="15"/>
  <c r="AA18" i="15"/>
  <c r="AA42" i="15"/>
  <c r="AA22" i="15"/>
  <c r="AA35" i="15"/>
  <c r="AA45" i="15"/>
  <c r="AA51" i="15"/>
  <c r="AA26" i="15"/>
  <c r="AA55" i="15"/>
  <c r="AA34" i="15"/>
  <c r="AA24" i="15"/>
  <c r="AA32" i="15"/>
  <c r="AA20" i="15"/>
  <c r="AA47" i="15"/>
  <c r="AA28" i="15"/>
  <c r="AA40" i="15"/>
  <c r="AA43" i="15"/>
  <c r="AA38" i="15"/>
  <c r="AA41" i="15"/>
  <c r="AA29" i="15"/>
  <c r="AA48" i="15"/>
  <c r="AA33" i="15"/>
  <c r="AA57" i="15"/>
  <c r="AA54" i="15"/>
  <c r="AA44" i="15"/>
  <c r="AA31" i="15"/>
  <c r="AA21" i="15"/>
  <c r="AA49" i="15"/>
  <c r="AA23" i="15"/>
  <c r="AA30" i="15"/>
  <c r="AA56" i="15"/>
  <c r="AA46" i="15"/>
  <c r="AA39" i="15"/>
  <c r="AA37" i="15"/>
  <c r="AA25" i="15"/>
  <c r="AA53" i="15"/>
  <c r="AA17" i="15"/>
  <c r="O58" i="15"/>
  <c r="S58" i="15"/>
  <c r="AD18" i="15"/>
  <c r="AE18" i="15" s="1"/>
  <c r="U58" i="15"/>
  <c r="AD16" i="15"/>
  <c r="AE16" i="15" s="1"/>
  <c r="Z14" i="13" l="1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56" i="13"/>
  <c r="Z11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56" i="13"/>
  <c r="L11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56" i="13"/>
  <c r="J11" i="13"/>
  <c r="G56" i="13"/>
  <c r="H54" i="13"/>
  <c r="F97" i="13" l="1"/>
  <c r="J96" i="13"/>
  <c r="J88" i="13"/>
  <c r="J80" i="13"/>
  <c r="J72" i="13"/>
  <c r="J64" i="13"/>
  <c r="J95" i="13"/>
  <c r="J87" i="13"/>
  <c r="J79" i="13"/>
  <c r="J71" i="13"/>
  <c r="J63" i="13"/>
  <c r="J94" i="13"/>
  <c r="J86" i="13"/>
  <c r="J78" i="13"/>
  <c r="J70" i="13"/>
  <c r="J62" i="13"/>
  <c r="J93" i="13"/>
  <c r="J85" i="13"/>
  <c r="J77" i="13"/>
  <c r="J69" i="13"/>
  <c r="J61" i="13"/>
  <c r="J92" i="13"/>
  <c r="J84" i="13"/>
  <c r="J76" i="13"/>
  <c r="J68" i="13"/>
  <c r="J60" i="13"/>
  <c r="J91" i="13"/>
  <c r="J83" i="13"/>
  <c r="J75" i="13"/>
  <c r="J67" i="13"/>
  <c r="J59" i="13"/>
  <c r="J90" i="13"/>
  <c r="J82" i="13"/>
  <c r="J74" i="13"/>
  <c r="J66" i="13"/>
  <c r="J58" i="13"/>
  <c r="J56" i="13"/>
  <c r="J89" i="13"/>
  <c r="J81" i="13"/>
  <c r="J73" i="13"/>
  <c r="J65" i="13"/>
  <c r="J57" i="13"/>
  <c r="G97" i="13"/>
  <c r="E97" i="13"/>
  <c r="I97" i="13"/>
  <c r="C97" i="13"/>
  <c r="D97" i="13"/>
  <c r="J97" i="13" l="1"/>
  <c r="L30" i="13" l="1"/>
  <c r="L31" i="13"/>
  <c r="K27" i="13"/>
  <c r="J34" i="13" l="1"/>
  <c r="K34" i="13"/>
  <c r="J47" i="13"/>
  <c r="K47" i="13"/>
  <c r="P11" i="13"/>
  <c r="W47" i="13"/>
  <c r="Z47" i="13"/>
  <c r="Z34" i="13"/>
  <c r="W34" i="13"/>
  <c r="L34" i="13"/>
  <c r="M11" i="13"/>
  <c r="M50" i="13"/>
  <c r="H63" i="11"/>
  <c r="D63" i="11" s="1"/>
  <c r="W50" i="13"/>
  <c r="C8" i="12"/>
  <c r="D8" i="12" s="1"/>
  <c r="G64" i="11"/>
  <c r="F64" i="11"/>
  <c r="Z50" i="13"/>
  <c r="V50" i="13"/>
  <c r="N50" i="13"/>
  <c r="G63" i="11"/>
  <c r="F63" i="11"/>
  <c r="H36" i="11"/>
  <c r="D36" i="11" s="1"/>
  <c r="G36" i="11"/>
  <c r="F36" i="11"/>
  <c r="E36" i="11"/>
  <c r="G62" i="11"/>
  <c r="F62" i="11"/>
  <c r="E62" i="11"/>
  <c r="E63" i="11" l="1"/>
  <c r="C63" i="11" s="1"/>
  <c r="H62" i="11"/>
  <c r="D62" i="11" s="1"/>
  <c r="C62" i="11" s="1"/>
  <c r="E64" i="11"/>
  <c r="H64" i="11"/>
  <c r="D64" i="11" s="1"/>
  <c r="J50" i="13"/>
  <c r="AB50" i="13" s="1"/>
  <c r="K50" i="13"/>
  <c r="L50" i="13"/>
  <c r="L22" i="13"/>
  <c r="J22" i="13"/>
  <c r="C36" i="11"/>
  <c r="M47" i="13"/>
  <c r="J17" i="13"/>
  <c r="AB47" i="13"/>
  <c r="H35" i="11"/>
  <c r="D35" i="11" s="1"/>
  <c r="G35" i="11"/>
  <c r="F35" i="11"/>
  <c r="E35" i="11"/>
  <c r="H61" i="11"/>
  <c r="D61" i="11" s="1"/>
  <c r="G61" i="11"/>
  <c r="F61" i="11"/>
  <c r="E61" i="11"/>
  <c r="C64" i="11" l="1"/>
  <c r="C35" i="11"/>
  <c r="C61" i="11"/>
  <c r="E33" i="11" l="1"/>
  <c r="F33" i="11"/>
  <c r="G33" i="11"/>
  <c r="H33" i="11"/>
  <c r="D33" i="11" s="1"/>
  <c r="H34" i="11"/>
  <c r="D34" i="11" s="1"/>
  <c r="G34" i="11"/>
  <c r="F34" i="11"/>
  <c r="E34" i="11"/>
  <c r="K51" i="13"/>
  <c r="K49" i="13"/>
  <c r="K48" i="13"/>
  <c r="K46" i="13"/>
  <c r="K45" i="13"/>
  <c r="K44" i="13"/>
  <c r="K43" i="13"/>
  <c r="K42" i="13"/>
  <c r="K41" i="13"/>
  <c r="K40" i="13"/>
  <c r="K39" i="13"/>
  <c r="K38" i="13"/>
  <c r="K37" i="13"/>
  <c r="K35" i="13"/>
  <c r="K33" i="13"/>
  <c r="K32" i="13"/>
  <c r="K31" i="13"/>
  <c r="K30" i="13"/>
  <c r="K29" i="13"/>
  <c r="K28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J51" i="13"/>
  <c r="J49" i="13"/>
  <c r="J48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AB34" i="13"/>
  <c r="J33" i="13"/>
  <c r="J32" i="13"/>
  <c r="J31" i="13"/>
  <c r="J30" i="13"/>
  <c r="J29" i="13"/>
  <c r="J28" i="13"/>
  <c r="J27" i="13"/>
  <c r="J26" i="13"/>
  <c r="J25" i="13"/>
  <c r="J24" i="13"/>
  <c r="J23" i="13"/>
  <c r="J21" i="13"/>
  <c r="J20" i="13"/>
  <c r="J19" i="13"/>
  <c r="J18" i="13"/>
  <c r="J16" i="13"/>
  <c r="J15" i="13"/>
  <c r="J14" i="13"/>
  <c r="J13" i="13"/>
  <c r="J12" i="13"/>
  <c r="M21" i="13"/>
  <c r="A10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37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F16" i="11"/>
  <c r="F37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H37" i="11"/>
  <c r="D37" i="11" s="1"/>
  <c r="H32" i="11"/>
  <c r="H31" i="11"/>
  <c r="H30" i="11"/>
  <c r="H29" i="11"/>
  <c r="F65" i="11" l="1"/>
  <c r="C34" i="11"/>
  <c r="F38" i="11"/>
  <c r="F10" i="11" s="1"/>
  <c r="G38" i="11"/>
  <c r="G10" i="11" s="1"/>
  <c r="C33" i="11"/>
  <c r="K52" i="13"/>
  <c r="G65" i="11"/>
  <c r="J52" i="13"/>
  <c r="C7" i="12"/>
  <c r="D7" i="12" s="1"/>
  <c r="C6" i="12"/>
  <c r="D6" i="12" s="1"/>
  <c r="C5" i="12"/>
  <c r="D5" i="12" s="1"/>
  <c r="C4" i="12"/>
  <c r="R210" i="7"/>
  <c r="R209" i="7"/>
  <c r="R208" i="7"/>
  <c r="R207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9" i="7"/>
  <c r="R8" i="7"/>
  <c r="R7" i="7"/>
  <c r="R6" i="7"/>
  <c r="R5" i="7"/>
  <c r="A5" i="7"/>
  <c r="R4" i="7"/>
  <c r="H60" i="11"/>
  <c r="D60" i="11" s="1"/>
  <c r="E60" i="11"/>
  <c r="H59" i="11"/>
  <c r="D59" i="11" s="1"/>
  <c r="E59" i="11"/>
  <c r="H58" i="11"/>
  <c r="D58" i="11" s="1"/>
  <c r="E58" i="11"/>
  <c r="H57" i="11"/>
  <c r="D57" i="11" s="1"/>
  <c r="E57" i="11"/>
  <c r="H56" i="11"/>
  <c r="D56" i="11" s="1"/>
  <c r="E56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D55" i="11" s="1"/>
  <c r="E55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D54" i="11" s="1"/>
  <c r="E54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D53" i="11" s="1"/>
  <c r="E53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D52" i="11" s="1"/>
  <c r="E52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D51" i="11" s="1"/>
  <c r="E51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D50" i="11" s="1"/>
  <c r="E50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D49" i="11" s="1"/>
  <c r="E49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D48" i="11" s="1"/>
  <c r="E48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D47" i="11" s="1"/>
  <c r="E47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D46" i="11" s="1"/>
  <c r="E46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D45" i="11" s="1"/>
  <c r="E45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D44" i="11" s="1"/>
  <c r="E44" i="11"/>
  <c r="A44" i="1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E43" i="11"/>
  <c r="E37" i="11"/>
  <c r="C37" i="11" s="1"/>
  <c r="E32" i="11"/>
  <c r="D32" i="11"/>
  <c r="E31" i="11"/>
  <c r="D31" i="11"/>
  <c r="E30" i="11"/>
  <c r="D30" i="11"/>
  <c r="E29" i="11"/>
  <c r="D29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D28" i="11" s="1"/>
  <c r="E28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D27" i="11" s="1"/>
  <c r="E27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D26" i="11" s="1"/>
  <c r="E26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D25" i="11" s="1"/>
  <c r="E25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D24" i="11" s="1"/>
  <c r="E24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D23" i="11" s="1"/>
  <c r="E23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D22" i="11" s="1"/>
  <c r="E22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D21" i="11" s="1"/>
  <c r="E21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D20" i="11" s="1"/>
  <c r="E20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D19" i="11" s="1"/>
  <c r="E19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D18" i="11" s="1"/>
  <c r="E18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D17" i="11" s="1"/>
  <c r="E17" i="11"/>
  <c r="A17" i="1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E16" i="11"/>
  <c r="U6" i="11"/>
  <c r="K3" i="11"/>
  <c r="X52" i="13"/>
  <c r="U52" i="13"/>
  <c r="H52" i="13"/>
  <c r="G52" i="13"/>
  <c r="F52" i="13"/>
  <c r="E52" i="13"/>
  <c r="D52" i="13"/>
  <c r="Z51" i="13"/>
  <c r="AB51" i="13" s="1"/>
  <c r="W51" i="13"/>
  <c r="V51" i="13"/>
  <c r="N51" i="13"/>
  <c r="M51" i="13"/>
  <c r="L51" i="13"/>
  <c r="Z49" i="13"/>
  <c r="AB49" i="13" s="1"/>
  <c r="W49" i="13"/>
  <c r="V49" i="13"/>
  <c r="N49" i="13"/>
  <c r="M49" i="13"/>
  <c r="L49" i="13"/>
  <c r="Z48" i="13"/>
  <c r="AB48" i="13" s="1"/>
  <c r="W48" i="13"/>
  <c r="V48" i="13"/>
  <c r="N48" i="13"/>
  <c r="M48" i="13"/>
  <c r="L48" i="13"/>
  <c r="V47" i="13"/>
  <c r="N47" i="13"/>
  <c r="L47" i="13"/>
  <c r="Z46" i="13"/>
  <c r="AB46" i="13" s="1"/>
  <c r="W46" i="13"/>
  <c r="V46" i="13"/>
  <c r="N46" i="13"/>
  <c r="M46" i="13"/>
  <c r="L46" i="13"/>
  <c r="Z45" i="13"/>
  <c r="AB45" i="13" s="1"/>
  <c r="W45" i="13"/>
  <c r="V45" i="13"/>
  <c r="S45" i="13"/>
  <c r="R45" i="13"/>
  <c r="Q45" i="13"/>
  <c r="P45" i="13"/>
  <c r="N45" i="13"/>
  <c r="M45" i="13"/>
  <c r="L45" i="13"/>
  <c r="Z44" i="13"/>
  <c r="AB44" i="13" s="1"/>
  <c r="W44" i="13"/>
  <c r="V44" i="13"/>
  <c r="S44" i="13"/>
  <c r="R44" i="13"/>
  <c r="Q44" i="13"/>
  <c r="P44" i="13"/>
  <c r="N44" i="13"/>
  <c r="M44" i="13"/>
  <c r="L44" i="13"/>
  <c r="Z43" i="13"/>
  <c r="AB43" i="13" s="1"/>
  <c r="W43" i="13"/>
  <c r="V43" i="13"/>
  <c r="S43" i="13"/>
  <c r="R43" i="13"/>
  <c r="Q43" i="13"/>
  <c r="P43" i="13"/>
  <c r="N43" i="13"/>
  <c r="M43" i="13"/>
  <c r="L43" i="13"/>
  <c r="Z42" i="13"/>
  <c r="AB42" i="13" s="1"/>
  <c r="W42" i="13"/>
  <c r="V42" i="13"/>
  <c r="S42" i="13"/>
  <c r="R42" i="13"/>
  <c r="Q42" i="13"/>
  <c r="P42" i="13"/>
  <c r="N42" i="13"/>
  <c r="M42" i="13"/>
  <c r="L42" i="13"/>
  <c r="Z41" i="13"/>
  <c r="AB41" i="13" s="1"/>
  <c r="W41" i="13"/>
  <c r="V41" i="13"/>
  <c r="S41" i="13"/>
  <c r="R41" i="13"/>
  <c r="Q41" i="13"/>
  <c r="P41" i="13"/>
  <c r="N41" i="13"/>
  <c r="M41" i="13"/>
  <c r="L41" i="13"/>
  <c r="Z40" i="13"/>
  <c r="AB40" i="13" s="1"/>
  <c r="W40" i="13"/>
  <c r="V40" i="13"/>
  <c r="S40" i="13"/>
  <c r="R40" i="13"/>
  <c r="Q40" i="13"/>
  <c r="P40" i="13"/>
  <c r="N40" i="13"/>
  <c r="M40" i="13"/>
  <c r="L40" i="13"/>
  <c r="Z39" i="13"/>
  <c r="AB39" i="13" s="1"/>
  <c r="W39" i="13"/>
  <c r="V39" i="13"/>
  <c r="N39" i="13"/>
  <c r="M39" i="13"/>
  <c r="L39" i="13"/>
  <c r="Z38" i="13"/>
  <c r="AB38" i="13" s="1"/>
  <c r="W38" i="13"/>
  <c r="V38" i="13"/>
  <c r="S38" i="13"/>
  <c r="R38" i="13"/>
  <c r="Q38" i="13"/>
  <c r="P38" i="13"/>
  <c r="N38" i="13"/>
  <c r="M38" i="13"/>
  <c r="L38" i="13"/>
  <c r="Z37" i="13"/>
  <c r="AB37" i="13" s="1"/>
  <c r="W37" i="13"/>
  <c r="V37" i="13"/>
  <c r="S37" i="13"/>
  <c r="R37" i="13"/>
  <c r="Q37" i="13"/>
  <c r="P37" i="13"/>
  <c r="N37" i="13"/>
  <c r="M37" i="13"/>
  <c r="L37" i="13"/>
  <c r="Z36" i="13"/>
  <c r="AB36" i="13" s="1"/>
  <c r="W36" i="13"/>
  <c r="V36" i="13"/>
  <c r="S36" i="13"/>
  <c r="R36" i="13"/>
  <c r="Q36" i="13"/>
  <c r="P36" i="13"/>
  <c r="N36" i="13"/>
  <c r="M36" i="13"/>
  <c r="Z35" i="13"/>
  <c r="AB35" i="13" s="1"/>
  <c r="W35" i="13"/>
  <c r="V35" i="13"/>
  <c r="S35" i="13"/>
  <c r="R35" i="13"/>
  <c r="Q35" i="13"/>
  <c r="P35" i="13"/>
  <c r="N35" i="13"/>
  <c r="M35" i="13"/>
  <c r="L35" i="13"/>
  <c r="V34" i="13"/>
  <c r="S34" i="13"/>
  <c r="R34" i="13"/>
  <c r="Q34" i="13"/>
  <c r="P34" i="13"/>
  <c r="N34" i="13"/>
  <c r="M34" i="13"/>
  <c r="Z33" i="13"/>
  <c r="AB33" i="13" s="1"/>
  <c r="W33" i="13"/>
  <c r="V33" i="13"/>
  <c r="S33" i="13"/>
  <c r="R33" i="13"/>
  <c r="Q33" i="13"/>
  <c r="P33" i="13"/>
  <c r="N33" i="13"/>
  <c r="M33" i="13"/>
  <c r="L33" i="13"/>
  <c r="Z32" i="13"/>
  <c r="AB32" i="13" s="1"/>
  <c r="W32" i="13"/>
  <c r="V32" i="13"/>
  <c r="S32" i="13"/>
  <c r="R32" i="13"/>
  <c r="Q32" i="13"/>
  <c r="P32" i="13"/>
  <c r="N32" i="13"/>
  <c r="M32" i="13"/>
  <c r="L32" i="13"/>
  <c r="Z31" i="13"/>
  <c r="AB31" i="13" s="1"/>
  <c r="W31" i="13"/>
  <c r="V31" i="13"/>
  <c r="S31" i="13"/>
  <c r="R31" i="13"/>
  <c r="Q31" i="13"/>
  <c r="P31" i="13"/>
  <c r="N31" i="13"/>
  <c r="M31" i="13"/>
  <c r="Z30" i="13"/>
  <c r="AB30" i="13" s="1"/>
  <c r="W30" i="13"/>
  <c r="V30" i="13"/>
  <c r="S30" i="13"/>
  <c r="R30" i="13"/>
  <c r="Q30" i="13"/>
  <c r="P30" i="13"/>
  <c r="N30" i="13"/>
  <c r="M30" i="13"/>
  <c r="Z29" i="13"/>
  <c r="AB29" i="13" s="1"/>
  <c r="W29" i="13"/>
  <c r="V29" i="13"/>
  <c r="S29" i="13"/>
  <c r="R29" i="13"/>
  <c r="Q29" i="13"/>
  <c r="P29" i="13"/>
  <c r="N29" i="13"/>
  <c r="M29" i="13"/>
  <c r="L29" i="13"/>
  <c r="Z28" i="13"/>
  <c r="AB28" i="13" s="1"/>
  <c r="W28" i="13"/>
  <c r="V28" i="13"/>
  <c r="S28" i="13"/>
  <c r="R28" i="13"/>
  <c r="Q28" i="13"/>
  <c r="P28" i="13"/>
  <c r="N28" i="13"/>
  <c r="M28" i="13"/>
  <c r="L28" i="13"/>
  <c r="Z27" i="13"/>
  <c r="AB27" i="13" s="1"/>
  <c r="W27" i="13"/>
  <c r="V27" i="13"/>
  <c r="S27" i="13"/>
  <c r="R27" i="13"/>
  <c r="Q27" i="13"/>
  <c r="P27" i="13"/>
  <c r="N27" i="13"/>
  <c r="M27" i="13"/>
  <c r="L27" i="13"/>
  <c r="Z26" i="13"/>
  <c r="AB26" i="13" s="1"/>
  <c r="W26" i="13"/>
  <c r="V26" i="13"/>
  <c r="S26" i="13"/>
  <c r="R26" i="13"/>
  <c r="Q26" i="13"/>
  <c r="P26" i="13"/>
  <c r="N26" i="13"/>
  <c r="M26" i="13"/>
  <c r="L26" i="13"/>
  <c r="Z25" i="13"/>
  <c r="AB25" i="13" s="1"/>
  <c r="W25" i="13"/>
  <c r="V25" i="13"/>
  <c r="S25" i="13"/>
  <c r="R25" i="13"/>
  <c r="Q25" i="13"/>
  <c r="P25" i="13"/>
  <c r="N25" i="13"/>
  <c r="M25" i="13"/>
  <c r="L25" i="13"/>
  <c r="Z24" i="13"/>
  <c r="AB24" i="13" s="1"/>
  <c r="W24" i="13"/>
  <c r="V24" i="13"/>
  <c r="S24" i="13"/>
  <c r="R24" i="13"/>
  <c r="Q24" i="13"/>
  <c r="P24" i="13"/>
  <c r="N24" i="13"/>
  <c r="M24" i="13"/>
  <c r="L24" i="13"/>
  <c r="Z23" i="13"/>
  <c r="AB23" i="13" s="1"/>
  <c r="W23" i="13"/>
  <c r="V23" i="13"/>
  <c r="S23" i="13"/>
  <c r="R23" i="13"/>
  <c r="Q23" i="13"/>
  <c r="P23" i="13"/>
  <c r="N23" i="13"/>
  <c r="M23" i="13"/>
  <c r="L23" i="13"/>
  <c r="Z22" i="13"/>
  <c r="AB22" i="13" s="1"/>
  <c r="W22" i="13"/>
  <c r="V22" i="13"/>
  <c r="S22" i="13"/>
  <c r="R22" i="13"/>
  <c r="Q22" i="13"/>
  <c r="P22" i="13"/>
  <c r="N22" i="13"/>
  <c r="M22" i="13"/>
  <c r="Z21" i="13"/>
  <c r="AB21" i="13" s="1"/>
  <c r="W21" i="13"/>
  <c r="V21" i="13"/>
  <c r="S21" i="13"/>
  <c r="T21" i="13" s="1"/>
  <c r="R21" i="13"/>
  <c r="Q21" i="13"/>
  <c r="P21" i="13"/>
  <c r="N21" i="13"/>
  <c r="L21" i="13"/>
  <c r="Z20" i="13"/>
  <c r="AB20" i="13" s="1"/>
  <c r="W20" i="13"/>
  <c r="V20" i="13"/>
  <c r="S20" i="13"/>
  <c r="R20" i="13"/>
  <c r="Q20" i="13"/>
  <c r="P20" i="13"/>
  <c r="N20" i="13"/>
  <c r="M20" i="13"/>
  <c r="L20" i="13"/>
  <c r="Z19" i="13"/>
  <c r="AB19" i="13" s="1"/>
  <c r="W19" i="13"/>
  <c r="V19" i="13"/>
  <c r="S19" i="13"/>
  <c r="R19" i="13"/>
  <c r="Q19" i="13"/>
  <c r="P19" i="13"/>
  <c r="N19" i="13"/>
  <c r="M19" i="13"/>
  <c r="L19" i="13"/>
  <c r="Z18" i="13"/>
  <c r="AB18" i="13" s="1"/>
  <c r="W18" i="13"/>
  <c r="V18" i="13"/>
  <c r="S18" i="13"/>
  <c r="R18" i="13"/>
  <c r="Q18" i="13"/>
  <c r="P18" i="13"/>
  <c r="N18" i="13"/>
  <c r="M18" i="13"/>
  <c r="L18" i="13"/>
  <c r="Z17" i="13"/>
  <c r="AB17" i="13" s="1"/>
  <c r="W17" i="13"/>
  <c r="V17" i="13"/>
  <c r="S17" i="13"/>
  <c r="R17" i="13"/>
  <c r="Q17" i="13"/>
  <c r="P17" i="13"/>
  <c r="N17" i="13"/>
  <c r="M17" i="13"/>
  <c r="L17" i="13"/>
  <c r="Z16" i="13"/>
  <c r="AB16" i="13" s="1"/>
  <c r="W16" i="13"/>
  <c r="V16" i="13"/>
  <c r="S16" i="13"/>
  <c r="R16" i="13"/>
  <c r="Q16" i="13"/>
  <c r="P16" i="13"/>
  <c r="N16" i="13"/>
  <c r="M16" i="13"/>
  <c r="L16" i="13"/>
  <c r="Z15" i="13"/>
  <c r="AB15" i="13" s="1"/>
  <c r="W15" i="13"/>
  <c r="V15" i="13"/>
  <c r="S15" i="13"/>
  <c r="R15" i="13"/>
  <c r="Q15" i="13"/>
  <c r="P15" i="13"/>
  <c r="N15" i="13"/>
  <c r="M15" i="13"/>
  <c r="L15" i="13"/>
  <c r="AB14" i="13"/>
  <c r="W14" i="13"/>
  <c r="V14" i="13"/>
  <c r="S14" i="13"/>
  <c r="R14" i="13"/>
  <c r="Q14" i="13"/>
  <c r="P14" i="13"/>
  <c r="N14" i="13"/>
  <c r="M14" i="13"/>
  <c r="L14" i="13"/>
  <c r="Z13" i="13"/>
  <c r="AB13" i="13" s="1"/>
  <c r="W13" i="13"/>
  <c r="V13" i="13"/>
  <c r="S13" i="13"/>
  <c r="R13" i="13"/>
  <c r="Q13" i="13"/>
  <c r="P13" i="13"/>
  <c r="N13" i="13"/>
  <c r="M13" i="13"/>
  <c r="L13" i="13"/>
  <c r="Z12" i="13"/>
  <c r="W12" i="13"/>
  <c r="V12" i="13"/>
  <c r="S12" i="13"/>
  <c r="R12" i="13"/>
  <c r="Q12" i="13"/>
  <c r="P12" i="13"/>
  <c r="N12" i="13"/>
  <c r="M12" i="13"/>
  <c r="L12" i="13"/>
  <c r="W11" i="13"/>
  <c r="V11" i="13"/>
  <c r="V52" i="13" s="1"/>
  <c r="S11" i="13"/>
  <c r="S52" i="13" s="1"/>
  <c r="R11" i="13"/>
  <c r="R52" i="13" s="1"/>
  <c r="Q11" i="13"/>
  <c r="Q52" i="13" s="1"/>
  <c r="P52" i="13"/>
  <c r="N11" i="13"/>
  <c r="B8" i="13"/>
  <c r="P58" i="15" l="1"/>
  <c r="AB12" i="13"/>
  <c r="Z52" i="13"/>
  <c r="H57" i="13"/>
  <c r="H65" i="13"/>
  <c r="H73" i="13"/>
  <c r="H81" i="13"/>
  <c r="H89" i="13"/>
  <c r="H58" i="13"/>
  <c r="H66" i="13"/>
  <c r="H74" i="13"/>
  <c r="H82" i="13"/>
  <c r="H90" i="13"/>
  <c r="H59" i="13"/>
  <c r="H67" i="13"/>
  <c r="H75" i="13"/>
  <c r="H83" i="13"/>
  <c r="H91" i="13"/>
  <c r="H60" i="13"/>
  <c r="H68" i="13"/>
  <c r="H76" i="13"/>
  <c r="H84" i="13"/>
  <c r="H92" i="13"/>
  <c r="H61" i="13"/>
  <c r="H69" i="13"/>
  <c r="H77" i="13"/>
  <c r="H85" i="13"/>
  <c r="H93" i="13"/>
  <c r="H62" i="13"/>
  <c r="H70" i="13"/>
  <c r="H78" i="13"/>
  <c r="H86" i="13"/>
  <c r="H94" i="13"/>
  <c r="H63" i="13"/>
  <c r="H71" i="13"/>
  <c r="H79" i="13"/>
  <c r="H87" i="13"/>
  <c r="H95" i="13"/>
  <c r="H64" i="13"/>
  <c r="H72" i="13"/>
  <c r="H80" i="13"/>
  <c r="H88" i="13"/>
  <c r="H96" i="13"/>
  <c r="O28" i="13"/>
  <c r="AF28" i="13" s="1"/>
  <c r="H56" i="13"/>
  <c r="O25" i="13"/>
  <c r="AF25" i="13" s="1"/>
  <c r="N52" i="13"/>
  <c r="O50" i="13"/>
  <c r="AF50" i="13" s="1"/>
  <c r="T65" i="11"/>
  <c r="N65" i="11"/>
  <c r="O51" i="13"/>
  <c r="AF51" i="13" s="1"/>
  <c r="O47" i="13"/>
  <c r="AF47" i="13" s="1"/>
  <c r="E38" i="11"/>
  <c r="J65" i="11"/>
  <c r="P65" i="11"/>
  <c r="E65" i="11"/>
  <c r="A60" i="11"/>
  <c r="H65" i="11"/>
  <c r="AB52" i="13"/>
  <c r="T23" i="13"/>
  <c r="T26" i="13"/>
  <c r="T29" i="13"/>
  <c r="AB11" i="13"/>
  <c r="C58" i="11"/>
  <c r="C50" i="11"/>
  <c r="T22" i="13"/>
  <c r="T25" i="13"/>
  <c r="T28" i="13"/>
  <c r="T24" i="13"/>
  <c r="T27" i="13"/>
  <c r="M52" i="13"/>
  <c r="W52" i="13"/>
  <c r="T13" i="13"/>
  <c r="T16" i="13"/>
  <c r="T43" i="13"/>
  <c r="T12" i="13"/>
  <c r="T41" i="13"/>
  <c r="T42" i="13"/>
  <c r="T45" i="13"/>
  <c r="L52" i="13"/>
  <c r="T14" i="13"/>
  <c r="T20" i="13"/>
  <c r="T30" i="13"/>
  <c r="T33" i="13"/>
  <c r="T36" i="13"/>
  <c r="T40" i="13"/>
  <c r="T31" i="13"/>
  <c r="T34" i="13"/>
  <c r="T38" i="13"/>
  <c r="C9" i="12"/>
  <c r="T17" i="13"/>
  <c r="T32" i="13"/>
  <c r="L38" i="11"/>
  <c r="R38" i="11"/>
  <c r="T18" i="13"/>
  <c r="T37" i="13"/>
  <c r="C54" i="11"/>
  <c r="C57" i="11"/>
  <c r="C60" i="11"/>
  <c r="D4" i="12"/>
  <c r="D9" i="12" s="1"/>
  <c r="T19" i="13"/>
  <c r="K65" i="11"/>
  <c r="Q65" i="11"/>
  <c r="C47" i="11"/>
  <c r="C52" i="11"/>
  <c r="T15" i="13"/>
  <c r="T35" i="13"/>
  <c r="T44" i="13"/>
  <c r="C48" i="11"/>
  <c r="K38" i="11"/>
  <c r="Q38" i="11"/>
  <c r="C17" i="11"/>
  <c r="C20" i="11"/>
  <c r="C23" i="11"/>
  <c r="C45" i="11"/>
  <c r="C46" i="11"/>
  <c r="M38" i="11"/>
  <c r="S38" i="11"/>
  <c r="C18" i="11"/>
  <c r="C21" i="11"/>
  <c r="C24" i="11"/>
  <c r="I65" i="11"/>
  <c r="O65" i="11"/>
  <c r="C53" i="11"/>
  <c r="C51" i="11"/>
  <c r="I38" i="11"/>
  <c r="O38" i="11"/>
  <c r="C19" i="11"/>
  <c r="C25" i="11"/>
  <c r="C31" i="11"/>
  <c r="C27" i="11"/>
  <c r="C30" i="11"/>
  <c r="C49" i="11"/>
  <c r="C55" i="11"/>
  <c r="N38" i="11"/>
  <c r="T38" i="11"/>
  <c r="C28" i="11"/>
  <c r="C44" i="11"/>
  <c r="C56" i="11"/>
  <c r="C22" i="11"/>
  <c r="L65" i="11"/>
  <c r="R65" i="11"/>
  <c r="J38" i="11"/>
  <c r="P38" i="11"/>
  <c r="C26" i="11"/>
  <c r="C29" i="11"/>
  <c r="C32" i="11"/>
  <c r="M65" i="11"/>
  <c r="S65" i="11"/>
  <c r="C59" i="11"/>
  <c r="H38" i="11"/>
  <c r="H10" i="11" s="1"/>
  <c r="A11" i="11" s="1"/>
  <c r="D43" i="11"/>
  <c r="D65" i="11" s="1"/>
  <c r="D16" i="11"/>
  <c r="D38" i="11" s="1"/>
  <c r="T11" i="13"/>
  <c r="T52" i="13" s="1"/>
  <c r="O21" i="13"/>
  <c r="AF21" i="13" s="1"/>
  <c r="O23" i="13"/>
  <c r="AF23" i="13" s="1"/>
  <c r="O27" i="13"/>
  <c r="AF27" i="13" s="1"/>
  <c r="O29" i="13"/>
  <c r="AF29" i="13" s="1"/>
  <c r="O31" i="13"/>
  <c r="AF31" i="13" s="1"/>
  <c r="O33" i="13"/>
  <c r="AF33" i="13" s="1"/>
  <c r="O35" i="13"/>
  <c r="AF35" i="13" s="1"/>
  <c r="AF37" i="13"/>
  <c r="O39" i="13"/>
  <c r="AF39" i="13" s="1"/>
  <c r="O11" i="13"/>
  <c r="AF11" i="13" s="1"/>
  <c r="O13" i="13"/>
  <c r="AF13" i="13" s="1"/>
  <c r="O15" i="13"/>
  <c r="AF15" i="13" s="1"/>
  <c r="O17" i="13"/>
  <c r="AF17" i="13" s="1"/>
  <c r="O19" i="13"/>
  <c r="AF19" i="13" s="1"/>
  <c r="O41" i="13"/>
  <c r="AF41" i="13" s="1"/>
  <c r="O42" i="13"/>
  <c r="AF42" i="13" s="1"/>
  <c r="O44" i="13"/>
  <c r="AF44" i="13" s="1"/>
  <c r="O46" i="13"/>
  <c r="AF46" i="13" s="1"/>
  <c r="O49" i="13"/>
  <c r="AF49" i="13" s="1"/>
  <c r="O48" i="13"/>
  <c r="AF48" i="13" s="1"/>
  <c r="O22" i="13"/>
  <c r="AF22" i="13" s="1"/>
  <c r="O24" i="13"/>
  <c r="AF24" i="13" s="1"/>
  <c r="O26" i="13"/>
  <c r="AF26" i="13" s="1"/>
  <c r="O30" i="13"/>
  <c r="AF30" i="13" s="1"/>
  <c r="O32" i="13"/>
  <c r="AF32" i="13" s="1"/>
  <c r="O34" i="13"/>
  <c r="AF34" i="13" s="1"/>
  <c r="AF36" i="13"/>
  <c r="O38" i="13"/>
  <c r="AF38" i="13" s="1"/>
  <c r="O12" i="13"/>
  <c r="AF12" i="13" s="1"/>
  <c r="O14" i="13"/>
  <c r="AF14" i="13" s="1"/>
  <c r="O16" i="13"/>
  <c r="AF16" i="13" s="1"/>
  <c r="O18" i="13"/>
  <c r="AF18" i="13" s="1"/>
  <c r="O20" i="13"/>
  <c r="AF20" i="13" s="1"/>
  <c r="O40" i="13"/>
  <c r="AF40" i="13" s="1"/>
  <c r="O43" i="13"/>
  <c r="AF43" i="13" s="1"/>
  <c r="O45" i="13"/>
  <c r="AF45" i="13" s="1"/>
  <c r="H97" i="13" l="1"/>
  <c r="O52" i="13"/>
  <c r="C65" i="11"/>
  <c r="C38" i="11"/>
  <c r="A61" i="11"/>
  <c r="C16" i="11"/>
  <c r="C43" i="11"/>
  <c r="A62" i="11" l="1"/>
  <c r="A63" i="11" s="1"/>
  <c r="A64" i="11" s="1"/>
  <c r="D10" i="11"/>
  <c r="C10" i="11"/>
  <c r="E10" i="11" l="1"/>
  <c r="U5" i="11"/>
  <c r="J10" i="11"/>
  <c r="W5" i="11" s="1"/>
  <c r="V5" i="11"/>
  <c r="I11" i="1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13" authorId="0" shapeId="0" xr:uid="{ADFF2BF4-AF05-44AD-98A6-E6A9C85E72AA}">
      <text>
        <r>
          <rPr>
            <sz val="9"/>
            <color indexed="81"/>
            <rFont val="돋움"/>
            <family val="3"/>
            <charset val="129"/>
          </rPr>
          <t>신규지만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해줘야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Ex) </t>
        </r>
        <r>
          <rPr>
            <sz val="9"/>
            <color indexed="81"/>
            <rFont val="돋움"/>
            <family val="3"/>
            <charset val="129"/>
          </rPr>
          <t>자료수령</t>
        </r>
        <r>
          <rPr>
            <sz val="9"/>
            <color indexed="81"/>
            <rFont val="Tahoma"/>
            <family val="2"/>
          </rPr>
          <t xml:space="preserve"> 4 (E8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
  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4 (I8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
  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2
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E8+I8=8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걸려있으므로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뒤에</t>
        </r>
        <r>
          <rPr>
            <sz val="9"/>
            <color indexed="81"/>
            <rFont val="Tahoma"/>
            <family val="2"/>
          </rPr>
          <t xml:space="preserve"> -2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관리자</author>
    <author>user</author>
  </authors>
  <commentList>
    <comment ref="G3" authorId="0" shapeId="0" xr:uid="{00104825-6F2F-4A36-992B-1F6795EAE86F}">
      <text>
        <r>
          <rPr>
            <b/>
            <sz val="9"/>
            <color indexed="81"/>
            <rFont val="돋움"/>
            <family val="3"/>
            <charset val="129"/>
          </rPr>
          <t>관리자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작성중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기업확인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확인완료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수정요청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검토중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 xml:space="preserve">승인
</t>
        </r>
      </text>
    </comment>
    <comment ref="F230" authorId="1" shapeId="0" xr:uid="{A4618E54-DF8B-4B93-8537-28A844B170DB}">
      <text>
        <r>
          <rPr>
            <b/>
            <sz val="9"/>
            <color indexed="81"/>
            <rFont val="돋움"/>
            <family val="3"/>
            <charset val="129"/>
          </rPr>
          <t>공급업체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알고스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54" authorId="0" shapeId="0" xr:uid="{F90EE1A6-4A7D-459E-AD9E-4DD587987B25}">
      <text>
        <r>
          <rPr>
            <sz val="9"/>
            <color indexed="81"/>
            <rFont val="돋움"/>
            <family val="3"/>
            <charset val="129"/>
          </rPr>
          <t>신규지만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해줘야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Ex) </t>
        </r>
        <r>
          <rPr>
            <sz val="9"/>
            <color indexed="81"/>
            <rFont val="돋움"/>
            <family val="3"/>
            <charset val="129"/>
          </rPr>
          <t>자료수령</t>
        </r>
        <r>
          <rPr>
            <sz val="9"/>
            <color indexed="81"/>
            <rFont val="Tahoma"/>
            <family val="2"/>
          </rPr>
          <t xml:space="preserve"> 4 (E8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
  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4 (I8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
  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2
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E8+I8=8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걸려있으므로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뒤에</t>
        </r>
        <r>
          <rPr>
            <sz val="9"/>
            <color indexed="81"/>
            <rFont val="Tahoma"/>
            <family val="2"/>
          </rPr>
          <t xml:space="preserve"> -2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<sst xmlns="http://schemas.openxmlformats.org/spreadsheetml/2006/main" count="1352" uniqueCount="583">
  <si>
    <t>순번</t>
    <phoneticPr fontId="4" type="noConversion"/>
  </si>
  <si>
    <t>비고</t>
    <phoneticPr fontId="4" type="noConversion"/>
  </si>
  <si>
    <t>○ 용역개요</t>
    <phoneticPr fontId="7" type="noConversion"/>
  </si>
  <si>
    <t>주관기관</t>
    <phoneticPr fontId="7" type="noConversion"/>
  </si>
  <si>
    <t>주요내용</t>
    <phoneticPr fontId="7" type="noConversion"/>
  </si>
  <si>
    <t>○ 전체 진행현황</t>
    <phoneticPr fontId="7" type="noConversion"/>
  </si>
  <si>
    <t>순번</t>
    <phoneticPr fontId="7" type="noConversion"/>
  </si>
  <si>
    <t>○ 기타사항</t>
    <phoneticPr fontId="7" type="noConversion"/>
  </si>
  <si>
    <t>도입기업</t>
    <phoneticPr fontId="4" type="noConversion"/>
  </si>
  <si>
    <t>공급기업</t>
    <phoneticPr fontId="4" type="noConversion"/>
  </si>
  <si>
    <t>주식회사 평화아이씨티</t>
  </si>
  <si>
    <t>큐빅테크</t>
  </si>
  <si>
    <t>(주)무한콘트롤</t>
  </si>
  <si>
    <t>상태</t>
    <phoneticPr fontId="4" type="noConversion"/>
  </si>
  <si>
    <r>
      <t xml:space="preserve">접수대기(신규) </t>
    </r>
    <r>
      <rPr>
        <sz val="9"/>
        <color theme="1"/>
        <rFont val="맑은 고딕"/>
        <family val="3"/>
        <charset val="129"/>
      </rPr>
      <t>→ 작성중(진행중) → 기업확인 → 확인완료(기업) or 수정요청(기업) → 검토중(발주기관) → 승인</t>
    </r>
    <phoneticPr fontId="4" type="noConversion"/>
  </si>
  <si>
    <t>진행중</t>
    <phoneticPr fontId="4" type="noConversion"/>
  </si>
  <si>
    <t>중소벤처기업부</t>
    <phoneticPr fontId="7" type="noConversion"/>
  </si>
  <si>
    <t>완료</t>
    <phoneticPr fontId="4" type="noConversion"/>
  </si>
  <si>
    <t>스마트공장 구축(고도화)을 지원하여 기업의 제조혁신 경쟁력 향상 도모</t>
    <phoneticPr fontId="7" type="noConversion"/>
  </si>
  <si>
    <t>요청기관</t>
    <phoneticPr fontId="7" type="noConversion"/>
  </si>
  <si>
    <t>요청기관</t>
    <phoneticPr fontId="4" type="noConversion"/>
  </si>
  <si>
    <t>전북</t>
    <phoneticPr fontId="4" type="noConversion"/>
  </si>
  <si>
    <t>경기</t>
    <phoneticPr fontId="4" type="noConversion"/>
  </si>
  <si>
    <t>경기북부</t>
    <phoneticPr fontId="4" type="noConversion"/>
  </si>
  <si>
    <t>충북</t>
    <phoneticPr fontId="4" type="noConversion"/>
  </si>
  <si>
    <t>보고서 작성자</t>
    <phoneticPr fontId="4" type="noConversion"/>
  </si>
  <si>
    <t>세부 내용</t>
    <phoneticPr fontId="4" type="noConversion"/>
  </si>
  <si>
    <t>대상</t>
    <phoneticPr fontId="4" type="noConversion"/>
  </si>
  <si>
    <t>세종</t>
    <phoneticPr fontId="4" type="noConversion"/>
  </si>
  <si>
    <t>2024년 스마트공장 구축지원사업 진행현황</t>
    <phoneticPr fontId="7" type="noConversion"/>
  </si>
  <si>
    <t>전체</t>
    <phoneticPr fontId="4" type="noConversion"/>
  </si>
  <si>
    <t>신라정보기술(주)</t>
  </si>
  <si>
    <t>(주)이투이솔루션</t>
  </si>
  <si>
    <t>에이치앤아이씨</t>
  </si>
  <si>
    <t>울산</t>
    <phoneticPr fontId="4" type="noConversion"/>
  </si>
  <si>
    <t>주식회사 리오정보기술</t>
  </si>
  <si>
    <t>서원전자</t>
  </si>
  <si>
    <t>(주)엑센솔루션</t>
  </si>
  <si>
    <t>(주)으뜸엘엔에스</t>
  </si>
  <si>
    <t>(주)큐이노텍</t>
  </si>
  <si>
    <t>주식회사 미소찬</t>
  </si>
  <si>
    <t>(주)에스엠해썹</t>
  </si>
  <si>
    <t>(주)미래융합정보기술</t>
  </si>
  <si>
    <t>이크론소프트</t>
  </si>
  <si>
    <t>7/30</t>
    <phoneticPr fontId="4" type="noConversion"/>
  </si>
  <si>
    <t>(주)태진시스템</t>
  </si>
  <si>
    <t>(주)경호섬유</t>
  </si>
  <si>
    <t>충남</t>
    <phoneticPr fontId="4" type="noConversion"/>
  </si>
  <si>
    <t>대전</t>
    <phoneticPr fontId="4" type="noConversion"/>
  </si>
  <si>
    <t>8/9</t>
    <phoneticPr fontId="4" type="noConversion"/>
  </si>
  <si>
    <t>부산</t>
    <phoneticPr fontId="4" type="noConversion"/>
  </si>
  <si>
    <t>농업회사법인 주식회사 연우</t>
  </si>
  <si>
    <t>주식회사태원글로벌테크</t>
  </si>
  <si>
    <t>(주)메가코스 평택공장</t>
  </si>
  <si>
    <t>(주)루텍에스</t>
  </si>
  <si>
    <t>(주)태성산업 군포지점</t>
  </si>
  <si>
    <t>주식회사 원우이엔지</t>
  </si>
  <si>
    <t>솔루션코리아(주)</t>
  </si>
  <si>
    <t>(주)유원전자</t>
  </si>
  <si>
    <t>삼미정보시스템</t>
  </si>
  <si>
    <t>(주)광명전기</t>
  </si>
  <si>
    <t>플랭크</t>
  </si>
  <si>
    <t>대진공업사</t>
  </si>
  <si>
    <t>주식회사 제스텍</t>
  </si>
  <si>
    <t>(주)쿨링시스템</t>
  </si>
  <si>
    <t>(주)에이엔디시스템</t>
  </si>
  <si>
    <t>희수테크</t>
  </si>
  <si>
    <t>켄코아솔루션</t>
  </si>
  <si>
    <t>(주)광성식품</t>
  </si>
  <si>
    <t>삼보패화석</t>
  </si>
  <si>
    <t>강한솔루션</t>
  </si>
  <si>
    <t>주식회사 하승</t>
  </si>
  <si>
    <t>넷플러스주식회사</t>
  </si>
  <si>
    <t>(주)제이더블류시스텍</t>
  </si>
  <si>
    <t>(주)투톤</t>
  </si>
  <si>
    <t>태진정밀</t>
  </si>
  <si>
    <t>(주)씨테크시스템</t>
  </si>
  <si>
    <t>(주)하이드텍</t>
  </si>
  <si>
    <t>주식회사 이노비</t>
  </si>
  <si>
    <t>주식회사 이엔엠</t>
  </si>
  <si>
    <t>(주)봉우금속</t>
  </si>
  <si>
    <t>(주)알피네트웍스</t>
  </si>
  <si>
    <t>진양산업 주식회사</t>
  </si>
  <si>
    <t>가온소프트(주)</t>
  </si>
  <si>
    <t>주식회사 부경엘피씨</t>
  </si>
  <si>
    <t>(주)성화정보기술</t>
  </si>
  <si>
    <t>한빛산업(계성)</t>
  </si>
  <si>
    <t>(주)이진피앤지</t>
  </si>
  <si>
    <t>(주)에스엠원</t>
  </si>
  <si>
    <t>주식회사 우진기업</t>
  </si>
  <si>
    <t>엠엔디시스템</t>
  </si>
  <si>
    <t>고려화스너</t>
  </si>
  <si>
    <t>주식회사 엠에스티</t>
  </si>
  <si>
    <t>이노팀스(주)</t>
  </si>
  <si>
    <t>주식회사 씨티티(CTT Co.Ltd)</t>
  </si>
  <si>
    <t>(주)카스윈</t>
  </si>
  <si>
    <t>OPEN TS</t>
  </si>
  <si>
    <t>대주개발(주)</t>
  </si>
  <si>
    <t>화인정보기술(주)</t>
  </si>
  <si>
    <t>주식회사 여명라이팅</t>
  </si>
  <si>
    <t>경남베벨기어</t>
  </si>
  <si>
    <t>비에이치테크</t>
  </si>
  <si>
    <t>(주)성화기계</t>
  </si>
  <si>
    <t>주식회사 더모모스</t>
  </si>
  <si>
    <t>(주)대영에스지</t>
  </si>
  <si>
    <t>더블유피솔루션즈(주)</t>
  </si>
  <si>
    <t>공간연구소(주)</t>
  </si>
  <si>
    <t>(주)스마트솔루션</t>
  </si>
  <si>
    <t>(주)건어명가디앤에이치</t>
  </si>
  <si>
    <t>(주)굿케이소프트</t>
  </si>
  <si>
    <t>(주)함일셀레나</t>
  </si>
  <si>
    <t>태창위즈 주식회사</t>
  </si>
  <si>
    <t>(주)신화하이테크</t>
  </si>
  <si>
    <t>(주)대현산업</t>
  </si>
  <si>
    <t>(주)쓰리에스인포</t>
  </si>
  <si>
    <t>(주)서진밴드</t>
  </si>
  <si>
    <t>코코스소프트웨어협동조합</t>
  </si>
  <si>
    <t>대륭공업사</t>
  </si>
  <si>
    <t>투윈시스템</t>
  </si>
  <si>
    <t>삼성정기(주)</t>
  </si>
  <si>
    <t>주식회사 지오티솔루션</t>
  </si>
  <si>
    <t>삼영엠텍(주)</t>
  </si>
  <si>
    <t>(주)한국바코드정보기술</t>
  </si>
  <si>
    <t>(주)은성테크</t>
  </si>
  <si>
    <t>(주)화이트전자</t>
  </si>
  <si>
    <t>(주)대세</t>
  </si>
  <si>
    <t>(주)TIS</t>
  </si>
  <si>
    <t>(주)세림</t>
  </si>
  <si>
    <t>주식회사 코트란</t>
  </si>
  <si>
    <t>(주)이지지오</t>
  </si>
  <si>
    <t>수시스템(주)</t>
  </si>
  <si>
    <t>쿠라고아시아(주)</t>
  </si>
  <si>
    <t>바른축산</t>
  </si>
  <si>
    <t>(주))알엠에이</t>
  </si>
  <si>
    <t>주식회사 볼크</t>
  </si>
  <si>
    <t>농업회사법인보석푸드주식회사</t>
  </si>
  <si>
    <t>(주)카리스마아이텍</t>
  </si>
  <si>
    <t>(주)신화하이드로릭스</t>
  </si>
  <si>
    <t>코아정보기술(주)</t>
  </si>
  <si>
    <t>누리는농부(주)농업회사법인</t>
  </si>
  <si>
    <t>주식회사 아이엠지로드</t>
  </si>
  <si>
    <t>(주)에스제이리드테크</t>
  </si>
  <si>
    <t>(주)비엔씨정보기술</t>
  </si>
  <si>
    <t>주식회사 엔와이티</t>
  </si>
  <si>
    <t>주식회사 태성소프트기술</t>
  </si>
  <si>
    <t>주식회사 지에스에프시스템</t>
  </si>
  <si>
    <t>기득산업(주)</t>
  </si>
  <si>
    <t>(주)일주지앤에스</t>
  </si>
  <si>
    <t>(주)신라병가</t>
  </si>
  <si>
    <t>주식회사 하드웰소프트</t>
  </si>
  <si>
    <t>주식회사풍산정밀</t>
  </si>
  <si>
    <t>사업별 구분</t>
    <phoneticPr fontId="4" type="noConversion"/>
  </si>
  <si>
    <t>경남</t>
    <phoneticPr fontId="4" type="noConversion"/>
  </si>
  <si>
    <t>대구</t>
    <phoneticPr fontId="4" type="noConversion"/>
  </si>
  <si>
    <t>인천</t>
    <phoneticPr fontId="4" type="noConversion"/>
  </si>
  <si>
    <t>전남</t>
    <phoneticPr fontId="4" type="noConversion"/>
  </si>
  <si>
    <t xml:space="preserve">(기초 및 고도화지원)농림부-삼성전자 </t>
    <phoneticPr fontId="7" type="noConversion"/>
  </si>
  <si>
    <t>(기초지원)지자체-삼성전자</t>
    <phoneticPr fontId="4" type="noConversion"/>
  </si>
  <si>
    <t>(상생형)고도화-LG이노텍</t>
    <phoneticPr fontId="4" type="noConversion"/>
  </si>
  <si>
    <t>(상생형)고도화-LG전자</t>
    <phoneticPr fontId="4" type="noConversion"/>
  </si>
  <si>
    <t>(상생형)고도화-삼성전자</t>
    <phoneticPr fontId="4" type="noConversion"/>
  </si>
  <si>
    <t>경남형 스마트 제조혁신 프로젝트</t>
    <phoneticPr fontId="4" type="noConversion"/>
  </si>
  <si>
    <t>선도형 스마트공장(부처협업형)</t>
    <phoneticPr fontId="4" type="noConversion"/>
  </si>
  <si>
    <t>스마트공장 AS 지원</t>
    <phoneticPr fontId="4" type="noConversion"/>
  </si>
  <si>
    <t>스마트공장 구축 및 고도화 사업(고도화1)</t>
    <phoneticPr fontId="7" type="noConversion"/>
  </si>
  <si>
    <t>스마트공장 구축 및 고도화 사업(동일수준)</t>
    <phoneticPr fontId="4" type="noConversion"/>
  </si>
  <si>
    <t>전북형 스마트 제조혁신 프로젝트</t>
    <phoneticPr fontId="4" type="noConversion"/>
  </si>
  <si>
    <t>탄소중립형 스마트공장</t>
    <phoneticPr fontId="4" type="noConversion"/>
  </si>
  <si>
    <t>수령일</t>
    <phoneticPr fontId="4" type="noConversion"/>
  </si>
  <si>
    <t>해성특수지</t>
  </si>
  <si>
    <t>(주)아텍콘트롤</t>
  </si>
  <si>
    <t>다정</t>
  </si>
  <si>
    <t>(주)지에스티</t>
  </si>
  <si>
    <t>합  계</t>
    <phoneticPr fontId="7" type="noConversion"/>
  </si>
  <si>
    <t>사업명</t>
    <phoneticPr fontId="7" type="noConversion"/>
  </si>
  <si>
    <t xml:space="preserve">(기초 및 고도화지원)농림부-삼성전자 </t>
    <phoneticPr fontId="4" type="noConversion"/>
  </si>
  <si>
    <t>스마트공장 구축 및 고도화 사업(고도화1)</t>
    <phoneticPr fontId="4" type="noConversion"/>
  </si>
  <si>
    <t>취소</t>
    <phoneticPr fontId="4" type="noConversion"/>
  </si>
  <si>
    <t>○ 사업별 세부 진행현황</t>
    <phoneticPr fontId="7" type="noConversion"/>
  </si>
  <si>
    <t>○ TP별 세부 진행현황</t>
    <phoneticPr fontId="7" type="noConversion"/>
  </si>
  <si>
    <t>제출일</t>
    <phoneticPr fontId="4" type="noConversion"/>
  </si>
  <si>
    <t>쌍신전자통신(주)</t>
  </si>
  <si>
    <t>(주)더블유앤이케이</t>
  </si>
  <si>
    <t>하은정</t>
    <phoneticPr fontId="4" type="noConversion"/>
  </si>
  <si>
    <t>지승연</t>
    <phoneticPr fontId="4" type="noConversion"/>
  </si>
  <si>
    <t>김기태</t>
    <phoneticPr fontId="4" type="noConversion"/>
  </si>
  <si>
    <t>김연아</t>
    <phoneticPr fontId="4" type="noConversion"/>
  </si>
  <si>
    <t>성명</t>
    <phoneticPr fontId="4" type="noConversion"/>
  </si>
  <si>
    <t>합계</t>
    <phoneticPr fontId="4" type="noConversion"/>
  </si>
  <si>
    <t>인원별 수행금액 집계표(완료건에 한함)</t>
    <phoneticPr fontId="4" type="noConversion"/>
  </si>
  <si>
    <t>수행금액(원)</t>
    <phoneticPr fontId="4" type="noConversion"/>
  </si>
  <si>
    <t>수행건수(건)</t>
    <phoneticPr fontId="4" type="noConversion"/>
  </si>
  <si>
    <t>(주)미건테크</t>
  </si>
  <si>
    <t>(주)태정</t>
  </si>
  <si>
    <t>한진케미칼(주)</t>
  </si>
  <si>
    <t>(주)대운이엔씨</t>
  </si>
  <si>
    <t>주식회사 보은테크</t>
  </si>
  <si>
    <t>(주)에스디케스텍</t>
  </si>
  <si>
    <t>두베 주식회사</t>
  </si>
  <si>
    <t>제주</t>
    <phoneticPr fontId="4" type="noConversion"/>
  </si>
  <si>
    <t>경북</t>
    <phoneticPr fontId="4" type="noConversion"/>
  </si>
  <si>
    <t>(상생형)고도화-한국동서발전</t>
    <phoneticPr fontId="4" type="noConversion"/>
  </si>
  <si>
    <t>(주)아원</t>
  </si>
  <si>
    <t>대신레미콘(주)</t>
  </si>
  <si>
    <t>강원</t>
    <phoneticPr fontId="4" type="noConversion"/>
  </si>
  <si>
    <t>나라플라테크(주)</t>
  </si>
  <si>
    <t>대신금속(주)마산공장</t>
  </si>
  <si>
    <t>향아수산영어조합법인</t>
  </si>
  <si>
    <t>세부공고명</t>
    <phoneticPr fontId="4" type="noConversion"/>
  </si>
  <si>
    <t>사업분류</t>
    <phoneticPr fontId="4" type="noConversion"/>
  </si>
  <si>
    <t>주) 수행금액 : 건당 30만원(부가세 포함)</t>
    <phoneticPr fontId="4" type="noConversion"/>
  </si>
  <si>
    <t>기준일 :</t>
    <phoneticPr fontId="19" type="noConversion"/>
  </si>
  <si>
    <t>전담기관</t>
    <phoneticPr fontId="19" type="noConversion"/>
  </si>
  <si>
    <t>수행기관 (담당기관)</t>
    <phoneticPr fontId="19" type="noConversion"/>
  </si>
  <si>
    <t>2023년
세금계산서 발행건수</t>
    <phoneticPr fontId="19" type="noConversion"/>
  </si>
  <si>
    <t>비고</t>
    <phoneticPr fontId="19" type="noConversion"/>
  </si>
  <si>
    <t>누계</t>
    <phoneticPr fontId="19" type="noConversion"/>
  </si>
  <si>
    <t>제출누계</t>
    <phoneticPr fontId="19" type="noConversion"/>
  </si>
  <si>
    <t>신규</t>
    <phoneticPr fontId="19" type="noConversion"/>
  </si>
  <si>
    <t>취소</t>
    <phoneticPr fontId="19" type="noConversion"/>
  </si>
  <si>
    <t>FP검토</t>
    <phoneticPr fontId="19" type="noConversion"/>
  </si>
  <si>
    <t>단가검색</t>
    <phoneticPr fontId="19" type="noConversion"/>
  </si>
  <si>
    <t>보고서작성</t>
    <phoneticPr fontId="19" type="noConversion"/>
  </si>
  <si>
    <t>금일 미제출</t>
    <phoneticPr fontId="19" type="noConversion"/>
  </si>
  <si>
    <t>금일 신규</t>
    <phoneticPr fontId="19" type="noConversion"/>
  </si>
  <si>
    <t>반려</t>
    <phoneticPr fontId="19" type="noConversion"/>
  </si>
  <si>
    <t>발행건수</t>
    <phoneticPr fontId="19" type="noConversion"/>
  </si>
  <si>
    <t>발행일자</t>
    <phoneticPr fontId="19" type="noConversion"/>
  </si>
  <si>
    <t>미발행건수</t>
    <phoneticPr fontId="19" type="noConversion"/>
  </si>
  <si>
    <t>미발행 사유 및 연락현황</t>
    <phoneticPr fontId="19" type="noConversion"/>
  </si>
  <si>
    <t>(재)한국혁신의약품컨소시엄</t>
    <phoneticPr fontId="19" type="noConversion"/>
  </si>
  <si>
    <t>대구경북금형공업협동조합</t>
    <phoneticPr fontId="19" type="noConversion"/>
  </si>
  <si>
    <t>대중소기업농어업협력재단</t>
    <phoneticPr fontId="19" type="noConversion"/>
  </si>
  <si>
    <t>대한상공회의소</t>
    <phoneticPr fontId="19" type="noConversion"/>
  </si>
  <si>
    <t>자동차부품산업진흥재단</t>
    <phoneticPr fontId="19" type="noConversion"/>
  </si>
  <si>
    <t>중소기업기술혁신협회</t>
    <phoneticPr fontId="19" type="noConversion"/>
  </si>
  <si>
    <t>중소기업중앙회</t>
    <phoneticPr fontId="19" type="noConversion"/>
  </si>
  <si>
    <t>중소기업중앙회-원가감리</t>
    <phoneticPr fontId="19" type="noConversion"/>
  </si>
  <si>
    <t>중소벤처기업진흥공단</t>
    <phoneticPr fontId="19" type="noConversion"/>
  </si>
  <si>
    <t>2023-10-20 16건
'중소기업기술정보진흥원'으로 발행</t>
    <phoneticPr fontId="19" type="noConversion"/>
  </si>
  <si>
    <t>한국생산기술연구원</t>
    <phoneticPr fontId="19" type="noConversion"/>
  </si>
  <si>
    <t>2023-12-08 18건</t>
    <phoneticPr fontId="19" type="noConversion"/>
  </si>
  <si>
    <t>한국스마트팩토리데이터협회</t>
    <phoneticPr fontId="19" type="noConversion"/>
  </si>
  <si>
    <t>한국섬유산업연합회</t>
    <phoneticPr fontId="19" type="noConversion"/>
  </si>
  <si>
    <t>스마트제조혁신협회</t>
    <phoneticPr fontId="19" type="noConversion"/>
  </si>
  <si>
    <t>한국식품안전관리인증원</t>
    <phoneticPr fontId="19" type="noConversion"/>
  </si>
  <si>
    <t>한국인공지능제조이니셔티브</t>
    <phoneticPr fontId="19" type="noConversion"/>
  </si>
  <si>
    <t>한국과학기술원</t>
    <phoneticPr fontId="19" type="noConversion"/>
  </si>
  <si>
    <t>전남대불산학융합원</t>
    <phoneticPr fontId="19" type="noConversion"/>
  </si>
  <si>
    <t>재단법인 한국혁신의약품컨소시엄</t>
    <phoneticPr fontId="19" type="noConversion"/>
  </si>
  <si>
    <t>수행기관모름</t>
    <phoneticPr fontId="19" type="noConversion"/>
  </si>
  <si>
    <t>총합계</t>
    <phoneticPr fontId="19" type="noConversion"/>
  </si>
  <si>
    <t>견적서 품목별 현황</t>
    <phoneticPr fontId="19" type="noConversion"/>
  </si>
  <si>
    <t>3천만원 이상</t>
    <phoneticPr fontId="19" type="noConversion"/>
  </si>
  <si>
    <t>김민선 원장</t>
    <phoneticPr fontId="19" type="noConversion"/>
  </si>
  <si>
    <t>1천만원 이상</t>
    <phoneticPr fontId="19" type="noConversion"/>
  </si>
  <si>
    <t>하은정 이사</t>
    <phoneticPr fontId="19" type="noConversion"/>
  </si>
  <si>
    <t>5백만원 ~ 1천만원 미만</t>
    <phoneticPr fontId="19" type="noConversion"/>
  </si>
  <si>
    <t>박해란 전임</t>
    <phoneticPr fontId="19" type="noConversion"/>
  </si>
  <si>
    <t>특이사항</t>
    <phoneticPr fontId="19" type="noConversion"/>
  </si>
  <si>
    <t>[경기북부스마트제조혁신센터] 농업회사법인(주)승화푸드 사업변경에 따른 원가 재계산 및 원가계산결과보고서 제출</t>
    <phoneticPr fontId="19" type="noConversion"/>
  </si>
  <si>
    <t>경기대진</t>
    <phoneticPr fontId="4" type="noConversion"/>
  </si>
  <si>
    <t>광주</t>
    <phoneticPr fontId="4" type="noConversion"/>
  </si>
  <si>
    <t>서울</t>
    <phoneticPr fontId="4" type="noConversion"/>
  </si>
  <si>
    <t>포항</t>
    <phoneticPr fontId="4" type="noConversion"/>
  </si>
  <si>
    <t>정부지원금 1억 7천</t>
    <phoneticPr fontId="4" type="noConversion"/>
  </si>
  <si>
    <t>사업계획서 수정</t>
    <phoneticPr fontId="4" type="noConversion"/>
  </si>
  <si>
    <t>정부지원금 2억</t>
    <phoneticPr fontId="4" type="noConversion"/>
  </si>
  <si>
    <t>자료 재송부 예정</t>
    <phoneticPr fontId="4" type="noConversion"/>
  </si>
  <si>
    <t>FP만</t>
    <phoneticPr fontId="4" type="noConversion"/>
  </si>
  <si>
    <t>(상생형)고도화-한국가스공사</t>
    <phoneticPr fontId="4" type="noConversion"/>
  </si>
  <si>
    <t>9/27 사업취소된 걸 김기태 전임과 확인, 일단 청구는 하기로 함</t>
    <phoneticPr fontId="4" type="noConversion"/>
  </si>
  <si>
    <t>세금계산서</t>
    <phoneticPr fontId="4" type="noConversion"/>
  </si>
  <si>
    <t>(상생형)고도화-한국서부발전</t>
  </si>
  <si>
    <t>(상생형)고도화-한국지역난방공사</t>
  </si>
  <si>
    <t>(상생형)고도화-포스코(대한상의)</t>
  </si>
  <si>
    <t>공급기업 변경</t>
    <phoneticPr fontId="4" type="noConversion"/>
  </si>
  <si>
    <t>(상생형)고도화-포스코(중기중앙회)</t>
  </si>
  <si>
    <t>2024-12-02 사업취소</t>
    <phoneticPr fontId="4" type="noConversion"/>
  </si>
  <si>
    <t>(기초 및 고도화지원)기술혁신형 시범-중소기업기술혁신협회</t>
    <phoneticPr fontId="4" type="noConversion"/>
  </si>
  <si>
    <t>수령건수
(A)</t>
    <phoneticPr fontId="7" type="noConversion"/>
  </si>
  <si>
    <t>완료*
(B)</t>
    <phoneticPr fontId="4" type="noConversion"/>
  </si>
  <si>
    <t>진행중
(C=A-B)</t>
    <phoneticPr fontId="4" type="noConversion"/>
  </si>
  <si>
    <t>업무진행</t>
    <phoneticPr fontId="7" type="noConversion"/>
  </si>
  <si>
    <t>청구</t>
    <phoneticPr fontId="4" type="noConversion"/>
  </si>
  <si>
    <t>세금계산서 발행(D)</t>
    <phoneticPr fontId="4" type="noConversion"/>
  </si>
  <si>
    <t>대금수령
(E)</t>
    <phoneticPr fontId="4" type="noConversion"/>
  </si>
  <si>
    <t>대금수령</t>
    <phoneticPr fontId="4" type="noConversion"/>
  </si>
  <si>
    <t>2025년 세금계산서</t>
    <phoneticPr fontId="19" type="noConversion"/>
  </si>
  <si>
    <t>2025년
원가재계산</t>
    <phoneticPr fontId="19" type="noConversion"/>
  </si>
  <si>
    <t>한국과학기술원</t>
    <phoneticPr fontId="4" type="noConversion"/>
  </si>
  <si>
    <t>대전 제조AI 융합지원사업</t>
    <phoneticPr fontId="4" type="noConversion"/>
  </si>
  <si>
    <t>인천 기초형 스마트공장 구축 지원사업(2025년 1차)</t>
    <phoneticPr fontId="4" type="noConversion"/>
  </si>
  <si>
    <t>이노비즈협회</t>
    <phoneticPr fontId="4" type="noConversion"/>
  </si>
  <si>
    <t>이노비즈협회</t>
    <phoneticPr fontId="19" type="noConversion"/>
  </si>
  <si>
    <t>울산형 스마트공장 구축 지원사업</t>
  </si>
  <si>
    <t>제출</t>
    <phoneticPr fontId="19" type="noConversion"/>
  </si>
  <si>
    <t>2025-03-17
2025-04-07</t>
    <phoneticPr fontId="4" type="noConversion"/>
  </si>
  <si>
    <t>윤세준</t>
    <phoneticPr fontId="4" type="noConversion"/>
  </si>
  <si>
    <t>2025-03-11(6건)
2025-05-14(15건)</t>
    <phoneticPr fontId="4" type="noConversion"/>
  </si>
  <si>
    <t>청구</t>
    <phoneticPr fontId="4" type="noConversion"/>
  </si>
  <si>
    <t>☞ 수행기관 추가 시 가나다순으로 추가하세요</t>
    <phoneticPr fontId="19" type="noConversion"/>
  </si>
  <si>
    <t>진행중</t>
    <phoneticPr fontId="19" type="noConversion"/>
  </si>
  <si>
    <t>금일 진행사항</t>
    <phoneticPr fontId="4" type="noConversion"/>
  </si>
  <si>
    <t>제출완료</t>
    <phoneticPr fontId="19" type="noConversion"/>
  </si>
  <si>
    <t>스
마
트
제
조
혁
신
추
진
단</t>
    <phoneticPr fontId="19" type="noConversion"/>
  </si>
  <si>
    <t>구 분</t>
    <phoneticPr fontId="4" type="noConversion"/>
  </si>
  <si>
    <t>담 당</t>
    <phoneticPr fontId="4" type="noConversion"/>
  </si>
  <si>
    <t>NO.</t>
    <phoneticPr fontId="19" type="noConversion"/>
  </si>
  <si>
    <t>년도별 누계</t>
    <phoneticPr fontId="4" type="noConversion"/>
  </si>
  <si>
    <t>2025년 누계</t>
    <phoneticPr fontId="4" type="noConversion"/>
  </si>
  <si>
    <t>숫자포함여부</t>
    <phoneticPr fontId="4" type="noConversion"/>
  </si>
  <si>
    <t>한국생산성본부</t>
    <phoneticPr fontId="19" type="noConversion"/>
  </si>
  <si>
    <t xml:space="preserve">                  스마트공장 원가계산 업무 일별 현황</t>
    <phoneticPr fontId="19" type="noConversion"/>
  </si>
  <si>
    <r>
      <t xml:space="preserve">2022
</t>
    </r>
    <r>
      <rPr>
        <sz val="8"/>
        <color rgb="FF3F3F3F"/>
        <rFont val="맑은 고딕"/>
        <family val="3"/>
        <charset val="129"/>
        <scheme val="minor"/>
      </rPr>
      <t>제출완료누계</t>
    </r>
    <phoneticPr fontId="4" type="noConversion"/>
  </si>
  <si>
    <r>
      <t xml:space="preserve">2022
</t>
    </r>
    <r>
      <rPr>
        <sz val="9"/>
        <color rgb="FF3F3F3F"/>
        <rFont val="맑은 고딕"/>
        <family val="3"/>
        <charset val="129"/>
        <scheme val="minor"/>
      </rPr>
      <t>제출누계</t>
    </r>
    <phoneticPr fontId="4" type="noConversion"/>
  </si>
  <si>
    <t>사업연도</t>
    <phoneticPr fontId="19" type="noConversion"/>
  </si>
  <si>
    <t>운영기관</t>
    <phoneticPr fontId="19" type="noConversion"/>
  </si>
  <si>
    <t>제출상태</t>
    <phoneticPr fontId="19" type="noConversion"/>
  </si>
  <si>
    <t>진행중
(미완료+
금일신규)</t>
    <phoneticPr fontId="19" type="noConversion"/>
  </si>
  <si>
    <t>미완료</t>
    <phoneticPr fontId="19" type="noConversion"/>
  </si>
  <si>
    <t>완료</t>
    <phoneticPr fontId="19" type="noConversion"/>
  </si>
  <si>
    <t>세금계산서 발행
(누적)</t>
    <phoneticPr fontId="19" type="noConversion"/>
  </si>
  <si>
    <t>취소*</t>
    <phoneticPr fontId="19" type="noConversion"/>
  </si>
  <si>
    <t>금일 제출완료</t>
    <phoneticPr fontId="19" type="noConversion"/>
  </si>
  <si>
    <r>
      <t xml:space="preserve">2025년도
</t>
    </r>
    <r>
      <rPr>
        <b/>
        <sz val="12"/>
        <color theme="1"/>
        <rFont val="맑은 고딕"/>
        <family val="3"/>
        <charset val="129"/>
        <scheme val="minor"/>
      </rPr>
      <t>(25.02.28 ~ 25.12.31)</t>
    </r>
    <phoneticPr fontId="19" type="noConversion"/>
  </si>
  <si>
    <t>합계</t>
    <phoneticPr fontId="19" type="noConversion"/>
  </si>
  <si>
    <t xml:space="preserve"> </t>
    <phoneticPr fontId="19" type="noConversion"/>
  </si>
  <si>
    <t>진행중=자료수령+금일신규-금일신규中당일완료</t>
    <phoneticPr fontId="19" type="noConversion"/>
  </si>
  <si>
    <t>결
재</t>
    <phoneticPr fontId="19" type="noConversion"/>
  </si>
  <si>
    <t>2022
제출누계</t>
    <phoneticPr fontId="4" type="noConversion"/>
  </si>
  <si>
    <t>2022
제출완료누계</t>
    <phoneticPr fontId="4" type="noConversion"/>
  </si>
  <si>
    <t>수행기관(담당기관)</t>
    <phoneticPr fontId="19" type="noConversion"/>
  </si>
  <si>
    <t>2025년도</t>
    <phoneticPr fontId="19" type="noConversion"/>
  </si>
  <si>
    <t>발행일자</t>
    <phoneticPr fontId="4" type="noConversion"/>
  </si>
  <si>
    <t>미발행건수</t>
    <phoneticPr fontId="4" type="noConversion"/>
  </si>
  <si>
    <t xml:space="preserve">                     스마트 공장 원가계산 업무 일별 현황</t>
    <phoneticPr fontId="19" type="noConversion"/>
  </si>
  <si>
    <t>금일신규</t>
    <phoneticPr fontId="19" type="noConversion"/>
  </si>
  <si>
    <t>누계
(전체건수)</t>
    <phoneticPr fontId="19" type="noConversion"/>
  </si>
  <si>
    <t>현재제출
완료건수</t>
    <phoneticPr fontId="19" type="noConversion"/>
  </si>
  <si>
    <t>금일제출
완료건수</t>
    <phoneticPr fontId="19" type="noConversion"/>
  </si>
  <si>
    <t>완료건수</t>
    <phoneticPr fontId="4" type="noConversion"/>
  </si>
  <si>
    <t>현황</t>
    <phoneticPr fontId="4" type="noConversion"/>
  </si>
  <si>
    <t>2025-11-07, 발행</t>
    <phoneticPr fontId="4" type="noConversion"/>
  </si>
  <si>
    <t>* 5일이상 진행건 사유 :</t>
    <phoneticPr fontId="4" type="noConversion"/>
  </si>
  <si>
    <t xml:space="preserve">*10일이상 진행건 사유 : </t>
    <phoneticPr fontId="4" type="noConversion"/>
  </si>
  <si>
    <t>2026년 세금계산서</t>
    <phoneticPr fontId="4" type="noConversion"/>
  </si>
  <si>
    <t>2026년도 정부형 스마트공장 구축사업 공고(고도화)</t>
    <phoneticPr fontId="4" type="noConversion"/>
  </si>
  <si>
    <t>㈜모젤디앤에스</t>
    <phoneticPr fontId="4" type="noConversion"/>
  </si>
  <si>
    <t>㈜컨포트랩</t>
    <phoneticPr fontId="4" type="noConversion"/>
  </si>
  <si>
    <t>청호나이스㈜</t>
    <phoneticPr fontId="4" type="noConversion"/>
  </si>
  <si>
    <t>한솔코에버㈜</t>
    <phoneticPr fontId="4" type="noConversion"/>
  </si>
  <si>
    <t>담당</t>
    <phoneticPr fontId="19" type="noConversion"/>
  </si>
  <si>
    <t>검토</t>
    <phoneticPr fontId="19" type="noConversion"/>
  </si>
  <si>
    <t>이사</t>
    <phoneticPr fontId="19" type="noConversion"/>
  </si>
  <si>
    <t>원장</t>
    <phoneticPr fontId="19" type="noConversion"/>
  </si>
  <si>
    <t>㈜아이씨엔아이이티</t>
    <phoneticPr fontId="4" type="noConversion"/>
  </si>
  <si>
    <t>㈜노나</t>
    <phoneticPr fontId="4" type="noConversion"/>
  </si>
  <si>
    <t>솔브레인㈜</t>
    <phoneticPr fontId="4" type="noConversion"/>
  </si>
  <si>
    <t>㈜하이지노</t>
    <phoneticPr fontId="4" type="noConversion"/>
  </si>
  <si>
    <t>㈜신성베이커리</t>
  </si>
  <si>
    <t>솔뱅크정보㈜</t>
  </si>
  <si>
    <t>㈜안성기업</t>
  </si>
  <si>
    <t>㈜헤드아이티</t>
  </si>
  <si>
    <t>㈜삼정내츄럴</t>
  </si>
  <si>
    <t>㈜엘앤에스</t>
  </si>
  <si>
    <t>㈜현대푸드시스템</t>
  </si>
  <si>
    <t>㈜하이스마트</t>
  </si>
  <si>
    <t>㈜경덕농수산</t>
  </si>
  <si>
    <t>한국과학기술원</t>
    <phoneticPr fontId="4" type="noConversion"/>
  </si>
  <si>
    <t>2026년 대전 AI 융합지원사업 제조 AI 솔루션 실증지원사업</t>
  </si>
  <si>
    <t>동아프라텍㈜</t>
  </si>
  <si>
    <t>㈜큐빅테크</t>
  </si>
  <si>
    <t>㈜쓰리포인트덴탈</t>
  </si>
  <si>
    <t>㈜빛날덴탈스튜디오</t>
  </si>
  <si>
    <t>김나경</t>
    <phoneticPr fontId="19" type="noConversion"/>
  </si>
  <si>
    <t>전남</t>
    <phoneticPr fontId="4" type="noConversion"/>
  </si>
  <si>
    <t>경기대진</t>
    <phoneticPr fontId="4" type="noConversion"/>
  </si>
  <si>
    <t>에이스메티칼㈜</t>
    <phoneticPr fontId="4" type="noConversion"/>
  </si>
  <si>
    <t>워크핏㈜</t>
    <phoneticPr fontId="4" type="noConversion"/>
  </si>
  <si>
    <t>2026년 스마트공장 구축 및 고도화 사업(동일수준)</t>
    <phoneticPr fontId="4" type="noConversion"/>
  </si>
  <si>
    <t>하은정</t>
    <phoneticPr fontId="4" type="noConversion"/>
  </si>
  <si>
    <t>2026년도 정부형 스마트공장 구축사업 공고(고도화)</t>
    <phoneticPr fontId="4" type="noConversion"/>
  </si>
  <si>
    <t>(주)커피볶는집</t>
    <phoneticPr fontId="4" type="noConversion"/>
  </si>
  <si>
    <t>주식회사 하이스마트</t>
    <phoneticPr fontId="4" type="noConversion"/>
  </si>
  <si>
    <t>지금강㈜</t>
    <phoneticPr fontId="4" type="noConversion"/>
  </si>
  <si>
    <t>(주)더블유비에스(WBS)</t>
    <phoneticPr fontId="4" type="noConversion"/>
  </si>
  <si>
    <t>광주포장산업</t>
    <phoneticPr fontId="4" type="noConversion"/>
  </si>
  <si>
    <t>주식회사 이지엠</t>
    <phoneticPr fontId="4" type="noConversion"/>
  </si>
  <si>
    <t>주식회사 정상에이치씨</t>
  </si>
  <si>
    <t>알엠텍주식회사</t>
    <phoneticPr fontId="4" type="noConversion"/>
  </si>
  <si>
    <t>(주)아이코디</t>
    <phoneticPr fontId="4" type="noConversion"/>
  </si>
  <si>
    <t>(주)쌍용소프트웨어</t>
    <phoneticPr fontId="4" type="noConversion"/>
  </si>
  <si>
    <t>(주)엠피에스아이</t>
    <phoneticPr fontId="4" type="noConversion"/>
  </si>
  <si>
    <t>(주)임픽스</t>
    <phoneticPr fontId="4" type="noConversion"/>
  </si>
  <si>
    <t>화천기공㈜</t>
    <phoneticPr fontId="4" type="noConversion"/>
  </si>
  <si>
    <t>주식회사 지앤씨소프트코리아</t>
    <phoneticPr fontId="4" type="noConversion"/>
  </si>
  <si>
    <t>광주</t>
    <phoneticPr fontId="4" type="noConversion"/>
  </si>
  <si>
    <t>(주)한국소스</t>
    <phoneticPr fontId="4" type="noConversion"/>
  </si>
  <si>
    <t>슬랙앤소프트</t>
    <phoneticPr fontId="4" type="noConversion"/>
  </si>
  <si>
    <t>2026년 부처협업형(K-푸드분야) 스마트공장 구축지원사업</t>
    <phoneticPr fontId="4" type="noConversion"/>
  </si>
  <si>
    <t>한국농수산식품유통공사</t>
    <phoneticPr fontId="4" type="noConversion"/>
  </si>
  <si>
    <t>선도형 스마트공장(부처협업형)</t>
  </si>
  <si>
    <t>작성중</t>
  </si>
  <si>
    <t>이레홍삼공사</t>
    <phoneticPr fontId="4" type="noConversion"/>
  </si>
  <si>
    <t>주식회사 스마트업</t>
    <phoneticPr fontId="4" type="noConversion"/>
  </si>
  <si>
    <t>=COUNTIFS('세부(구축)'!$B:$B,C16,'세부(구축)'!$G:$G,"승인")</t>
    <phoneticPr fontId="4" type="noConversion"/>
  </si>
  <si>
    <t>승인</t>
  </si>
  <si>
    <t>기업확인</t>
  </si>
  <si>
    <t>검토중</t>
  </si>
  <si>
    <t>스마트공장 구축 및 고도화 사업(고도화1)</t>
    <phoneticPr fontId="4" type="noConversion"/>
  </si>
  <si>
    <t>스마트공장 구축 및 고도화 사업(동일수준)</t>
    <phoneticPr fontId="4" type="noConversion"/>
  </si>
  <si>
    <t>한국농수산식품유통공사</t>
    <phoneticPr fontId="4" type="noConversion"/>
  </si>
  <si>
    <t>전북</t>
  </si>
  <si>
    <t>스마트공장 구축 및 고도화 사업(신규구축)</t>
    <phoneticPr fontId="4" type="noConversion"/>
  </si>
  <si>
    <t>2026년도 전북 지역특화형 스마트공장 구축지원 사업 공고(기초)</t>
    <phoneticPr fontId="4" type="noConversion"/>
  </si>
  <si>
    <t>주식회사 이지엠</t>
  </si>
  <si>
    <t>주식회사 춘향골식품</t>
  </si>
  <si>
    <t>흥부골농업회사법인유한회사</t>
  </si>
  <si>
    <t>(주)제이지컴퍼니</t>
  </si>
  <si>
    <t>마포종합식품</t>
  </si>
  <si>
    <t>(주)망고시스템즈</t>
  </si>
  <si>
    <t>지리산처럼영농조합법인</t>
  </si>
  <si>
    <t>지음소프트</t>
  </si>
  <si>
    <t>2026년 부처협업형(K-푸드분야) 스마트공장 구축지원사업</t>
  </si>
  <si>
    <t>2026년 부처협업형(화장품분야) 스마트공장 구축지원사업</t>
  </si>
  <si>
    <t>2026년 부처협업형(방위산업분야) 스마트공장 구축지원사업</t>
  </si>
  <si>
    <t>한국농수산식품유통공사</t>
  </si>
  <si>
    <t>스마트제조혁신협회</t>
  </si>
  <si>
    <t>대한상공회의소</t>
    <phoneticPr fontId="4" type="noConversion"/>
  </si>
  <si>
    <t>보성일억조코리아</t>
  </si>
  <si>
    <t>주식회사 코드기어</t>
  </si>
  <si>
    <t>주식회사 스위트바이오</t>
  </si>
  <si>
    <t>농업회사법인 주식회사 정남미그룹</t>
  </si>
  <si>
    <t>런시스(주)</t>
  </si>
  <si>
    <t>바른티에스테크</t>
  </si>
  <si>
    <t>라온비즈컴 주식회사</t>
  </si>
  <si>
    <t>옥시젠디벨롭먼트(주)</t>
  </si>
  <si>
    <t>(주)인프라시스템</t>
  </si>
  <si>
    <t>주식회사 씨어스바이오</t>
  </si>
  <si>
    <t>제니스</t>
  </si>
  <si>
    <t>(주)에이텍</t>
  </si>
  <si>
    <t>주식회사 디엠테크솔루션</t>
  </si>
  <si>
    <t>(주)유토바이오텍</t>
  </si>
  <si>
    <t>(주)이젬코</t>
  </si>
  <si>
    <t>(주)한국화장품제조음성공장</t>
  </si>
  <si>
    <t>주식회사 네오팜</t>
  </si>
  <si>
    <t>엘루오</t>
  </si>
  <si>
    <t>미누스토리</t>
  </si>
  <si>
    <t>쥬리코스메틱</t>
  </si>
  <si>
    <t>(주)새롬테크</t>
  </si>
  <si>
    <t>(주)코모텍</t>
  </si>
  <si>
    <t>주식회사 하이지노</t>
  </si>
  <si>
    <t>주식회사 에스엠아이앤씨</t>
  </si>
  <si>
    <t>주식회사 아인커뮤니케이션</t>
  </si>
  <si>
    <t>주식회사건우엠티씨</t>
  </si>
  <si>
    <t>(주)켄코아에어로스페이스</t>
  </si>
  <si>
    <t>지성하이테크(주)</t>
  </si>
  <si>
    <t>(주)퀘스트정보기술</t>
  </si>
  <si>
    <t>주식회사프라이드</t>
  </si>
  <si>
    <t>(주)삼주기업2공장</t>
  </si>
  <si>
    <t>(주)아이씨엔아이티</t>
  </si>
  <si>
    <t>(주)케이엠씨시스템즈</t>
  </si>
  <si>
    <t>(주)시즐</t>
  </si>
  <si>
    <t>대진정기(주)</t>
  </si>
  <si>
    <t>로카디(주)</t>
  </si>
  <si>
    <t>래디오빌</t>
  </si>
  <si>
    <t>주식회사 메이크</t>
  </si>
  <si>
    <t>(주)에이엠티</t>
  </si>
  <si>
    <t>(주)소프트원</t>
  </si>
  <si>
    <t>주식회사 에스엠지아이</t>
  </si>
  <si>
    <t>에스아이솔루션(S,I솔루션)</t>
  </si>
  <si>
    <t>스마트공장 구축 및 고도화 사업(고도화1)</t>
  </si>
  <si>
    <t>2026년도 정부형 스마트공장 구축사업 공고(고도화)</t>
  </si>
  <si>
    <t>(주)일흥</t>
  </si>
  <si>
    <t>주식회사 지에스에프솔루션</t>
  </si>
  <si>
    <t>제조DX멘토단 활용지원(사후관리)</t>
  </si>
  <si>
    <t>[경남] 2026년 제조DX멘토단 활용지원(사후관리) 도입기업 모집 공고</t>
  </si>
  <si>
    <t>[충북] 2026년 제조DX멘토단 활용지원(사후관리) 도입기업 모집 공고</t>
  </si>
  <si>
    <t>[경기북부] 2026년 제조DX멘토단 활용지원(사후관리) 도입기업 모집 공고</t>
  </si>
  <si>
    <t>세원금속(주)</t>
  </si>
  <si>
    <t>(주) 에스디에스</t>
  </si>
  <si>
    <t>(주)오영</t>
  </si>
  <si>
    <t>다다인포(주)</t>
  </si>
  <si>
    <t>(주)디씨피동우</t>
  </si>
  <si>
    <t>(주)우성하이텍</t>
  </si>
  <si>
    <t>(주)성신알에스티</t>
  </si>
  <si>
    <t>(주)포스텍</t>
  </si>
  <si>
    <t>동양하이테크(주)</t>
  </si>
  <si>
    <t>(주)케이아이에스</t>
  </si>
  <si>
    <t>(주)한일FORGING</t>
  </si>
  <si>
    <t>케이앤에스와이어(주)</t>
  </si>
  <si>
    <t>(주)코티스</t>
  </si>
  <si>
    <t>우성포마(주)</t>
  </si>
  <si>
    <t>주식회사 이지아이</t>
  </si>
  <si>
    <t>예일케미텍(주)</t>
  </si>
  <si>
    <t>주식회사 키소스</t>
  </si>
  <si>
    <t>주)고려이노테크</t>
  </si>
  <si>
    <t>진영에이치앤에스</t>
  </si>
  <si>
    <t>(주)티즈</t>
  </si>
  <si>
    <t>(주)디에스피</t>
  </si>
  <si>
    <t>주식회사 비즈코퍼레이션</t>
  </si>
  <si>
    <t>금아파워텍주식회사</t>
  </si>
  <si>
    <t>코아글로벌(주)</t>
  </si>
  <si>
    <t>(주)제이스펄씨젼</t>
  </si>
  <si>
    <t>(주)에스비아이티</t>
  </si>
  <si>
    <t>한국제강(주)</t>
  </si>
  <si>
    <t>(주)신영이티아이</t>
  </si>
  <si>
    <t>주식회사 디에이치테크</t>
  </si>
  <si>
    <t>도원테크(주)</t>
  </si>
  <si>
    <t>(주)엔이에스</t>
  </si>
  <si>
    <t>대웅알티(주)</t>
  </si>
  <si>
    <t>(주)성원정보기술</t>
  </si>
  <si>
    <t>주식회사 강림테크</t>
  </si>
  <si>
    <t>썬소프트</t>
  </si>
  <si>
    <t>동평테크</t>
  </si>
  <si>
    <t>동인테크</t>
  </si>
  <si>
    <t>(주)대륜</t>
  </si>
  <si>
    <t>에스티엘소프트</t>
  </si>
  <si>
    <t>제일케미텍</t>
  </si>
  <si>
    <t>농업회사법인진산명가주식회사</t>
  </si>
  <si>
    <t>주식회사 팔피엠</t>
  </si>
  <si>
    <t>세일공업(주)</t>
  </si>
  <si>
    <t>금호조침</t>
  </si>
  <si>
    <t>(주)매직시스템</t>
  </si>
  <si>
    <t>동진기전</t>
  </si>
  <si>
    <t>삼원기업</t>
  </si>
  <si>
    <t>에스에프에스 주식회사(SFS)</t>
  </si>
  <si>
    <t>(주)브로넥스</t>
  </si>
  <si>
    <t>(주)천보콘크리트</t>
  </si>
  <si>
    <t>네추럴웨이</t>
  </si>
  <si>
    <t>휘앤비 농업회사법인 주식회사</t>
  </si>
  <si>
    <t>(주)성안당</t>
  </si>
  <si>
    <t>주)에스엔디산업</t>
  </si>
  <si>
    <t>(주)에스큐솔루션</t>
  </si>
  <si>
    <t>주식회사 성진텍스타일</t>
  </si>
  <si>
    <t>경남</t>
    <phoneticPr fontId="4" type="noConversion"/>
  </si>
  <si>
    <t>광진기연</t>
  </si>
  <si>
    <t>전남</t>
    <phoneticPr fontId="4" type="noConversion"/>
  </si>
  <si>
    <t>[인천] 2026년 제조DX멘토단 활용지원(사후관리) 도입기업 모집 공고</t>
  </si>
  <si>
    <t>인천</t>
    <phoneticPr fontId="4" type="noConversion"/>
  </si>
  <si>
    <t>(주)우진피앤티</t>
  </si>
  <si>
    <t>승화고무</t>
  </si>
  <si>
    <t>유한책임회사 라라전자</t>
  </si>
  <si>
    <t>(주)비지언스</t>
  </si>
  <si>
    <t>형일기술</t>
  </si>
  <si>
    <t>나이스솔루션뱅크</t>
  </si>
  <si>
    <t>주식회사 성원피에프</t>
  </si>
  <si>
    <t>(주)이노베이스</t>
  </si>
  <si>
    <t>(주)성원엠텍</t>
  </si>
  <si>
    <t>(주)하인스</t>
  </si>
  <si>
    <t>(주)에스앤아이</t>
  </si>
  <si>
    <t>(주)에이스홈데코</t>
  </si>
  <si>
    <t>주식회사 우드앤소프트</t>
  </si>
  <si>
    <t>(주)송현테크</t>
  </si>
  <si>
    <t>주식회사 이맥스에스엔시</t>
  </si>
  <si>
    <t>가현엔프라(주)</t>
  </si>
  <si>
    <t>(주)엠씨링크</t>
  </si>
  <si>
    <t>솔팩주식회사</t>
  </si>
  <si>
    <t>(주)이앤비솔루션</t>
  </si>
  <si>
    <t>주식회사 비앤비코리아</t>
  </si>
  <si>
    <t>경북</t>
  </si>
  <si>
    <t>[경북] 2026년 제조DX멘토단 활용지원(사후관리) 도입기업 모집 공고</t>
  </si>
  <si>
    <t>주식회사영인테크</t>
  </si>
  <si>
    <t>승산산업(주)</t>
  </si>
  <si>
    <t>주식회사 애드온소프트</t>
  </si>
  <si>
    <t>엠에치다이나믹스(주) 김천지점</t>
  </si>
  <si>
    <t>(주)위저드 정보시스템</t>
  </si>
  <si>
    <t>주식회사 보백씨엔에스</t>
  </si>
  <si>
    <t>(주)동성테크노스</t>
  </si>
  <si>
    <t>애니온</t>
  </si>
  <si>
    <t>알에스이</t>
  </si>
  <si>
    <t>(주)제이에스시스템</t>
  </si>
  <si>
    <t>(주)경원에스피</t>
  </si>
  <si>
    <t>(주)덕진</t>
  </si>
  <si>
    <t>(주)엔에스정보</t>
  </si>
  <si>
    <t>에스케이지주식회사</t>
  </si>
  <si>
    <t>(주)유진제지</t>
  </si>
  <si>
    <t>성우플라텍</t>
  </si>
  <si>
    <t>주식회사 한덕</t>
  </si>
  <si>
    <t>티에스에스</t>
  </si>
  <si>
    <t>대한공업</t>
  </si>
  <si>
    <t>신성정보기술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</si>
</sst>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@\T\P"/>
    <numFmt numFmtId="177" formatCode="[$-F800]dddd\,\ mmmm\ dd\,\ yyyy"/>
    <numFmt numFmtId="178" formatCode="yyyy/mm/dd\ \(aaa\)"/>
    <numFmt numFmtId="179" formatCode="yyyy/mm/dd&quot; 당일 업무 진행&quot;"/>
    <numFmt numFmtId="180" formatCode="_-* #,##0;\-* #,##0;_-* &quot;&quot;_-;_-@_-"/>
    <numFmt numFmtId="181" formatCode="mm&quot;월&quot;\ dd&quot;일&quot;"/>
    <numFmt numFmtId="182" formatCode="m&quot;/&quot;d;@"/>
    <numFmt numFmtId="183" formatCode="yyyy/mm/dd;@"/>
    <numFmt numFmtId="184" formatCode="0_);\(0\)"/>
    <numFmt numFmtId="185" formatCode="0_);[Red]\(0\)"/>
    <numFmt numFmtId="186" formatCode="m\ \/\ d"/>
  </numFmts>
  <fonts count="68" x14ac:knownFonts="1">
    <font>
      <sz val="11"/>
      <color theme="1"/>
      <name val="HY견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color theme="1"/>
      <name val="함초롬돋움"/>
      <family val="2"/>
      <charset val="129"/>
    </font>
    <font>
      <sz val="9"/>
      <color theme="1"/>
      <name val="함초롬돋움"/>
      <family val="2"/>
      <charset val="129"/>
    </font>
    <font>
      <sz val="8"/>
      <name val="HY견고딕"/>
      <family val="2"/>
      <charset val="129"/>
    </font>
    <font>
      <sz val="11"/>
      <color theme="1"/>
      <name val="HY견고딕"/>
      <family val="2"/>
      <charset val="129"/>
    </font>
    <font>
      <b/>
      <sz val="15"/>
      <color theme="1"/>
      <name val="함초롬돋움"/>
      <family val="3"/>
      <charset val="129"/>
    </font>
    <font>
      <sz val="8"/>
      <name val="함초롬돋움"/>
      <family val="2"/>
      <charset val="129"/>
    </font>
    <font>
      <b/>
      <sz val="9"/>
      <color theme="1"/>
      <name val="함초롬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함초롬돋움"/>
      <family val="3"/>
      <charset val="129"/>
    </font>
    <font>
      <sz val="9"/>
      <color theme="1"/>
      <name val="함초롬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rgb="FF3F3F3F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"/>
      <color rgb="FF222222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9"/>
      <color theme="1"/>
      <name val="맑은 고딕"/>
      <family val="3"/>
      <charset val="129"/>
      <scheme val="minor"/>
    </font>
    <font>
      <sz val="14"/>
      <color rgb="FF3F3F3F"/>
      <name val="맑은 고딕"/>
      <family val="3"/>
      <charset val="129"/>
      <scheme val="minor"/>
    </font>
    <font>
      <b/>
      <sz val="14"/>
      <color rgb="FF3F3F3F"/>
      <name val="맑은 고딕"/>
      <family val="3"/>
      <charset val="129"/>
      <scheme val="minor"/>
    </font>
    <font>
      <sz val="8"/>
      <color rgb="FF3F3F3F"/>
      <name val="맑은 고딕"/>
      <family val="3"/>
      <charset val="129"/>
      <scheme val="minor"/>
    </font>
    <font>
      <sz val="9"/>
      <color rgb="FF3F3F3F"/>
      <name val="맑은 고딕"/>
      <family val="3"/>
      <charset val="129"/>
      <scheme val="minor"/>
    </font>
    <font>
      <b/>
      <sz val="12"/>
      <color rgb="FF3F3F3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1"/>
      <color rgb="FF0070C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rgb="FF3F3F3F"/>
      <name val="맑은 고딕"/>
      <family val="3"/>
      <charset val="129"/>
      <scheme val="minor"/>
    </font>
    <font>
      <sz val="10"/>
      <color rgb="FF3F3F3F"/>
      <name val="맑은 고딕"/>
      <family val="3"/>
      <charset val="129"/>
      <scheme val="minor"/>
    </font>
    <font>
      <b/>
      <sz val="10"/>
      <color rgb="FF3F3F3F"/>
      <name val="맑은 고딕"/>
      <family val="3"/>
      <charset val="129"/>
      <scheme val="minor"/>
    </font>
    <font>
      <sz val="9"/>
      <color rgb="FF555555"/>
      <name val="맑은 고딕"/>
      <family val="3"/>
      <charset val="129"/>
      <scheme val="major"/>
    </font>
    <font>
      <sz val="15"/>
      <color rgb="FFFF0000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2" fillId="3" borderId="15" applyNumberFormat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</cellStyleXfs>
  <cellXfs count="379">
    <xf numFmtId="0" fontId="0" fillId="0" borderId="0" xfId="0">
      <alignment vertical="center"/>
    </xf>
    <xf numFmtId="0" fontId="3" fillId="0" borderId="0" xfId="2" applyAlignment="1">
      <alignment horizontal="centerContinuous" vertical="center"/>
    </xf>
    <xf numFmtId="0" fontId="3" fillId="0" borderId="0" xfId="2">
      <alignment vertical="center"/>
    </xf>
    <xf numFmtId="0" fontId="3" fillId="0" borderId="1" xfId="2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3" fillId="0" borderId="6" xfId="2" applyBorder="1">
      <alignment vertical="center"/>
    </xf>
    <xf numFmtId="0" fontId="3" fillId="0" borderId="7" xfId="2" applyBorder="1">
      <alignment vertical="center"/>
    </xf>
    <xf numFmtId="0" fontId="3" fillId="0" borderId="8" xfId="2" applyBorder="1">
      <alignment vertical="center"/>
    </xf>
    <xf numFmtId="41" fontId="3" fillId="0" borderId="1" xfId="1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2" fillId="0" borderId="0" xfId="2" applyFont="1">
      <alignment vertical="center"/>
    </xf>
    <xf numFmtId="49" fontId="9" fillId="0" borderId="0" xfId="0" applyNumberFormat="1" applyFont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41" fontId="2" fillId="0" borderId="5" xfId="1" applyFont="1" applyBorder="1">
      <alignment vertical="center"/>
    </xf>
    <xf numFmtId="0" fontId="10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1" fontId="9" fillId="0" borderId="0" xfId="1" applyFont="1" applyBorder="1" applyAlignment="1">
      <alignment horizontal="center" vertical="center"/>
    </xf>
    <xf numFmtId="0" fontId="8" fillId="2" borderId="9" xfId="2" applyFont="1" applyFill="1" applyBorder="1" applyAlignment="1">
      <alignment horizontal="center" vertical="center" wrapText="1"/>
    </xf>
    <xf numFmtId="41" fontId="3" fillId="0" borderId="0" xfId="2" applyNumberFormat="1">
      <alignment vertical="center"/>
    </xf>
    <xf numFmtId="0" fontId="8" fillId="2" borderId="13" xfId="2" applyFont="1" applyFill="1" applyBorder="1" applyAlignment="1">
      <alignment horizontal="center" vertical="center" wrapText="1"/>
    </xf>
    <xf numFmtId="0" fontId="2" fillId="0" borderId="1" xfId="2" applyFont="1" applyBorder="1">
      <alignment vertical="center"/>
    </xf>
    <xf numFmtId="41" fontId="3" fillId="0" borderId="1" xfId="2" applyNumberFormat="1" applyBorder="1">
      <alignment vertical="center"/>
    </xf>
    <xf numFmtId="0" fontId="8" fillId="2" borderId="4" xfId="2" applyFont="1" applyFill="1" applyBorder="1" applyAlignment="1">
      <alignment horizontal="center" vertical="center" wrapText="1"/>
    </xf>
    <xf numFmtId="41" fontId="3" fillId="0" borderId="4" xfId="2" applyNumberFormat="1" applyBorder="1" applyAlignment="1">
      <alignment horizontal="center" vertical="center"/>
    </xf>
    <xf numFmtId="176" fontId="2" fillId="0" borderId="2" xfId="2" applyNumberFormat="1" applyFont="1" applyBorder="1" applyAlignment="1">
      <alignment horizontal="center" vertical="center"/>
    </xf>
    <xf numFmtId="41" fontId="3" fillId="0" borderId="2" xfId="2" applyNumberFormat="1" applyBorder="1">
      <alignment vertical="center"/>
    </xf>
    <xf numFmtId="41" fontId="3" fillId="0" borderId="4" xfId="2" applyNumberFormat="1" applyBorder="1">
      <alignment vertical="center"/>
    </xf>
    <xf numFmtId="0" fontId="8" fillId="2" borderId="1" xfId="2" applyFont="1" applyFill="1" applyBorder="1">
      <alignment vertical="center"/>
    </xf>
    <xf numFmtId="0" fontId="8" fillId="2" borderId="3" xfId="2" applyFont="1" applyFill="1" applyBorder="1" applyAlignment="1">
      <alignment vertical="center" wrapText="1"/>
    </xf>
    <xf numFmtId="41" fontId="2" fillId="0" borderId="3" xfId="2" applyNumberFormat="1" applyFont="1" applyBorder="1">
      <alignment vertical="center"/>
    </xf>
    <xf numFmtId="41" fontId="3" fillId="0" borderId="8" xfId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6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41" fontId="16" fillId="0" borderId="1" xfId="1" applyFont="1" applyBorder="1" applyAlignment="1">
      <alignment horizontal="center" vertical="center"/>
    </xf>
    <xf numFmtId="41" fontId="16" fillId="0" borderId="1" xfId="1" applyFont="1" applyBorder="1">
      <alignment vertical="center"/>
    </xf>
    <xf numFmtId="41" fontId="2" fillId="0" borderId="3" xfId="2" applyNumberFormat="1" applyFont="1" applyBorder="1" applyAlignment="1">
      <alignment vertical="center" shrinkToFit="1"/>
    </xf>
    <xf numFmtId="0" fontId="3" fillId="0" borderId="0" xfId="2" applyAlignment="1">
      <alignment horizontal="center" vertical="center"/>
    </xf>
    <xf numFmtId="41" fontId="3" fillId="0" borderId="0" xfId="2" applyNumberFormat="1" applyAlignment="1">
      <alignment horizontal="center" vertical="center"/>
    </xf>
    <xf numFmtId="0" fontId="3" fillId="0" borderId="0" xfId="2" applyAlignment="1">
      <alignment horizontal="left" vertical="center"/>
    </xf>
    <xf numFmtId="41" fontId="16" fillId="0" borderId="1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178" fontId="20" fillId="0" borderId="0" xfId="4" applyNumberFormat="1" applyFont="1" applyAlignment="1">
      <alignment horizontal="left" vertical="center"/>
    </xf>
    <xf numFmtId="0" fontId="21" fillId="0" borderId="0" xfId="4" applyFont="1" applyAlignment="1">
      <alignment horizontal="left" vertical="center"/>
    </xf>
    <xf numFmtId="0" fontId="23" fillId="0" borderId="0" xfId="4" applyFont="1" applyAlignment="1">
      <alignment horizontal="center" vertical="center"/>
    </xf>
    <xf numFmtId="180" fontId="23" fillId="0" borderId="0" xfId="6" applyNumberFormat="1" applyFont="1" applyFill="1" applyBorder="1" applyAlignment="1">
      <alignment horizontal="center" vertical="center"/>
    </xf>
    <xf numFmtId="180" fontId="23" fillId="0" borderId="0" xfId="6" applyNumberFormat="1" applyFont="1" applyFill="1" applyBorder="1">
      <alignment vertical="center"/>
    </xf>
    <xf numFmtId="14" fontId="9" fillId="0" borderId="0" xfId="0" applyNumberFormat="1" applyFont="1">
      <alignment vertical="center"/>
    </xf>
    <xf numFmtId="49" fontId="9" fillId="0" borderId="1" xfId="0" applyNumberFormat="1" applyFont="1" applyBorder="1" applyAlignment="1">
      <alignment horizontal="left" vertical="center"/>
    </xf>
    <xf numFmtId="41" fontId="2" fillId="0" borderId="1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25" fillId="0" borderId="0" xfId="0" applyFont="1">
      <alignment vertical="center"/>
    </xf>
    <xf numFmtId="0" fontId="28" fillId="0" borderId="1" xfId="0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183" fontId="9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9" fillId="7" borderId="0" xfId="0" applyFont="1" applyFill="1">
      <alignment vertical="center"/>
    </xf>
    <xf numFmtId="0" fontId="30" fillId="0" borderId="0" xfId="4" applyFont="1">
      <alignment vertical="center"/>
    </xf>
    <xf numFmtId="0" fontId="25" fillId="0" borderId="0" xfId="4" applyFont="1">
      <alignment vertical="center"/>
    </xf>
    <xf numFmtId="0" fontId="29" fillId="0" borderId="0" xfId="4" applyFont="1" applyAlignment="1">
      <alignment horizontal="center" vertical="center"/>
    </xf>
    <xf numFmtId="0" fontId="33" fillId="0" borderId="0" xfId="4" applyFont="1">
      <alignment vertical="center"/>
    </xf>
    <xf numFmtId="0" fontId="33" fillId="6" borderId="0" xfId="4" applyFont="1" applyFill="1">
      <alignment vertical="center"/>
    </xf>
    <xf numFmtId="0" fontId="35" fillId="0" borderId="0" xfId="4" applyFont="1">
      <alignment vertical="center"/>
    </xf>
    <xf numFmtId="0" fontId="40" fillId="0" borderId="0" xfId="4" applyFont="1" applyAlignment="1">
      <alignment horizontal="left" vertical="center"/>
    </xf>
    <xf numFmtId="179" fontId="32" fillId="4" borderId="23" xfId="4" applyNumberFormat="1" applyFont="1" applyFill="1" applyBorder="1" applyAlignment="1">
      <alignment horizontal="center" vertical="center" wrapText="1"/>
    </xf>
    <xf numFmtId="180" fontId="38" fillId="4" borderId="18" xfId="6" applyNumberFormat="1" applyFont="1" applyFill="1" applyBorder="1" applyAlignment="1">
      <alignment horizontal="center" vertical="center"/>
    </xf>
    <xf numFmtId="0" fontId="38" fillId="0" borderId="18" xfId="4" applyFont="1" applyBorder="1" applyAlignment="1">
      <alignment vertical="center" wrapText="1"/>
    </xf>
    <xf numFmtId="180" fontId="38" fillId="4" borderId="1" xfId="6" applyNumberFormat="1" applyFont="1" applyFill="1" applyBorder="1" applyAlignment="1">
      <alignment horizontal="center" vertical="center"/>
    </xf>
    <xf numFmtId="0" fontId="38" fillId="0" borderId="1" xfId="4" applyFont="1" applyBorder="1" applyAlignment="1">
      <alignment vertical="center" wrapText="1"/>
    </xf>
    <xf numFmtId="181" fontId="38" fillId="0" borderId="1" xfId="4" applyNumberFormat="1" applyFont="1" applyBorder="1" applyAlignment="1">
      <alignment vertical="center" wrapText="1"/>
    </xf>
    <xf numFmtId="180" fontId="38" fillId="4" borderId="1" xfId="6" applyNumberFormat="1" applyFont="1" applyFill="1" applyBorder="1" applyAlignment="1">
      <alignment horizontal="center" vertical="center" wrapText="1"/>
    </xf>
    <xf numFmtId="0" fontId="38" fillId="6" borderId="1" xfId="4" applyFont="1" applyFill="1" applyBorder="1" applyAlignment="1">
      <alignment vertical="center" wrapText="1"/>
    </xf>
    <xf numFmtId="0" fontId="41" fillId="0" borderId="1" xfId="4" applyFont="1" applyBorder="1" applyAlignment="1">
      <alignment vertical="center" wrapText="1"/>
    </xf>
    <xf numFmtId="0" fontId="41" fillId="6" borderId="1" xfId="4" applyFont="1" applyFill="1" applyBorder="1" applyAlignment="1">
      <alignment vertical="center" wrapText="1"/>
    </xf>
    <xf numFmtId="0" fontId="39" fillId="0" borderId="18" xfId="4" applyFont="1" applyBorder="1" applyAlignment="1">
      <alignment horizontal="center" vertical="center"/>
    </xf>
    <xf numFmtId="176" fontId="39" fillId="0" borderId="7" xfId="2" applyNumberFormat="1" applyFont="1" applyBorder="1" applyAlignment="1">
      <alignment horizontal="left" vertical="center"/>
    </xf>
    <xf numFmtId="0" fontId="39" fillId="0" borderId="1" xfId="4" applyFont="1" applyBorder="1" applyAlignment="1">
      <alignment horizontal="center" vertical="center"/>
    </xf>
    <xf numFmtId="176" fontId="39" fillId="0" borderId="2" xfId="2" applyNumberFormat="1" applyFont="1" applyBorder="1" applyAlignment="1">
      <alignment horizontal="left" vertical="center"/>
    </xf>
    <xf numFmtId="0" fontId="39" fillId="0" borderId="1" xfId="4" applyFont="1" applyBorder="1">
      <alignment vertical="center"/>
    </xf>
    <xf numFmtId="0" fontId="39" fillId="6" borderId="1" xfId="4" applyFont="1" applyFill="1" applyBorder="1">
      <alignment vertical="center"/>
    </xf>
    <xf numFmtId="0" fontId="39" fillId="0" borderId="1" xfId="4" applyFont="1" applyBorder="1" applyAlignment="1">
      <alignment vertical="center" shrinkToFit="1"/>
    </xf>
    <xf numFmtId="180" fontId="42" fillId="4" borderId="18" xfId="6" applyNumberFormat="1" applyFont="1" applyFill="1" applyBorder="1" applyAlignment="1">
      <alignment horizontal="center" vertical="center"/>
    </xf>
    <xf numFmtId="180" fontId="42" fillId="0" borderId="18" xfId="6" applyNumberFormat="1" applyFont="1" applyFill="1" applyBorder="1" applyAlignment="1">
      <alignment horizontal="center" vertical="center"/>
    </xf>
    <xf numFmtId="180" fontId="42" fillId="0" borderId="19" xfId="6" applyNumberFormat="1" applyFont="1" applyFill="1" applyBorder="1" applyAlignment="1">
      <alignment horizontal="center" vertical="center"/>
    </xf>
    <xf numFmtId="180" fontId="42" fillId="5" borderId="18" xfId="6" applyNumberFormat="1" applyFont="1" applyFill="1" applyBorder="1" applyAlignment="1">
      <alignment horizontal="center" vertical="center"/>
    </xf>
    <xf numFmtId="180" fontId="42" fillId="4" borderId="1" xfId="6" applyNumberFormat="1" applyFont="1" applyFill="1" applyBorder="1" applyAlignment="1">
      <alignment horizontal="center" vertical="center"/>
    </xf>
    <xf numFmtId="180" fontId="42" fillId="0" borderId="1" xfId="6" applyNumberFormat="1" applyFont="1" applyFill="1" applyBorder="1" applyAlignment="1">
      <alignment horizontal="center" vertical="center"/>
    </xf>
    <xf numFmtId="180" fontId="42" fillId="0" borderId="4" xfId="6" applyNumberFormat="1" applyFont="1" applyFill="1" applyBorder="1" applyAlignment="1">
      <alignment horizontal="center" vertical="center"/>
    </xf>
    <xf numFmtId="180" fontId="42" fillId="5" borderId="1" xfId="6" applyNumberFormat="1" applyFont="1" applyFill="1" applyBorder="1" applyAlignment="1">
      <alignment horizontal="center" vertical="center"/>
    </xf>
    <xf numFmtId="180" fontId="42" fillId="6" borderId="1" xfId="6" applyNumberFormat="1" applyFont="1" applyFill="1" applyBorder="1" applyAlignment="1">
      <alignment horizontal="center" vertical="center"/>
    </xf>
    <xf numFmtId="180" fontId="42" fillId="6" borderId="4" xfId="6" applyNumberFormat="1" applyFont="1" applyFill="1" applyBorder="1" applyAlignment="1">
      <alignment horizontal="center" vertical="center"/>
    </xf>
    <xf numFmtId="180" fontId="42" fillId="5" borderId="1" xfId="6" quotePrefix="1" applyNumberFormat="1" applyFont="1" applyFill="1" applyBorder="1" applyAlignment="1">
      <alignment horizontal="center" vertical="center" wrapText="1"/>
    </xf>
    <xf numFmtId="0" fontId="25" fillId="4" borderId="0" xfId="4" applyFont="1" applyFill="1">
      <alignment vertical="center"/>
    </xf>
    <xf numFmtId="0" fontId="25" fillId="4" borderId="0" xfId="4" applyFont="1" applyFill="1" applyAlignment="1">
      <alignment vertical="center" wrapText="1"/>
    </xf>
    <xf numFmtId="14" fontId="38" fillId="4" borderId="18" xfId="6" applyNumberFormat="1" applyFont="1" applyFill="1" applyBorder="1" applyAlignment="1">
      <alignment horizontal="center" vertical="center" wrapText="1"/>
    </xf>
    <xf numFmtId="180" fontId="42" fillId="4" borderId="18" xfId="4" applyNumberFormat="1" applyFont="1" applyFill="1" applyBorder="1" applyAlignment="1">
      <alignment vertical="center" wrapText="1"/>
    </xf>
    <xf numFmtId="0" fontId="38" fillId="4" borderId="18" xfId="4" applyFont="1" applyFill="1" applyBorder="1" applyAlignment="1">
      <alignment vertical="center" wrapText="1"/>
    </xf>
    <xf numFmtId="14" fontId="38" fillId="4" borderId="1" xfId="6" applyNumberFormat="1" applyFont="1" applyFill="1" applyBorder="1" applyAlignment="1">
      <alignment horizontal="center" vertical="center" wrapText="1"/>
    </xf>
    <xf numFmtId="180" fontId="42" fillId="4" borderId="1" xfId="4" applyNumberFormat="1" applyFont="1" applyFill="1" applyBorder="1" applyAlignment="1">
      <alignment vertical="center" wrapText="1"/>
    </xf>
    <xf numFmtId="0" fontId="38" fillId="4" borderId="1" xfId="4" applyFont="1" applyFill="1" applyBorder="1" applyAlignment="1">
      <alignment vertical="center" wrapText="1"/>
    </xf>
    <xf numFmtId="14" fontId="37" fillId="4" borderId="1" xfId="6" applyNumberFormat="1" applyFont="1" applyFill="1" applyBorder="1" applyAlignment="1">
      <alignment horizontal="center" vertical="center" wrapText="1"/>
    </xf>
    <xf numFmtId="181" fontId="38" fillId="4" borderId="1" xfId="4" applyNumberFormat="1" applyFont="1" applyFill="1" applyBorder="1" applyAlignment="1">
      <alignment vertical="center" wrapText="1"/>
    </xf>
    <xf numFmtId="14" fontId="23" fillId="4" borderId="1" xfId="6" applyNumberFormat="1" applyFont="1" applyFill="1" applyBorder="1" applyAlignment="1">
      <alignment horizontal="center" vertical="center" wrapText="1"/>
    </xf>
    <xf numFmtId="14" fontId="38" fillId="4" borderId="16" xfId="6" applyNumberFormat="1" applyFont="1" applyFill="1" applyBorder="1" applyAlignment="1">
      <alignment vertical="center" wrapText="1"/>
    </xf>
    <xf numFmtId="0" fontId="41" fillId="4" borderId="1" xfId="4" applyFont="1" applyFill="1" applyBorder="1" applyAlignment="1">
      <alignment vertical="center" wrapText="1"/>
    </xf>
    <xf numFmtId="180" fontId="23" fillId="4" borderId="0" xfId="6" applyNumberFormat="1" applyFont="1" applyFill="1" applyBorder="1">
      <alignment vertical="center"/>
    </xf>
    <xf numFmtId="180" fontId="23" fillId="4" borderId="0" xfId="6" applyNumberFormat="1" applyFont="1" applyFill="1" applyBorder="1" applyAlignment="1">
      <alignment vertical="center" wrapText="1"/>
    </xf>
    <xf numFmtId="0" fontId="31" fillId="0" borderId="0" xfId="4" applyFont="1">
      <alignment vertical="center"/>
    </xf>
    <xf numFmtId="0" fontId="20" fillId="0" borderId="0" xfId="4" applyFont="1">
      <alignment vertical="center"/>
    </xf>
    <xf numFmtId="0" fontId="39" fillId="0" borderId="16" xfId="4" applyFont="1" applyBorder="1" applyAlignment="1">
      <alignment horizontal="center" vertical="center"/>
    </xf>
    <xf numFmtId="0" fontId="39" fillId="0" borderId="16" xfId="4" applyFont="1" applyBorder="1">
      <alignment vertical="center"/>
    </xf>
    <xf numFmtId="180" fontId="42" fillId="4" borderId="16" xfId="6" applyNumberFormat="1" applyFont="1" applyFill="1" applyBorder="1" applyAlignment="1">
      <alignment horizontal="center" vertical="center"/>
    </xf>
    <xf numFmtId="180" fontId="42" fillId="0" borderId="16" xfId="6" applyNumberFormat="1" applyFont="1" applyFill="1" applyBorder="1" applyAlignment="1">
      <alignment horizontal="center" vertical="center"/>
    </xf>
    <xf numFmtId="180" fontId="42" fillId="0" borderId="17" xfId="6" applyNumberFormat="1" applyFont="1" applyFill="1" applyBorder="1" applyAlignment="1">
      <alignment horizontal="center" vertical="center"/>
    </xf>
    <xf numFmtId="180" fontId="42" fillId="5" borderId="16" xfId="6" applyNumberFormat="1" applyFont="1" applyFill="1" applyBorder="1" applyAlignment="1">
      <alignment horizontal="center" vertical="center"/>
    </xf>
    <xf numFmtId="14" fontId="38" fillId="4" borderId="16" xfId="6" applyNumberFormat="1" applyFont="1" applyFill="1" applyBorder="1" applyAlignment="1">
      <alignment horizontal="center" vertical="center" wrapText="1"/>
    </xf>
    <xf numFmtId="180" fontId="42" fillId="4" borderId="16" xfId="4" applyNumberFormat="1" applyFont="1" applyFill="1" applyBorder="1" applyAlignment="1">
      <alignment vertical="center" wrapText="1"/>
    </xf>
    <xf numFmtId="0" fontId="38" fillId="4" borderId="16" xfId="4" applyFont="1" applyFill="1" applyBorder="1" applyAlignment="1">
      <alignment vertical="center" wrapText="1"/>
    </xf>
    <xf numFmtId="180" fontId="38" fillId="4" borderId="16" xfId="6" applyNumberFormat="1" applyFont="1" applyFill="1" applyBorder="1" applyAlignment="1">
      <alignment horizontal="center" vertical="center"/>
    </xf>
    <xf numFmtId="0" fontId="38" fillId="0" borderId="16" xfId="4" applyFont="1" applyBorder="1" applyAlignment="1">
      <alignment vertical="center" wrapText="1"/>
    </xf>
    <xf numFmtId="180" fontId="11" fillId="6" borderId="30" xfId="6" applyNumberFormat="1" applyFont="1" applyFill="1" applyBorder="1">
      <alignment vertical="center"/>
    </xf>
    <xf numFmtId="180" fontId="11" fillId="4" borderId="30" xfId="6" applyNumberFormat="1" applyFont="1" applyFill="1" applyBorder="1" applyAlignment="1">
      <alignment vertical="center" wrapText="1"/>
    </xf>
    <xf numFmtId="0" fontId="11" fillId="6" borderId="32" xfId="4" applyFont="1" applyFill="1" applyBorder="1" applyAlignment="1">
      <alignment vertical="center" wrapText="1"/>
    </xf>
    <xf numFmtId="180" fontId="44" fillId="6" borderId="30" xfId="6" applyNumberFormat="1" applyFont="1" applyFill="1" applyBorder="1" applyAlignment="1">
      <alignment horizontal="center" vertical="center"/>
    </xf>
    <xf numFmtId="180" fontId="44" fillId="6" borderId="31" xfId="6" applyNumberFormat="1" applyFont="1" applyFill="1" applyBorder="1" applyAlignment="1">
      <alignment horizontal="center" vertical="center"/>
    </xf>
    <xf numFmtId="180" fontId="44" fillId="6" borderId="30" xfId="6" applyNumberFormat="1" applyFont="1" applyFill="1" applyBorder="1">
      <alignment vertical="center"/>
    </xf>
    <xf numFmtId="180" fontId="44" fillId="4" borderId="30" xfId="6" applyNumberFormat="1" applyFont="1" applyFill="1" applyBorder="1">
      <alignment vertical="center"/>
    </xf>
    <xf numFmtId="180" fontId="44" fillId="4" borderId="30" xfId="6" applyNumberFormat="1" applyFont="1" applyFill="1" applyBorder="1" applyAlignment="1">
      <alignment vertical="center" wrapText="1"/>
    </xf>
    <xf numFmtId="0" fontId="45" fillId="4" borderId="23" xfId="5" applyFont="1" applyFill="1" applyBorder="1" applyAlignment="1">
      <alignment horizontal="center" vertical="center" wrapText="1"/>
    </xf>
    <xf numFmtId="0" fontId="45" fillId="4" borderId="25" xfId="5" applyFont="1" applyFill="1" applyBorder="1" applyAlignment="1">
      <alignment horizontal="center" vertical="center" wrapText="1"/>
    </xf>
    <xf numFmtId="0" fontId="46" fillId="4" borderId="23" xfId="5" applyFont="1" applyFill="1" applyBorder="1" applyAlignment="1">
      <alignment horizontal="center" vertical="center" wrapText="1"/>
    </xf>
    <xf numFmtId="0" fontId="46" fillId="4" borderId="23" xfId="5" applyFont="1" applyFill="1" applyBorder="1" applyAlignment="1">
      <alignment horizontal="center" vertical="center" shrinkToFit="1"/>
    </xf>
    <xf numFmtId="180" fontId="42" fillId="0" borderId="18" xfId="4" applyNumberFormat="1" applyFont="1" applyBorder="1" applyAlignment="1">
      <alignment horizontal="right" vertical="center"/>
    </xf>
    <xf numFmtId="180" fontId="42" fillId="0" borderId="1" xfId="4" applyNumberFormat="1" applyFont="1" applyBorder="1" applyAlignment="1">
      <alignment horizontal="right" vertical="center"/>
    </xf>
    <xf numFmtId="180" fontId="42" fillId="6" borderId="1" xfId="4" applyNumberFormat="1" applyFont="1" applyFill="1" applyBorder="1" applyAlignment="1">
      <alignment horizontal="right" vertical="center"/>
    </xf>
    <xf numFmtId="180" fontId="42" fillId="0" borderId="16" xfId="4" applyNumberFormat="1" applyFont="1" applyBorder="1" applyAlignment="1">
      <alignment horizontal="right" vertical="center"/>
    </xf>
    <xf numFmtId="0" fontId="45" fillId="4" borderId="23" xfId="5" applyFont="1" applyFill="1" applyBorder="1" applyAlignment="1">
      <alignment horizontal="center" vertical="center"/>
    </xf>
    <xf numFmtId="180" fontId="44" fillId="0" borderId="30" xfId="6" applyNumberFormat="1" applyFont="1" applyFill="1" applyBorder="1" applyAlignment="1">
      <alignment horizontal="center" vertical="center"/>
    </xf>
    <xf numFmtId="0" fontId="25" fillId="0" borderId="0" xfId="4" applyFont="1" applyAlignment="1">
      <alignment vertical="center" wrapText="1"/>
    </xf>
    <xf numFmtId="182" fontId="29" fillId="0" borderId="0" xfId="4" applyNumberFormat="1" applyFont="1" applyAlignment="1">
      <alignment horizontal="center" vertical="center"/>
    </xf>
    <xf numFmtId="182" fontId="29" fillId="0" borderId="0" xfId="4" applyNumberFormat="1" applyFont="1">
      <alignment vertical="center"/>
    </xf>
    <xf numFmtId="0" fontId="45" fillId="4" borderId="28" xfId="5" applyFont="1" applyFill="1" applyBorder="1" applyAlignment="1">
      <alignment horizontal="center" vertical="center" wrapText="1"/>
    </xf>
    <xf numFmtId="0" fontId="45" fillId="4" borderId="23" xfId="5" applyFont="1" applyFill="1" applyBorder="1" applyAlignment="1">
      <alignment horizontal="center" vertical="center" wrapText="1" shrinkToFit="1"/>
    </xf>
    <xf numFmtId="183" fontId="9" fillId="0" borderId="0" xfId="0" applyNumberFormat="1" applyFont="1" applyAlignment="1">
      <alignment horizontal="center" vertical="center"/>
    </xf>
    <xf numFmtId="183" fontId="10" fillId="2" borderId="1" xfId="0" applyNumberFormat="1" applyFont="1" applyFill="1" applyBorder="1" applyAlignment="1">
      <alignment horizontal="center" vertical="center"/>
    </xf>
    <xf numFmtId="0" fontId="11" fillId="6" borderId="0" xfId="4" applyFont="1" applyFill="1" applyAlignment="1">
      <alignment horizontal="center" vertical="center"/>
    </xf>
    <xf numFmtId="180" fontId="44" fillId="6" borderId="0" xfId="6" applyNumberFormat="1" applyFont="1" applyFill="1" applyBorder="1" applyAlignment="1">
      <alignment horizontal="center" vertical="center"/>
    </xf>
    <xf numFmtId="180" fontId="44" fillId="0" borderId="0" xfId="6" applyNumberFormat="1" applyFont="1" applyFill="1" applyBorder="1" applyAlignment="1">
      <alignment horizontal="center" vertical="center"/>
    </xf>
    <xf numFmtId="180" fontId="44" fillId="6" borderId="0" xfId="6" applyNumberFormat="1" applyFont="1" applyFill="1" applyBorder="1">
      <alignment vertical="center"/>
    </xf>
    <xf numFmtId="180" fontId="44" fillId="4" borderId="0" xfId="6" applyNumberFormat="1" applyFont="1" applyFill="1" applyBorder="1">
      <alignment vertical="center"/>
    </xf>
    <xf numFmtId="180" fontId="44" fillId="4" borderId="0" xfId="6" applyNumberFormat="1" applyFont="1" applyFill="1" applyBorder="1" applyAlignment="1">
      <alignment vertical="center" wrapText="1"/>
    </xf>
    <xf numFmtId="180" fontId="11" fillId="4" borderId="0" xfId="6" applyNumberFormat="1" applyFont="1" applyFill="1" applyBorder="1" applyAlignment="1">
      <alignment vertical="center" wrapText="1"/>
    </xf>
    <xf numFmtId="180" fontId="11" fillId="6" borderId="0" xfId="6" applyNumberFormat="1" applyFont="1" applyFill="1" applyBorder="1">
      <alignment vertical="center"/>
    </xf>
    <xf numFmtId="0" fontId="11" fillId="6" borderId="0" xfId="4" applyFont="1" applyFill="1" applyAlignment="1">
      <alignment vertical="center" wrapText="1"/>
    </xf>
    <xf numFmtId="0" fontId="49" fillId="9" borderId="1" xfId="5" applyFont="1" applyFill="1" applyBorder="1" applyAlignment="1">
      <alignment horizontal="center" vertical="center"/>
    </xf>
    <xf numFmtId="0" fontId="49" fillId="9" borderId="1" xfId="5" applyFont="1" applyFill="1" applyBorder="1" applyAlignment="1">
      <alignment horizontal="center" vertical="center" wrapText="1"/>
    </xf>
    <xf numFmtId="14" fontId="49" fillId="9" borderId="1" xfId="5" applyNumberFormat="1" applyFont="1" applyFill="1" applyBorder="1" applyAlignment="1">
      <alignment horizontal="center" vertical="center" wrapText="1"/>
    </xf>
    <xf numFmtId="184" fontId="37" fillId="10" borderId="1" xfId="6" applyNumberFormat="1" applyFont="1" applyFill="1" applyBorder="1" applyAlignment="1">
      <alignment horizontal="center" vertical="center"/>
    </xf>
    <xf numFmtId="184" fontId="37" fillId="10" borderId="4" xfId="6" applyNumberFormat="1" applyFont="1" applyFill="1" applyBorder="1" applyAlignment="1">
      <alignment horizontal="center" vertical="center"/>
    </xf>
    <xf numFmtId="184" fontId="50" fillId="10" borderId="1" xfId="6" applyNumberFormat="1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84" fontId="32" fillId="10" borderId="1" xfId="6" applyNumberFormat="1" applyFont="1" applyFill="1" applyBorder="1" applyAlignment="1">
      <alignment horizontal="center" vertical="center"/>
    </xf>
    <xf numFmtId="184" fontId="52" fillId="10" borderId="1" xfId="6" applyNumberFormat="1" applyFont="1" applyFill="1" applyBorder="1" applyAlignment="1">
      <alignment horizontal="center" vertical="center"/>
    </xf>
    <xf numFmtId="0" fontId="18" fillId="0" borderId="0" xfId="4">
      <alignment vertical="center"/>
    </xf>
    <xf numFmtId="14" fontId="18" fillId="0" borderId="0" xfId="4" applyNumberFormat="1">
      <alignment vertical="center"/>
    </xf>
    <xf numFmtId="0" fontId="23" fillId="0" borderId="0" xfId="4" applyFont="1" applyAlignment="1">
      <alignment vertical="center" wrapText="1"/>
    </xf>
    <xf numFmtId="0" fontId="11" fillId="0" borderId="0" xfId="4" applyFont="1">
      <alignment vertical="center"/>
    </xf>
    <xf numFmtId="0" fontId="37" fillId="0" borderId="0" xfId="4" applyFont="1">
      <alignment vertical="center"/>
    </xf>
    <xf numFmtId="14" fontId="37" fillId="0" borderId="0" xfId="4" applyNumberFormat="1" applyFont="1">
      <alignment vertical="center"/>
    </xf>
    <xf numFmtId="0" fontId="37" fillId="0" borderId="0" xfId="4" applyFont="1" applyAlignment="1">
      <alignment vertical="center" wrapText="1"/>
    </xf>
    <xf numFmtId="9" fontId="0" fillId="0" borderId="0" xfId="7" applyFont="1">
      <alignment vertical="center"/>
    </xf>
    <xf numFmtId="0" fontId="18" fillId="0" borderId="0" xfId="4" applyAlignment="1">
      <alignment vertical="center" wrapText="1"/>
    </xf>
    <xf numFmtId="0" fontId="55" fillId="0" borderId="0" xfId="4" applyFont="1">
      <alignment vertical="center"/>
    </xf>
    <xf numFmtId="184" fontId="56" fillId="8" borderId="0" xfId="4" applyNumberFormat="1" applyFont="1" applyFill="1">
      <alignment vertical="center"/>
    </xf>
    <xf numFmtId="185" fontId="56" fillId="8" borderId="0" xfId="4" applyNumberFormat="1" applyFont="1" applyFill="1">
      <alignment vertical="center"/>
    </xf>
    <xf numFmtId="0" fontId="11" fillId="0" borderId="33" xfId="4" applyFont="1" applyBorder="1">
      <alignment vertical="center"/>
    </xf>
    <xf numFmtId="0" fontId="24" fillId="0" borderId="0" xfId="4" applyFont="1" applyAlignment="1">
      <alignment horizontal="center" vertical="center"/>
    </xf>
    <xf numFmtId="14" fontId="24" fillId="0" borderId="0" xfId="4" applyNumberFormat="1" applyFont="1" applyAlignment="1">
      <alignment horizontal="center" vertical="center"/>
    </xf>
    <xf numFmtId="180" fontId="18" fillId="0" borderId="0" xfId="4" applyNumberFormat="1">
      <alignment vertical="center"/>
    </xf>
    <xf numFmtId="0" fontId="37" fillId="0" borderId="0" xfId="4" applyFont="1" applyAlignment="1">
      <alignment horizontal="left" vertical="center"/>
    </xf>
    <xf numFmtId="0" fontId="57" fillId="0" borderId="0" xfId="4" applyFont="1" applyAlignment="1">
      <alignment horizontal="center" vertical="center"/>
    </xf>
    <xf numFmtId="0" fontId="40" fillId="0" borderId="0" xfId="4" applyFont="1" applyAlignment="1">
      <alignment horizontal="center" vertical="center"/>
    </xf>
    <xf numFmtId="0" fontId="58" fillId="0" borderId="0" xfId="4" applyFont="1" applyAlignment="1">
      <alignment horizontal="center" vertical="center"/>
    </xf>
    <xf numFmtId="0" fontId="58" fillId="0" borderId="0" xfId="4" applyFont="1">
      <alignment vertical="center"/>
    </xf>
    <xf numFmtId="178" fontId="36" fillId="11" borderId="0" xfId="4" applyNumberFormat="1" applyFont="1" applyFill="1" applyAlignment="1">
      <alignment horizontal="left" vertical="center"/>
    </xf>
    <xf numFmtId="176" fontId="38" fillId="0" borderId="7" xfId="2" applyNumberFormat="1" applyFont="1" applyBorder="1" applyAlignment="1">
      <alignment horizontal="left" vertical="center"/>
    </xf>
    <xf numFmtId="176" fontId="38" fillId="0" borderId="2" xfId="2" applyNumberFormat="1" applyFont="1" applyBorder="1" applyAlignment="1">
      <alignment horizontal="left" vertical="center"/>
    </xf>
    <xf numFmtId="0" fontId="38" fillId="0" borderId="1" xfId="4" applyFont="1" applyBorder="1" applyAlignment="1">
      <alignment vertical="center" shrinkToFit="1"/>
    </xf>
    <xf numFmtId="0" fontId="38" fillId="6" borderId="1" xfId="4" applyFont="1" applyFill="1" applyBorder="1">
      <alignment vertical="center"/>
    </xf>
    <xf numFmtId="0" fontId="38" fillId="0" borderId="1" xfId="4" applyFont="1" applyBorder="1">
      <alignment vertical="center"/>
    </xf>
    <xf numFmtId="0" fontId="38" fillId="0" borderId="16" xfId="4" applyFont="1" applyBorder="1">
      <alignment vertical="center"/>
    </xf>
    <xf numFmtId="0" fontId="49" fillId="0" borderId="1" xfId="5" applyFont="1" applyFill="1" applyBorder="1" applyAlignment="1">
      <alignment horizontal="center" vertical="center" wrapText="1"/>
    </xf>
    <xf numFmtId="14" fontId="37" fillId="0" borderId="18" xfId="6" applyNumberFormat="1" applyFont="1" applyFill="1" applyBorder="1" applyAlignment="1">
      <alignment horizontal="center" vertical="center" wrapText="1"/>
    </xf>
    <xf numFmtId="14" fontId="37" fillId="0" borderId="1" xfId="6" applyNumberFormat="1" applyFont="1" applyFill="1" applyBorder="1" applyAlignment="1">
      <alignment horizontal="center" vertical="center" wrapText="1"/>
    </xf>
    <xf numFmtId="14" fontId="37" fillId="0" borderId="16" xfId="6" applyNumberFormat="1" applyFont="1" applyFill="1" applyBorder="1" applyAlignment="1">
      <alignment vertical="center" wrapText="1"/>
    </xf>
    <xf numFmtId="14" fontId="37" fillId="0" borderId="16" xfId="6" applyNumberFormat="1" applyFont="1" applyFill="1" applyBorder="1" applyAlignment="1">
      <alignment horizontal="center" vertical="center" wrapText="1"/>
    </xf>
    <xf numFmtId="14" fontId="9" fillId="0" borderId="1" xfId="6" applyNumberFormat="1" applyFont="1" applyFill="1" applyBorder="1" applyAlignment="1">
      <alignment horizontal="center" vertical="center" wrapText="1"/>
    </xf>
    <xf numFmtId="184" fontId="32" fillId="0" borderId="30" xfId="6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2" fillId="0" borderId="0" xfId="4" applyFont="1" applyAlignment="1">
      <alignment horizontal="center" vertical="center"/>
    </xf>
    <xf numFmtId="179" fontId="36" fillId="0" borderId="1" xfId="0" applyNumberFormat="1" applyFont="1" applyBorder="1" applyAlignment="1">
      <alignment horizontal="center" vertical="center"/>
    </xf>
    <xf numFmtId="0" fontId="18" fillId="0" borderId="1" xfId="4" applyBorder="1">
      <alignment vertical="center"/>
    </xf>
    <xf numFmtId="0" fontId="49" fillId="0" borderId="45" xfId="5" applyFont="1" applyFill="1" applyBorder="1" applyAlignment="1">
      <alignment horizontal="center" vertical="center"/>
    </xf>
    <xf numFmtId="0" fontId="49" fillId="0" borderId="47" xfId="5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shrinkToFit="1"/>
    </xf>
    <xf numFmtId="49" fontId="9" fillId="12" borderId="1" xfId="0" applyNumberFormat="1" applyFont="1" applyFill="1" applyBorder="1" applyAlignment="1">
      <alignment horizontal="center" vertical="center"/>
    </xf>
    <xf numFmtId="183" fontId="9" fillId="12" borderId="1" xfId="0" applyNumberFormat="1" applyFont="1" applyFill="1" applyBorder="1" applyAlignment="1">
      <alignment horizontal="center" vertical="center"/>
    </xf>
    <xf numFmtId="14" fontId="49" fillId="0" borderId="1" xfId="5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vertical="center" shrinkToFit="1"/>
    </xf>
    <xf numFmtId="180" fontId="35" fillId="0" borderId="18" xfId="4" applyNumberFormat="1" applyFont="1" applyBorder="1" applyAlignment="1">
      <alignment horizontal="right" vertical="center"/>
    </xf>
    <xf numFmtId="180" fontId="35" fillId="0" borderId="7" xfId="6" applyNumberFormat="1" applyFont="1" applyFill="1" applyBorder="1" applyAlignment="1">
      <alignment horizontal="center" vertical="center"/>
    </xf>
    <xf numFmtId="180" fontId="35" fillId="0" borderId="45" xfId="6" applyNumberFormat="1" applyFont="1" applyFill="1" applyBorder="1" applyAlignment="1">
      <alignment horizontal="center" vertical="center"/>
    </xf>
    <xf numFmtId="180" fontId="35" fillId="0" borderId="1" xfId="6" applyNumberFormat="1" applyFont="1" applyFill="1" applyBorder="1" applyAlignment="1">
      <alignment horizontal="center" vertical="center"/>
    </xf>
    <xf numFmtId="180" fontId="66" fillId="0" borderId="1" xfId="6" applyNumberFormat="1" applyFont="1" applyFill="1" applyBorder="1" applyAlignment="1">
      <alignment horizontal="center" vertical="center"/>
    </xf>
    <xf numFmtId="180" fontId="35" fillId="0" borderId="46" xfId="6" applyNumberFormat="1" applyFont="1" applyFill="1" applyBorder="1" applyAlignment="1">
      <alignment horizontal="center" vertical="center"/>
    </xf>
    <xf numFmtId="180" fontId="35" fillId="0" borderId="4" xfId="6" applyNumberFormat="1" applyFont="1" applyFill="1" applyBorder="1" applyAlignment="1">
      <alignment horizontal="center" vertical="center"/>
    </xf>
    <xf numFmtId="180" fontId="35" fillId="0" borderId="1" xfId="4" applyNumberFormat="1" applyFont="1" applyBorder="1" applyAlignment="1">
      <alignment horizontal="right" vertical="center"/>
    </xf>
    <xf numFmtId="180" fontId="35" fillId="6" borderId="1" xfId="4" applyNumberFormat="1" applyFont="1" applyFill="1" applyBorder="1" applyAlignment="1">
      <alignment horizontal="right" vertical="center"/>
    </xf>
    <xf numFmtId="180" fontId="35" fillId="0" borderId="16" xfId="4" applyNumberFormat="1" applyFont="1" applyBorder="1" applyAlignment="1">
      <alignment horizontal="right" vertical="center"/>
    </xf>
    <xf numFmtId="180" fontId="35" fillId="0" borderId="48" xfId="6" applyNumberFormat="1" applyFont="1" applyFill="1" applyBorder="1" applyAlignment="1">
      <alignment horizontal="center" vertical="center"/>
    </xf>
    <xf numFmtId="180" fontId="35" fillId="0" borderId="17" xfId="6" applyNumberFormat="1" applyFont="1" applyFill="1" applyBorder="1" applyAlignment="1">
      <alignment horizontal="center" vertical="center"/>
    </xf>
    <xf numFmtId="180" fontId="11" fillId="6" borderId="29" xfId="6" applyNumberFormat="1" applyFont="1" applyFill="1" applyBorder="1" applyAlignment="1">
      <alignment horizontal="center" vertical="center"/>
    </xf>
    <xf numFmtId="180" fontId="11" fillId="6" borderId="30" xfId="6" applyNumberFormat="1" applyFont="1" applyFill="1" applyBorder="1" applyAlignment="1">
      <alignment horizontal="center" vertical="center"/>
    </xf>
    <xf numFmtId="180" fontId="11" fillId="0" borderId="30" xfId="6" applyNumberFormat="1" applyFont="1" applyFill="1" applyBorder="1" applyAlignment="1">
      <alignment horizontal="center" vertical="center"/>
    </xf>
    <xf numFmtId="184" fontId="11" fillId="0" borderId="49" xfId="6" applyNumberFormat="1" applyFont="1" applyFill="1" applyBorder="1" applyAlignment="1">
      <alignment horizontal="center" vertical="center"/>
    </xf>
    <xf numFmtId="184" fontId="11" fillId="0" borderId="30" xfId="6" applyNumberFormat="1" applyFont="1" applyFill="1" applyBorder="1" applyAlignment="1">
      <alignment horizontal="center" vertical="center"/>
    </xf>
    <xf numFmtId="184" fontId="67" fillId="0" borderId="30" xfId="6" applyNumberFormat="1" applyFont="1" applyFill="1" applyBorder="1" applyAlignment="1">
      <alignment horizontal="center" vertical="center"/>
    </xf>
    <xf numFmtId="184" fontId="11" fillId="0" borderId="50" xfId="6" applyNumberFormat="1" applyFont="1" applyFill="1" applyBorder="1" applyAlignment="1">
      <alignment horizontal="center" vertical="center"/>
    </xf>
    <xf numFmtId="184" fontId="11" fillId="0" borderId="44" xfId="6" applyNumberFormat="1" applyFont="1" applyFill="1" applyBorder="1" applyAlignment="1">
      <alignment horizontal="center" vertical="center"/>
    </xf>
    <xf numFmtId="180" fontId="66" fillId="0" borderId="16" xfId="6" applyNumberFormat="1" applyFont="1" applyFill="1" applyBorder="1" applyAlignment="1">
      <alignment horizontal="center" vertical="center"/>
    </xf>
    <xf numFmtId="0" fontId="35" fillId="0" borderId="7" xfId="4" applyFont="1" applyBorder="1">
      <alignment vertical="center"/>
    </xf>
    <xf numFmtId="0" fontId="35" fillId="0" borderId="8" xfId="4" applyFont="1" applyBorder="1">
      <alignment vertical="center"/>
    </xf>
    <xf numFmtId="0" fontId="35" fillId="0" borderId="19" xfId="4" applyFont="1" applyBorder="1">
      <alignment vertical="center"/>
    </xf>
    <xf numFmtId="0" fontId="35" fillId="0" borderId="7" xfId="4" applyFont="1" applyBorder="1" applyAlignment="1">
      <alignment horizontal="center" vertical="center"/>
    </xf>
    <xf numFmtId="0" fontId="35" fillId="0" borderId="8" xfId="4" applyFont="1" applyBorder="1" applyAlignment="1">
      <alignment horizontal="center" vertical="center"/>
    </xf>
    <xf numFmtId="0" fontId="35" fillId="0" borderId="19" xfId="4" applyFont="1" applyBorder="1" applyAlignment="1">
      <alignment horizontal="center" vertical="center"/>
    </xf>
    <xf numFmtId="180" fontId="35" fillId="0" borderId="7" xfId="4" applyNumberFormat="1" applyFont="1" applyBorder="1" applyAlignment="1">
      <alignment horizontal="right" vertical="center"/>
    </xf>
    <xf numFmtId="180" fontId="35" fillId="0" borderId="51" xfId="4" applyNumberFormat="1" applyFont="1" applyBorder="1" applyAlignment="1">
      <alignment horizontal="right" vertical="center"/>
    </xf>
    <xf numFmtId="180" fontId="35" fillId="0" borderId="51" xfId="6" applyNumberFormat="1" applyFont="1" applyFill="1" applyBorder="1" applyAlignment="1">
      <alignment horizontal="center" vertical="center"/>
    </xf>
    <xf numFmtId="0" fontId="59" fillId="0" borderId="0" xfId="4" applyFont="1" applyAlignment="1">
      <alignment horizontal="left" vertical="center"/>
    </xf>
    <xf numFmtId="58" fontId="32" fillId="0" borderId="3" xfId="0" applyNumberFormat="1" applyFont="1" applyBorder="1" applyAlignment="1">
      <alignment horizontal="center" vertical="center"/>
    </xf>
    <xf numFmtId="58" fontId="32" fillId="0" borderId="4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4" fillId="4" borderId="2" xfId="5" applyFont="1" applyFill="1" applyBorder="1" applyAlignment="1">
      <alignment horizontal="center" vertical="center"/>
    </xf>
    <xf numFmtId="0" fontId="34" fillId="4" borderId="3" xfId="5" applyFont="1" applyFill="1" applyBorder="1" applyAlignment="1">
      <alignment horizontal="center" vertical="center"/>
    </xf>
    <xf numFmtId="0" fontId="63" fillId="4" borderId="1" xfId="5" applyFont="1" applyFill="1" applyBorder="1" applyAlignment="1">
      <alignment horizontal="center" vertical="center" wrapText="1"/>
    </xf>
    <xf numFmtId="0" fontId="63" fillId="4" borderId="1" xfId="5" applyFont="1" applyFill="1" applyBorder="1" applyAlignment="1">
      <alignment horizontal="center" vertical="center" wrapText="1" shrinkToFit="1"/>
    </xf>
    <xf numFmtId="0" fontId="62" fillId="4" borderId="1" xfId="5" applyFont="1" applyFill="1" applyBorder="1" applyAlignment="1">
      <alignment horizontal="center" vertical="center"/>
    </xf>
    <xf numFmtId="14" fontId="64" fillId="0" borderId="4" xfId="5" applyNumberFormat="1" applyFont="1" applyFill="1" applyBorder="1" applyAlignment="1">
      <alignment horizontal="center" vertical="center" wrapText="1"/>
    </xf>
    <xf numFmtId="14" fontId="49" fillId="0" borderId="1" xfId="5" applyNumberFormat="1" applyFont="1" applyFill="1" applyBorder="1" applyAlignment="1">
      <alignment horizontal="center" vertical="center" wrapText="1"/>
    </xf>
    <xf numFmtId="0" fontId="35" fillId="0" borderId="5" xfId="4" applyFont="1" applyBorder="1" applyAlignment="1">
      <alignment horizontal="center" vertical="center"/>
    </xf>
    <xf numFmtId="0" fontId="35" fillId="0" borderId="6" xfId="4" applyFont="1" applyBorder="1" applyAlignment="1">
      <alignment horizontal="center" vertical="center"/>
    </xf>
    <xf numFmtId="0" fontId="35" fillId="0" borderId="17" xfId="4" applyFont="1" applyBorder="1" applyAlignment="1">
      <alignment horizontal="center" vertical="center"/>
    </xf>
    <xf numFmtId="0" fontId="1" fillId="0" borderId="16" xfId="4" applyFont="1" applyBorder="1" applyAlignment="1">
      <alignment horizontal="center" vertical="center"/>
    </xf>
    <xf numFmtId="0" fontId="1" fillId="0" borderId="18" xfId="4" applyFont="1" applyBorder="1" applyAlignment="1">
      <alignment horizontal="center" vertical="center"/>
    </xf>
    <xf numFmtId="0" fontId="1" fillId="0" borderId="51" xfId="4" applyFont="1" applyBorder="1" applyAlignment="1">
      <alignment horizontal="center" vertical="center"/>
    </xf>
    <xf numFmtId="0" fontId="1" fillId="0" borderId="7" xfId="4" applyFont="1" applyBorder="1" applyAlignment="1">
      <alignment horizontal="center" vertical="center"/>
    </xf>
    <xf numFmtId="0" fontId="35" fillId="0" borderId="5" xfId="4" applyFont="1" applyBorder="1" applyAlignment="1">
      <alignment horizontal="center" vertical="center" shrinkToFit="1"/>
    </xf>
    <xf numFmtId="0" fontId="35" fillId="0" borderId="6" xfId="4" applyFont="1" applyBorder="1" applyAlignment="1">
      <alignment horizontal="center" vertical="center" shrinkToFit="1"/>
    </xf>
    <xf numFmtId="0" fontId="35" fillId="0" borderId="17" xfId="4" applyFont="1" applyBorder="1" applyAlignment="1">
      <alignment horizontal="center" vertical="center" shrinkToFit="1"/>
    </xf>
    <xf numFmtId="0" fontId="62" fillId="4" borderId="16" xfId="5" applyFont="1" applyFill="1" applyBorder="1" applyAlignment="1">
      <alignment horizontal="center" vertical="center"/>
    </xf>
    <xf numFmtId="0" fontId="62" fillId="4" borderId="18" xfId="5" applyFont="1" applyFill="1" applyBorder="1" applyAlignment="1">
      <alignment horizontal="center" vertical="center"/>
    </xf>
    <xf numFmtId="0" fontId="32" fillId="0" borderId="0" xfId="4" applyFont="1" applyAlignment="1">
      <alignment horizontal="center" vertical="center"/>
    </xf>
    <xf numFmtId="0" fontId="37" fillId="0" borderId="0" xfId="4" applyFont="1" applyAlignment="1">
      <alignment horizontal="left" vertical="center" wrapText="1"/>
    </xf>
    <xf numFmtId="0" fontId="37" fillId="0" borderId="0" xfId="4" applyFont="1" applyAlignment="1">
      <alignment horizontal="left" vertical="center"/>
    </xf>
    <xf numFmtId="58" fontId="37" fillId="0" borderId="1" xfId="0" applyNumberFormat="1" applyFont="1" applyBorder="1" applyAlignment="1">
      <alignment horizontal="center" vertical="center"/>
    </xf>
    <xf numFmtId="58" fontId="32" fillId="0" borderId="16" xfId="0" applyNumberFormat="1" applyFont="1" applyBorder="1" applyAlignment="1">
      <alignment horizontal="center" vertical="center" wrapText="1"/>
    </xf>
    <xf numFmtId="58" fontId="32" fillId="0" borderId="20" xfId="0" applyNumberFormat="1" applyFont="1" applyBorder="1" applyAlignment="1">
      <alignment horizontal="center" vertical="center" wrapText="1"/>
    </xf>
    <xf numFmtId="58" fontId="32" fillId="0" borderId="18" xfId="0" applyNumberFormat="1" applyFont="1" applyBorder="1" applyAlignment="1">
      <alignment horizontal="center" vertical="center"/>
    </xf>
    <xf numFmtId="0" fontId="34" fillId="0" borderId="1" xfId="5" applyFont="1" applyFill="1" applyBorder="1" applyAlignment="1">
      <alignment horizontal="center" vertical="center"/>
    </xf>
    <xf numFmtId="179" fontId="36" fillId="0" borderId="1" xfId="0" applyNumberFormat="1" applyFont="1" applyBorder="1" applyAlignment="1">
      <alignment horizontal="center" vertical="center"/>
    </xf>
    <xf numFmtId="0" fontId="34" fillId="0" borderId="16" xfId="5" applyFont="1" applyFill="1" applyBorder="1" applyAlignment="1">
      <alignment horizontal="center" vertical="center"/>
    </xf>
    <xf numFmtId="0" fontId="34" fillId="0" borderId="20" xfId="5" applyFont="1" applyFill="1" applyBorder="1" applyAlignment="1">
      <alignment horizontal="center" vertical="center"/>
    </xf>
    <xf numFmtId="0" fontId="34" fillId="0" borderId="18" xfId="5" applyFont="1" applyFill="1" applyBorder="1" applyAlignment="1">
      <alignment horizontal="center" vertical="center"/>
    </xf>
    <xf numFmtId="58" fontId="32" fillId="0" borderId="2" xfId="0" applyNumberFormat="1" applyFont="1" applyBorder="1" applyAlignment="1">
      <alignment horizontal="center" vertical="center"/>
    </xf>
    <xf numFmtId="58" fontId="32" fillId="0" borderId="46" xfId="0" applyNumberFormat="1" applyFont="1" applyBorder="1" applyAlignment="1">
      <alignment horizontal="center" vertical="center"/>
    </xf>
    <xf numFmtId="58" fontId="32" fillId="0" borderId="1" xfId="0" applyNumberFormat="1" applyFont="1" applyBorder="1" applyAlignment="1">
      <alignment horizontal="center" vertical="center"/>
    </xf>
    <xf numFmtId="58" fontId="32" fillId="0" borderId="47" xfId="0" applyNumberFormat="1" applyFont="1" applyBorder="1" applyAlignment="1">
      <alignment horizontal="center" vertical="center"/>
    </xf>
    <xf numFmtId="0" fontId="49" fillId="0" borderId="45" xfId="5" applyFont="1" applyFill="1" applyBorder="1" applyAlignment="1">
      <alignment horizontal="center" vertical="center" wrapText="1"/>
    </xf>
    <xf numFmtId="0" fontId="62" fillId="4" borderId="2" xfId="5" applyFont="1" applyFill="1" applyBorder="1" applyAlignment="1">
      <alignment horizontal="center" vertical="center" wrapText="1"/>
    </xf>
    <xf numFmtId="0" fontId="32" fillId="0" borderId="2" xfId="4" applyFont="1" applyBorder="1" applyAlignment="1">
      <alignment horizontal="center" vertical="center"/>
    </xf>
    <xf numFmtId="0" fontId="32" fillId="0" borderId="4" xfId="4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86" fontId="61" fillId="0" borderId="42" xfId="0" applyNumberFormat="1" applyFont="1" applyBorder="1" applyAlignment="1">
      <alignment horizontal="center" vertical="center"/>
    </xf>
    <xf numFmtId="186" fontId="61" fillId="0" borderId="43" xfId="0" applyNumberFormat="1" applyFont="1" applyBorder="1" applyAlignment="1">
      <alignment horizontal="center" vertical="center"/>
    </xf>
    <xf numFmtId="0" fontId="60" fillId="0" borderId="34" xfId="0" applyFont="1" applyBorder="1" applyAlignment="1">
      <alignment horizontal="center" vertical="center" wrapText="1"/>
    </xf>
    <xf numFmtId="0" fontId="60" fillId="0" borderId="40" xfId="0" applyFont="1" applyBorder="1" applyAlignment="1">
      <alignment horizontal="center" vertical="center"/>
    </xf>
    <xf numFmtId="0" fontId="60" fillId="0" borderId="41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13" xfId="2" applyFont="1" applyFill="1" applyBorder="1" applyAlignment="1">
      <alignment horizontal="center" vertical="center" wrapText="1"/>
    </xf>
    <xf numFmtId="14" fontId="3" fillId="0" borderId="8" xfId="2" applyNumberFormat="1" applyBorder="1" applyAlignment="1">
      <alignment horizontal="right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8" fillId="2" borderId="10" xfId="2" applyFont="1" applyFill="1" applyBorder="1" applyAlignment="1">
      <alignment horizontal="center" vertical="center"/>
    </xf>
    <xf numFmtId="0" fontId="8" fillId="2" borderId="11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 wrapText="1"/>
    </xf>
    <xf numFmtId="0" fontId="8" fillId="2" borderId="14" xfId="2" applyFont="1" applyFill="1" applyBorder="1" applyAlignment="1">
      <alignment horizontal="center" vertical="center" wrapText="1"/>
    </xf>
    <xf numFmtId="0" fontId="8" fillId="2" borderId="21" xfId="2" applyFont="1" applyFill="1" applyBorder="1" applyAlignment="1">
      <alignment horizontal="center" vertical="center" wrapText="1"/>
    </xf>
    <xf numFmtId="0" fontId="8" fillId="2" borderId="22" xfId="2" applyFont="1" applyFill="1" applyBorder="1" applyAlignment="1">
      <alignment horizontal="center" vertical="center" wrapText="1"/>
    </xf>
    <xf numFmtId="41" fontId="3" fillId="0" borderId="2" xfId="2" applyNumberFormat="1" applyBorder="1" applyAlignment="1">
      <alignment horizontal="center" vertical="center"/>
    </xf>
    <xf numFmtId="41" fontId="3" fillId="0" borderId="4" xfId="2" applyNumberForma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41" fontId="2" fillId="0" borderId="2" xfId="2" applyNumberFormat="1" applyFont="1" applyBorder="1" applyAlignment="1">
      <alignment horizontal="center" vertical="center" shrinkToFit="1"/>
    </xf>
    <xf numFmtId="41" fontId="2" fillId="0" borderId="3" xfId="2" applyNumberFormat="1" applyFont="1" applyBorder="1" applyAlignment="1">
      <alignment horizontal="center" vertical="center" shrinkToFit="1"/>
    </xf>
    <xf numFmtId="0" fontId="29" fillId="0" borderId="0" xfId="4" applyFont="1" applyAlignment="1">
      <alignment horizontal="center" vertical="center"/>
    </xf>
    <xf numFmtId="182" fontId="29" fillId="0" borderId="0" xfId="4" applyNumberFormat="1" applyFont="1" applyAlignment="1">
      <alignment horizontal="center" vertical="center"/>
    </xf>
    <xf numFmtId="0" fontId="38" fillId="0" borderId="1" xfId="4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38" fillId="6" borderId="3" xfId="4" quotePrefix="1" applyFont="1" applyFill="1" applyBorder="1" applyAlignment="1">
      <alignment horizontal="center" vertical="center"/>
    </xf>
    <xf numFmtId="0" fontId="38" fillId="6" borderId="3" xfId="4" applyFont="1" applyFill="1" applyBorder="1" applyAlignment="1">
      <alignment horizontal="center" vertical="center"/>
    </xf>
    <xf numFmtId="0" fontId="38" fillId="6" borderId="4" xfId="4" applyFont="1" applyFill="1" applyBorder="1" applyAlignment="1">
      <alignment horizontal="center" vertical="center"/>
    </xf>
    <xf numFmtId="0" fontId="38" fillId="0" borderId="3" xfId="4" applyFont="1" applyBorder="1" applyAlignment="1">
      <alignment horizontal="center" vertical="center"/>
    </xf>
    <xf numFmtId="0" fontId="38" fillId="0" borderId="4" xfId="4" applyFont="1" applyBorder="1" applyAlignment="1">
      <alignment horizontal="center" vertical="center"/>
    </xf>
    <xf numFmtId="0" fontId="11" fillId="6" borderId="29" xfId="4" applyFont="1" applyFill="1" applyBorder="1" applyAlignment="1">
      <alignment horizontal="center" vertical="center"/>
    </xf>
    <xf numFmtId="0" fontId="11" fillId="6" borderId="30" xfId="4" applyFont="1" applyFill="1" applyBorder="1" applyAlignment="1">
      <alignment horizontal="center" vertical="center"/>
    </xf>
    <xf numFmtId="177" fontId="40" fillId="6" borderId="8" xfId="4" applyNumberFormat="1" applyFont="1" applyFill="1" applyBorder="1" applyAlignment="1">
      <alignment horizontal="center" vertical="center"/>
    </xf>
    <xf numFmtId="58" fontId="32" fillId="9" borderId="16" xfId="0" applyNumberFormat="1" applyFont="1" applyFill="1" applyBorder="1" applyAlignment="1">
      <alignment horizontal="center" vertical="center" wrapText="1"/>
    </xf>
    <xf numFmtId="58" fontId="32" fillId="9" borderId="18" xfId="0" applyNumberFormat="1" applyFont="1" applyFill="1" applyBorder="1" applyAlignment="1">
      <alignment horizontal="center" vertical="center"/>
    </xf>
    <xf numFmtId="58" fontId="37" fillId="8" borderId="1" xfId="0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34" fillId="4" borderId="16" xfId="5" applyFont="1" applyFill="1" applyBorder="1" applyAlignment="1">
      <alignment horizontal="center" vertical="center"/>
    </xf>
    <xf numFmtId="0" fontId="34" fillId="4" borderId="24" xfId="5" applyFont="1" applyFill="1" applyBorder="1" applyAlignment="1">
      <alignment horizontal="center" vertical="center"/>
    </xf>
    <xf numFmtId="0" fontId="34" fillId="4" borderId="1" xfId="5" applyFont="1" applyFill="1" applyBorder="1" applyAlignment="1">
      <alignment horizontal="center" vertical="center"/>
    </xf>
    <xf numFmtId="0" fontId="34" fillId="4" borderId="23" xfId="5" applyFont="1" applyFill="1" applyBorder="1" applyAlignment="1">
      <alignment horizontal="center" vertical="center"/>
    </xf>
    <xf numFmtId="179" fontId="11" fillId="4" borderId="1" xfId="4" applyNumberFormat="1" applyFont="1" applyFill="1" applyBorder="1" applyAlignment="1">
      <alignment horizontal="center" vertical="center"/>
    </xf>
    <xf numFmtId="0" fontId="11" fillId="6" borderId="1" xfId="4" applyFont="1" applyFill="1" applyBorder="1" applyAlignment="1">
      <alignment horizontal="center" vertical="center"/>
    </xf>
    <xf numFmtId="0" fontId="36" fillId="6" borderId="1" xfId="4" applyFont="1" applyFill="1" applyBorder="1" applyAlignment="1">
      <alignment horizontal="center" vertical="center"/>
    </xf>
    <xf numFmtId="0" fontId="43" fillId="0" borderId="20" xfId="4" applyFont="1" applyBorder="1" applyAlignment="1">
      <alignment horizontal="center" vertical="center" wrapText="1"/>
    </xf>
    <xf numFmtId="0" fontId="24" fillId="6" borderId="2" xfId="4" applyFont="1" applyFill="1" applyBorder="1" applyAlignment="1">
      <alignment horizontal="center" vertical="center"/>
    </xf>
    <xf numFmtId="0" fontId="24" fillId="6" borderId="3" xfId="4" applyFont="1" applyFill="1" applyBorder="1" applyAlignment="1">
      <alignment horizontal="center" vertical="center"/>
    </xf>
    <xf numFmtId="0" fontId="24" fillId="6" borderId="4" xfId="4" applyFont="1" applyFill="1" applyBorder="1" applyAlignment="1">
      <alignment horizontal="center" vertical="center"/>
    </xf>
    <xf numFmtId="0" fontId="34" fillId="4" borderId="4" xfId="5" applyFont="1" applyFill="1" applyBorder="1" applyAlignment="1">
      <alignment horizontal="center" vertical="center"/>
    </xf>
    <xf numFmtId="179" fontId="11" fillId="4" borderId="5" xfId="4" applyNumberFormat="1" applyFont="1" applyFill="1" applyBorder="1" applyAlignment="1">
      <alignment horizontal="center" vertical="center" wrapText="1"/>
    </xf>
    <xf numFmtId="179" fontId="11" fillId="4" borderId="17" xfId="4" applyNumberFormat="1" applyFont="1" applyFill="1" applyBorder="1" applyAlignment="1">
      <alignment horizontal="center" vertical="center" wrapText="1"/>
    </xf>
    <xf numFmtId="179" fontId="11" fillId="4" borderId="26" xfId="4" applyNumberFormat="1" applyFont="1" applyFill="1" applyBorder="1" applyAlignment="1">
      <alignment horizontal="center" vertical="center" wrapText="1"/>
    </xf>
    <xf numFmtId="179" fontId="11" fillId="4" borderId="27" xfId="4" applyNumberFormat="1" applyFont="1" applyFill="1" applyBorder="1" applyAlignment="1">
      <alignment horizontal="center" vertical="center" wrapText="1"/>
    </xf>
    <xf numFmtId="179" fontId="11" fillId="4" borderId="1" xfId="4" applyNumberFormat="1" applyFont="1" applyFill="1" applyBorder="1" applyAlignment="1">
      <alignment horizontal="center" vertical="center" wrapText="1"/>
    </xf>
    <xf numFmtId="179" fontId="35" fillId="4" borderId="16" xfId="4" applyNumberFormat="1" applyFont="1" applyFill="1" applyBorder="1" applyAlignment="1">
      <alignment horizontal="center" vertical="center" wrapText="1"/>
    </xf>
    <xf numFmtId="179" fontId="35" fillId="4" borderId="24" xfId="4" applyNumberFormat="1" applyFont="1" applyFill="1" applyBorder="1" applyAlignment="1">
      <alignment horizontal="center" vertical="center"/>
    </xf>
    <xf numFmtId="58" fontId="35" fillId="4" borderId="16" xfId="4" applyNumberFormat="1" applyFont="1" applyFill="1" applyBorder="1" applyAlignment="1">
      <alignment horizontal="center" vertical="center"/>
    </xf>
    <xf numFmtId="58" fontId="35" fillId="4" borderId="24" xfId="4" applyNumberFormat="1" applyFont="1" applyFill="1" applyBorder="1" applyAlignment="1">
      <alignment horizontal="center" vertical="center"/>
    </xf>
    <xf numFmtId="0" fontId="49" fillId="8" borderId="1" xfId="5" applyFont="1" applyFill="1" applyBorder="1" applyAlignment="1">
      <alignment horizontal="center" vertical="center"/>
    </xf>
    <xf numFmtId="0" fontId="49" fillId="8" borderId="16" xfId="5" applyFont="1" applyFill="1" applyBorder="1" applyAlignment="1">
      <alignment horizontal="center" vertical="center"/>
    </xf>
    <xf numFmtId="0" fontId="49" fillId="8" borderId="18" xfId="5" applyFont="1" applyFill="1" applyBorder="1" applyAlignment="1">
      <alignment horizontal="center" vertical="center"/>
    </xf>
    <xf numFmtId="58" fontId="32" fillId="9" borderId="3" xfId="0" applyNumberFormat="1" applyFont="1" applyFill="1" applyBorder="1" applyAlignment="1">
      <alignment horizontal="center" vertical="center"/>
    </xf>
    <xf numFmtId="58" fontId="32" fillId="9" borderId="4" xfId="0" applyNumberFormat="1" applyFont="1" applyFill="1" applyBorder="1" applyAlignment="1">
      <alignment horizontal="center" vertical="center"/>
    </xf>
    <xf numFmtId="179" fontId="32" fillId="9" borderId="1" xfId="0" applyNumberFormat="1" applyFont="1" applyFill="1" applyBorder="1" applyAlignment="1">
      <alignment horizontal="center" vertical="center"/>
    </xf>
  </cellXfs>
  <cellStyles count="8">
    <cellStyle name="백분율 2" xfId="7" xr:uid="{DF1AA6EE-665A-46C3-95B3-F212BA5EFA1E}"/>
    <cellStyle name="쉼표 [0]" xfId="1" builtinId="6"/>
    <cellStyle name="쉼표 [0] 2" xfId="3" xr:uid="{40975A7C-FB79-4389-A7C4-EC74ACD157FE}"/>
    <cellStyle name="쉼표 [0] 3" xfId="6" xr:uid="{DC5B2AC1-506C-41BD-BA16-9F5B1CC3B49F}"/>
    <cellStyle name="출력 2" xfId="5" xr:uid="{2E44E2B6-BD9D-4C58-8288-0E7BFEB95CF5}"/>
    <cellStyle name="표준" xfId="0" builtinId="0"/>
    <cellStyle name="표준 2" xfId="2" xr:uid="{4FA54C62-79E9-41CB-8687-085D9CE69E5A}"/>
    <cellStyle name="표준 3" xfId="4" xr:uid="{9ECA28F8-38BB-4491-B2B0-5C54A0E12668}"/>
  </cellStyles>
  <dxfs count="82"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F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381000</xdr:colOff>
          <xdr:row>11</xdr:row>
          <xdr:rowOff>0</xdr:rowOff>
        </xdr:from>
        <xdr:to>
          <xdr:col>10</xdr:col>
          <xdr:colOff>828675</xdr:colOff>
          <xdr:row>11</xdr:row>
          <xdr:rowOff>190500</xdr:rowOff>
        </xdr:to>
        <xdr:sp macro="" textlink="">
          <xdr:nvSpPr>
            <xdr:cNvPr id="10242" name="Butto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오늘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847725</xdr:colOff>
          <xdr:row>11</xdr:row>
          <xdr:rowOff>0</xdr:rowOff>
        </xdr:from>
        <xdr:to>
          <xdr:col>13</xdr:col>
          <xdr:colOff>638175</xdr:colOff>
          <xdr:row>11</xdr:row>
          <xdr:rowOff>190500</xdr:rowOff>
        </xdr:to>
        <xdr:sp macro="" textlink="">
          <xdr:nvSpPr>
            <xdr:cNvPr id="10243" name="Button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0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1381125</xdr:colOff>
          <xdr:row>11</xdr:row>
          <xdr:rowOff>0</xdr:rowOff>
        </xdr:from>
        <xdr:to>
          <xdr:col>3</xdr:col>
          <xdr:colOff>0</xdr:colOff>
          <xdr:row>11</xdr:row>
          <xdr:rowOff>190500</xdr:rowOff>
        </xdr:to>
        <xdr:sp macro="" textlink="">
          <xdr:nvSpPr>
            <xdr:cNvPr id="10244" name="Button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1190625</xdr:colOff>
          <xdr:row>10</xdr:row>
          <xdr:rowOff>342900</xdr:rowOff>
        </xdr:from>
        <xdr:to>
          <xdr:col>10</xdr:col>
          <xdr:colOff>381000</xdr:colOff>
          <xdr:row>11</xdr:row>
          <xdr:rowOff>190500</xdr:rowOff>
        </xdr:to>
        <xdr:sp macro="" textlink="">
          <xdr:nvSpPr>
            <xdr:cNvPr id="10245" name="Button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0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432955</xdr:colOff>
          <xdr:row>6</xdr:row>
          <xdr:rowOff>294409</xdr:rowOff>
        </xdr:from>
        <xdr:to>
          <xdr:col>21</xdr:col>
          <xdr:colOff>517815</xdr:colOff>
          <xdr:row>9</xdr:row>
          <xdr:rowOff>238125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31762C00-86C4-D8F3-D58C-AAF6B5B5357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도장란!$P$49:$X$55" spid="_x0000_s104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798137" y="1454727"/>
              <a:ext cx="4050723" cy="139844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7</xdr:row>
          <xdr:rowOff>0</xdr:rowOff>
        </xdr:from>
        <xdr:to>
          <xdr:col>8</xdr:col>
          <xdr:colOff>457200</xdr:colOff>
          <xdr:row>7</xdr:row>
          <xdr:rowOff>190500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오늘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1381125</xdr:colOff>
          <xdr:row>7</xdr:row>
          <xdr:rowOff>0</xdr:rowOff>
        </xdr:from>
        <xdr:to>
          <xdr:col>3</xdr:col>
          <xdr:colOff>0</xdr:colOff>
          <xdr:row>7</xdr:row>
          <xdr:rowOff>190500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466725</xdr:colOff>
          <xdr:row>7</xdr:row>
          <xdr:rowOff>0</xdr:rowOff>
        </xdr:from>
        <xdr:to>
          <xdr:col>12</xdr:col>
          <xdr:colOff>257175</xdr:colOff>
          <xdr:row>7</xdr:row>
          <xdr:rowOff>190500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5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</xdr:row>
          <xdr:rowOff>0</xdr:rowOff>
        </xdr:from>
        <xdr:to>
          <xdr:col>9</xdr:col>
          <xdr:colOff>457200</xdr:colOff>
          <xdr:row>7</xdr:row>
          <xdr:rowOff>190500</xdr:rowOff>
        </xdr:to>
        <xdr:sp macro="" textlink="">
          <xdr:nvSpPr>
            <xdr:cNvPr id="5155" name="Button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5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오늘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421822</xdr:colOff>
          <xdr:row>1</xdr:row>
          <xdr:rowOff>176893</xdr:rowOff>
        </xdr:from>
        <xdr:to>
          <xdr:col>31</xdr:col>
          <xdr:colOff>5101</xdr:colOff>
          <xdr:row>7</xdr:row>
          <xdr:rowOff>217714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BB111DBE-100B-881A-D602-A9CEFE8A764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4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844893" y="1755322"/>
              <a:ext cx="5788136" cy="187778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51088;&#47308;&#44277;&#50976;/&#44277;&#46041;&#51089;&#50629;/2.%20&#50896;&#44032;%20&#49328;&#51221;%20&#48143;%20&#44160;&#53664;/2024&#45380;%20&#50896;&#44032;&#44228;&#49328;&#46321;/2024&#45380;%20&#49828;&#47560;&#53944;&#44277;&#51109;%20&#44396;&#52629;&#49324;&#50629;/2024&#45380;_&#49828;&#47560;&#53944;&#44277;&#51109;_&#51068;&#51068;&#51652;&#54665;&#54788;&#54889;.xlsm" TargetMode="External"/><Relationship Id="rId2" Type="http://schemas.openxmlformats.org/officeDocument/2006/relationships/externalLinkPath" Target="file:///Z:\&#51088;&#47308;&#44277;&#50976;\&#44277;&#46041;&#51089;&#50629;\2.%20&#50896;&#44032;%20&#49328;&#51221;%20&#48143;%20&#44160;&#53664;\2024&#45380;%20&#50896;&#44032;&#44228;&#49328;&#46321;\2024&#45380;%20&#49828;&#47560;&#53944;&#44277;&#51109;%20&#44396;&#52629;&#49324;&#50629;\2024&#45380;_&#49828;&#47560;&#53944;&#44277;&#51109;_&#51068;&#51068;&#51652;&#54665;&#54788;&#54889;.xlsm" TargetMode="External"/><Relationship Id="rId1" Type="http://schemas.openxmlformats.org/officeDocument/2006/relationships/externalLinkPath" Target="/&#51088;&#47308;&#44277;&#50976;/&#44277;&#46041;&#51089;&#50629;/2.%20&#50896;&#44032;%20&#49328;&#51221;%20&#48143;%20&#44160;&#53664;/2024&#45380;%20&#50896;&#44032;&#44228;&#49328;&#46321;/2024&#45380;%20&#49828;&#47560;&#53944;&#44277;&#51109;%20&#44396;&#52629;&#49324;&#50629;/2024&#45380;_&#49828;&#47560;&#53944;&#44277;&#51109;_&#51068;&#51068;&#51652;&#54665;&#54788;&#54889;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5&#45380;%20&#50896;&#44032;&#44228;&#49328;/2025%20&#51473;&#49548;&#44592;&#50629;&#54785;&#49888;&#48148;&#50864;&#52376;&#49324;&#50629;/(2025&#45380;)&#49328;&#54617;&#50672;%20&#50896;&#44032;&#44048;&#47532;&#48372;&#44256;&#49436;%20&#51068;&#51068;&#51652;&#54665;&#54788;&#54889;.xlsx" TargetMode="External"/><Relationship Id="rId2" Type="http://schemas.openxmlformats.org/officeDocument/2006/relationships/externalLinkPath" Target="file:///\\ecost3\kiba\02.%20&#50896;&#44032;&#48516;&#49437;&#48376;&#48512;\2025&#45380;%20&#50896;&#44032;&#44228;&#49328;\2025%20&#51473;&#49548;&#44592;&#50629;&#54785;&#49888;&#48148;&#50864;&#52376;&#49324;&#50629;\(2025&#45380;)&#49328;&#54617;&#50672;%20&#50896;&#44032;&#44048;&#47532;&#48372;&#44256;&#49436;%20&#51068;&#51068;&#51652;&#54665;&#54788;&#54889;.xlsx" TargetMode="External"/><Relationship Id="rId1" Type="http://schemas.openxmlformats.org/officeDocument/2006/relationships/externalLinkPath" Target="/02.%20&#50896;&#44032;&#48516;&#49437;&#48376;&#48512;/2025&#45380;%20&#50896;&#44032;&#44228;&#49328;/2025%20&#51473;&#49548;&#44592;&#50629;&#54785;&#49888;&#48148;&#50864;&#52376;&#49324;&#50629;/(2025&#45380;)&#49328;&#54617;&#50672;%20&#50896;&#44032;&#44048;&#47532;&#48372;&#44256;&#49436;%20&#51068;&#51068;&#51652;&#54665;&#54788;&#548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상세자료"/>
      <sheetName val="일별현황"/>
      <sheetName val="수행기관별담당자"/>
      <sheetName val="월별현황"/>
      <sheetName val="검토프로세스"/>
      <sheetName val="2024년_스마트공장_일일진행현황"/>
    </sheetNames>
    <definedNames>
      <definedName name="NEXT_Click"/>
      <definedName name="PRE_Click"/>
      <definedName name="TODAY_Click"/>
    </definedNames>
    <sheetDataSet>
      <sheetData sheetId="0" refreshError="1">
        <row r="2">
          <cell r="T2" t="str">
            <v>제출</v>
          </cell>
        </row>
        <row r="3">
          <cell r="K3" t="str">
            <v>일자</v>
          </cell>
          <cell r="Q3" t="str">
            <v>일자</v>
          </cell>
          <cell r="S3" t="str">
            <v>일자</v>
          </cell>
          <cell r="T3" t="str">
            <v>일자</v>
          </cell>
        </row>
        <row r="4">
          <cell r="C4" t="str">
            <v>전북 TP</v>
          </cell>
          <cell r="H4" t="str">
            <v>제출완료</v>
          </cell>
        </row>
        <row r="5">
          <cell r="C5" t="str">
            <v>전북 TP</v>
          </cell>
          <cell r="H5" t="str">
            <v>제출완료</v>
          </cell>
        </row>
        <row r="6">
          <cell r="C6" t="str">
            <v>전북 TP</v>
          </cell>
          <cell r="H6" t="str">
            <v>제출완료</v>
          </cell>
        </row>
        <row r="7">
          <cell r="C7" t="str">
            <v>전북 TP</v>
          </cell>
          <cell r="H7" t="str">
            <v>제출완료</v>
          </cell>
        </row>
        <row r="8">
          <cell r="C8" t="str">
            <v>전북 TP</v>
          </cell>
          <cell r="H8" t="str">
            <v>제출완료</v>
          </cell>
        </row>
        <row r="9">
          <cell r="C9" t="str">
            <v>전북 TP</v>
          </cell>
          <cell r="H9" t="str">
            <v>제출완료</v>
          </cell>
        </row>
        <row r="10">
          <cell r="C10" t="str">
            <v>전북 TP</v>
          </cell>
          <cell r="H10" t="str">
            <v>제출완료</v>
          </cell>
        </row>
        <row r="11">
          <cell r="C11" t="str">
            <v>경기 TP</v>
          </cell>
          <cell r="H11" t="str">
            <v>제출완료</v>
          </cell>
        </row>
        <row r="12">
          <cell r="C12" t="str">
            <v>경기 TP</v>
          </cell>
          <cell r="H12" t="str">
            <v>제출완료</v>
          </cell>
        </row>
        <row r="13">
          <cell r="C13" t="str">
            <v>경기 TP</v>
          </cell>
          <cell r="H13" t="str">
            <v>제출완료</v>
          </cell>
        </row>
        <row r="14">
          <cell r="C14" t="str">
            <v>경기 TP</v>
          </cell>
          <cell r="H14" t="str">
            <v>제출완료</v>
          </cell>
        </row>
        <row r="15">
          <cell r="C15" t="str">
            <v>경기 TP</v>
          </cell>
          <cell r="H15" t="str">
            <v>제출완료</v>
          </cell>
        </row>
        <row r="16">
          <cell r="C16" t="str">
            <v>경기 TP</v>
          </cell>
          <cell r="H16" t="str">
            <v>제출완료</v>
          </cell>
        </row>
        <row r="17">
          <cell r="C17" t="str">
            <v>경기 TP</v>
          </cell>
          <cell r="H17" t="str">
            <v>제출완료</v>
          </cell>
        </row>
        <row r="18">
          <cell r="C18" t="str">
            <v>경기 TP</v>
          </cell>
          <cell r="H18" t="str">
            <v>제출완료</v>
          </cell>
        </row>
        <row r="19">
          <cell r="C19" t="str">
            <v>경기 TP</v>
          </cell>
          <cell r="H19" t="str">
            <v>제출완료</v>
          </cell>
        </row>
        <row r="20">
          <cell r="C20" t="str">
            <v>경기 TP</v>
          </cell>
          <cell r="H20" t="str">
            <v>제출완료</v>
          </cell>
        </row>
        <row r="21">
          <cell r="C21" t="str">
            <v>경기 TP</v>
          </cell>
          <cell r="H21" t="str">
            <v>제출완료</v>
          </cell>
        </row>
        <row r="22">
          <cell r="C22" t="str">
            <v>경기 TP</v>
          </cell>
          <cell r="H22" t="str">
            <v>제출완료</v>
          </cell>
        </row>
        <row r="23">
          <cell r="C23" t="str">
            <v>경기북부 TP</v>
          </cell>
          <cell r="H23" t="str">
            <v>제출완료</v>
          </cell>
        </row>
        <row r="24">
          <cell r="C24" t="str">
            <v>경기북부 TP</v>
          </cell>
          <cell r="H24" t="str">
            <v>제출완료</v>
          </cell>
        </row>
        <row r="25">
          <cell r="C25" t="str">
            <v>경기북부 TP</v>
          </cell>
          <cell r="H25" t="str">
            <v>제출완료</v>
          </cell>
        </row>
        <row r="26">
          <cell r="C26" t="str">
            <v>경기북부 TP</v>
          </cell>
          <cell r="H26" t="str">
            <v>제출완료</v>
          </cell>
        </row>
        <row r="27">
          <cell r="C27" t="str">
            <v>경기북부 TP</v>
          </cell>
          <cell r="H27" t="str">
            <v>제출완료</v>
          </cell>
        </row>
        <row r="28">
          <cell r="C28" t="str">
            <v>경기북부 TP</v>
          </cell>
          <cell r="H28" t="str">
            <v>제출완료</v>
          </cell>
        </row>
        <row r="29">
          <cell r="C29" t="str">
            <v>경기북부 TP</v>
          </cell>
          <cell r="H29" t="str">
            <v>제출완료</v>
          </cell>
        </row>
        <row r="30">
          <cell r="C30" t="str">
            <v>경기북부 TP</v>
          </cell>
          <cell r="H30" t="str">
            <v>제출완료</v>
          </cell>
        </row>
        <row r="31">
          <cell r="C31" t="str">
            <v>경기북부 TP</v>
          </cell>
          <cell r="H31" t="str">
            <v>제출완료</v>
          </cell>
        </row>
        <row r="32">
          <cell r="C32" t="str">
            <v>경기북부 TP</v>
          </cell>
          <cell r="H32" t="str">
            <v>제출완료</v>
          </cell>
        </row>
        <row r="33">
          <cell r="C33" t="str">
            <v>경기북부 TP</v>
          </cell>
          <cell r="H33" t="str">
            <v>제출완료</v>
          </cell>
        </row>
        <row r="34">
          <cell r="C34" t="str">
            <v>경기북부 TP</v>
          </cell>
          <cell r="H34" t="str">
            <v>제출완료</v>
          </cell>
        </row>
        <row r="35">
          <cell r="C35" t="str">
            <v>경기북부 TP</v>
          </cell>
          <cell r="H35" t="str">
            <v>취소</v>
          </cell>
        </row>
        <row r="36">
          <cell r="C36" t="str">
            <v>경기북부 TP</v>
          </cell>
          <cell r="H36" t="str">
            <v>제출완료</v>
          </cell>
        </row>
        <row r="37">
          <cell r="C37" t="str">
            <v>경기북부 TP</v>
          </cell>
          <cell r="H37" t="str">
            <v>제출완료</v>
          </cell>
        </row>
        <row r="38">
          <cell r="C38" t="str">
            <v>경기북부 TP</v>
          </cell>
          <cell r="H38" t="str">
            <v>제출완료</v>
          </cell>
        </row>
        <row r="39">
          <cell r="C39" t="str">
            <v>경기북부 TP</v>
          </cell>
          <cell r="H39" t="str">
            <v>제출완료</v>
          </cell>
        </row>
        <row r="40">
          <cell r="C40" t="str">
            <v>경기북부 TP</v>
          </cell>
          <cell r="H40" t="str">
            <v>제출완료</v>
          </cell>
        </row>
        <row r="41">
          <cell r="C41" t="str">
            <v>경기북부 TP</v>
          </cell>
          <cell r="H41" t="str">
            <v>제출완료</v>
          </cell>
        </row>
        <row r="42">
          <cell r="C42" t="str">
            <v>경기북부 TP</v>
          </cell>
          <cell r="H42" t="str">
            <v>취소</v>
          </cell>
        </row>
        <row r="43">
          <cell r="C43" t="str">
            <v>경기북부 TP</v>
          </cell>
          <cell r="H43" t="str">
            <v>취소</v>
          </cell>
        </row>
        <row r="44">
          <cell r="C44" t="str">
            <v>충북 TP</v>
          </cell>
          <cell r="H44" t="str">
            <v>제출완료</v>
          </cell>
        </row>
        <row r="45">
          <cell r="C45" t="str">
            <v>충북 TP</v>
          </cell>
          <cell r="H45" t="str">
            <v>제출완료</v>
          </cell>
        </row>
        <row r="46">
          <cell r="C46" t="str">
            <v>충북 TP</v>
          </cell>
          <cell r="H46" t="str">
            <v>제출완료</v>
          </cell>
        </row>
        <row r="47">
          <cell r="C47" t="str">
            <v>충북 TP</v>
          </cell>
          <cell r="H47" t="str">
            <v>제출완료</v>
          </cell>
        </row>
        <row r="48">
          <cell r="C48" t="str">
            <v>전남 TP</v>
          </cell>
          <cell r="H48" t="str">
            <v>제출완료</v>
          </cell>
        </row>
        <row r="49">
          <cell r="C49" t="str">
            <v>전남 TP</v>
          </cell>
          <cell r="H49" t="str">
            <v>제출완료</v>
          </cell>
        </row>
        <row r="50">
          <cell r="C50" t="str">
            <v>전남 TP</v>
          </cell>
          <cell r="H50" t="str">
            <v>제출완료</v>
          </cell>
        </row>
        <row r="51">
          <cell r="C51" t="str">
            <v>전남 TP</v>
          </cell>
          <cell r="H51" t="str">
            <v>제출완료</v>
          </cell>
        </row>
        <row r="52">
          <cell r="C52" t="str">
            <v>전남 TP</v>
          </cell>
          <cell r="H52" t="str">
            <v>제출완료</v>
          </cell>
        </row>
        <row r="53">
          <cell r="C53" t="str">
            <v>전남 TP</v>
          </cell>
          <cell r="H53" t="str">
            <v>제출완료</v>
          </cell>
        </row>
        <row r="54">
          <cell r="C54" t="str">
            <v>전남 TP</v>
          </cell>
          <cell r="H54" t="str">
            <v>제출완료</v>
          </cell>
        </row>
        <row r="55">
          <cell r="C55" t="str">
            <v>세종 TP</v>
          </cell>
          <cell r="H55" t="str">
            <v>제출완료</v>
          </cell>
        </row>
        <row r="56">
          <cell r="C56" t="str">
            <v>세종 TP</v>
          </cell>
          <cell r="H56" t="str">
            <v>제출완료</v>
          </cell>
        </row>
        <row r="57">
          <cell r="C57" t="str">
            <v>세종 TP</v>
          </cell>
          <cell r="H57" t="str">
            <v>제출완료</v>
          </cell>
        </row>
        <row r="58">
          <cell r="C58" t="str">
            <v>경기북부 TP</v>
          </cell>
          <cell r="H58" t="str">
            <v>제출완료</v>
          </cell>
        </row>
        <row r="59">
          <cell r="C59" t="str">
            <v>경기북부 TP</v>
          </cell>
          <cell r="H59" t="str">
            <v>제출완료</v>
          </cell>
        </row>
        <row r="60">
          <cell r="C60" t="str">
            <v>경기북부 TP</v>
          </cell>
          <cell r="H60" t="str">
            <v>제출완료</v>
          </cell>
        </row>
        <row r="61">
          <cell r="C61" t="str">
            <v>경기북부 TP</v>
          </cell>
          <cell r="H61" t="str">
            <v>제출완료</v>
          </cell>
        </row>
        <row r="62">
          <cell r="C62" t="str">
            <v>인천 TP</v>
          </cell>
          <cell r="H62" t="str">
            <v>제출완료</v>
          </cell>
        </row>
        <row r="63">
          <cell r="C63" t="str">
            <v>인천 TP</v>
          </cell>
          <cell r="H63" t="str">
            <v>제출완료</v>
          </cell>
        </row>
        <row r="64">
          <cell r="C64" t="str">
            <v>인천 TP</v>
          </cell>
          <cell r="H64" t="str">
            <v>제출완료</v>
          </cell>
        </row>
        <row r="65">
          <cell r="C65" t="str">
            <v>인천 TP</v>
          </cell>
          <cell r="H65" t="str">
            <v>제출완료</v>
          </cell>
        </row>
        <row r="66">
          <cell r="C66" t="str">
            <v>인천 TP</v>
          </cell>
          <cell r="H66" t="str">
            <v>제출완료</v>
          </cell>
        </row>
        <row r="67">
          <cell r="C67" t="str">
            <v>인천 TP</v>
          </cell>
          <cell r="H67" t="str">
            <v>제출완료</v>
          </cell>
        </row>
        <row r="68">
          <cell r="C68" t="str">
            <v>인천 TP</v>
          </cell>
          <cell r="H68" t="str">
            <v>제출완료</v>
          </cell>
        </row>
        <row r="69">
          <cell r="C69" t="str">
            <v>인천 TP</v>
          </cell>
          <cell r="H69" t="str">
            <v>제출완료</v>
          </cell>
        </row>
        <row r="70">
          <cell r="C70" t="str">
            <v>인천 TP</v>
          </cell>
          <cell r="H70" t="str">
            <v>제출완료</v>
          </cell>
        </row>
        <row r="71">
          <cell r="C71" t="str">
            <v>인천 TP</v>
          </cell>
          <cell r="H71" t="str">
            <v>취소</v>
          </cell>
        </row>
        <row r="72">
          <cell r="C72" t="str">
            <v>충남 TP</v>
          </cell>
          <cell r="H72" t="str">
            <v>제출완료</v>
          </cell>
        </row>
        <row r="73">
          <cell r="C73" t="str">
            <v>충남 TP</v>
          </cell>
          <cell r="H73" t="str">
            <v>제출완료</v>
          </cell>
        </row>
        <row r="74">
          <cell r="C74" t="str">
            <v>충남 TP</v>
          </cell>
          <cell r="H74" t="str">
            <v>제출완료</v>
          </cell>
        </row>
        <row r="75">
          <cell r="C75" t="str">
            <v>충남 TP</v>
          </cell>
          <cell r="H75" t="str">
            <v>제출완료</v>
          </cell>
        </row>
        <row r="76">
          <cell r="C76" t="str">
            <v>충남 TP</v>
          </cell>
          <cell r="H76" t="str">
            <v>제출완료</v>
          </cell>
        </row>
        <row r="77">
          <cell r="C77" t="str">
            <v>충북 TP</v>
          </cell>
          <cell r="H77" t="str">
            <v>제출완료</v>
          </cell>
        </row>
        <row r="78">
          <cell r="C78" t="str">
            <v>경기 TP</v>
          </cell>
          <cell r="H78" t="str">
            <v>제출완료</v>
          </cell>
        </row>
        <row r="79">
          <cell r="C79" t="str">
            <v>경기 TP</v>
          </cell>
          <cell r="H79" t="str">
            <v>제출완료</v>
          </cell>
        </row>
        <row r="80">
          <cell r="C80" t="str">
            <v>경기 TP</v>
          </cell>
          <cell r="H80" t="str">
            <v>제출완료</v>
          </cell>
        </row>
        <row r="81">
          <cell r="C81" t="str">
            <v>경기 TP</v>
          </cell>
          <cell r="H81" t="str">
            <v>제출완료</v>
          </cell>
        </row>
        <row r="82">
          <cell r="C82" t="str">
            <v>경기북부 TP</v>
          </cell>
          <cell r="H82" t="str">
            <v>제출완료</v>
          </cell>
        </row>
        <row r="83">
          <cell r="C83" t="str">
            <v>경남 TP</v>
          </cell>
          <cell r="H83" t="str">
            <v>제출완료</v>
          </cell>
        </row>
        <row r="84">
          <cell r="C84" t="str">
            <v>경남 TP</v>
          </cell>
          <cell r="H84" t="str">
            <v>제출완료</v>
          </cell>
        </row>
        <row r="85">
          <cell r="C85" t="str">
            <v>경남 TP</v>
          </cell>
          <cell r="H85" t="str">
            <v>제출완료</v>
          </cell>
        </row>
        <row r="86">
          <cell r="C86" t="str">
            <v>경남 TP</v>
          </cell>
          <cell r="H86" t="str">
            <v>제출완료</v>
          </cell>
        </row>
        <row r="87">
          <cell r="C87" t="str">
            <v>경남 TP</v>
          </cell>
          <cell r="H87" t="str">
            <v>제출완료</v>
          </cell>
        </row>
        <row r="88">
          <cell r="C88" t="str">
            <v>경남 TP</v>
          </cell>
          <cell r="H88" t="str">
            <v>제출완료</v>
          </cell>
        </row>
        <row r="89">
          <cell r="C89" t="str">
            <v>경남 TP</v>
          </cell>
          <cell r="H89" t="str">
            <v>제출완료</v>
          </cell>
        </row>
        <row r="90">
          <cell r="C90" t="str">
            <v>경남 TP</v>
          </cell>
          <cell r="H90" t="str">
            <v>제출완료</v>
          </cell>
        </row>
        <row r="91">
          <cell r="C91" t="str">
            <v>인천 TP</v>
          </cell>
          <cell r="H91" t="str">
            <v>제출완료</v>
          </cell>
        </row>
        <row r="92">
          <cell r="C92" t="str">
            <v>경기 TP</v>
          </cell>
          <cell r="H92" t="str">
            <v>제출완료</v>
          </cell>
        </row>
        <row r="93">
          <cell r="C93" t="str">
            <v>울산 TP</v>
          </cell>
          <cell r="H93" t="str">
            <v>제출완료</v>
          </cell>
        </row>
        <row r="94">
          <cell r="C94" t="str">
            <v>전북 TP</v>
          </cell>
          <cell r="H94" t="str">
            <v>제출완료</v>
          </cell>
        </row>
        <row r="95">
          <cell r="C95" t="str">
            <v>전북 TP</v>
          </cell>
          <cell r="H95" t="str">
            <v>제출완료</v>
          </cell>
        </row>
        <row r="96">
          <cell r="C96" t="str">
            <v>전북 TP</v>
          </cell>
          <cell r="H96" t="str">
            <v>제출완료</v>
          </cell>
        </row>
        <row r="97">
          <cell r="C97" t="str">
            <v>전북 TP</v>
          </cell>
          <cell r="H97" t="str">
            <v>제출완료</v>
          </cell>
        </row>
        <row r="98">
          <cell r="C98" t="str">
            <v>전북 TP</v>
          </cell>
          <cell r="H98" t="str">
            <v>제출완료</v>
          </cell>
        </row>
        <row r="99">
          <cell r="C99" t="str">
            <v>전북 TP</v>
          </cell>
          <cell r="H99" t="str">
            <v>제출완료</v>
          </cell>
        </row>
        <row r="100">
          <cell r="C100" t="str">
            <v>전북 TP</v>
          </cell>
          <cell r="H100" t="str">
            <v>제출완료</v>
          </cell>
        </row>
        <row r="101">
          <cell r="C101" t="str">
            <v>전북 TP</v>
          </cell>
          <cell r="H101" t="str">
            <v>제출완료</v>
          </cell>
        </row>
        <row r="102">
          <cell r="C102" t="str">
            <v>전북 TP</v>
          </cell>
          <cell r="H102" t="str">
            <v>제출완료</v>
          </cell>
        </row>
        <row r="103">
          <cell r="C103" t="str">
            <v>충남 TP</v>
          </cell>
          <cell r="H103" t="str">
            <v>제출완료</v>
          </cell>
        </row>
        <row r="104">
          <cell r="C104" t="str">
            <v>충남 TP</v>
          </cell>
          <cell r="H104" t="str">
            <v>제출완료</v>
          </cell>
        </row>
        <row r="105">
          <cell r="C105" t="str">
            <v>경기 TP</v>
          </cell>
          <cell r="H105" t="str">
            <v>제출완료</v>
          </cell>
        </row>
        <row r="106">
          <cell r="C106" t="str">
            <v>경기 TP</v>
          </cell>
          <cell r="H106" t="str">
            <v>제출완료</v>
          </cell>
        </row>
        <row r="107">
          <cell r="C107" t="str">
            <v>경기 TP</v>
          </cell>
          <cell r="H107" t="str">
            <v>제출완료</v>
          </cell>
        </row>
        <row r="108">
          <cell r="C108" t="str">
            <v>경기 TP</v>
          </cell>
          <cell r="H108" t="str">
            <v>제출완료</v>
          </cell>
        </row>
        <row r="109">
          <cell r="C109" t="str">
            <v>경기 TP</v>
          </cell>
          <cell r="H109" t="str">
            <v>제출완료</v>
          </cell>
        </row>
        <row r="110">
          <cell r="C110" t="str">
            <v>경기 TP</v>
          </cell>
          <cell r="H110" t="str">
            <v>제출완료</v>
          </cell>
        </row>
        <row r="111">
          <cell r="C111" t="str">
            <v>경남 TP</v>
          </cell>
          <cell r="H111" t="str">
            <v>제출완료</v>
          </cell>
        </row>
        <row r="112">
          <cell r="C112" t="str">
            <v>경남 TP</v>
          </cell>
          <cell r="H112" t="str">
            <v>제출완료</v>
          </cell>
        </row>
        <row r="113">
          <cell r="C113" t="str">
            <v>경남 TP</v>
          </cell>
          <cell r="H113" t="str">
            <v>제출완료</v>
          </cell>
        </row>
        <row r="114">
          <cell r="C114" t="str">
            <v>경남 TP</v>
          </cell>
          <cell r="H114" t="str">
            <v>제출완료</v>
          </cell>
        </row>
        <row r="115">
          <cell r="C115" t="str">
            <v>대구 TP</v>
          </cell>
          <cell r="H115" t="str">
            <v>제출완료</v>
          </cell>
        </row>
        <row r="116">
          <cell r="C116" t="str">
            <v>대구 TP</v>
          </cell>
          <cell r="H116" t="str">
            <v>제출완료</v>
          </cell>
        </row>
        <row r="117">
          <cell r="C117" t="str">
            <v>전북 TP</v>
          </cell>
          <cell r="H117" t="str">
            <v>제출완료</v>
          </cell>
        </row>
        <row r="118">
          <cell r="C118" t="str">
            <v>충남 TP</v>
          </cell>
          <cell r="H118" t="str">
            <v>제출완료</v>
          </cell>
        </row>
        <row r="119">
          <cell r="C119" t="str">
            <v>충남 TP</v>
          </cell>
          <cell r="H119" t="str">
            <v>제출완료</v>
          </cell>
        </row>
        <row r="120">
          <cell r="C120" t="str">
            <v>경남 TP</v>
          </cell>
          <cell r="H120" t="str">
            <v>제출완료</v>
          </cell>
        </row>
        <row r="121">
          <cell r="C121" t="str">
            <v>경남 TP</v>
          </cell>
          <cell r="H121" t="str">
            <v>제출완료</v>
          </cell>
        </row>
        <row r="122">
          <cell r="C122" t="str">
            <v>경남 TP</v>
          </cell>
          <cell r="H122" t="str">
            <v>제출완료</v>
          </cell>
        </row>
        <row r="123">
          <cell r="C123" t="str">
            <v>경남 TP</v>
          </cell>
          <cell r="H123" t="str">
            <v>제출완료</v>
          </cell>
        </row>
        <row r="124">
          <cell r="C124" t="str">
            <v>경남 TP</v>
          </cell>
          <cell r="H124" t="str">
            <v>제출완료</v>
          </cell>
        </row>
        <row r="125">
          <cell r="C125" t="str">
            <v>대구 TP</v>
          </cell>
          <cell r="H125" t="str">
            <v>제출완료</v>
          </cell>
        </row>
        <row r="126">
          <cell r="C126" t="str">
            <v>충남 TP</v>
          </cell>
          <cell r="H126" t="str">
            <v>제출완료</v>
          </cell>
        </row>
        <row r="127">
          <cell r="C127" t="str">
            <v>대전 TP</v>
          </cell>
          <cell r="H127" t="str">
            <v>제출완료</v>
          </cell>
        </row>
        <row r="128">
          <cell r="C128" t="str">
            <v>경기북부 TP</v>
          </cell>
          <cell r="H128" t="str">
            <v>작성중</v>
          </cell>
        </row>
        <row r="129">
          <cell r="C129" t="str">
            <v>충북 TP</v>
          </cell>
          <cell r="H129" t="str">
            <v>제출완료</v>
          </cell>
        </row>
        <row r="130">
          <cell r="C130" t="str">
            <v>경기북부 TP</v>
          </cell>
          <cell r="H130" t="str">
            <v>제출완료</v>
          </cell>
        </row>
        <row r="131">
          <cell r="C131" t="str">
            <v>충북 TP</v>
          </cell>
          <cell r="H131" t="str">
            <v>제출완료</v>
          </cell>
        </row>
        <row r="132">
          <cell r="C132" t="str">
            <v>경남 TP</v>
          </cell>
          <cell r="H132" t="str">
            <v>제출완료</v>
          </cell>
        </row>
        <row r="133">
          <cell r="C133" t="str">
            <v>경기 TP</v>
          </cell>
          <cell r="H133" t="str">
            <v>제출완료</v>
          </cell>
        </row>
        <row r="134">
          <cell r="C134" t="str">
            <v>경기 TP</v>
          </cell>
          <cell r="H134" t="str">
            <v>제출완료</v>
          </cell>
        </row>
        <row r="135">
          <cell r="C135" t="str">
            <v>충남 TP</v>
          </cell>
          <cell r="H135" t="str">
            <v>제출완료</v>
          </cell>
        </row>
        <row r="136">
          <cell r="C136" t="str">
            <v>대구 TP</v>
          </cell>
          <cell r="H136" t="str">
            <v>제출완료</v>
          </cell>
        </row>
        <row r="137">
          <cell r="C137" t="str">
            <v>경남 TP</v>
          </cell>
          <cell r="H137" t="str">
            <v>제출완료</v>
          </cell>
        </row>
        <row r="138">
          <cell r="C138" t="str">
            <v>경남 TP</v>
          </cell>
          <cell r="H138" t="str">
            <v>제출완료</v>
          </cell>
        </row>
        <row r="139">
          <cell r="C139" t="str">
            <v>경남 TP</v>
          </cell>
          <cell r="H139" t="str">
            <v>제출완료</v>
          </cell>
        </row>
        <row r="140">
          <cell r="C140" t="str">
            <v>경남 TP</v>
          </cell>
          <cell r="H140" t="str">
            <v>제출완료</v>
          </cell>
        </row>
        <row r="141">
          <cell r="C141" t="str">
            <v>경남 TP</v>
          </cell>
          <cell r="H141" t="str">
            <v>제출완료</v>
          </cell>
        </row>
        <row r="142">
          <cell r="C142" t="str">
            <v>경남 TP</v>
          </cell>
          <cell r="H142" t="str">
            <v>제출완료</v>
          </cell>
        </row>
        <row r="143">
          <cell r="C143" t="str">
            <v>경남 TP</v>
          </cell>
          <cell r="H143" t="str">
            <v>제출완료</v>
          </cell>
        </row>
        <row r="144">
          <cell r="C144" t="str">
            <v>경남 TP</v>
          </cell>
          <cell r="H144" t="str">
            <v>제출완료</v>
          </cell>
        </row>
        <row r="145">
          <cell r="C145" t="str">
            <v>경남 TP</v>
          </cell>
          <cell r="H145" t="str">
            <v>제출완료</v>
          </cell>
        </row>
        <row r="146">
          <cell r="C146" t="str">
            <v>경남 TP</v>
          </cell>
          <cell r="H146" t="str">
            <v>제출완료</v>
          </cell>
        </row>
        <row r="147">
          <cell r="C147" t="str">
            <v>경남 TP</v>
          </cell>
          <cell r="H147" t="str">
            <v>제출완료</v>
          </cell>
        </row>
        <row r="148">
          <cell r="C148" t="str">
            <v>경남 TP</v>
          </cell>
          <cell r="H148" t="str">
            <v>제출완료</v>
          </cell>
        </row>
        <row r="149">
          <cell r="C149" t="str">
            <v>경남 TP</v>
          </cell>
          <cell r="H149" t="str">
            <v>제출완료</v>
          </cell>
        </row>
        <row r="150">
          <cell r="C150" t="str">
            <v>경남 TP</v>
          </cell>
          <cell r="H150" t="str">
            <v>제출완료</v>
          </cell>
        </row>
        <row r="151">
          <cell r="C151" t="str">
            <v>경남 TP</v>
          </cell>
          <cell r="H151" t="str">
            <v>제출완료</v>
          </cell>
        </row>
        <row r="152">
          <cell r="C152" t="str">
            <v>경남 TP</v>
          </cell>
          <cell r="H152" t="str">
            <v>작성중</v>
          </cell>
        </row>
        <row r="153">
          <cell r="C153" t="str">
            <v>경남 TP</v>
          </cell>
          <cell r="H153" t="str">
            <v>제출완료</v>
          </cell>
        </row>
        <row r="154">
          <cell r="C154" t="str">
            <v>경남 TP</v>
          </cell>
          <cell r="H154" t="str">
            <v>제출완료</v>
          </cell>
        </row>
        <row r="155">
          <cell r="C155" t="str">
            <v>경남 TP</v>
          </cell>
          <cell r="H155" t="str">
            <v>제출완료</v>
          </cell>
        </row>
        <row r="156">
          <cell r="C156" t="str">
            <v>경남 TP</v>
          </cell>
          <cell r="H156" t="str">
            <v>제출완료</v>
          </cell>
        </row>
        <row r="157">
          <cell r="C157" t="str">
            <v>경남 TP</v>
          </cell>
          <cell r="H157" t="str">
            <v>제출완료</v>
          </cell>
        </row>
        <row r="158">
          <cell r="C158" t="str">
            <v>경남 TP</v>
          </cell>
          <cell r="H158" t="str">
            <v>제출완료</v>
          </cell>
        </row>
        <row r="159">
          <cell r="C159" t="str">
            <v>경남 TP</v>
          </cell>
          <cell r="H159" t="str">
            <v>제출완료</v>
          </cell>
        </row>
        <row r="160">
          <cell r="C160" t="str">
            <v>경남 TP</v>
          </cell>
          <cell r="H160" t="str">
            <v>제출완료</v>
          </cell>
        </row>
        <row r="161">
          <cell r="C161" t="str">
            <v>경남 TP</v>
          </cell>
          <cell r="H161" t="str">
            <v>제출완료</v>
          </cell>
        </row>
        <row r="162">
          <cell r="C162" t="str">
            <v>경남 TP</v>
          </cell>
          <cell r="H162" t="str">
            <v>제출완료</v>
          </cell>
        </row>
        <row r="163">
          <cell r="C163" t="str">
            <v>경남 TP</v>
          </cell>
          <cell r="H163" t="str">
            <v>제출완료</v>
          </cell>
        </row>
        <row r="164">
          <cell r="C164" t="str">
            <v>경남 TP</v>
          </cell>
          <cell r="H164" t="str">
            <v>제출완료</v>
          </cell>
        </row>
        <row r="165">
          <cell r="C165" t="str">
            <v>경남 TP</v>
          </cell>
          <cell r="H165" t="str">
            <v>제출완료</v>
          </cell>
        </row>
        <row r="166">
          <cell r="C166" t="str">
            <v>경남 TP</v>
          </cell>
          <cell r="H166" t="str">
            <v>제출완료</v>
          </cell>
        </row>
        <row r="167">
          <cell r="C167" t="str">
            <v>경남 TP</v>
          </cell>
          <cell r="H167" t="str">
            <v>제출완료</v>
          </cell>
        </row>
        <row r="168">
          <cell r="C168" t="str">
            <v>경남 TP</v>
          </cell>
          <cell r="H168" t="str">
            <v>제출완료</v>
          </cell>
        </row>
        <row r="169">
          <cell r="C169" t="str">
            <v>경남 TP</v>
          </cell>
          <cell r="H169" t="str">
            <v>제출완료</v>
          </cell>
        </row>
        <row r="170">
          <cell r="C170" t="str">
            <v>경남 TP</v>
          </cell>
          <cell r="H170" t="str">
            <v>제출완료</v>
          </cell>
        </row>
        <row r="171">
          <cell r="C171" t="str">
            <v>경남 TP</v>
          </cell>
          <cell r="H171" t="str">
            <v>제출완료</v>
          </cell>
        </row>
        <row r="172">
          <cell r="C172" t="str">
            <v>경남 TP</v>
          </cell>
          <cell r="H172" t="str">
            <v>제출완료</v>
          </cell>
        </row>
        <row r="173">
          <cell r="C173" t="str">
            <v>경남 TP</v>
          </cell>
          <cell r="H173" t="str">
            <v>제출완료</v>
          </cell>
        </row>
        <row r="174">
          <cell r="C174" t="str">
            <v>경남 TP</v>
          </cell>
          <cell r="H174" t="str">
            <v>제출완료</v>
          </cell>
        </row>
        <row r="175">
          <cell r="C175" t="str">
            <v>경남 TP</v>
          </cell>
          <cell r="H175" t="str">
            <v>제출완료</v>
          </cell>
        </row>
        <row r="176">
          <cell r="C176" t="str">
            <v>경남 TP</v>
          </cell>
          <cell r="H176" t="str">
            <v>제출완료</v>
          </cell>
        </row>
        <row r="177">
          <cell r="C177" t="str">
            <v>경남 TP</v>
          </cell>
          <cell r="H177" t="str">
            <v>제출완료</v>
          </cell>
        </row>
        <row r="178">
          <cell r="C178" t="str">
            <v>경남 TP</v>
          </cell>
          <cell r="H178" t="str">
            <v>제출완료</v>
          </cell>
        </row>
        <row r="179">
          <cell r="C179" t="str">
            <v>경남 TP</v>
          </cell>
          <cell r="H179" t="str">
            <v>제출완료</v>
          </cell>
        </row>
        <row r="180">
          <cell r="C180" t="str">
            <v>경남 TP</v>
          </cell>
          <cell r="H180" t="str">
            <v>제출완료</v>
          </cell>
        </row>
        <row r="181">
          <cell r="C181" t="str">
            <v>경남 TP</v>
          </cell>
          <cell r="H181" t="str">
            <v>제출완료</v>
          </cell>
        </row>
        <row r="182">
          <cell r="C182" t="str">
            <v>경남 TP</v>
          </cell>
          <cell r="H182" t="str">
            <v>제출완료</v>
          </cell>
        </row>
        <row r="183">
          <cell r="C183" t="str">
            <v>경남 TP</v>
          </cell>
          <cell r="H183" t="str">
            <v>제출완료</v>
          </cell>
        </row>
        <row r="184">
          <cell r="C184" t="str">
            <v>경남 TP</v>
          </cell>
          <cell r="H184" t="str">
            <v>제출완료</v>
          </cell>
        </row>
        <row r="185">
          <cell r="C185" t="str">
            <v>경남 TP</v>
          </cell>
          <cell r="H185" t="str">
            <v>제출완료</v>
          </cell>
        </row>
        <row r="186">
          <cell r="C186" t="str">
            <v>경남 TP</v>
          </cell>
          <cell r="H186" t="str">
            <v>제출완료</v>
          </cell>
        </row>
        <row r="187">
          <cell r="C187" t="str">
            <v>경남 TP</v>
          </cell>
          <cell r="H187" t="str">
            <v>제출완료</v>
          </cell>
        </row>
        <row r="188">
          <cell r="C188" t="str">
            <v>경남 TP</v>
          </cell>
          <cell r="H188" t="str">
            <v>제출완료</v>
          </cell>
        </row>
        <row r="189">
          <cell r="C189" t="str">
            <v>경남 TP</v>
          </cell>
          <cell r="H189" t="str">
            <v>제출완료</v>
          </cell>
        </row>
        <row r="190">
          <cell r="C190" t="str">
            <v>경남 TP</v>
          </cell>
          <cell r="H190" t="str">
            <v>제출완료</v>
          </cell>
        </row>
        <row r="191">
          <cell r="C191" t="str">
            <v>경남 TP</v>
          </cell>
          <cell r="H191" t="str">
            <v>제출완료</v>
          </cell>
        </row>
        <row r="192">
          <cell r="C192" t="str">
            <v>경남 TP</v>
          </cell>
          <cell r="H192" t="str">
            <v>제출완료</v>
          </cell>
        </row>
        <row r="193">
          <cell r="C193" t="str">
            <v>경남 TP</v>
          </cell>
          <cell r="H193" t="str">
            <v>제출완료</v>
          </cell>
        </row>
        <row r="194">
          <cell r="C194" t="str">
            <v>경남 TP</v>
          </cell>
          <cell r="H194" t="str">
            <v>제출완료</v>
          </cell>
        </row>
        <row r="195">
          <cell r="C195" t="str">
            <v>세종 TP</v>
          </cell>
          <cell r="H195" t="str">
            <v>제출완료</v>
          </cell>
        </row>
        <row r="196">
          <cell r="C196" t="str">
            <v>경북 TP (경북스마트제조혁신)</v>
          </cell>
          <cell r="H196" t="str">
            <v>제출완료</v>
          </cell>
        </row>
        <row r="197">
          <cell r="C197" t="str">
            <v>제주 TP</v>
          </cell>
          <cell r="H197" t="str">
            <v>제출완료</v>
          </cell>
        </row>
        <row r="198">
          <cell r="C198" t="str">
            <v>충남 TP</v>
          </cell>
          <cell r="H198" t="str">
            <v>제출완료</v>
          </cell>
        </row>
        <row r="199">
          <cell r="C199" t="str">
            <v>울산 TP</v>
          </cell>
          <cell r="H199" t="str">
            <v>제출완료</v>
          </cell>
        </row>
        <row r="200">
          <cell r="C200" t="str">
            <v>대구 TP</v>
          </cell>
          <cell r="H200" t="str">
            <v>제출완료</v>
          </cell>
        </row>
        <row r="201">
          <cell r="C201" t="str">
            <v>경남 TP</v>
          </cell>
          <cell r="H201" t="str">
            <v>제출완료</v>
          </cell>
        </row>
        <row r="202">
          <cell r="C202" t="str">
            <v>충북 TP</v>
          </cell>
          <cell r="H202" t="str">
            <v>작성중</v>
          </cell>
        </row>
        <row r="203">
          <cell r="C203" t="str">
            <v>충북 TP</v>
          </cell>
          <cell r="H203" t="str">
            <v>작성중</v>
          </cell>
        </row>
        <row r="204">
          <cell r="C204" t="str">
            <v>강원 TP</v>
          </cell>
          <cell r="H204" t="str">
            <v>작성중</v>
          </cell>
        </row>
        <row r="205">
          <cell r="C205" t="str">
            <v>강원 TP</v>
          </cell>
          <cell r="H205" t="str">
            <v>작성중</v>
          </cell>
        </row>
        <row r="206">
          <cell r="C206" t="str">
            <v>충북 TP</v>
          </cell>
          <cell r="H206" t="str">
            <v>작성중</v>
          </cell>
        </row>
        <row r="207">
          <cell r="C207" t="str">
            <v>충북 TP</v>
          </cell>
          <cell r="H207" t="str">
            <v>작성중</v>
          </cell>
        </row>
        <row r="208">
          <cell r="C208" t="str">
            <v>부산 TP</v>
          </cell>
          <cell r="H208" t="str">
            <v>작성중</v>
          </cell>
        </row>
        <row r="209">
          <cell r="C209" t="str">
            <v>경남 TP</v>
          </cell>
          <cell r="H209" t="str">
            <v>작성중</v>
          </cell>
        </row>
        <row r="210">
          <cell r="C210" t="str">
            <v>경남 TP</v>
          </cell>
          <cell r="H210" t="str">
            <v>작성중</v>
          </cell>
        </row>
        <row r="211">
          <cell r="C211" t="str">
            <v>경남 TP</v>
          </cell>
          <cell r="H211" t="str">
            <v>작성중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일별현황_2025"/>
      <sheetName val="25년 LIST (메인비즈)"/>
      <sheetName val="25년 LIST (산학연)"/>
      <sheetName val="산학연 1차 청구리스트"/>
      <sheetName val="수행"/>
      <sheetName val="도장, prg"/>
      <sheetName val="담당자 연락처"/>
      <sheetName val="진행상황표"/>
    </sheetNames>
    <sheetDataSet>
      <sheetData sheetId="0" refreshError="1"/>
      <sheetData sheetId="1">
        <row r="4">
          <cell r="E4" t="str">
            <v>완료</v>
          </cell>
        </row>
        <row r="5">
          <cell r="E5" t="str">
            <v>완료</v>
          </cell>
        </row>
        <row r="6">
          <cell r="E6" t="str">
            <v>완료</v>
          </cell>
        </row>
        <row r="7">
          <cell r="E7" t="str">
            <v>완료</v>
          </cell>
        </row>
        <row r="8">
          <cell r="E8" t="str">
            <v>완료</v>
          </cell>
        </row>
        <row r="9">
          <cell r="E9" t="str">
            <v>완료</v>
          </cell>
        </row>
        <row r="10">
          <cell r="E10" t="str">
            <v>완료</v>
          </cell>
        </row>
        <row r="11">
          <cell r="E11" t="str">
            <v>완료</v>
          </cell>
        </row>
        <row r="12">
          <cell r="E12" t="str">
            <v>완료</v>
          </cell>
        </row>
        <row r="13">
          <cell r="E13" t="str">
            <v>완료</v>
          </cell>
        </row>
        <row r="14">
          <cell r="E14" t="str">
            <v>완료</v>
          </cell>
        </row>
        <row r="15">
          <cell r="E15" t="str">
            <v>완료</v>
          </cell>
        </row>
        <row r="16">
          <cell r="E16" t="str">
            <v>완료</v>
          </cell>
        </row>
        <row r="17">
          <cell r="E17" t="str">
            <v>완료</v>
          </cell>
        </row>
        <row r="18">
          <cell r="E18" t="str">
            <v>완료</v>
          </cell>
        </row>
        <row r="19">
          <cell r="E19" t="str">
            <v>완료</v>
          </cell>
        </row>
        <row r="20">
          <cell r="E20" t="str">
            <v>완료</v>
          </cell>
        </row>
        <row r="21">
          <cell r="E21" t="str">
            <v>완료</v>
          </cell>
        </row>
        <row r="22">
          <cell r="E22" t="str">
            <v>완료</v>
          </cell>
        </row>
        <row r="23">
          <cell r="E23" t="str">
            <v>완료</v>
          </cell>
        </row>
        <row r="24">
          <cell r="E24" t="str">
            <v>완료</v>
          </cell>
        </row>
        <row r="25">
          <cell r="E25" t="str">
            <v>완료</v>
          </cell>
        </row>
        <row r="26">
          <cell r="E26" t="str">
            <v>완료</v>
          </cell>
        </row>
        <row r="27">
          <cell r="E27" t="str">
            <v>완료</v>
          </cell>
        </row>
        <row r="28">
          <cell r="E28" t="str">
            <v>완료</v>
          </cell>
        </row>
        <row r="29">
          <cell r="E29" t="str">
            <v>완료</v>
          </cell>
        </row>
        <row r="30">
          <cell r="E30" t="str">
            <v>완료</v>
          </cell>
        </row>
        <row r="31">
          <cell r="E31" t="str">
            <v>완료</v>
          </cell>
        </row>
        <row r="32">
          <cell r="E32" t="str">
            <v>완료</v>
          </cell>
        </row>
        <row r="33">
          <cell r="E33" t="str">
            <v>완료</v>
          </cell>
        </row>
        <row r="34">
          <cell r="E34" t="str">
            <v>완료</v>
          </cell>
        </row>
        <row r="35">
          <cell r="E35" t="str">
            <v>완료</v>
          </cell>
        </row>
        <row r="36">
          <cell r="E36" t="str">
            <v>완료</v>
          </cell>
        </row>
        <row r="37">
          <cell r="E37" t="str">
            <v>완료</v>
          </cell>
        </row>
        <row r="38">
          <cell r="E38" t="str">
            <v>완료</v>
          </cell>
        </row>
        <row r="39">
          <cell r="E39" t="str">
            <v>완료</v>
          </cell>
        </row>
        <row r="40">
          <cell r="E40" t="str">
            <v>완료</v>
          </cell>
        </row>
        <row r="41">
          <cell r="E41" t="str">
            <v>완료</v>
          </cell>
        </row>
        <row r="42">
          <cell r="E42" t="str">
            <v>완료</v>
          </cell>
        </row>
        <row r="43">
          <cell r="E43" t="str">
            <v>완료</v>
          </cell>
        </row>
        <row r="44">
          <cell r="E44" t="str">
            <v>완료</v>
          </cell>
        </row>
        <row r="45">
          <cell r="E45" t="str">
            <v>완료</v>
          </cell>
        </row>
        <row r="46">
          <cell r="E46" t="str">
            <v>완료</v>
          </cell>
        </row>
        <row r="47">
          <cell r="E47" t="str">
            <v>완료</v>
          </cell>
        </row>
        <row r="48">
          <cell r="E48" t="str">
            <v>완료</v>
          </cell>
        </row>
        <row r="49">
          <cell r="E49" t="str">
            <v>완료</v>
          </cell>
        </row>
        <row r="50">
          <cell r="E50" t="str">
            <v>완료</v>
          </cell>
        </row>
        <row r="51">
          <cell r="E51" t="str">
            <v>완료</v>
          </cell>
        </row>
        <row r="52">
          <cell r="E52" t="str">
            <v>완료</v>
          </cell>
        </row>
        <row r="53">
          <cell r="E53" t="str">
            <v>완료</v>
          </cell>
        </row>
        <row r="54">
          <cell r="E54" t="str">
            <v>완료</v>
          </cell>
        </row>
        <row r="55">
          <cell r="E55" t="str">
            <v>완료</v>
          </cell>
        </row>
        <row r="56">
          <cell r="E56" t="str">
            <v>완료</v>
          </cell>
        </row>
        <row r="57">
          <cell r="E57" t="str">
            <v>완료</v>
          </cell>
        </row>
        <row r="58">
          <cell r="E58" t="str">
            <v>완료</v>
          </cell>
        </row>
        <row r="59">
          <cell r="E59" t="str">
            <v>완료</v>
          </cell>
        </row>
        <row r="60">
          <cell r="E60" t="str">
            <v>완료</v>
          </cell>
        </row>
        <row r="61">
          <cell r="E61" t="str">
            <v>완료</v>
          </cell>
        </row>
        <row r="62">
          <cell r="E62" t="str">
            <v>완료</v>
          </cell>
        </row>
        <row r="63">
          <cell r="E63" t="str">
            <v>완료</v>
          </cell>
        </row>
        <row r="64">
          <cell r="E64" t="str">
            <v>완료</v>
          </cell>
        </row>
        <row r="65">
          <cell r="E65" t="str">
            <v>완료</v>
          </cell>
        </row>
        <row r="66">
          <cell r="E66" t="str">
            <v>완료</v>
          </cell>
        </row>
        <row r="67">
          <cell r="E67" t="str">
            <v>완료</v>
          </cell>
        </row>
        <row r="68">
          <cell r="E68" t="str">
            <v>완료</v>
          </cell>
        </row>
        <row r="69">
          <cell r="E69" t="str">
            <v>완료</v>
          </cell>
        </row>
        <row r="70">
          <cell r="E70" t="str">
            <v>완료</v>
          </cell>
        </row>
        <row r="71">
          <cell r="E71" t="str">
            <v>완료</v>
          </cell>
        </row>
        <row r="72">
          <cell r="E72" t="str">
            <v>완료</v>
          </cell>
        </row>
        <row r="73">
          <cell r="E73" t="str">
            <v>완료</v>
          </cell>
        </row>
        <row r="74">
          <cell r="E74" t="str">
            <v>완료</v>
          </cell>
        </row>
        <row r="75">
          <cell r="E75" t="str">
            <v>완료</v>
          </cell>
        </row>
        <row r="76">
          <cell r="E76" t="str">
            <v>완료</v>
          </cell>
        </row>
        <row r="77">
          <cell r="E77" t="str">
            <v>완료</v>
          </cell>
        </row>
        <row r="78">
          <cell r="E78" t="str">
            <v>완료</v>
          </cell>
        </row>
        <row r="79">
          <cell r="E79" t="str">
            <v>완료</v>
          </cell>
        </row>
        <row r="80">
          <cell r="E80" t="str">
            <v>완료</v>
          </cell>
        </row>
        <row r="81">
          <cell r="E81" t="str">
            <v>완료</v>
          </cell>
        </row>
        <row r="82">
          <cell r="E82" t="str">
            <v>완료</v>
          </cell>
        </row>
        <row r="83">
          <cell r="E83" t="str">
            <v>완료</v>
          </cell>
        </row>
        <row r="84">
          <cell r="E84" t="str">
            <v>완료</v>
          </cell>
        </row>
        <row r="85">
          <cell r="E85" t="str">
            <v>완료</v>
          </cell>
        </row>
        <row r="86">
          <cell r="E86" t="str">
            <v>완료</v>
          </cell>
        </row>
        <row r="87">
          <cell r="E87" t="str">
            <v>완료</v>
          </cell>
        </row>
        <row r="88">
          <cell r="E88" t="str">
            <v>완료</v>
          </cell>
        </row>
        <row r="89">
          <cell r="E89" t="str">
            <v>완료</v>
          </cell>
        </row>
        <row r="90">
          <cell r="E90" t="str">
            <v>완료</v>
          </cell>
        </row>
        <row r="91">
          <cell r="E91" t="str">
            <v>완료</v>
          </cell>
        </row>
        <row r="92">
          <cell r="E92" t="str">
            <v>완료</v>
          </cell>
        </row>
        <row r="93">
          <cell r="E93" t="str">
            <v>완료</v>
          </cell>
        </row>
        <row r="94">
          <cell r="E94" t="str">
            <v>완료</v>
          </cell>
        </row>
        <row r="95">
          <cell r="E95" t="str">
            <v>완료</v>
          </cell>
        </row>
        <row r="96">
          <cell r="E96" t="str">
            <v>완료</v>
          </cell>
        </row>
        <row r="97">
          <cell r="E97" t="str">
            <v>완료</v>
          </cell>
        </row>
        <row r="98">
          <cell r="E98" t="str">
            <v>완료</v>
          </cell>
        </row>
        <row r="99">
          <cell r="E99" t="str">
            <v>완료</v>
          </cell>
        </row>
        <row r="100">
          <cell r="E100" t="str">
            <v>완료</v>
          </cell>
        </row>
        <row r="101">
          <cell r="E101" t="str">
            <v>완료</v>
          </cell>
        </row>
        <row r="102">
          <cell r="E102" t="str">
            <v>완료</v>
          </cell>
        </row>
        <row r="103">
          <cell r="E103" t="str">
            <v>완료</v>
          </cell>
        </row>
        <row r="104">
          <cell r="E104" t="str">
            <v>완료</v>
          </cell>
        </row>
        <row r="105">
          <cell r="E105" t="str">
            <v>완료</v>
          </cell>
        </row>
        <row r="106">
          <cell r="E106" t="str">
            <v>완료</v>
          </cell>
        </row>
        <row r="107">
          <cell r="E107" t="str">
            <v>완료</v>
          </cell>
        </row>
        <row r="108">
          <cell r="E108" t="str">
            <v>완료</v>
          </cell>
        </row>
        <row r="109">
          <cell r="E109" t="str">
            <v>완료</v>
          </cell>
        </row>
        <row r="110">
          <cell r="E110" t="str">
            <v>완료</v>
          </cell>
        </row>
        <row r="111">
          <cell r="E111" t="str">
            <v>완료</v>
          </cell>
        </row>
        <row r="112">
          <cell r="E112" t="str">
            <v>완료</v>
          </cell>
        </row>
        <row r="113">
          <cell r="E113" t="str">
            <v>완료</v>
          </cell>
        </row>
        <row r="114">
          <cell r="E114" t="str">
            <v>완료</v>
          </cell>
        </row>
        <row r="115">
          <cell r="E115" t="str">
            <v>완료</v>
          </cell>
        </row>
        <row r="116">
          <cell r="E116" t="str">
            <v>완료</v>
          </cell>
        </row>
        <row r="117">
          <cell r="E117" t="str">
            <v>완료</v>
          </cell>
        </row>
        <row r="118">
          <cell r="E118" t="str">
            <v>완료</v>
          </cell>
        </row>
        <row r="119">
          <cell r="E119" t="str">
            <v>완료</v>
          </cell>
        </row>
        <row r="120">
          <cell r="E120" t="str">
            <v>완료</v>
          </cell>
        </row>
        <row r="121">
          <cell r="E121" t="str">
            <v>완료</v>
          </cell>
        </row>
        <row r="122">
          <cell r="E122" t="str">
            <v>완료</v>
          </cell>
        </row>
        <row r="123">
          <cell r="E123" t="str">
            <v>완료</v>
          </cell>
        </row>
        <row r="124">
          <cell r="E124" t="str">
            <v>완료</v>
          </cell>
        </row>
        <row r="125">
          <cell r="E125" t="str">
            <v>완료</v>
          </cell>
        </row>
        <row r="126">
          <cell r="E126" t="str">
            <v>완료</v>
          </cell>
        </row>
        <row r="127">
          <cell r="E127" t="str">
            <v>완료</v>
          </cell>
        </row>
        <row r="128">
          <cell r="E128" t="str">
            <v>완료</v>
          </cell>
        </row>
        <row r="129">
          <cell r="E129" t="str">
            <v>완료</v>
          </cell>
        </row>
        <row r="130">
          <cell r="E130" t="str">
            <v>완료</v>
          </cell>
        </row>
        <row r="131">
          <cell r="E131" t="str">
            <v>완료</v>
          </cell>
        </row>
        <row r="132">
          <cell r="E132" t="str">
            <v>완료</v>
          </cell>
        </row>
        <row r="133">
          <cell r="E133" t="str">
            <v>완료</v>
          </cell>
        </row>
        <row r="134">
          <cell r="E134" t="str">
            <v>완료</v>
          </cell>
        </row>
        <row r="135">
          <cell r="E135" t="str">
            <v>완료</v>
          </cell>
        </row>
        <row r="136">
          <cell r="E136" t="str">
            <v>완료</v>
          </cell>
        </row>
        <row r="137">
          <cell r="E137" t="str">
            <v>완료</v>
          </cell>
        </row>
        <row r="138">
          <cell r="E138" t="str">
            <v>완료</v>
          </cell>
        </row>
        <row r="139">
          <cell r="E139" t="str">
            <v>완료</v>
          </cell>
        </row>
        <row r="140">
          <cell r="E140" t="str">
            <v>완료</v>
          </cell>
        </row>
        <row r="141">
          <cell r="E141" t="str">
            <v>완료</v>
          </cell>
        </row>
        <row r="142">
          <cell r="E142" t="str">
            <v>완료</v>
          </cell>
        </row>
        <row r="143">
          <cell r="E143" t="str">
            <v>완료</v>
          </cell>
        </row>
        <row r="144">
          <cell r="E144" t="str">
            <v>완료</v>
          </cell>
        </row>
        <row r="145">
          <cell r="E145" t="str">
            <v>완료</v>
          </cell>
        </row>
        <row r="146">
          <cell r="E146" t="str">
            <v>완료</v>
          </cell>
        </row>
        <row r="147">
          <cell r="E147" t="str">
            <v>완료</v>
          </cell>
        </row>
        <row r="148">
          <cell r="E148" t="str">
            <v>완료</v>
          </cell>
        </row>
        <row r="149">
          <cell r="E149" t="str">
            <v>완료</v>
          </cell>
        </row>
        <row r="150">
          <cell r="E150" t="str">
            <v>완료</v>
          </cell>
        </row>
        <row r="151">
          <cell r="E151" t="str">
            <v>완료</v>
          </cell>
        </row>
        <row r="152">
          <cell r="E152" t="str">
            <v>완료</v>
          </cell>
        </row>
        <row r="153">
          <cell r="E153" t="str">
            <v>완료</v>
          </cell>
        </row>
        <row r="154">
          <cell r="E154" t="str">
            <v>완료</v>
          </cell>
        </row>
        <row r="155">
          <cell r="E155" t="str">
            <v>완료</v>
          </cell>
        </row>
        <row r="156">
          <cell r="E156" t="str">
            <v>완료</v>
          </cell>
        </row>
        <row r="157">
          <cell r="E157" t="str">
            <v>완료</v>
          </cell>
        </row>
        <row r="158">
          <cell r="E158" t="str">
            <v>완료</v>
          </cell>
        </row>
        <row r="159">
          <cell r="E159" t="str">
            <v>완료</v>
          </cell>
        </row>
        <row r="160">
          <cell r="E160" t="str">
            <v>완료</v>
          </cell>
        </row>
        <row r="161">
          <cell r="E161" t="str">
            <v>완료</v>
          </cell>
        </row>
        <row r="162">
          <cell r="E162" t="str">
            <v>완료</v>
          </cell>
        </row>
        <row r="163">
          <cell r="E163" t="str">
            <v>완료</v>
          </cell>
        </row>
        <row r="164">
          <cell r="E164" t="str">
            <v>완료</v>
          </cell>
        </row>
        <row r="165">
          <cell r="E165" t="str">
            <v>완료</v>
          </cell>
        </row>
        <row r="166">
          <cell r="E166" t="str">
            <v>완료</v>
          </cell>
        </row>
        <row r="167">
          <cell r="E167" t="str">
            <v>완료</v>
          </cell>
        </row>
        <row r="168">
          <cell r="E168" t="str">
            <v>완료</v>
          </cell>
        </row>
        <row r="169">
          <cell r="E169" t="str">
            <v>완료</v>
          </cell>
        </row>
        <row r="170">
          <cell r="E170" t="str">
            <v>완료</v>
          </cell>
        </row>
        <row r="171">
          <cell r="E171" t="str">
            <v>완료</v>
          </cell>
        </row>
        <row r="172">
          <cell r="E172" t="str">
            <v>완료</v>
          </cell>
        </row>
        <row r="173">
          <cell r="E173" t="str">
            <v>완료</v>
          </cell>
        </row>
        <row r="174">
          <cell r="E174" t="str">
            <v>완료</v>
          </cell>
        </row>
        <row r="175">
          <cell r="E175" t="str">
            <v>완료</v>
          </cell>
        </row>
        <row r="176">
          <cell r="E176" t="str">
            <v>완료</v>
          </cell>
        </row>
        <row r="177">
          <cell r="E177" t="str">
            <v>완료</v>
          </cell>
        </row>
        <row r="178">
          <cell r="E178" t="str">
            <v>완료</v>
          </cell>
        </row>
        <row r="179">
          <cell r="E179" t="str">
            <v>완료</v>
          </cell>
        </row>
        <row r="180">
          <cell r="E180" t="str">
            <v>완료</v>
          </cell>
        </row>
        <row r="181">
          <cell r="E181" t="str">
            <v>완료</v>
          </cell>
        </row>
        <row r="182">
          <cell r="E182" t="str">
            <v>완료</v>
          </cell>
        </row>
        <row r="183">
          <cell r="E183" t="str">
            <v>완료</v>
          </cell>
        </row>
        <row r="184">
          <cell r="E184" t="str">
            <v>완료</v>
          </cell>
        </row>
        <row r="185">
          <cell r="E185" t="str">
            <v>완료</v>
          </cell>
        </row>
        <row r="186">
          <cell r="E186" t="str">
            <v>완료</v>
          </cell>
        </row>
        <row r="187">
          <cell r="E187" t="str">
            <v>완료</v>
          </cell>
        </row>
        <row r="188">
          <cell r="E188" t="str">
            <v>완료</v>
          </cell>
        </row>
        <row r="189">
          <cell r="E189" t="str">
            <v>완료</v>
          </cell>
        </row>
        <row r="190">
          <cell r="E190" t="str">
            <v>완료</v>
          </cell>
        </row>
        <row r="191">
          <cell r="E191" t="str">
            <v>완료</v>
          </cell>
        </row>
        <row r="192">
          <cell r="E192" t="str">
            <v>완료</v>
          </cell>
        </row>
        <row r="193">
          <cell r="E193" t="str">
            <v>완료</v>
          </cell>
        </row>
        <row r="194">
          <cell r="E194" t="str">
            <v>완료</v>
          </cell>
        </row>
        <row r="195">
          <cell r="E195" t="str">
            <v>완료</v>
          </cell>
        </row>
        <row r="196">
          <cell r="E196" t="str">
            <v>완료</v>
          </cell>
        </row>
        <row r="197">
          <cell r="E197" t="str">
            <v>완료</v>
          </cell>
        </row>
        <row r="198">
          <cell r="E198" t="str">
            <v>완료</v>
          </cell>
        </row>
        <row r="199">
          <cell r="E199" t="str">
            <v>완료</v>
          </cell>
        </row>
        <row r="200">
          <cell r="E200" t="str">
            <v>완료</v>
          </cell>
        </row>
        <row r="201">
          <cell r="E201" t="str">
            <v>완료</v>
          </cell>
        </row>
        <row r="202">
          <cell r="E202" t="str">
            <v>완료</v>
          </cell>
        </row>
        <row r="203">
          <cell r="E203" t="str">
            <v>완료</v>
          </cell>
        </row>
        <row r="204">
          <cell r="E204" t="str">
            <v>완료</v>
          </cell>
        </row>
        <row r="205">
          <cell r="E205" t="str">
            <v>완료</v>
          </cell>
        </row>
        <row r="206">
          <cell r="E206" t="str">
            <v>완료</v>
          </cell>
        </row>
        <row r="207">
          <cell r="E207" t="str">
            <v>완료</v>
          </cell>
        </row>
        <row r="208">
          <cell r="E208" t="str">
            <v>완료</v>
          </cell>
        </row>
        <row r="209">
          <cell r="E209" t="str">
            <v>완료</v>
          </cell>
        </row>
        <row r="210">
          <cell r="E210" t="str">
            <v>완료</v>
          </cell>
        </row>
        <row r="211">
          <cell r="E211" t="str">
            <v>완료</v>
          </cell>
        </row>
        <row r="212">
          <cell r="E212" t="str">
            <v>완료</v>
          </cell>
        </row>
        <row r="213">
          <cell r="E213" t="str">
            <v>완료</v>
          </cell>
        </row>
        <row r="214">
          <cell r="E214" t="str">
            <v>완료</v>
          </cell>
        </row>
        <row r="215">
          <cell r="E215" t="str">
            <v>완료</v>
          </cell>
        </row>
        <row r="216">
          <cell r="E216" t="str">
            <v>완료</v>
          </cell>
        </row>
        <row r="217">
          <cell r="E217" t="str">
            <v>완료</v>
          </cell>
        </row>
        <row r="218">
          <cell r="E218" t="str">
            <v>완료</v>
          </cell>
        </row>
        <row r="219">
          <cell r="E219" t="str">
            <v>완료</v>
          </cell>
        </row>
        <row r="220">
          <cell r="E220" t="str">
            <v>완료</v>
          </cell>
        </row>
        <row r="221">
          <cell r="E221" t="str">
            <v>완료</v>
          </cell>
        </row>
        <row r="222">
          <cell r="E222" t="str">
            <v>완료</v>
          </cell>
        </row>
        <row r="223">
          <cell r="E223" t="str">
            <v>완료</v>
          </cell>
        </row>
        <row r="224">
          <cell r="E224" t="str">
            <v>완료</v>
          </cell>
        </row>
        <row r="225">
          <cell r="E225" t="str">
            <v>완료</v>
          </cell>
        </row>
        <row r="226">
          <cell r="E226" t="str">
            <v>완료</v>
          </cell>
        </row>
        <row r="227">
          <cell r="E227" t="str">
            <v>완료</v>
          </cell>
        </row>
        <row r="228">
          <cell r="E228" t="str">
            <v>완료</v>
          </cell>
        </row>
        <row r="229">
          <cell r="E229" t="str">
            <v>완료</v>
          </cell>
        </row>
        <row r="230">
          <cell r="E230" t="str">
            <v>완료</v>
          </cell>
        </row>
        <row r="231">
          <cell r="E231" t="str">
            <v>완료</v>
          </cell>
        </row>
        <row r="232">
          <cell r="E232" t="str">
            <v>완료</v>
          </cell>
        </row>
        <row r="233">
          <cell r="E233" t="str">
            <v>완료</v>
          </cell>
        </row>
        <row r="234">
          <cell r="E234" t="str">
            <v>완료</v>
          </cell>
        </row>
        <row r="235">
          <cell r="E235" t="str">
            <v>완료</v>
          </cell>
        </row>
        <row r="236">
          <cell r="E236" t="str">
            <v>완료</v>
          </cell>
        </row>
        <row r="237">
          <cell r="E237" t="str">
            <v>완료</v>
          </cell>
        </row>
        <row r="238">
          <cell r="E238" t="str">
            <v>완료</v>
          </cell>
        </row>
        <row r="239">
          <cell r="E239" t="str">
            <v>완료</v>
          </cell>
        </row>
        <row r="240">
          <cell r="E240" t="str">
            <v>완료</v>
          </cell>
        </row>
        <row r="241">
          <cell r="E241" t="str">
            <v>완료</v>
          </cell>
        </row>
        <row r="242">
          <cell r="E242" t="str">
            <v>완료</v>
          </cell>
        </row>
        <row r="243">
          <cell r="E243" t="str">
            <v>완료</v>
          </cell>
        </row>
        <row r="244">
          <cell r="E244" t="str">
            <v>완료</v>
          </cell>
        </row>
        <row r="245">
          <cell r="E245" t="str">
            <v>완료</v>
          </cell>
        </row>
        <row r="246">
          <cell r="E246" t="str">
            <v>완료</v>
          </cell>
        </row>
        <row r="247">
          <cell r="E247" t="str">
            <v>완료</v>
          </cell>
        </row>
        <row r="248">
          <cell r="E248" t="str">
            <v>완료</v>
          </cell>
        </row>
        <row r="249">
          <cell r="E249" t="str">
            <v>완료</v>
          </cell>
        </row>
        <row r="250">
          <cell r="E250" t="str">
            <v>완료</v>
          </cell>
        </row>
        <row r="251">
          <cell r="E251" t="str">
            <v>완료</v>
          </cell>
        </row>
        <row r="252">
          <cell r="E252" t="str">
            <v>완료</v>
          </cell>
        </row>
        <row r="253">
          <cell r="E253" t="str">
            <v>완료</v>
          </cell>
        </row>
        <row r="254">
          <cell r="E254" t="str">
            <v>완료</v>
          </cell>
        </row>
        <row r="255">
          <cell r="E255" t="str">
            <v>완료</v>
          </cell>
        </row>
        <row r="256">
          <cell r="E256" t="str">
            <v>완료</v>
          </cell>
        </row>
        <row r="257">
          <cell r="E257" t="str">
            <v>완료</v>
          </cell>
        </row>
        <row r="258">
          <cell r="E258" t="str">
            <v>완료</v>
          </cell>
        </row>
        <row r="259">
          <cell r="E259" t="str">
            <v>완료</v>
          </cell>
        </row>
        <row r="260">
          <cell r="E260" t="str">
            <v>완료</v>
          </cell>
        </row>
        <row r="261">
          <cell r="E261" t="str">
            <v>완료</v>
          </cell>
        </row>
        <row r="262">
          <cell r="E262" t="str">
            <v>완료</v>
          </cell>
        </row>
        <row r="263">
          <cell r="E263" t="str">
            <v>완료</v>
          </cell>
        </row>
        <row r="264">
          <cell r="E264" t="str">
            <v>완료</v>
          </cell>
        </row>
        <row r="265">
          <cell r="E265" t="str">
            <v>완료</v>
          </cell>
        </row>
        <row r="266">
          <cell r="E266" t="str">
            <v>완료</v>
          </cell>
        </row>
        <row r="267">
          <cell r="E267" t="str">
            <v>완료</v>
          </cell>
        </row>
        <row r="268">
          <cell r="E268" t="str">
            <v>완료</v>
          </cell>
        </row>
        <row r="269">
          <cell r="E269" t="str">
            <v>완료</v>
          </cell>
        </row>
        <row r="270">
          <cell r="E270" t="str">
            <v>완료</v>
          </cell>
        </row>
        <row r="271">
          <cell r="E271" t="str">
            <v>완료</v>
          </cell>
        </row>
        <row r="272">
          <cell r="E272" t="str">
            <v>완료</v>
          </cell>
        </row>
        <row r="273">
          <cell r="E273" t="str">
            <v>완료</v>
          </cell>
        </row>
        <row r="274">
          <cell r="E274" t="str">
            <v>완료</v>
          </cell>
        </row>
        <row r="275">
          <cell r="E275" t="str">
            <v>완료</v>
          </cell>
        </row>
        <row r="276">
          <cell r="E276" t="str">
            <v>완료</v>
          </cell>
        </row>
        <row r="277">
          <cell r="E277" t="str">
            <v>완료</v>
          </cell>
        </row>
        <row r="278">
          <cell r="E278" t="str">
            <v>완료</v>
          </cell>
        </row>
        <row r="279">
          <cell r="E279" t="str">
            <v>완료</v>
          </cell>
        </row>
        <row r="280">
          <cell r="E280" t="str">
            <v>완료</v>
          </cell>
        </row>
        <row r="281">
          <cell r="E281" t="str">
            <v>완료</v>
          </cell>
        </row>
        <row r="282">
          <cell r="E282" t="str">
            <v>완료</v>
          </cell>
        </row>
        <row r="283">
          <cell r="E283" t="str">
            <v>완료</v>
          </cell>
        </row>
        <row r="284">
          <cell r="E284" t="str">
            <v>완료</v>
          </cell>
        </row>
        <row r="285">
          <cell r="E285" t="str">
            <v>완료</v>
          </cell>
        </row>
        <row r="286">
          <cell r="E286" t="str">
            <v>완료</v>
          </cell>
        </row>
        <row r="287">
          <cell r="E287" t="str">
            <v>완료</v>
          </cell>
        </row>
        <row r="288">
          <cell r="E288" t="str">
            <v>완료</v>
          </cell>
        </row>
        <row r="289">
          <cell r="E289" t="str">
            <v>완료</v>
          </cell>
        </row>
        <row r="290">
          <cell r="E290" t="str">
            <v>완료</v>
          </cell>
        </row>
        <row r="291">
          <cell r="E291" t="str">
            <v>완료</v>
          </cell>
        </row>
        <row r="292">
          <cell r="E292" t="str">
            <v>완료</v>
          </cell>
        </row>
        <row r="293">
          <cell r="E293" t="str">
            <v>완료</v>
          </cell>
        </row>
        <row r="294">
          <cell r="E294" t="str">
            <v>완료</v>
          </cell>
        </row>
        <row r="295">
          <cell r="E295" t="str">
            <v>완료</v>
          </cell>
        </row>
        <row r="296">
          <cell r="E296" t="str">
            <v>완료</v>
          </cell>
        </row>
        <row r="297">
          <cell r="E297" t="str">
            <v>완료</v>
          </cell>
        </row>
        <row r="298">
          <cell r="E298" t="str">
            <v>완료</v>
          </cell>
        </row>
        <row r="299">
          <cell r="E299" t="str">
            <v>완료</v>
          </cell>
        </row>
        <row r="300">
          <cell r="E300" t="str">
            <v>완료</v>
          </cell>
        </row>
        <row r="301">
          <cell r="E301" t="str">
            <v>완료</v>
          </cell>
        </row>
        <row r="302">
          <cell r="E302" t="str">
            <v>완료</v>
          </cell>
        </row>
        <row r="303">
          <cell r="E303" t="str">
            <v>완료</v>
          </cell>
        </row>
        <row r="304">
          <cell r="E304" t="str">
            <v>완료</v>
          </cell>
        </row>
        <row r="305">
          <cell r="E305" t="str">
            <v>완료</v>
          </cell>
        </row>
        <row r="306">
          <cell r="E306" t="str">
            <v>완료</v>
          </cell>
        </row>
        <row r="307">
          <cell r="E307" t="str">
            <v>완료</v>
          </cell>
        </row>
        <row r="308">
          <cell r="E308" t="str">
            <v>완료</v>
          </cell>
        </row>
        <row r="309">
          <cell r="E309" t="str">
            <v>완료</v>
          </cell>
        </row>
        <row r="310">
          <cell r="E310" t="str">
            <v>완료</v>
          </cell>
        </row>
        <row r="311">
          <cell r="E311" t="str">
            <v>완료</v>
          </cell>
        </row>
        <row r="312">
          <cell r="E312" t="str">
            <v>완료</v>
          </cell>
        </row>
        <row r="313">
          <cell r="E313" t="str">
            <v>완료</v>
          </cell>
        </row>
        <row r="314">
          <cell r="E314" t="str">
            <v>완료</v>
          </cell>
        </row>
        <row r="315">
          <cell r="E315" t="str">
            <v>완료</v>
          </cell>
        </row>
        <row r="316">
          <cell r="E316" t="str">
            <v>완료</v>
          </cell>
        </row>
        <row r="317">
          <cell r="E317" t="str">
            <v>완료</v>
          </cell>
        </row>
        <row r="318">
          <cell r="E318" t="str">
            <v>완료</v>
          </cell>
        </row>
        <row r="319">
          <cell r="E319" t="str">
            <v>완료</v>
          </cell>
        </row>
        <row r="320">
          <cell r="E320" t="str">
            <v>완료</v>
          </cell>
        </row>
        <row r="321">
          <cell r="E321" t="str">
            <v>완료</v>
          </cell>
        </row>
        <row r="322">
          <cell r="E322" t="str">
            <v>완료</v>
          </cell>
        </row>
        <row r="323">
          <cell r="E323" t="str">
            <v>완료</v>
          </cell>
        </row>
        <row r="324">
          <cell r="E324" t="str">
            <v>완료</v>
          </cell>
        </row>
        <row r="325">
          <cell r="E325" t="str">
            <v>완료</v>
          </cell>
        </row>
        <row r="326">
          <cell r="E326" t="str">
            <v>완료</v>
          </cell>
        </row>
        <row r="327">
          <cell r="E327" t="str">
            <v>완료</v>
          </cell>
        </row>
        <row r="328">
          <cell r="E328" t="str">
            <v>완료</v>
          </cell>
        </row>
        <row r="329">
          <cell r="E329" t="str">
            <v>완료</v>
          </cell>
        </row>
        <row r="330">
          <cell r="E330" t="str">
            <v>완료</v>
          </cell>
        </row>
        <row r="331">
          <cell r="E331" t="str">
            <v>완료</v>
          </cell>
        </row>
        <row r="332">
          <cell r="E332" t="str">
            <v>완료</v>
          </cell>
        </row>
        <row r="333">
          <cell r="E333" t="str">
            <v>완료</v>
          </cell>
        </row>
        <row r="334">
          <cell r="E334" t="str">
            <v>완료</v>
          </cell>
        </row>
        <row r="335">
          <cell r="E335" t="str">
            <v>완료</v>
          </cell>
        </row>
        <row r="336">
          <cell r="E336" t="str">
            <v>완료</v>
          </cell>
        </row>
        <row r="337">
          <cell r="E337" t="str">
            <v>완료</v>
          </cell>
        </row>
        <row r="338">
          <cell r="E338" t="str">
            <v>완료</v>
          </cell>
        </row>
        <row r="339">
          <cell r="E339" t="str">
            <v>완료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CB48-9BF2-4A4F-B1DF-CB12E0F277C3}">
  <sheetPr>
    <tabColor rgb="FF00B050"/>
    <pageSetUpPr fitToPage="1"/>
  </sheetPr>
  <dimension ref="B3:AG60"/>
  <sheetViews>
    <sheetView showGridLines="0" tabSelected="1" view="pageBreakPreview" zoomScale="55" zoomScaleNormal="55" zoomScaleSheetLayoutView="55" workbookViewId="0">
      <selection activeCell="O34" sqref="O34"/>
    </sheetView>
  </sheetViews>
  <sheetFormatPr defaultRowHeight="14.1" customHeight="1" x14ac:dyDescent="0.15"/>
  <cols>
    <col min="1" max="1" width="1.5546875" style="180" customWidth="1"/>
    <col min="2" max="2" width="18.77734375" style="180" customWidth="1"/>
    <col min="3" max="3" width="30.33203125" style="180" customWidth="1"/>
    <col min="4" max="4" width="6.33203125" style="180" customWidth="1"/>
    <col min="5" max="5" width="6.88671875" style="180" customWidth="1"/>
    <col min="6" max="6" width="7" style="180" customWidth="1"/>
    <col min="7" max="7" width="6.6640625" style="180" customWidth="1"/>
    <col min="8" max="9" width="7.21875" style="180" customWidth="1"/>
    <col min="10" max="10" width="7.44140625" style="180" customWidth="1"/>
    <col min="11" max="13" width="11.21875" style="180" customWidth="1"/>
    <col min="14" max="14" width="10.6640625" style="180" customWidth="1"/>
    <col min="15" max="15" width="11.109375" style="180" customWidth="1"/>
    <col min="16" max="18" width="11.6640625" style="180" customWidth="1"/>
    <col min="19" max="20" width="16.33203125" style="180" hidden="1" customWidth="1"/>
    <col min="21" max="21" width="9.5546875" style="180" hidden="1" customWidth="1"/>
    <col min="22" max="26" width="12.109375" style="180" customWidth="1"/>
    <col min="27" max="29" width="8.88671875" style="180"/>
    <col min="30" max="30" width="10.88671875" style="180" bestFit="1" customWidth="1"/>
    <col min="31" max="16384" width="8.88671875" style="180"/>
  </cols>
  <sheetData>
    <row r="3" spans="2:33" ht="32.25" customHeight="1" x14ac:dyDescent="0.15">
      <c r="B3" s="257" t="s">
        <v>336</v>
      </c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</row>
    <row r="6" spans="2:33" ht="4.5" customHeight="1" x14ac:dyDescent="0.15"/>
    <row r="7" spans="2:33" ht="37.5" customHeight="1" x14ac:dyDescent="0.15">
      <c r="B7" s="273" t="s">
        <v>344</v>
      </c>
      <c r="C7" s="270"/>
      <c r="D7" s="271"/>
      <c r="E7" s="271"/>
      <c r="F7" s="271"/>
      <c r="G7" s="271"/>
      <c r="H7" s="271"/>
      <c r="I7" s="271"/>
      <c r="J7" s="271"/>
      <c r="K7" s="271"/>
      <c r="L7" s="271"/>
      <c r="M7" s="272"/>
      <c r="T7" s="200"/>
      <c r="U7" s="200"/>
      <c r="V7" s="200"/>
      <c r="W7" s="200"/>
    </row>
    <row r="8" spans="2:33" ht="37.5" customHeight="1" x14ac:dyDescent="0.15">
      <c r="B8" s="274"/>
      <c r="C8" s="248"/>
      <c r="D8" s="249"/>
      <c r="E8" s="249"/>
      <c r="F8" s="249"/>
      <c r="G8" s="249"/>
      <c r="H8" s="249"/>
      <c r="I8" s="249"/>
      <c r="J8" s="249"/>
      <c r="K8" s="249"/>
      <c r="L8" s="249"/>
      <c r="M8" s="250"/>
      <c r="T8" s="199"/>
      <c r="U8" s="199"/>
      <c r="V8" s="199"/>
      <c r="W8" s="199"/>
    </row>
    <row r="9" spans="2:33" ht="37.5" customHeight="1" x14ac:dyDescent="0.15">
      <c r="B9" s="275" t="s">
        <v>345</v>
      </c>
      <c r="C9" s="277"/>
      <c r="D9" s="278"/>
      <c r="E9" s="278"/>
      <c r="F9" s="278"/>
      <c r="G9" s="278"/>
      <c r="H9" s="278"/>
      <c r="I9" s="278"/>
      <c r="J9" s="278"/>
      <c r="K9" s="278"/>
      <c r="L9" s="278"/>
      <c r="M9" s="279"/>
      <c r="T9" s="199"/>
      <c r="U9" s="199"/>
      <c r="V9" s="199"/>
      <c r="W9" s="199"/>
    </row>
    <row r="10" spans="2:33" ht="37.5" customHeight="1" x14ac:dyDescent="0.15">
      <c r="B10" s="276"/>
      <c r="C10" s="251"/>
      <c r="D10" s="252"/>
      <c r="E10" s="252"/>
      <c r="F10" s="252"/>
      <c r="G10" s="252"/>
      <c r="H10" s="252"/>
      <c r="I10" s="252"/>
      <c r="J10" s="252"/>
      <c r="K10" s="252"/>
      <c r="L10" s="252"/>
      <c r="M10" s="253"/>
      <c r="T10" s="199"/>
      <c r="U10" s="199"/>
      <c r="V10" s="199"/>
      <c r="W10" s="199"/>
    </row>
    <row r="11" spans="2:33" ht="27.95" customHeight="1" x14ac:dyDescent="0.15"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AD11" s="181">
        <f ca="1">TODAY()</f>
        <v>46189</v>
      </c>
      <c r="AE11" s="181"/>
    </row>
    <row r="12" spans="2:33" ht="25.5" customHeight="1" x14ac:dyDescent="0.15">
      <c r="B12" s="198" t="s">
        <v>211</v>
      </c>
      <c r="C12" s="201">
        <f ca="1">TODAY()</f>
        <v>46189</v>
      </c>
      <c r="D12" s="201"/>
      <c r="E12" s="201"/>
      <c r="F12" s="201"/>
      <c r="G12" s="201"/>
      <c r="H12" s="201"/>
      <c r="I12" s="201"/>
      <c r="J12" s="201"/>
      <c r="K12" s="197"/>
      <c r="L12" s="197"/>
      <c r="M12" s="197"/>
      <c r="N12" s="197"/>
      <c r="O12" s="197"/>
      <c r="P12" s="197"/>
      <c r="Q12" s="197"/>
      <c r="R12" s="197"/>
      <c r="S12" s="197"/>
    </row>
    <row r="13" spans="2:33" s="184" customFormat="1" ht="27" customHeight="1" x14ac:dyDescent="0.15">
      <c r="B13" s="289" t="s">
        <v>316</v>
      </c>
      <c r="C13" s="291" t="s">
        <v>332</v>
      </c>
      <c r="D13" s="263" t="s">
        <v>309</v>
      </c>
      <c r="E13" s="264"/>
      <c r="F13" s="264"/>
      <c r="G13" s="264"/>
      <c r="H13" s="264"/>
      <c r="I13" s="264"/>
      <c r="J13" s="264"/>
      <c r="K13" s="219">
        <v>2026</v>
      </c>
      <c r="L13" s="294" t="s">
        <v>318</v>
      </c>
      <c r="M13" s="258"/>
      <c r="N13" s="258"/>
      <c r="O13" s="295"/>
      <c r="P13" s="258" t="s">
        <v>346</v>
      </c>
      <c r="Q13" s="258"/>
      <c r="R13" s="259"/>
      <c r="S13" s="290">
        <f ca="1">TODAY()</f>
        <v>46189</v>
      </c>
      <c r="T13" s="290"/>
      <c r="U13" s="286" t="s">
        <v>319</v>
      </c>
      <c r="V13" s="285" t="s">
        <v>215</v>
      </c>
      <c r="W13" s="282"/>
      <c r="X13" s="282"/>
      <c r="Y13" s="282"/>
      <c r="Z13" s="282"/>
    </row>
    <row r="14" spans="2:33" s="184" customFormat="1" ht="27" customHeight="1" x14ac:dyDescent="0.15">
      <c r="B14" s="289"/>
      <c r="C14" s="292"/>
      <c r="D14" s="267">
        <v>2020</v>
      </c>
      <c r="E14" s="267">
        <v>2021</v>
      </c>
      <c r="F14" s="266" t="s">
        <v>330</v>
      </c>
      <c r="G14" s="265" t="s">
        <v>331</v>
      </c>
      <c r="H14" s="267">
        <v>2023</v>
      </c>
      <c r="I14" s="280">
        <v>2024</v>
      </c>
      <c r="J14" s="299">
        <v>2025</v>
      </c>
      <c r="K14" s="298" t="s">
        <v>338</v>
      </c>
      <c r="L14" s="300" t="s">
        <v>342</v>
      </c>
      <c r="M14" s="301"/>
      <c r="N14" s="296" t="s">
        <v>341</v>
      </c>
      <c r="O14" s="297"/>
      <c r="P14" s="268" t="s">
        <v>322</v>
      </c>
      <c r="Q14" s="269" t="s">
        <v>334</v>
      </c>
      <c r="R14" s="269" t="s">
        <v>335</v>
      </c>
      <c r="S14" s="217"/>
      <c r="T14" s="217"/>
      <c r="U14" s="287"/>
      <c r="V14" s="285"/>
      <c r="W14" s="216"/>
      <c r="X14" s="216"/>
      <c r="Y14" s="216"/>
      <c r="Z14" s="216"/>
    </row>
    <row r="15" spans="2:33" s="184" customFormat="1" ht="34.5" customHeight="1" x14ac:dyDescent="0.15">
      <c r="B15" s="289"/>
      <c r="C15" s="293"/>
      <c r="D15" s="267"/>
      <c r="E15" s="267"/>
      <c r="F15" s="266"/>
      <c r="G15" s="265"/>
      <c r="H15" s="267"/>
      <c r="I15" s="281"/>
      <c r="J15" s="299"/>
      <c r="K15" s="298"/>
      <c r="L15" s="208" t="s">
        <v>15</v>
      </c>
      <c r="M15" s="225" t="s">
        <v>337</v>
      </c>
      <c r="N15" s="208" t="s">
        <v>339</v>
      </c>
      <c r="O15" s="220" t="s">
        <v>340</v>
      </c>
      <c r="P15" s="268"/>
      <c r="Q15" s="269"/>
      <c r="R15" s="269"/>
      <c r="S15" s="208" t="s">
        <v>324</v>
      </c>
      <c r="T15" s="208" t="s">
        <v>224</v>
      </c>
      <c r="U15" s="288"/>
      <c r="V15" s="285"/>
      <c r="W15" s="283"/>
      <c r="X15" s="284"/>
      <c r="Y15" s="284"/>
      <c r="Z15" s="284"/>
    </row>
    <row r="16" spans="2:33" ht="36" customHeight="1" x14ac:dyDescent="0.15">
      <c r="B16" s="260" t="s">
        <v>333</v>
      </c>
      <c r="C16" s="202" t="s">
        <v>204</v>
      </c>
      <c r="D16" s="227">
        <v>65</v>
      </c>
      <c r="E16" s="227">
        <v>23</v>
      </c>
      <c r="F16" s="227">
        <v>16</v>
      </c>
      <c r="G16" s="227">
        <v>14</v>
      </c>
      <c r="H16" s="227"/>
      <c r="I16" s="254">
        <v>4</v>
      </c>
      <c r="J16" s="228">
        <v>13</v>
      </c>
      <c r="K16" s="229">
        <f>COUNTIF('세부(구축)'!$B:$B,C16)</f>
        <v>0</v>
      </c>
      <c r="L16" s="230">
        <f>COUNTIFS('세부(구축)'!$B:$B,C16,'세부(구축)'!$G:$G,"&lt;&gt;승인")</f>
        <v>0</v>
      </c>
      <c r="M16" s="231">
        <f>COUNTIFS('세부(구축)'!$B:$B,C16,'세부(구축)'!$G:$G,"신규")</f>
        <v>0</v>
      </c>
      <c r="N16" s="230">
        <f>COUNTIFS('세부(구축)'!$B:$B,C16,'세부(구축)'!$G:$G,"승인")</f>
        <v>0</v>
      </c>
      <c r="O16" s="232">
        <f ca="1">COUNTIFS('세부(구축)'!$I:$I,$C$12,'세부(구축)'!$B:$B,C16)</f>
        <v>0</v>
      </c>
      <c r="P16" s="233">
        <f>COUNTIFS('세부(구축)'!$B:$B,C16,'세부(구축)'!$J:$J,"발행")</f>
        <v>0</v>
      </c>
      <c r="Q16" s="209"/>
      <c r="R16" s="233">
        <f>K16-P16</f>
        <v>0</v>
      </c>
      <c r="S16" s="233">
        <f ca="1">COUNTIFS('세부(구축)'!$I:$I,$C$12,'세부(구축)'!$B:$B,C16)</f>
        <v>0</v>
      </c>
      <c r="T16" s="231">
        <f ca="1">COUNTIFS('세부(구축)'!$B:$B,C16,'세부(구축)'!$H:$H,TODAY())</f>
        <v>0</v>
      </c>
      <c r="U16" s="233">
        <f t="shared" ref="U16:U57" ca="1" si="0">L16+T16</f>
        <v>0</v>
      </c>
      <c r="V16" s="233"/>
      <c r="W16" s="284"/>
      <c r="X16" s="284"/>
      <c r="Y16" s="284"/>
      <c r="Z16" s="284"/>
      <c r="AA16" s="180">
        <f ca="1">IF(OR(AND(ISNUMBER(T16), T16&lt;&gt;0), AND(ISNUMBER(U16), U16&lt;&gt;0), AND(ISNUMBER(S16), S16&lt;&gt;0),AND(ISNUMBER(M16), M16&lt;&gt;0)), 1, 0)</f>
        <v>0</v>
      </c>
      <c r="AD16" s="195">
        <f ca="1">M16+U16</f>
        <v>0</v>
      </c>
      <c r="AE16" s="180" t="b">
        <f ca="1">K16=AD16</f>
        <v>1</v>
      </c>
      <c r="AG16" s="180" t="s">
        <v>328</v>
      </c>
    </row>
    <row r="17" spans="2:33" ht="36" customHeight="1" x14ac:dyDescent="0.15">
      <c r="B17" s="261"/>
      <c r="C17" s="203" t="s">
        <v>22</v>
      </c>
      <c r="D17" s="234">
        <v>60</v>
      </c>
      <c r="E17" s="234">
        <v>101</v>
      </c>
      <c r="F17" s="234">
        <v>21</v>
      </c>
      <c r="G17" s="234">
        <v>20</v>
      </c>
      <c r="H17" s="234">
        <v>1</v>
      </c>
      <c r="I17" s="254">
        <v>44</v>
      </c>
      <c r="J17" s="228">
        <v>10</v>
      </c>
      <c r="K17" s="229">
        <f>COUNTIF('세부(구축)'!$B:$B,C17)</f>
        <v>0</v>
      </c>
      <c r="L17" s="230">
        <f>COUNTIFS('세부(구축)'!$B:$B,C17,'세부(구축)'!$G:$G,"&lt;&gt;승인")</f>
        <v>0</v>
      </c>
      <c r="M17" s="231">
        <f>COUNTIFS('세부(구축)'!$B:$B,C17,'세부(구축)'!$G:$G,"신규")</f>
        <v>0</v>
      </c>
      <c r="N17" s="230">
        <f>COUNTIFS('세부(구축)'!$B:$B,C17,'세부(구축)'!$G:$G,"승인")</f>
        <v>0</v>
      </c>
      <c r="O17" s="232">
        <f ca="1">COUNTIFS('세부(구축)'!$I:$I,$C$12,'세부(구축)'!$B:$B,C17)</f>
        <v>0</v>
      </c>
      <c r="P17" s="233">
        <f>COUNTIFS('세부(구축)'!$B:$B,C17,'세부(구축)'!$J:$J,"발행")</f>
        <v>0</v>
      </c>
      <c r="Q17" s="210"/>
      <c r="R17" s="233">
        <f>K17-P17</f>
        <v>0</v>
      </c>
      <c r="S17" s="233">
        <f ca="1">COUNTIFS('세부(구축)'!$I:$I,$C$12,'세부(구축)'!$B:$B,C17)</f>
        <v>0</v>
      </c>
      <c r="T17" s="231">
        <f ca="1">COUNTIFS('세부(구축)'!$B:$B,C17,'세부(구축)'!$H:$H,TODAY())</f>
        <v>0</v>
      </c>
      <c r="U17" s="233">
        <f t="shared" ca="1" si="0"/>
        <v>0</v>
      </c>
      <c r="V17" s="233"/>
      <c r="W17" s="196"/>
      <c r="X17" s="196"/>
      <c r="Y17" s="196"/>
      <c r="Z17" s="196"/>
      <c r="AA17" s="180">
        <f t="shared" ref="AA17:AA57" ca="1" si="1">IF(OR(AND(ISNUMBER(T17), T17&lt;&gt;0), AND(ISNUMBER(U17), U17&lt;&gt;0), AND(ISNUMBER(S17), S17&lt;&gt;0),AND(ISNUMBER(M17), M17&lt;&gt;0)), 1, 0)</f>
        <v>0</v>
      </c>
      <c r="AD17" s="195">
        <f ca="1">M17+U17</f>
        <v>0</v>
      </c>
      <c r="AE17" s="180" t="b">
        <f ca="1">K17=AD17</f>
        <v>1</v>
      </c>
      <c r="AG17" s="180" t="s">
        <v>328</v>
      </c>
    </row>
    <row r="18" spans="2:33" ht="36" customHeight="1" x14ac:dyDescent="0.15">
      <c r="B18" s="261"/>
      <c r="C18" s="203" t="s">
        <v>23</v>
      </c>
      <c r="D18" s="234">
        <v>129</v>
      </c>
      <c r="E18" s="234">
        <v>111</v>
      </c>
      <c r="F18" s="234">
        <v>92</v>
      </c>
      <c r="G18" s="234">
        <v>84</v>
      </c>
      <c r="H18" s="234">
        <v>0</v>
      </c>
      <c r="I18" s="254">
        <v>33</v>
      </c>
      <c r="J18" s="228">
        <v>28</v>
      </c>
      <c r="K18" s="229">
        <f>COUNTIF('세부(구축)'!$B:$B,C18)</f>
        <v>0</v>
      </c>
      <c r="L18" s="230">
        <f>COUNTIFS('세부(구축)'!$B:$B,C18,'세부(구축)'!$G:$G,"&lt;&gt;승인")</f>
        <v>0</v>
      </c>
      <c r="M18" s="231">
        <f>COUNTIFS('세부(구축)'!$B:$B,C18,'세부(구축)'!$G:$G,"신규")</f>
        <v>0</v>
      </c>
      <c r="N18" s="230">
        <f>COUNTIFS('세부(구축)'!$B:$B,C18,'세부(구축)'!$G:$G,"승인")</f>
        <v>0</v>
      </c>
      <c r="O18" s="232">
        <f ca="1">COUNTIFS('세부(구축)'!$I:$I,$C$12,'세부(구축)'!$B:$B,C18)</f>
        <v>0</v>
      </c>
      <c r="P18" s="233">
        <f>COUNTIFS('세부(구축)'!$B:$B,C18,'세부(구축)'!$J:$J,"발행")</f>
        <v>0</v>
      </c>
      <c r="Q18" s="210"/>
      <c r="R18" s="233">
        <f t="shared" ref="R18:R57" si="2">K18-P18</f>
        <v>0</v>
      </c>
      <c r="S18" s="233">
        <f ca="1">COUNTIFS('세부(구축)'!$I:$I,$C$12,'세부(구축)'!$B:$B,C18)</f>
        <v>0</v>
      </c>
      <c r="T18" s="231">
        <f ca="1">COUNTIFS('세부(구축)'!$B:$B,C18,'세부(구축)'!$H:$H,TODAY())</f>
        <v>0</v>
      </c>
      <c r="U18" s="233">
        <f t="shared" ca="1" si="0"/>
        <v>0</v>
      </c>
      <c r="V18" s="233"/>
      <c r="W18" s="196"/>
      <c r="X18" s="196"/>
      <c r="Y18" s="196"/>
      <c r="Z18" s="196"/>
      <c r="AA18" s="180">
        <f t="shared" ca="1" si="1"/>
        <v>0</v>
      </c>
      <c r="AD18" s="195">
        <f ca="1">M18+U18</f>
        <v>0</v>
      </c>
      <c r="AE18" s="180" t="b">
        <f ca="1">K18=AD18</f>
        <v>1</v>
      </c>
      <c r="AG18" s="180" t="s">
        <v>328</v>
      </c>
    </row>
    <row r="19" spans="2:33" ht="36" customHeight="1" x14ac:dyDescent="0.15">
      <c r="B19" s="261"/>
      <c r="C19" s="203" t="s">
        <v>261</v>
      </c>
      <c r="D19" s="234"/>
      <c r="E19" s="234"/>
      <c r="F19" s="234"/>
      <c r="G19" s="234"/>
      <c r="H19" s="234"/>
      <c r="I19" s="254"/>
      <c r="J19" s="228"/>
      <c r="K19" s="229">
        <f>COUNTIF('세부(구축)'!$B:$B,C19)</f>
        <v>13</v>
      </c>
      <c r="L19" s="230">
        <f>COUNTIFS('세부(구축)'!$B:$B,C19,'세부(구축)'!$G:$G,"&lt;&gt;승인")</f>
        <v>8</v>
      </c>
      <c r="M19" s="231">
        <f>COUNTIFS('세부(구축)'!$B:$B,C19,'세부(구축)'!$G:$G,"신규")</f>
        <v>0</v>
      </c>
      <c r="N19" s="230">
        <f>COUNTIFS('세부(구축)'!$B:$B,C19,'세부(구축)'!$G:$G,"승인")</f>
        <v>5</v>
      </c>
      <c r="O19" s="232">
        <f ca="1">COUNTIFS('세부(구축)'!$I:$I,$C$12,'세부(구축)'!$B:$B,C19)</f>
        <v>0</v>
      </c>
      <c r="P19" s="233">
        <f>COUNTIFS('세부(구축)'!$B:$B,C19,'세부(구축)'!$J:$J,"발행")</f>
        <v>0</v>
      </c>
      <c r="Q19" s="210"/>
      <c r="R19" s="233">
        <f t="shared" ref="R19" si="3">K19-P19</f>
        <v>13</v>
      </c>
      <c r="S19" s="233"/>
      <c r="T19" s="231"/>
      <c r="U19" s="233"/>
      <c r="V19" s="233"/>
      <c r="W19" s="196"/>
      <c r="X19" s="196"/>
      <c r="Y19" s="196"/>
      <c r="Z19" s="196"/>
      <c r="AD19" s="195"/>
    </row>
    <row r="20" spans="2:33" ht="36" customHeight="1" x14ac:dyDescent="0.15">
      <c r="B20" s="261"/>
      <c r="C20" s="203" t="s">
        <v>152</v>
      </c>
      <c r="D20" s="234">
        <v>7</v>
      </c>
      <c r="E20" s="234">
        <v>25</v>
      </c>
      <c r="F20" s="234">
        <v>0</v>
      </c>
      <c r="G20" s="234"/>
      <c r="H20" s="234">
        <v>0</v>
      </c>
      <c r="I20" s="254">
        <v>100</v>
      </c>
      <c r="J20" s="228">
        <v>7</v>
      </c>
      <c r="K20" s="229">
        <f>COUNTIF('세부(구축)'!$B:$B,C20)</f>
        <v>27</v>
      </c>
      <c r="L20" s="230">
        <f>COUNTIFS('세부(구축)'!$B:$B,C20,'세부(구축)'!$G:$G,"&lt;&gt;승인")</f>
        <v>0</v>
      </c>
      <c r="M20" s="231">
        <f>COUNTIFS('세부(구축)'!$B:$B,C20,'세부(구축)'!$G:$G,"신규")</f>
        <v>0</v>
      </c>
      <c r="N20" s="230">
        <f>COUNTIFS('세부(구축)'!$B:$B,C20,'세부(구축)'!$G:$G,"승인")</f>
        <v>27</v>
      </c>
      <c r="O20" s="232">
        <f ca="1">COUNTIFS('세부(구축)'!$I:$I,$C$12,'세부(구축)'!$B:$B,C20)</f>
        <v>0</v>
      </c>
      <c r="P20" s="233">
        <f>COUNTIFS('세부(구축)'!$B:$B,C20,'세부(구축)'!$J:$J,"발행")</f>
        <v>0</v>
      </c>
      <c r="Q20" s="210"/>
      <c r="R20" s="233">
        <f t="shared" si="2"/>
        <v>27</v>
      </c>
      <c r="S20" s="233">
        <f ca="1">COUNTIFS('세부(구축)'!$I:$I,$C$12,'세부(구축)'!$B:$B,C20)</f>
        <v>0</v>
      </c>
      <c r="T20" s="231">
        <f ca="1">COUNTIFS('세부(구축)'!$B:$B,C20,'세부(구축)'!$H:$H,TODAY())</f>
        <v>0</v>
      </c>
      <c r="U20" s="233">
        <f t="shared" ca="1" si="0"/>
        <v>0</v>
      </c>
      <c r="V20" s="233"/>
      <c r="AA20" s="180">
        <f t="shared" ca="1" si="1"/>
        <v>0</v>
      </c>
      <c r="AD20" s="181"/>
    </row>
    <row r="21" spans="2:33" ht="36" customHeight="1" x14ac:dyDescent="0.15">
      <c r="B21" s="261"/>
      <c r="C21" s="203" t="s">
        <v>200</v>
      </c>
      <c r="D21" s="234">
        <v>28</v>
      </c>
      <c r="E21" s="234">
        <v>64</v>
      </c>
      <c r="F21" s="234">
        <v>24</v>
      </c>
      <c r="G21" s="234">
        <v>23</v>
      </c>
      <c r="H21" s="234">
        <v>0</v>
      </c>
      <c r="I21" s="254">
        <v>5</v>
      </c>
      <c r="J21" s="228">
        <v>3</v>
      </c>
      <c r="K21" s="229">
        <f>COUNTIF('세부(구축)'!$B:$B,C21)</f>
        <v>13</v>
      </c>
      <c r="L21" s="230">
        <f>COUNTIFS('세부(구축)'!$B:$B,C21,'세부(구축)'!$G:$G,"&lt;&gt;승인")</f>
        <v>13</v>
      </c>
      <c r="M21" s="231">
        <f>COUNTIFS('세부(구축)'!$B:$B,C21,'세부(구축)'!$G:$G,"신규")</f>
        <v>0</v>
      </c>
      <c r="N21" s="230">
        <f>COUNTIFS('세부(구축)'!$B:$B,C21,'세부(구축)'!$G:$G,"승인")</f>
        <v>0</v>
      </c>
      <c r="O21" s="232">
        <f ca="1">COUNTIFS('세부(구축)'!$I:$I,$C$12,'세부(구축)'!$B:$B,C21)</f>
        <v>0</v>
      </c>
      <c r="P21" s="233">
        <f>COUNTIFS('세부(구축)'!$B:$B,C21,'세부(구축)'!$J:$J,"발행")</f>
        <v>0</v>
      </c>
      <c r="Q21" s="210"/>
      <c r="R21" s="233">
        <f t="shared" si="2"/>
        <v>13</v>
      </c>
      <c r="S21" s="233">
        <f ca="1">COUNTIFS('세부(구축)'!$I:$I,$C$12,'세부(구축)'!$B:$B,C21)</f>
        <v>0</v>
      </c>
      <c r="T21" s="231">
        <f ca="1">COUNTIFS('세부(구축)'!$B:$B,C21,'세부(구축)'!$H:$H,TODAY())</f>
        <v>0</v>
      </c>
      <c r="U21" s="233">
        <f t="shared" ca="1" si="0"/>
        <v>13</v>
      </c>
      <c r="V21" s="233"/>
      <c r="AA21" s="180">
        <f t="shared" ca="1" si="1"/>
        <v>1</v>
      </c>
      <c r="AD21" s="181"/>
    </row>
    <row r="22" spans="2:33" ht="36" customHeight="1" x14ac:dyDescent="0.15">
      <c r="B22" s="261"/>
      <c r="C22" s="203" t="s">
        <v>262</v>
      </c>
      <c r="D22" s="234">
        <v>20</v>
      </c>
      <c r="E22" s="234">
        <v>14</v>
      </c>
      <c r="F22" s="234">
        <v>9</v>
      </c>
      <c r="G22" s="234">
        <v>9</v>
      </c>
      <c r="H22" s="234">
        <v>0</v>
      </c>
      <c r="I22" s="254">
        <v>1</v>
      </c>
      <c r="J22" s="228">
        <v>22</v>
      </c>
      <c r="K22" s="229">
        <f>COUNTIF('세부(구축)'!$B:$B,C22)</f>
        <v>7</v>
      </c>
      <c r="L22" s="230">
        <f>COUNTIFS('세부(구축)'!$B:$B,C22,'세부(구축)'!$G:$G,"&lt;&gt;승인")</f>
        <v>5</v>
      </c>
      <c r="M22" s="231">
        <f>COUNTIFS('세부(구축)'!$B:$B,C22,'세부(구축)'!$G:$G,"신규")</f>
        <v>0</v>
      </c>
      <c r="N22" s="230">
        <f>COUNTIFS('세부(구축)'!$B:$B,C22,'세부(구축)'!$G:$G,"승인")</f>
        <v>2</v>
      </c>
      <c r="O22" s="232">
        <f ca="1">COUNTIFS('세부(구축)'!$I:$I,$C$12,'세부(구축)'!$B:$B,C22)</f>
        <v>0</v>
      </c>
      <c r="P22" s="233">
        <f>COUNTIFS('세부(구축)'!$B:$B,C22,'세부(구축)'!$J:$J,"발행")</f>
        <v>0</v>
      </c>
      <c r="Q22" s="210"/>
      <c r="R22" s="233">
        <f t="shared" si="2"/>
        <v>7</v>
      </c>
      <c r="S22" s="233">
        <f ca="1">COUNTIFS('세부(구축)'!$I:$I,$C$12,'세부(구축)'!$B:$B,C22)</f>
        <v>0</v>
      </c>
      <c r="T22" s="231">
        <f ca="1">COUNTIFS('세부(구축)'!$B:$B,C22,'세부(구축)'!$H:$H,TODAY())</f>
        <v>0</v>
      </c>
      <c r="U22" s="233">
        <f t="shared" ca="1" si="0"/>
        <v>5</v>
      </c>
      <c r="V22" s="233"/>
      <c r="W22" s="192"/>
      <c r="AA22" s="180">
        <f t="shared" ca="1" si="1"/>
        <v>1</v>
      </c>
      <c r="AC22" s="193"/>
      <c r="AD22" s="194"/>
      <c r="AE22" s="193"/>
    </row>
    <row r="23" spans="2:33" ht="36" customHeight="1" x14ac:dyDescent="0.15">
      <c r="B23" s="261"/>
      <c r="C23" s="203" t="s">
        <v>153</v>
      </c>
      <c r="D23" s="234">
        <v>4</v>
      </c>
      <c r="E23" s="234">
        <v>57</v>
      </c>
      <c r="F23" s="234">
        <v>10</v>
      </c>
      <c r="G23" s="234">
        <v>10</v>
      </c>
      <c r="H23" s="234">
        <v>0</v>
      </c>
      <c r="I23" s="254">
        <v>9</v>
      </c>
      <c r="J23" s="228">
        <v>0</v>
      </c>
      <c r="K23" s="229">
        <f>COUNTIF('세부(구축)'!$B:$B,C23)</f>
        <v>0</v>
      </c>
      <c r="L23" s="230">
        <f>COUNTIFS('세부(구축)'!$B:$B,C23,'세부(구축)'!$G:$G,"&lt;&gt;승인")</f>
        <v>0</v>
      </c>
      <c r="M23" s="231">
        <f>COUNTIFS('세부(구축)'!$B:$B,C23,'세부(구축)'!$G:$G,"신규")</f>
        <v>0</v>
      </c>
      <c r="N23" s="230">
        <f>COUNTIFS('세부(구축)'!$B:$B,C23,'세부(구축)'!$G:$G,"승인")</f>
        <v>0</v>
      </c>
      <c r="O23" s="232">
        <f ca="1">COUNTIFS('세부(구축)'!$I:$I,$C$12,'세부(구축)'!$B:$B,C23)</f>
        <v>0</v>
      </c>
      <c r="P23" s="233">
        <f>COUNTIFS('세부(구축)'!$B:$B,C23,'세부(구축)'!$J:$J,"발행")</f>
        <v>0</v>
      </c>
      <c r="Q23" s="210"/>
      <c r="R23" s="233">
        <f t="shared" si="2"/>
        <v>0</v>
      </c>
      <c r="S23" s="233">
        <f ca="1">COUNTIFS('세부(구축)'!$I:$I,$C$12,'세부(구축)'!$B:$B,C23)</f>
        <v>0</v>
      </c>
      <c r="T23" s="231">
        <f ca="1">COUNTIFS('세부(구축)'!$B:$B,C23,'세부(구축)'!$H:$H,TODAY())</f>
        <v>0</v>
      </c>
      <c r="U23" s="233">
        <f t="shared" ca="1" si="0"/>
        <v>0</v>
      </c>
      <c r="V23" s="233"/>
      <c r="W23" s="192"/>
      <c r="AA23" s="180">
        <f t="shared" ca="1" si="1"/>
        <v>0</v>
      </c>
      <c r="AC23" s="190"/>
      <c r="AD23" s="191"/>
      <c r="AE23" s="190"/>
      <c r="AF23" s="189"/>
    </row>
    <row r="24" spans="2:33" ht="36" customHeight="1" x14ac:dyDescent="0.15">
      <c r="B24" s="261"/>
      <c r="C24" s="203" t="s">
        <v>48</v>
      </c>
      <c r="D24" s="234">
        <v>12</v>
      </c>
      <c r="E24" s="234">
        <v>10</v>
      </c>
      <c r="F24" s="234">
        <v>4</v>
      </c>
      <c r="G24" s="234">
        <v>4</v>
      </c>
      <c r="H24" s="234">
        <v>0</v>
      </c>
      <c r="I24" s="254">
        <v>1</v>
      </c>
      <c r="J24" s="228">
        <v>3</v>
      </c>
      <c r="K24" s="229">
        <f>COUNTIF('세부(구축)'!$B:$B,C24)</f>
        <v>0</v>
      </c>
      <c r="L24" s="230">
        <f>COUNTIFS('세부(구축)'!$B:$B,C24,'세부(구축)'!$G:$G,"&lt;&gt;승인")</f>
        <v>0</v>
      </c>
      <c r="M24" s="231">
        <f>COUNTIFS('세부(구축)'!$B:$B,C24,'세부(구축)'!$G:$G,"신규")</f>
        <v>0</v>
      </c>
      <c r="N24" s="230">
        <f>COUNTIFS('세부(구축)'!$B:$B,C24,'세부(구축)'!$G:$G,"승인")</f>
        <v>0</v>
      </c>
      <c r="O24" s="232">
        <f ca="1">COUNTIFS('세부(구축)'!$I:$I,$C$12,'세부(구축)'!$B:$B,C24)</f>
        <v>0</v>
      </c>
      <c r="P24" s="233">
        <f>COUNTIFS('세부(구축)'!$B:$B,C24,'세부(구축)'!$J:$J,"발행")</f>
        <v>0</v>
      </c>
      <c r="Q24" s="210"/>
      <c r="R24" s="233">
        <f t="shared" si="2"/>
        <v>0</v>
      </c>
      <c r="S24" s="233">
        <f ca="1">COUNTIFS('세부(구축)'!$I:$I,$C$12,'세부(구축)'!$B:$B,C24)</f>
        <v>0</v>
      </c>
      <c r="T24" s="231">
        <f ca="1">COUNTIFS('세부(구축)'!$B:$B,C24,'세부(구축)'!$H:$H,TODAY())</f>
        <v>0</v>
      </c>
      <c r="U24" s="233">
        <f t="shared" ca="1" si="0"/>
        <v>0</v>
      </c>
      <c r="V24" s="233"/>
      <c r="Y24" s="188"/>
      <c r="Z24" s="188"/>
      <c r="AA24" s="180">
        <f t="shared" ca="1" si="1"/>
        <v>0</v>
      </c>
      <c r="AD24" s="181"/>
    </row>
    <row r="25" spans="2:33" ht="36" customHeight="1" x14ac:dyDescent="0.15">
      <c r="B25" s="261"/>
      <c r="C25" s="203" t="s">
        <v>50</v>
      </c>
      <c r="D25" s="234">
        <v>7</v>
      </c>
      <c r="E25" s="234">
        <v>40</v>
      </c>
      <c r="F25" s="234">
        <v>0</v>
      </c>
      <c r="G25" s="234"/>
      <c r="H25" s="234">
        <v>0</v>
      </c>
      <c r="I25" s="254">
        <v>8</v>
      </c>
      <c r="J25" s="228">
        <v>3</v>
      </c>
      <c r="K25" s="229">
        <f>COUNTIF('세부(구축)'!$B:$B,C25)</f>
        <v>0</v>
      </c>
      <c r="L25" s="230">
        <f>COUNTIFS('세부(구축)'!$B:$B,C25,'세부(구축)'!$G:$G,"&lt;&gt;승인")</f>
        <v>0</v>
      </c>
      <c r="M25" s="231">
        <f>COUNTIFS('세부(구축)'!$B:$B,C25,'세부(구축)'!$G:$G,"신규")</f>
        <v>0</v>
      </c>
      <c r="N25" s="230">
        <f>COUNTIFS('세부(구축)'!$B:$B,C25,'세부(구축)'!$G:$G,"승인")</f>
        <v>0</v>
      </c>
      <c r="O25" s="232">
        <f ca="1">COUNTIFS('세부(구축)'!$I:$I,$C$12,'세부(구축)'!$B:$B,C25)</f>
        <v>0</v>
      </c>
      <c r="P25" s="233">
        <f>COUNTIFS('세부(구축)'!$B:$B,C25,'세부(구축)'!$J:$J,"발행")</f>
        <v>0</v>
      </c>
      <c r="Q25" s="210"/>
      <c r="R25" s="233">
        <f t="shared" si="2"/>
        <v>0</v>
      </c>
      <c r="S25" s="233">
        <f ca="1">COUNTIFS('세부(구축)'!$I:$I,$C$12,'세부(구축)'!$B:$B,C25)</f>
        <v>0</v>
      </c>
      <c r="T25" s="231">
        <f ca="1">COUNTIFS('세부(구축)'!$B:$B,C25,'세부(구축)'!$H:$H,TODAY())</f>
        <v>0</v>
      </c>
      <c r="U25" s="233">
        <f t="shared" ca="1" si="0"/>
        <v>0</v>
      </c>
      <c r="V25" s="233"/>
      <c r="W25" s="183"/>
      <c r="X25" s="188"/>
      <c r="Y25" s="188"/>
      <c r="Z25" s="188"/>
      <c r="AA25" s="180">
        <f t="shared" ca="1" si="1"/>
        <v>0</v>
      </c>
      <c r="AD25" s="181"/>
    </row>
    <row r="26" spans="2:33" ht="36" customHeight="1" x14ac:dyDescent="0.15">
      <c r="B26" s="261"/>
      <c r="C26" s="203" t="s">
        <v>263</v>
      </c>
      <c r="D26" s="234">
        <v>46</v>
      </c>
      <c r="E26" s="234">
        <v>19</v>
      </c>
      <c r="F26" s="234">
        <v>10</v>
      </c>
      <c r="G26" s="234">
        <v>8</v>
      </c>
      <c r="H26" s="234">
        <v>0</v>
      </c>
      <c r="I26" s="254">
        <v>1</v>
      </c>
      <c r="J26" s="228">
        <v>0</v>
      </c>
      <c r="K26" s="229">
        <f>COUNTIF('세부(구축)'!$B:$B,C26)</f>
        <v>0</v>
      </c>
      <c r="L26" s="230">
        <f>COUNTIFS('세부(구축)'!$B:$B,C26,'세부(구축)'!$G:$G,"&lt;&gt;승인")</f>
        <v>0</v>
      </c>
      <c r="M26" s="231">
        <f>COUNTIFS('세부(구축)'!$B:$B,C26,'세부(구축)'!$G:$G,"신규")</f>
        <v>0</v>
      </c>
      <c r="N26" s="230">
        <f>COUNTIFS('세부(구축)'!$B:$B,C26,'세부(구축)'!$G:$G,"승인")</f>
        <v>0</v>
      </c>
      <c r="O26" s="232">
        <f ca="1">COUNTIFS('세부(구축)'!$I:$I,$C$12,'세부(구축)'!$B:$B,C26)</f>
        <v>0</v>
      </c>
      <c r="P26" s="233">
        <f>COUNTIFS('세부(구축)'!$B:$B,C26,'세부(구축)'!$J:$J,"발행")</f>
        <v>0</v>
      </c>
      <c r="Q26" s="210"/>
      <c r="R26" s="233">
        <f t="shared" si="2"/>
        <v>0</v>
      </c>
      <c r="S26" s="233">
        <f ca="1">COUNTIFS('세부(구축)'!$I:$I,$C$12,'세부(구축)'!$B:$B,C26)</f>
        <v>0</v>
      </c>
      <c r="T26" s="231">
        <f ca="1">COUNTIFS('세부(구축)'!$B:$B,C26,'세부(구축)'!$H:$H,TODAY())</f>
        <v>0</v>
      </c>
      <c r="U26" s="233">
        <f t="shared" ca="1" si="0"/>
        <v>0</v>
      </c>
      <c r="V26" s="233"/>
      <c r="W26" s="183"/>
      <c r="Y26" s="182"/>
      <c r="Z26" s="182"/>
      <c r="AA26" s="180">
        <f t="shared" ca="1" si="1"/>
        <v>0</v>
      </c>
      <c r="AD26" s="181"/>
    </row>
    <row r="27" spans="2:33" ht="36" customHeight="1" x14ac:dyDescent="0.15">
      <c r="B27" s="261"/>
      <c r="C27" s="203" t="s">
        <v>28</v>
      </c>
      <c r="D27" s="234">
        <v>7</v>
      </c>
      <c r="E27" s="234"/>
      <c r="F27" s="234">
        <v>7</v>
      </c>
      <c r="G27" s="234">
        <v>6</v>
      </c>
      <c r="H27" s="234">
        <v>0</v>
      </c>
      <c r="I27" s="254">
        <v>4</v>
      </c>
      <c r="J27" s="228">
        <v>3</v>
      </c>
      <c r="K27" s="229">
        <f>COUNTIF('세부(구축)'!$B:$B,C27)</f>
        <v>0</v>
      </c>
      <c r="L27" s="230">
        <f>COUNTIFS('세부(구축)'!$B:$B,C27,'세부(구축)'!$G:$G,"&lt;&gt;승인")</f>
        <v>0</v>
      </c>
      <c r="M27" s="231">
        <f>COUNTIFS('세부(구축)'!$B:$B,C27,'세부(구축)'!$G:$G,"신규")</f>
        <v>0</v>
      </c>
      <c r="N27" s="230">
        <f>COUNTIFS('세부(구축)'!$B:$B,C27,'세부(구축)'!$G:$G,"승인")</f>
        <v>0</v>
      </c>
      <c r="O27" s="232">
        <f ca="1">COUNTIFS('세부(구축)'!$I:$I,$C$12,'세부(구축)'!$B:$B,C27)</f>
        <v>0</v>
      </c>
      <c r="P27" s="233">
        <f>COUNTIFS('세부(구축)'!$B:$B,C27,'세부(구축)'!$J:$J,"발행")</f>
        <v>0</v>
      </c>
      <c r="Q27" s="210"/>
      <c r="R27" s="233">
        <f t="shared" si="2"/>
        <v>0</v>
      </c>
      <c r="S27" s="233">
        <f ca="1">COUNTIFS('세부(구축)'!$I:$I,$C$12,'세부(구축)'!$B:$B,C27)</f>
        <v>0</v>
      </c>
      <c r="T27" s="231">
        <f ca="1">COUNTIFS('세부(구축)'!$B:$B,C27,'세부(구축)'!$H:$H,TODAY())</f>
        <v>0</v>
      </c>
      <c r="U27" s="233">
        <f t="shared" ca="1" si="0"/>
        <v>0</v>
      </c>
      <c r="V27" s="233"/>
      <c r="W27" s="183"/>
      <c r="Y27" s="182"/>
      <c r="Z27" s="182"/>
      <c r="AA27" s="180">
        <f t="shared" ca="1" si="1"/>
        <v>0</v>
      </c>
      <c r="AD27" s="181"/>
    </row>
    <row r="28" spans="2:33" ht="36" customHeight="1" x14ac:dyDescent="0.15">
      <c r="B28" s="261"/>
      <c r="C28" s="203" t="s">
        <v>34</v>
      </c>
      <c r="D28" s="234">
        <v>37</v>
      </c>
      <c r="E28" s="234">
        <v>14</v>
      </c>
      <c r="F28" s="234">
        <v>6</v>
      </c>
      <c r="G28" s="234">
        <v>6</v>
      </c>
      <c r="H28" s="234">
        <v>0</v>
      </c>
      <c r="I28" s="254">
        <v>2</v>
      </c>
      <c r="J28" s="228">
        <v>2</v>
      </c>
      <c r="K28" s="229">
        <f>COUNTIF('세부(구축)'!$B:$B,C28)</f>
        <v>0</v>
      </c>
      <c r="L28" s="230">
        <f>COUNTIFS('세부(구축)'!$B:$B,C28,'세부(구축)'!$G:$G,"&lt;&gt;승인")</f>
        <v>0</v>
      </c>
      <c r="M28" s="231">
        <f>COUNTIFS('세부(구축)'!$B:$B,C28,'세부(구축)'!$G:$G,"신규")</f>
        <v>0</v>
      </c>
      <c r="N28" s="230">
        <f>COUNTIFS('세부(구축)'!$B:$B,C28,'세부(구축)'!$G:$G,"승인")</f>
        <v>0</v>
      </c>
      <c r="O28" s="232">
        <f ca="1">COUNTIFS('세부(구축)'!$I:$I,$C$12,'세부(구축)'!$B:$B,C28)</f>
        <v>0</v>
      </c>
      <c r="P28" s="233">
        <f>COUNTIFS('세부(구축)'!$B:$B,C28,'세부(구축)'!$J:$J,"발행")</f>
        <v>0</v>
      </c>
      <c r="Q28" s="210"/>
      <c r="R28" s="233">
        <f t="shared" si="2"/>
        <v>0</v>
      </c>
      <c r="S28" s="233">
        <f ca="1">COUNTIFS('세부(구축)'!$I:$I,$C$12,'세부(구축)'!$B:$B,C28)</f>
        <v>0</v>
      </c>
      <c r="T28" s="231">
        <f ca="1">COUNTIFS('세부(구축)'!$B:$B,C28,'세부(구축)'!$H:$H,TODAY())</f>
        <v>0</v>
      </c>
      <c r="U28" s="233">
        <f t="shared" ca="1" si="0"/>
        <v>0</v>
      </c>
      <c r="V28" s="233"/>
      <c r="W28" s="183"/>
      <c r="X28" s="182"/>
      <c r="Y28" s="182"/>
      <c r="Z28" s="182"/>
      <c r="AA28" s="180">
        <f t="shared" ca="1" si="1"/>
        <v>0</v>
      </c>
      <c r="AD28" s="181"/>
    </row>
    <row r="29" spans="2:33" ht="36" customHeight="1" x14ac:dyDescent="0.15">
      <c r="B29" s="261"/>
      <c r="C29" s="203" t="s">
        <v>154</v>
      </c>
      <c r="D29" s="234">
        <v>85</v>
      </c>
      <c r="E29" s="234">
        <v>65</v>
      </c>
      <c r="F29" s="234">
        <v>37</v>
      </c>
      <c r="G29" s="234">
        <v>23</v>
      </c>
      <c r="H29" s="234">
        <v>0</v>
      </c>
      <c r="I29" s="254">
        <v>18</v>
      </c>
      <c r="J29" s="228">
        <v>24</v>
      </c>
      <c r="K29" s="229">
        <f>COUNTIF('세부(구축)'!$B:$B,C29)</f>
        <v>13</v>
      </c>
      <c r="L29" s="230">
        <f>COUNTIFS('세부(구축)'!$B:$B,C29,'세부(구축)'!$G:$G,"&lt;&gt;승인")</f>
        <v>13</v>
      </c>
      <c r="M29" s="231">
        <f>COUNTIFS('세부(구축)'!$B:$B,C29,'세부(구축)'!$G:$G,"신규")</f>
        <v>0</v>
      </c>
      <c r="N29" s="230">
        <f>COUNTIFS('세부(구축)'!$B:$B,C29,'세부(구축)'!$G:$G,"승인")</f>
        <v>0</v>
      </c>
      <c r="O29" s="232">
        <f ca="1">COUNTIFS('세부(구축)'!$I:$I,$C$12,'세부(구축)'!$B:$B,C29)</f>
        <v>0</v>
      </c>
      <c r="P29" s="233">
        <f>COUNTIFS('세부(구축)'!$B:$B,C29,'세부(구축)'!$J:$J,"발행")</f>
        <v>0</v>
      </c>
      <c r="Q29" s="213"/>
      <c r="R29" s="233">
        <f t="shared" si="2"/>
        <v>13</v>
      </c>
      <c r="S29" s="233">
        <f ca="1">COUNTIFS('세부(구축)'!$I:$I,$C$12,'세부(구축)'!$B:$B,C29)</f>
        <v>0</v>
      </c>
      <c r="T29" s="231">
        <f ca="1">COUNTIFS('세부(구축)'!$B:$B,C29,'세부(구축)'!$H:$H,TODAY())</f>
        <v>0</v>
      </c>
      <c r="U29" s="233">
        <f t="shared" ca="1" si="0"/>
        <v>13</v>
      </c>
      <c r="V29" s="233"/>
      <c r="W29" s="183"/>
      <c r="X29" s="182"/>
      <c r="Y29" s="182"/>
      <c r="Z29" s="182"/>
      <c r="AA29" s="180">
        <f t="shared" ca="1" si="1"/>
        <v>1</v>
      </c>
      <c r="AD29" s="181"/>
    </row>
    <row r="30" spans="2:33" ht="36" customHeight="1" x14ac:dyDescent="0.15">
      <c r="B30" s="261"/>
      <c r="C30" s="203" t="s">
        <v>155</v>
      </c>
      <c r="D30" s="234">
        <v>36</v>
      </c>
      <c r="E30" s="234">
        <v>38</v>
      </c>
      <c r="F30" s="234">
        <v>16</v>
      </c>
      <c r="G30" s="234">
        <v>15</v>
      </c>
      <c r="H30" s="234">
        <v>0</v>
      </c>
      <c r="I30" s="254">
        <v>7</v>
      </c>
      <c r="J30" s="228">
        <v>7</v>
      </c>
      <c r="K30" s="229">
        <f>COUNTIF('세부(구축)'!$B:$B,C30)</f>
        <v>4</v>
      </c>
      <c r="L30" s="230">
        <f>COUNTIFS('세부(구축)'!$B:$B,C30,'세부(구축)'!$G:$G,"&lt;&gt;승인")</f>
        <v>1</v>
      </c>
      <c r="M30" s="231">
        <f>COUNTIFS('세부(구축)'!$B:$B,C30,'세부(구축)'!$G:$G,"신규")</f>
        <v>0</v>
      </c>
      <c r="N30" s="230">
        <f>COUNTIFS('세부(구축)'!$B:$B,C30,'세부(구축)'!$G:$G,"승인")</f>
        <v>3</v>
      </c>
      <c r="O30" s="232">
        <f ca="1">COUNTIFS('세부(구축)'!$I:$I,$C$12,'세부(구축)'!$B:$B,C30)</f>
        <v>0</v>
      </c>
      <c r="P30" s="233">
        <f>COUNTIFS('세부(구축)'!$B:$B,C30,'세부(구축)'!$J:$J,"발행")</f>
        <v>0</v>
      </c>
      <c r="Q30" s="210"/>
      <c r="R30" s="233">
        <f t="shared" si="2"/>
        <v>4</v>
      </c>
      <c r="S30" s="233">
        <f ca="1">COUNTIFS('세부(구축)'!$I:$I,$C$12,'세부(구축)'!$B:$B,C30)</f>
        <v>0</v>
      </c>
      <c r="T30" s="231">
        <f ca="1">COUNTIFS('세부(구축)'!$B:$B,C30,'세부(구축)'!$H:$H,TODAY())</f>
        <v>0</v>
      </c>
      <c r="U30" s="233">
        <f t="shared" ca="1" si="0"/>
        <v>1</v>
      </c>
      <c r="V30" s="233"/>
      <c r="W30" s="183"/>
      <c r="X30" s="182"/>
      <c r="Y30" s="182"/>
      <c r="Z30" s="182"/>
      <c r="AA30" s="180">
        <f t="shared" ca="1" si="1"/>
        <v>1</v>
      </c>
      <c r="AD30" s="181"/>
      <c r="AF30" s="180" t="s">
        <v>327</v>
      </c>
    </row>
    <row r="31" spans="2:33" ht="36" customHeight="1" x14ac:dyDescent="0.15">
      <c r="B31" s="261"/>
      <c r="C31" s="203" t="s">
        <v>21</v>
      </c>
      <c r="D31" s="234">
        <v>24</v>
      </c>
      <c r="E31" s="234">
        <v>14</v>
      </c>
      <c r="F31" s="234">
        <v>22</v>
      </c>
      <c r="G31" s="234">
        <v>19</v>
      </c>
      <c r="H31" s="234">
        <v>0</v>
      </c>
      <c r="I31" s="254">
        <v>19</v>
      </c>
      <c r="J31" s="228">
        <v>6</v>
      </c>
      <c r="K31" s="229">
        <f>COUNTIF('세부(구축)'!$B:$B,C31)</f>
        <v>4</v>
      </c>
      <c r="L31" s="230">
        <f>COUNTIFS('세부(구축)'!$B:$B,C31,'세부(구축)'!$G:$G,"&lt;&gt;승인")</f>
        <v>0</v>
      </c>
      <c r="M31" s="231">
        <f>COUNTIFS('세부(구축)'!$B:$B,C31,'세부(구축)'!$G:$G,"신규")</f>
        <v>0</v>
      </c>
      <c r="N31" s="230">
        <f>COUNTIFS('세부(구축)'!$B:$B,C31,'세부(구축)'!$G:$G,"승인")</f>
        <v>4</v>
      </c>
      <c r="O31" s="232">
        <f ca="1">COUNTIFS('세부(구축)'!$I:$I,$C$12,'세부(구축)'!$B:$B,C31)</f>
        <v>0</v>
      </c>
      <c r="P31" s="233">
        <f>COUNTIFS('세부(구축)'!$B:$B,C31,'세부(구축)'!$J:$J,"발행")</f>
        <v>0</v>
      </c>
      <c r="Q31" s="210"/>
      <c r="R31" s="233">
        <f t="shared" si="2"/>
        <v>4</v>
      </c>
      <c r="S31" s="233">
        <f ca="1">COUNTIFS('세부(구축)'!$I:$I,$C$12,'세부(구축)'!$B:$B,C31)</f>
        <v>0</v>
      </c>
      <c r="T31" s="231">
        <f ca="1">COUNTIFS('세부(구축)'!$B:$B,C31,'세부(구축)'!$H:$H,TODAY())</f>
        <v>0</v>
      </c>
      <c r="U31" s="233">
        <f t="shared" ca="1" si="0"/>
        <v>0</v>
      </c>
      <c r="V31" s="233"/>
      <c r="W31" s="183"/>
      <c r="X31" s="182"/>
      <c r="Y31" s="182"/>
      <c r="Z31" s="182"/>
      <c r="AA31" s="180">
        <f t="shared" ca="1" si="1"/>
        <v>0</v>
      </c>
      <c r="AD31" s="187"/>
    </row>
    <row r="32" spans="2:33" ht="36" customHeight="1" x14ac:dyDescent="0.15">
      <c r="B32" s="261"/>
      <c r="C32" s="203" t="s">
        <v>199</v>
      </c>
      <c r="D32" s="234">
        <v>2</v>
      </c>
      <c r="E32" s="234"/>
      <c r="F32" s="234">
        <v>11</v>
      </c>
      <c r="G32" s="234">
        <v>11</v>
      </c>
      <c r="H32" s="234">
        <v>0</v>
      </c>
      <c r="I32" s="254">
        <v>1</v>
      </c>
      <c r="J32" s="228">
        <v>0</v>
      </c>
      <c r="K32" s="229">
        <f>COUNTIF('세부(구축)'!$B:$B,C32)</f>
        <v>0</v>
      </c>
      <c r="L32" s="230">
        <f>COUNTIFS('세부(구축)'!$B:$B,C32,'세부(구축)'!$G:$G,"&lt;&gt;승인")</f>
        <v>0</v>
      </c>
      <c r="M32" s="231">
        <f>COUNTIFS('세부(구축)'!$B:$B,C32,'세부(구축)'!$G:$G,"신규")</f>
        <v>0</v>
      </c>
      <c r="N32" s="230">
        <f>COUNTIFS('세부(구축)'!$B:$B,C32,'세부(구축)'!$G:$G,"승인")</f>
        <v>0</v>
      </c>
      <c r="O32" s="232">
        <f ca="1">COUNTIFS('세부(구축)'!$I:$I,$C$12,'세부(구축)'!$B:$B,C32)</f>
        <v>0</v>
      </c>
      <c r="P32" s="233">
        <f>COUNTIFS('세부(구축)'!$B:$B,C32,'세부(구축)'!$J:$J,"발행")</f>
        <v>0</v>
      </c>
      <c r="Q32" s="210"/>
      <c r="R32" s="233">
        <f t="shared" si="2"/>
        <v>0</v>
      </c>
      <c r="S32" s="233">
        <f ca="1">COUNTIFS('세부(구축)'!$I:$I,$C$12,'세부(구축)'!$B:$B,C32)</f>
        <v>0</v>
      </c>
      <c r="T32" s="231">
        <f ca="1">COUNTIFS('세부(구축)'!$B:$B,C32,'세부(구축)'!$H:$H,TODAY())</f>
        <v>0</v>
      </c>
      <c r="U32" s="233">
        <f t="shared" ca="1" si="0"/>
        <v>0</v>
      </c>
      <c r="V32" s="233"/>
      <c r="W32" s="183"/>
      <c r="X32" s="182"/>
      <c r="Y32" s="182"/>
      <c r="Z32" s="182"/>
      <c r="AA32" s="180">
        <f t="shared" ca="1" si="1"/>
        <v>0</v>
      </c>
      <c r="AD32" s="181"/>
    </row>
    <row r="33" spans="2:30" ht="36" customHeight="1" x14ac:dyDescent="0.15">
      <c r="B33" s="261"/>
      <c r="C33" s="203" t="s">
        <v>47</v>
      </c>
      <c r="D33" s="234">
        <v>41</v>
      </c>
      <c r="E33" s="234">
        <v>34</v>
      </c>
      <c r="F33" s="234">
        <v>13</v>
      </c>
      <c r="G33" s="234">
        <v>13</v>
      </c>
      <c r="H33" s="234">
        <v>0</v>
      </c>
      <c r="I33" s="254">
        <v>15</v>
      </c>
      <c r="J33" s="228">
        <v>4</v>
      </c>
      <c r="K33" s="229">
        <f>COUNTIF('세부(구축)'!$B:$B,C33)</f>
        <v>0</v>
      </c>
      <c r="L33" s="230">
        <f>COUNTIFS('세부(구축)'!$B:$B,C33,'세부(구축)'!$G:$G,"&lt;&gt;승인")</f>
        <v>0</v>
      </c>
      <c r="M33" s="231">
        <f>COUNTIFS('세부(구축)'!$B:$B,C33,'세부(구축)'!$G:$G,"신규")</f>
        <v>0</v>
      </c>
      <c r="N33" s="230">
        <f>COUNTIFS('세부(구축)'!$B:$B,C33,'세부(구축)'!$G:$G,"승인")</f>
        <v>0</v>
      </c>
      <c r="O33" s="232">
        <f ca="1">COUNTIFS('세부(구축)'!$I:$I,$C$12,'세부(구축)'!$B:$B,C33)</f>
        <v>0</v>
      </c>
      <c r="P33" s="233">
        <f>COUNTIFS('세부(구축)'!$B:$B,C33,'세부(구축)'!$J:$J,"발행")</f>
        <v>0</v>
      </c>
      <c r="Q33" s="210"/>
      <c r="R33" s="233">
        <f t="shared" si="2"/>
        <v>0</v>
      </c>
      <c r="S33" s="233">
        <f ca="1">COUNTIFS('세부(구축)'!$I:$I,$C$12,'세부(구축)'!$B:$B,C33)</f>
        <v>0</v>
      </c>
      <c r="T33" s="231">
        <f ca="1">COUNTIFS('세부(구축)'!$B:$B,C33,'세부(구축)'!$H:$H,TODAY())</f>
        <v>0</v>
      </c>
      <c r="U33" s="233">
        <f t="shared" ca="1" si="0"/>
        <v>0</v>
      </c>
      <c r="V33" s="233"/>
      <c r="W33" s="183"/>
      <c r="X33" s="182"/>
      <c r="Y33" s="182"/>
      <c r="Z33" s="182"/>
      <c r="AA33" s="180">
        <f t="shared" ca="1" si="1"/>
        <v>0</v>
      </c>
      <c r="AD33" s="181"/>
    </row>
    <row r="34" spans="2:30" ht="36" customHeight="1" x14ac:dyDescent="0.15">
      <c r="B34" s="261"/>
      <c r="C34" s="203" t="s">
        <v>24</v>
      </c>
      <c r="D34" s="234">
        <v>33</v>
      </c>
      <c r="E34" s="234">
        <v>26</v>
      </c>
      <c r="F34" s="234">
        <v>14</v>
      </c>
      <c r="G34" s="234">
        <v>13</v>
      </c>
      <c r="H34" s="234">
        <v>0</v>
      </c>
      <c r="I34" s="254">
        <v>16</v>
      </c>
      <c r="J34" s="228">
        <v>9</v>
      </c>
      <c r="K34" s="229">
        <f>COUNTIF('세부(구축)'!$B:$B,C34)</f>
        <v>5</v>
      </c>
      <c r="L34" s="230">
        <f>COUNTIFS('세부(구축)'!$B:$B,C34,'세부(구축)'!$G:$G,"&lt;&gt;승인")</f>
        <v>1</v>
      </c>
      <c r="M34" s="231">
        <f>COUNTIFS('세부(구축)'!$B:$B,C34,'세부(구축)'!$G:$G,"신규")</f>
        <v>0</v>
      </c>
      <c r="N34" s="230">
        <f>COUNTIFS('세부(구축)'!$B:$B,C34,'세부(구축)'!$G:$G,"승인")</f>
        <v>4</v>
      </c>
      <c r="O34" s="232">
        <f ca="1">COUNTIFS('세부(구축)'!$I:$I,$C$12,'세부(구축)'!$B:$B,C34)</f>
        <v>0</v>
      </c>
      <c r="P34" s="233">
        <f>COUNTIFS('세부(구축)'!$B:$B,C34,'세부(구축)'!$J:$J,"발행")</f>
        <v>0</v>
      </c>
      <c r="Q34" s="210"/>
      <c r="R34" s="233">
        <f t="shared" si="2"/>
        <v>5</v>
      </c>
      <c r="S34" s="233">
        <f ca="1">COUNTIFS('세부(구축)'!$I:$I,$C$12,'세부(구축)'!$B:$B,C34)</f>
        <v>0</v>
      </c>
      <c r="T34" s="231">
        <f ca="1">COUNTIFS('세부(구축)'!$B:$B,C34,'세부(구축)'!$H:$H,TODAY())</f>
        <v>0</v>
      </c>
      <c r="U34" s="233">
        <f t="shared" ca="1" si="0"/>
        <v>1</v>
      </c>
      <c r="V34" s="233"/>
      <c r="W34" s="183"/>
      <c r="X34" s="182"/>
      <c r="Y34" s="182"/>
      <c r="Z34" s="182"/>
      <c r="AA34" s="180">
        <f t="shared" ca="1" si="1"/>
        <v>1</v>
      </c>
      <c r="AD34" s="181"/>
    </row>
    <row r="35" spans="2:30" ht="36" customHeight="1" x14ac:dyDescent="0.15">
      <c r="B35" s="261"/>
      <c r="C35" s="203" t="s">
        <v>264</v>
      </c>
      <c r="D35" s="234">
        <v>7</v>
      </c>
      <c r="E35" s="234">
        <v>9</v>
      </c>
      <c r="F35" s="234">
        <v>0</v>
      </c>
      <c r="G35" s="234"/>
      <c r="H35" s="234">
        <v>0</v>
      </c>
      <c r="I35" s="254">
        <v>1</v>
      </c>
      <c r="J35" s="228">
        <v>0</v>
      </c>
      <c r="K35" s="229">
        <f>COUNTIF('세부(구축)'!$B:$B,C35)</f>
        <v>0</v>
      </c>
      <c r="L35" s="230">
        <f>COUNTIFS('세부(구축)'!$B:$B,C35,'세부(구축)'!$G:$G,"&lt;&gt;승인")</f>
        <v>0</v>
      </c>
      <c r="M35" s="231">
        <f>COUNTIFS('세부(구축)'!$B:$B,C35,'세부(구축)'!$G:$G,"신규")</f>
        <v>0</v>
      </c>
      <c r="N35" s="230">
        <f>COUNTIFS('세부(구축)'!$B:$B,C35,'세부(구축)'!$G:$G,"승인")</f>
        <v>0</v>
      </c>
      <c r="O35" s="232">
        <f ca="1">COUNTIFS('세부(구축)'!$I:$I,$C$12,'세부(구축)'!$B:$B,C35)</f>
        <v>0</v>
      </c>
      <c r="P35" s="233">
        <f>COUNTIFS('세부(구축)'!$B:$B,C35,'세부(구축)'!$J:$J,"발행")</f>
        <v>0</v>
      </c>
      <c r="Q35" s="210"/>
      <c r="R35" s="233">
        <f t="shared" si="2"/>
        <v>0</v>
      </c>
      <c r="S35" s="233">
        <f ca="1">COUNTIFS('세부(구축)'!$I:$I,$C$12,'세부(구축)'!$B:$B,C35)</f>
        <v>0</v>
      </c>
      <c r="T35" s="231">
        <f ca="1">COUNTIFS('세부(구축)'!$B:$B,C35,'세부(구축)'!$H:$H,TODAY())</f>
        <v>0</v>
      </c>
      <c r="U35" s="233">
        <f t="shared" ca="1" si="0"/>
        <v>0</v>
      </c>
      <c r="V35" s="233"/>
      <c r="W35" s="183"/>
      <c r="X35" s="182"/>
      <c r="Y35" s="182"/>
      <c r="Z35" s="182"/>
      <c r="AA35" s="180">
        <f t="shared" ca="1" si="1"/>
        <v>0</v>
      </c>
      <c r="AD35" s="181"/>
    </row>
    <row r="36" spans="2:30" ht="36" customHeight="1" x14ac:dyDescent="0.15">
      <c r="B36" s="261"/>
      <c r="C36" s="204" t="s">
        <v>230</v>
      </c>
      <c r="D36" s="234">
        <v>32</v>
      </c>
      <c r="E36" s="234">
        <v>17</v>
      </c>
      <c r="F36" s="234">
        <v>25</v>
      </c>
      <c r="G36" s="234">
        <v>25</v>
      </c>
      <c r="H36" s="234">
        <v>0</v>
      </c>
      <c r="I36" s="254">
        <v>0</v>
      </c>
      <c r="J36" s="228">
        <v>0</v>
      </c>
      <c r="K36" s="229">
        <f>COUNTIF('세부(구축)'!$B:$B,C36)</f>
        <v>0</v>
      </c>
      <c r="L36" s="230">
        <f>COUNTIFS('세부(구축)'!$B:$B,C36,'세부(구축)'!$G:$G,"&lt;&gt;승인")</f>
        <v>0</v>
      </c>
      <c r="M36" s="231">
        <f>COUNTIFS('세부(구축)'!$B:$B,C36,'세부(구축)'!$G:$G,"신규")</f>
        <v>0</v>
      </c>
      <c r="N36" s="230">
        <f>COUNTIFS('세부(구축)'!$B:$B,C36,'세부(구축)'!$G:$G,"승인")</f>
        <v>0</v>
      </c>
      <c r="O36" s="232">
        <f ca="1">COUNTIFS('세부(구축)'!$I:$I,$C$12,'세부(구축)'!$B:$B,C36)</f>
        <v>0</v>
      </c>
      <c r="P36" s="233">
        <f>COUNTIFS('세부(구축)'!$B:$B,C36,'세부(구축)'!$J:$J,"발행")</f>
        <v>0</v>
      </c>
      <c r="Q36" s="210"/>
      <c r="R36" s="233">
        <f t="shared" si="2"/>
        <v>0</v>
      </c>
      <c r="S36" s="233">
        <f ca="1">COUNTIFS('세부(구축)'!$I:$I,$C$12,'세부(구축)'!$B:$B,C36)</f>
        <v>0</v>
      </c>
      <c r="T36" s="231">
        <f ca="1">COUNTIFS('세부(구축)'!$B:$B,C36,'세부(구축)'!$H:$H,TODAY())</f>
        <v>0</v>
      </c>
      <c r="U36" s="233">
        <f t="shared" ca="1" si="0"/>
        <v>0</v>
      </c>
      <c r="V36" s="233"/>
      <c r="W36" s="182"/>
      <c r="X36" s="182"/>
      <c r="Y36" s="182"/>
      <c r="AA36" s="180">
        <f t="shared" ca="1" si="1"/>
        <v>0</v>
      </c>
      <c r="AC36" s="181"/>
    </row>
    <row r="37" spans="2:30" ht="36" customHeight="1" x14ac:dyDescent="0.15">
      <c r="B37" s="261"/>
      <c r="C37" s="204" t="s">
        <v>231</v>
      </c>
      <c r="D37" s="234">
        <v>25</v>
      </c>
      <c r="E37" s="234">
        <v>14</v>
      </c>
      <c r="F37" s="234">
        <v>0</v>
      </c>
      <c r="G37" s="234"/>
      <c r="H37" s="234">
        <v>0</v>
      </c>
      <c r="I37" s="254">
        <v>0</v>
      </c>
      <c r="J37" s="228">
        <v>0</v>
      </c>
      <c r="K37" s="229">
        <f>COUNTIF('세부(구축)'!$B:$B,C37)</f>
        <v>0</v>
      </c>
      <c r="L37" s="230">
        <f>COUNTIFS('세부(구축)'!$B:$B,C37,'세부(구축)'!$G:$G,"&lt;&gt;승인")</f>
        <v>0</v>
      </c>
      <c r="M37" s="231">
        <f>COUNTIFS('세부(구축)'!$B:$B,C37,'세부(구축)'!$G:$G,"신규")</f>
        <v>0</v>
      </c>
      <c r="N37" s="230">
        <f>COUNTIFS('세부(구축)'!$B:$B,C37,'세부(구축)'!$G:$G,"승인")</f>
        <v>0</v>
      </c>
      <c r="O37" s="232">
        <f ca="1">COUNTIFS('세부(구축)'!$I:$I,$C$12,'세부(구축)'!$B:$B,C37)</f>
        <v>0</v>
      </c>
      <c r="P37" s="233">
        <f>COUNTIFS('세부(구축)'!$B:$B,C37,'세부(구축)'!$J:$J,"발행")</f>
        <v>0</v>
      </c>
      <c r="Q37" s="210"/>
      <c r="R37" s="233">
        <f t="shared" si="2"/>
        <v>0</v>
      </c>
      <c r="S37" s="233">
        <f ca="1">COUNTIFS('세부(구축)'!$I:$I,$C$12,'세부(구축)'!$B:$B,C37)</f>
        <v>0</v>
      </c>
      <c r="T37" s="231">
        <f ca="1">COUNTIFS('세부(구축)'!$B:$B,C37,'세부(구축)'!$H:$H,TODAY())</f>
        <v>0</v>
      </c>
      <c r="U37" s="233">
        <f t="shared" ca="1" si="0"/>
        <v>0</v>
      </c>
      <c r="V37" s="233"/>
      <c r="W37" s="182"/>
      <c r="X37" s="182"/>
      <c r="Y37" s="182"/>
      <c r="AA37" s="180">
        <f t="shared" ca="1" si="1"/>
        <v>0</v>
      </c>
      <c r="AC37" s="181"/>
    </row>
    <row r="38" spans="2:30" ht="36" customHeight="1" x14ac:dyDescent="0.15">
      <c r="B38" s="261"/>
      <c r="C38" s="204" t="s">
        <v>232</v>
      </c>
      <c r="D38" s="234"/>
      <c r="E38" s="234"/>
      <c r="F38" s="234">
        <v>0</v>
      </c>
      <c r="G38" s="234"/>
      <c r="H38" s="234">
        <v>0</v>
      </c>
      <c r="I38" s="254">
        <v>0</v>
      </c>
      <c r="J38" s="228">
        <v>0</v>
      </c>
      <c r="K38" s="229">
        <f>COUNTIF('세부(구축)'!$B:$B,C38)</f>
        <v>0</v>
      </c>
      <c r="L38" s="230">
        <f>COUNTIFS('세부(구축)'!$B:$B,C38,'세부(구축)'!$G:$G,"&lt;&gt;승인")</f>
        <v>0</v>
      </c>
      <c r="M38" s="231">
        <f>COUNTIFS('세부(구축)'!$B:$B,C38,'세부(구축)'!$G:$G,"신규")</f>
        <v>0</v>
      </c>
      <c r="N38" s="230">
        <f>COUNTIFS('세부(구축)'!$B:$B,C38,'세부(구축)'!$G:$G,"승인")</f>
        <v>0</v>
      </c>
      <c r="O38" s="232">
        <f ca="1">COUNTIFS('세부(구축)'!$I:$I,$C$12,'세부(구축)'!$B:$B,C38)</f>
        <v>0</v>
      </c>
      <c r="P38" s="233">
        <f>COUNTIFS('세부(구축)'!$B:$B,C38,'세부(구축)'!$J:$J,"발행")</f>
        <v>0</v>
      </c>
      <c r="Q38" s="210"/>
      <c r="R38" s="233">
        <f t="shared" si="2"/>
        <v>0</v>
      </c>
      <c r="S38" s="233">
        <f ca="1">COUNTIFS('세부(구축)'!$I:$I,$C$12,'세부(구축)'!$B:$B,C38)</f>
        <v>0</v>
      </c>
      <c r="T38" s="231">
        <f ca="1">COUNTIFS('세부(구축)'!$B:$B,C38,'세부(구축)'!$H:$H,TODAY())</f>
        <v>0</v>
      </c>
      <c r="U38" s="233">
        <f t="shared" ca="1" si="0"/>
        <v>0</v>
      </c>
      <c r="V38" s="233"/>
      <c r="W38" s="182"/>
      <c r="X38" s="182"/>
      <c r="Y38" s="182"/>
      <c r="AA38" s="180">
        <f t="shared" ca="1" si="1"/>
        <v>0</v>
      </c>
      <c r="AC38" s="181"/>
    </row>
    <row r="39" spans="2:30" ht="36" customHeight="1" x14ac:dyDescent="0.15">
      <c r="B39" s="261"/>
      <c r="C39" s="205" t="s">
        <v>233</v>
      </c>
      <c r="D39" s="235">
        <v>24</v>
      </c>
      <c r="E39" s="235">
        <v>8</v>
      </c>
      <c r="F39" s="234">
        <v>40</v>
      </c>
      <c r="G39" s="234">
        <v>40</v>
      </c>
      <c r="H39" s="235">
        <v>12</v>
      </c>
      <c r="I39" s="254">
        <v>0</v>
      </c>
      <c r="J39" s="228">
        <v>18</v>
      </c>
      <c r="K39" s="229">
        <f>COUNTIF('세부(구축)'!$B:$B,C39)</f>
        <v>13</v>
      </c>
      <c r="L39" s="230">
        <f>COUNTIFS('세부(구축)'!$B:$B,C39,'세부(구축)'!$G:$G,"&lt;&gt;승인")</f>
        <v>0</v>
      </c>
      <c r="M39" s="231">
        <f>COUNTIFS('세부(구축)'!$B:$B,C39,'세부(구축)'!$G:$G,"신규")</f>
        <v>0</v>
      </c>
      <c r="N39" s="230">
        <f>COUNTIFS('세부(구축)'!$B:$B,C39,'세부(구축)'!$G:$G,"승인")</f>
        <v>13</v>
      </c>
      <c r="O39" s="232">
        <f ca="1">COUNTIFS('세부(구축)'!$I:$I,$C$12,'세부(구축)'!$B:$B,C39)</f>
        <v>0</v>
      </c>
      <c r="P39" s="233">
        <f>COUNTIFS('세부(구축)'!$B:$B,C39,'세부(구축)'!$J:$J,"발행")</f>
        <v>0</v>
      </c>
      <c r="Q39" s="210"/>
      <c r="R39" s="233">
        <f t="shared" si="2"/>
        <v>13</v>
      </c>
      <c r="S39" s="233">
        <f ca="1">COUNTIFS('세부(구축)'!$I:$I,$C$12,'세부(구축)'!$B:$B,C39)</f>
        <v>0</v>
      </c>
      <c r="T39" s="231">
        <f ca="1">COUNTIFS('세부(구축)'!$B:$B,C39,'세부(구축)'!$H:$H,TODAY())</f>
        <v>0</v>
      </c>
      <c r="U39" s="233">
        <f t="shared" ca="1" si="0"/>
        <v>0</v>
      </c>
      <c r="V39" s="233"/>
      <c r="W39" s="182"/>
      <c r="X39" s="182"/>
      <c r="Y39" s="182"/>
      <c r="AA39" s="180">
        <f t="shared" ca="1" si="1"/>
        <v>0</v>
      </c>
      <c r="AC39" s="181"/>
    </row>
    <row r="40" spans="2:30" s="184" customFormat="1" ht="36" customHeight="1" x14ac:dyDescent="0.15">
      <c r="B40" s="261"/>
      <c r="C40" s="204" t="s">
        <v>234</v>
      </c>
      <c r="D40" s="234"/>
      <c r="E40" s="234">
        <v>58</v>
      </c>
      <c r="F40" s="234">
        <v>0</v>
      </c>
      <c r="G40" s="234"/>
      <c r="H40" s="234">
        <v>0</v>
      </c>
      <c r="I40" s="254">
        <v>0</v>
      </c>
      <c r="J40" s="228">
        <v>0</v>
      </c>
      <c r="K40" s="229">
        <f>COUNTIF('세부(구축)'!$B:$B,C40)</f>
        <v>0</v>
      </c>
      <c r="L40" s="230">
        <f>COUNTIFS('세부(구축)'!$B:$B,C40,'세부(구축)'!$G:$G,"&lt;&gt;승인")</f>
        <v>0</v>
      </c>
      <c r="M40" s="231">
        <f>COUNTIFS('세부(구축)'!$B:$B,C40,'세부(구축)'!$G:$G,"신규")</f>
        <v>0</v>
      </c>
      <c r="N40" s="230">
        <f>COUNTIFS('세부(구축)'!$B:$B,C40,'세부(구축)'!$G:$G,"승인")</f>
        <v>0</v>
      </c>
      <c r="O40" s="232">
        <f ca="1">COUNTIFS('세부(구축)'!$I:$I,$C$12,'세부(구축)'!$B:$B,C40)</f>
        <v>0</v>
      </c>
      <c r="P40" s="233">
        <f>COUNTIFS('세부(구축)'!$B:$B,C40,'세부(구축)'!$J:$J,"발행")</f>
        <v>0</v>
      </c>
      <c r="Q40" s="210"/>
      <c r="R40" s="233">
        <f t="shared" si="2"/>
        <v>0</v>
      </c>
      <c r="S40" s="233">
        <f ca="1">COUNTIFS('세부(구축)'!$I:$I,$C$12,'세부(구축)'!$B:$B,C40)</f>
        <v>0</v>
      </c>
      <c r="T40" s="231">
        <f ca="1">COUNTIFS('세부(구축)'!$B:$B,C40,'세부(구축)'!$H:$H,TODAY())</f>
        <v>0</v>
      </c>
      <c r="U40" s="233">
        <f t="shared" ca="1" si="0"/>
        <v>0</v>
      </c>
      <c r="V40" s="233"/>
      <c r="W40" s="186"/>
      <c r="X40" s="186"/>
      <c r="Y40" s="186"/>
      <c r="AA40" s="180">
        <f t="shared" ca="1" si="1"/>
        <v>0</v>
      </c>
      <c r="AC40" s="185"/>
    </row>
    <row r="41" spans="2:30" s="184" customFormat="1" ht="36" customHeight="1" x14ac:dyDescent="0.15">
      <c r="B41" s="261"/>
      <c r="C41" s="204" t="s">
        <v>235</v>
      </c>
      <c r="D41" s="234">
        <v>10</v>
      </c>
      <c r="E41" s="234">
        <v>2</v>
      </c>
      <c r="F41" s="234">
        <v>17</v>
      </c>
      <c r="G41" s="234">
        <v>17</v>
      </c>
      <c r="H41" s="234">
        <v>0</v>
      </c>
      <c r="I41" s="254">
        <v>0</v>
      </c>
      <c r="J41" s="228">
        <v>0</v>
      </c>
      <c r="K41" s="229">
        <f>COUNTIF('세부(구축)'!$B:$B,C41)</f>
        <v>0</v>
      </c>
      <c r="L41" s="230">
        <f>COUNTIFS('세부(구축)'!$B:$B,C41,'세부(구축)'!$G:$G,"&lt;&gt;승인")</f>
        <v>0</v>
      </c>
      <c r="M41" s="231">
        <f>COUNTIFS('세부(구축)'!$B:$B,C41,'세부(구축)'!$G:$G,"신규")</f>
        <v>0</v>
      </c>
      <c r="N41" s="230">
        <f>COUNTIFS('세부(구축)'!$B:$B,C41,'세부(구축)'!$G:$G,"승인")</f>
        <v>0</v>
      </c>
      <c r="O41" s="232">
        <f ca="1">COUNTIFS('세부(구축)'!$I:$I,$C$12,'세부(구축)'!$B:$B,C41)</f>
        <v>0</v>
      </c>
      <c r="P41" s="233">
        <f>COUNTIFS('세부(구축)'!$B:$B,C41,'세부(구축)'!$J:$J,"발행")</f>
        <v>0</v>
      </c>
      <c r="Q41" s="210"/>
      <c r="R41" s="233">
        <f t="shared" si="2"/>
        <v>0</v>
      </c>
      <c r="S41" s="233">
        <f ca="1">COUNTIFS('세부(구축)'!$I:$I,$C$12,'세부(구축)'!$B:$B,C41)</f>
        <v>0</v>
      </c>
      <c r="T41" s="231">
        <f ca="1">COUNTIFS('세부(구축)'!$B:$B,C41,'세부(구축)'!$H:$H,TODAY())</f>
        <v>0</v>
      </c>
      <c r="U41" s="233">
        <f t="shared" ca="1" si="0"/>
        <v>0</v>
      </c>
      <c r="V41" s="233"/>
      <c r="AA41" s="180">
        <f t="shared" ca="1" si="1"/>
        <v>0</v>
      </c>
      <c r="AD41" s="185"/>
    </row>
    <row r="42" spans="2:30" s="184" customFormat="1" ht="36" customHeight="1" x14ac:dyDescent="0.15">
      <c r="B42" s="261"/>
      <c r="C42" s="206" t="s">
        <v>236</v>
      </c>
      <c r="D42" s="234">
        <v>87</v>
      </c>
      <c r="E42" s="234">
        <v>62</v>
      </c>
      <c r="F42" s="234">
        <v>45</v>
      </c>
      <c r="G42" s="234">
        <v>45</v>
      </c>
      <c r="H42" s="234">
        <v>29</v>
      </c>
      <c r="I42" s="254">
        <v>0</v>
      </c>
      <c r="J42" s="228">
        <v>0</v>
      </c>
      <c r="K42" s="229">
        <f>COUNTIF('세부(구축)'!$B:$B,C42)</f>
        <v>0</v>
      </c>
      <c r="L42" s="230">
        <f>COUNTIFS('세부(구축)'!$B:$B,C42,'세부(구축)'!$G:$G,"&lt;&gt;승인")</f>
        <v>0</v>
      </c>
      <c r="M42" s="231">
        <f>COUNTIFS('세부(구축)'!$B:$B,C42,'세부(구축)'!$G:$G,"신규")</f>
        <v>0</v>
      </c>
      <c r="N42" s="230">
        <f>COUNTIFS('세부(구축)'!$B:$B,C42,'세부(구축)'!$G:$G,"승인")</f>
        <v>0</v>
      </c>
      <c r="O42" s="232">
        <f ca="1">COUNTIFS('세부(구축)'!$I:$I,$C$12,'세부(구축)'!$B:$B,C42)</f>
        <v>0</v>
      </c>
      <c r="P42" s="233">
        <f>COUNTIFS('세부(구축)'!$B:$B,C42,'세부(구축)'!$J:$J,"발행")</f>
        <v>0</v>
      </c>
      <c r="Q42" s="210"/>
      <c r="R42" s="233">
        <f t="shared" si="2"/>
        <v>0</v>
      </c>
      <c r="S42" s="233">
        <f ca="1">COUNTIFS('세부(구축)'!$I:$I,$C$12,'세부(구축)'!$B:$B,C42)</f>
        <v>0</v>
      </c>
      <c r="T42" s="231">
        <f ca="1">COUNTIFS('세부(구축)'!$B:$B,C42,'세부(구축)'!$H:$H,TODAY())</f>
        <v>0</v>
      </c>
      <c r="U42" s="233">
        <f t="shared" ca="1" si="0"/>
        <v>0</v>
      </c>
      <c r="V42" s="233"/>
      <c r="AA42" s="180">
        <f t="shared" ca="1" si="1"/>
        <v>0</v>
      </c>
      <c r="AD42" s="185"/>
    </row>
    <row r="43" spans="2:30" s="184" customFormat="1" ht="36" customHeight="1" x14ac:dyDescent="0.15">
      <c r="B43" s="261"/>
      <c r="C43" s="204" t="s">
        <v>237</v>
      </c>
      <c r="D43" s="234"/>
      <c r="E43" s="234"/>
      <c r="F43" s="234">
        <v>0</v>
      </c>
      <c r="G43" s="234"/>
      <c r="H43" s="234">
        <v>0</v>
      </c>
      <c r="I43" s="254">
        <v>0</v>
      </c>
      <c r="J43" s="228">
        <v>0</v>
      </c>
      <c r="K43" s="229">
        <f>COUNTIF('세부(구축)'!$B:$B,C43)</f>
        <v>0</v>
      </c>
      <c r="L43" s="230">
        <f>COUNTIFS('세부(구축)'!$B:$B,C43,'세부(구축)'!$G:$G,"&lt;&gt;승인")</f>
        <v>0</v>
      </c>
      <c r="M43" s="231">
        <f>COUNTIFS('세부(구축)'!$B:$B,C43,'세부(구축)'!$G:$G,"신규")</f>
        <v>0</v>
      </c>
      <c r="N43" s="230">
        <f>COUNTIFS('세부(구축)'!$B:$B,C43,'세부(구축)'!$G:$G,"승인")</f>
        <v>0</v>
      </c>
      <c r="O43" s="232">
        <f ca="1">COUNTIFS('세부(구축)'!$I:$I,$C$12,'세부(구축)'!$B:$B,C43)</f>
        <v>0</v>
      </c>
      <c r="P43" s="233">
        <f>COUNTIFS('세부(구축)'!$B:$B,C43,'세부(구축)'!$J:$J,"발행")</f>
        <v>0</v>
      </c>
      <c r="Q43" s="210"/>
      <c r="R43" s="233">
        <f t="shared" si="2"/>
        <v>0</v>
      </c>
      <c r="S43" s="233">
        <f ca="1">COUNTIFS('세부(구축)'!$I:$I,$C$12,'세부(구축)'!$B:$B,C43)</f>
        <v>0</v>
      </c>
      <c r="T43" s="231">
        <f ca="1">COUNTIFS('세부(구축)'!$B:$B,C43,'세부(구축)'!$H:$H,TODAY())</f>
        <v>0</v>
      </c>
      <c r="U43" s="233">
        <f t="shared" ca="1" si="0"/>
        <v>0</v>
      </c>
      <c r="V43" s="233"/>
      <c r="AA43" s="180">
        <f t="shared" ca="1" si="1"/>
        <v>0</v>
      </c>
      <c r="AD43" s="185"/>
    </row>
    <row r="44" spans="2:30" s="184" customFormat="1" ht="36" customHeight="1" x14ac:dyDescent="0.15">
      <c r="B44" s="261"/>
      <c r="C44" s="204" t="s">
        <v>238</v>
      </c>
      <c r="D44" s="234"/>
      <c r="E44" s="234">
        <v>23</v>
      </c>
      <c r="F44" s="234">
        <v>34</v>
      </c>
      <c r="G44" s="234">
        <v>33</v>
      </c>
      <c r="H44" s="234">
        <v>16</v>
      </c>
      <c r="I44" s="254">
        <v>0</v>
      </c>
      <c r="J44" s="228">
        <v>0</v>
      </c>
      <c r="K44" s="229">
        <f>COUNTIF('세부(구축)'!$B:$B,C44)</f>
        <v>0</v>
      </c>
      <c r="L44" s="230">
        <f>COUNTIFS('세부(구축)'!$B:$B,C44,'세부(구축)'!$G:$G,"&lt;&gt;승인")</f>
        <v>0</v>
      </c>
      <c r="M44" s="231">
        <f>COUNTIFS('세부(구축)'!$B:$B,C44,'세부(구축)'!$G:$G,"신규")</f>
        <v>0</v>
      </c>
      <c r="N44" s="230">
        <f>COUNTIFS('세부(구축)'!$B:$B,C44,'세부(구축)'!$G:$G,"승인")</f>
        <v>0</v>
      </c>
      <c r="O44" s="232">
        <f ca="1">COUNTIFS('세부(구축)'!$I:$I,$C$12,'세부(구축)'!$B:$B,C44)</f>
        <v>0</v>
      </c>
      <c r="P44" s="233">
        <f>COUNTIFS('세부(구축)'!$B:$B,C44,'세부(구축)'!$J:$J,"발행")</f>
        <v>0</v>
      </c>
      <c r="Q44" s="210"/>
      <c r="R44" s="233">
        <f t="shared" si="2"/>
        <v>0</v>
      </c>
      <c r="S44" s="233">
        <f ca="1">COUNTIFS('세부(구축)'!$I:$I,$C$12,'세부(구축)'!$B:$B,C44)</f>
        <v>0</v>
      </c>
      <c r="T44" s="231">
        <f ca="1">COUNTIFS('세부(구축)'!$B:$B,C44,'세부(구축)'!$H:$H,TODAY())</f>
        <v>0</v>
      </c>
      <c r="U44" s="233">
        <f t="shared" ca="1" si="0"/>
        <v>0</v>
      </c>
      <c r="V44" s="233"/>
      <c r="AA44" s="180">
        <f t="shared" ca="1" si="1"/>
        <v>0</v>
      </c>
      <c r="AD44" s="185"/>
    </row>
    <row r="45" spans="2:30" s="184" customFormat="1" ht="36" customHeight="1" x14ac:dyDescent="0.15">
      <c r="B45" s="261"/>
      <c r="C45" s="206" t="s">
        <v>240</v>
      </c>
      <c r="D45" s="234">
        <v>104</v>
      </c>
      <c r="E45" s="234">
        <v>11</v>
      </c>
      <c r="F45" s="234">
        <v>0</v>
      </c>
      <c r="G45" s="234"/>
      <c r="H45" s="234">
        <v>0</v>
      </c>
      <c r="I45" s="254">
        <v>0</v>
      </c>
      <c r="J45" s="228">
        <v>0</v>
      </c>
      <c r="K45" s="229">
        <f>COUNTIF('세부(구축)'!$B:$B,C45)</f>
        <v>0</v>
      </c>
      <c r="L45" s="230">
        <f>COUNTIFS('세부(구축)'!$B:$B,C45,'세부(구축)'!$G:$G,"&lt;&gt;승인")</f>
        <v>0</v>
      </c>
      <c r="M45" s="231">
        <f>COUNTIFS('세부(구축)'!$B:$B,C45,'세부(구축)'!$G:$G,"신규")</f>
        <v>0</v>
      </c>
      <c r="N45" s="230">
        <f>COUNTIFS('세부(구축)'!$B:$B,C45,'세부(구축)'!$G:$G,"승인")</f>
        <v>0</v>
      </c>
      <c r="O45" s="232">
        <f ca="1">COUNTIFS('세부(구축)'!$I:$I,$C$12,'세부(구축)'!$B:$B,C45)</f>
        <v>0</v>
      </c>
      <c r="P45" s="233">
        <f>COUNTIFS('세부(구축)'!$B:$B,C45,'세부(구축)'!$J:$J,"발행")</f>
        <v>0</v>
      </c>
      <c r="Q45" s="210"/>
      <c r="R45" s="233">
        <f t="shared" si="2"/>
        <v>0</v>
      </c>
      <c r="S45" s="233">
        <f ca="1">COUNTIFS('세부(구축)'!$I:$I,$C$12,'세부(구축)'!$B:$B,C45)</f>
        <v>0</v>
      </c>
      <c r="T45" s="231">
        <f ca="1">COUNTIFS('세부(구축)'!$B:$B,C45,'세부(구축)'!$H:$H,TODAY())</f>
        <v>0</v>
      </c>
      <c r="U45" s="233">
        <f t="shared" ca="1" si="0"/>
        <v>0</v>
      </c>
      <c r="V45" s="233"/>
      <c r="AA45" s="180">
        <f t="shared" ca="1" si="1"/>
        <v>0</v>
      </c>
      <c r="AD45" s="185"/>
    </row>
    <row r="46" spans="2:30" ht="36" customHeight="1" x14ac:dyDescent="0.15">
      <c r="B46" s="261"/>
      <c r="C46" s="206" t="s">
        <v>312</v>
      </c>
      <c r="D46" s="234"/>
      <c r="E46" s="234">
        <v>6</v>
      </c>
      <c r="F46" s="234">
        <v>51</v>
      </c>
      <c r="G46" s="234">
        <v>45</v>
      </c>
      <c r="H46" s="234">
        <v>18</v>
      </c>
      <c r="I46" s="254">
        <v>0</v>
      </c>
      <c r="J46" s="228">
        <v>50</v>
      </c>
      <c r="K46" s="229">
        <f>COUNTIF('세부(구축)'!$B:$B,C46)</f>
        <v>0</v>
      </c>
      <c r="L46" s="230">
        <f>COUNTIFS('세부(구축)'!$B:$B,C46,'세부(구축)'!$G:$G,"&lt;&gt;승인")</f>
        <v>0</v>
      </c>
      <c r="M46" s="231">
        <f>COUNTIFS('세부(구축)'!$B:$B,C46,'세부(구축)'!$G:$G,"신규")</f>
        <v>0</v>
      </c>
      <c r="N46" s="230">
        <f>COUNTIFS('세부(구축)'!$B:$B,C46,'세부(구축)'!$G:$G,"승인")</f>
        <v>0</v>
      </c>
      <c r="O46" s="232">
        <f ca="1">COUNTIFS('세부(구축)'!$I:$I,$C$12,'세부(구축)'!$B:$B,C46)</f>
        <v>0</v>
      </c>
      <c r="P46" s="233">
        <f>COUNTIFS('세부(구축)'!$B:$B,C46,'세부(구축)'!$J:$J,"발행")</f>
        <v>0</v>
      </c>
      <c r="Q46" s="211"/>
      <c r="R46" s="233">
        <f t="shared" si="2"/>
        <v>0</v>
      </c>
      <c r="S46" s="233">
        <f ca="1">COUNTIFS('세부(구축)'!$I:$I,$C$12,'세부(구축)'!$B:$B,C46)</f>
        <v>0</v>
      </c>
      <c r="T46" s="231">
        <f ca="1">COUNTIFS('세부(구축)'!$B:$B,C46,'세부(구축)'!$H:$H,TODAY())</f>
        <v>0</v>
      </c>
      <c r="U46" s="233">
        <f t="shared" ca="1" si="0"/>
        <v>0</v>
      </c>
      <c r="V46" s="233"/>
      <c r="AA46" s="180">
        <f t="shared" ca="1" si="1"/>
        <v>0</v>
      </c>
      <c r="AD46" s="181"/>
    </row>
    <row r="47" spans="2:30" ht="36" customHeight="1" x14ac:dyDescent="0.15">
      <c r="B47" s="261"/>
      <c r="C47" s="204" t="s">
        <v>242</v>
      </c>
      <c r="D47" s="234">
        <v>13</v>
      </c>
      <c r="E47" s="234"/>
      <c r="F47" s="234">
        <v>0</v>
      </c>
      <c r="G47" s="234"/>
      <c r="H47" s="234">
        <v>0</v>
      </c>
      <c r="I47" s="254">
        <v>0</v>
      </c>
      <c r="J47" s="228">
        <v>0</v>
      </c>
      <c r="K47" s="229">
        <f>COUNTIF('세부(구축)'!$B:$B,C47)</f>
        <v>0</v>
      </c>
      <c r="L47" s="230">
        <f>COUNTIFS('세부(구축)'!$B:$B,C47,'세부(구축)'!$G:$G,"&lt;&gt;승인")</f>
        <v>0</v>
      </c>
      <c r="M47" s="231">
        <f>COUNTIFS('세부(구축)'!$B:$B,C47,'세부(구축)'!$G:$G,"신규")</f>
        <v>0</v>
      </c>
      <c r="N47" s="230">
        <f>COUNTIFS('세부(구축)'!$B:$B,C47,'세부(구축)'!$G:$G,"승인")</f>
        <v>0</v>
      </c>
      <c r="O47" s="232">
        <f ca="1">COUNTIFS('세부(구축)'!$I:$I,$C$12,'세부(구축)'!$B:$B,C47)</f>
        <v>0</v>
      </c>
      <c r="P47" s="233">
        <f>COUNTIFS('세부(구축)'!$B:$B,C47,'세부(구축)'!$J:$J,"발행")</f>
        <v>0</v>
      </c>
      <c r="Q47" s="210"/>
      <c r="R47" s="233">
        <f t="shared" si="2"/>
        <v>0</v>
      </c>
      <c r="S47" s="233">
        <f ca="1">COUNTIFS('세부(구축)'!$I:$I,$C$12,'세부(구축)'!$B:$B,C47)</f>
        <v>0</v>
      </c>
      <c r="T47" s="231">
        <f ca="1">COUNTIFS('세부(구축)'!$B:$B,C47,'세부(구축)'!$H:$H,TODAY())</f>
        <v>0</v>
      </c>
      <c r="U47" s="233">
        <f t="shared" ca="1" si="0"/>
        <v>0</v>
      </c>
      <c r="V47" s="233"/>
      <c r="AA47" s="180">
        <f t="shared" ca="1" si="1"/>
        <v>0</v>
      </c>
      <c r="AD47" s="181"/>
    </row>
    <row r="48" spans="2:30" ht="36" customHeight="1" x14ac:dyDescent="0.15">
      <c r="B48" s="261"/>
      <c r="C48" s="206" t="s">
        <v>243</v>
      </c>
      <c r="D48" s="234"/>
      <c r="E48" s="234">
        <v>12</v>
      </c>
      <c r="F48" s="234">
        <v>23</v>
      </c>
      <c r="G48" s="234">
        <v>20</v>
      </c>
      <c r="H48" s="234">
        <v>0</v>
      </c>
      <c r="I48" s="254">
        <v>0</v>
      </c>
      <c r="J48" s="228">
        <v>0</v>
      </c>
      <c r="K48" s="229">
        <f>COUNTIF('세부(구축)'!$B:$B,C48)</f>
        <v>0</v>
      </c>
      <c r="L48" s="230">
        <f>COUNTIFS('세부(구축)'!$B:$B,C48,'세부(구축)'!$G:$G,"&lt;&gt;승인")</f>
        <v>0</v>
      </c>
      <c r="M48" s="231">
        <f>COUNTIFS('세부(구축)'!$B:$B,C48,'세부(구축)'!$G:$G,"신규")</f>
        <v>0</v>
      </c>
      <c r="N48" s="230">
        <f>COUNTIFS('세부(구축)'!$B:$B,C48,'세부(구축)'!$G:$G,"승인")</f>
        <v>0</v>
      </c>
      <c r="O48" s="232">
        <f ca="1">COUNTIFS('세부(구축)'!$I:$I,$C$12,'세부(구축)'!$B:$B,C48)</f>
        <v>0</v>
      </c>
      <c r="P48" s="233">
        <f>COUNTIFS('세부(구축)'!$B:$B,C48,'세부(구축)'!$J:$J,"발행")</f>
        <v>0</v>
      </c>
      <c r="Q48" s="210"/>
      <c r="R48" s="233">
        <f t="shared" si="2"/>
        <v>0</v>
      </c>
      <c r="S48" s="233">
        <f ca="1">COUNTIFS('세부(구축)'!$I:$I,$C$12,'세부(구축)'!$B:$B,C48)</f>
        <v>0</v>
      </c>
      <c r="T48" s="231">
        <f ca="1">COUNTIFS('세부(구축)'!$B:$B,C48,'세부(구축)'!$H:$H,TODAY())</f>
        <v>0</v>
      </c>
      <c r="U48" s="233">
        <f t="shared" ca="1" si="0"/>
        <v>0</v>
      </c>
      <c r="V48" s="233"/>
      <c r="AA48" s="180">
        <f t="shared" ca="1" si="1"/>
        <v>0</v>
      </c>
      <c r="AD48" s="181"/>
    </row>
    <row r="49" spans="2:30" ht="36" customHeight="1" x14ac:dyDescent="0.15">
      <c r="B49" s="261"/>
      <c r="C49" s="206" t="s">
        <v>244</v>
      </c>
      <c r="D49" s="234"/>
      <c r="E49" s="234">
        <v>19</v>
      </c>
      <c r="F49" s="234">
        <v>0</v>
      </c>
      <c r="G49" s="234"/>
      <c r="H49" s="234">
        <v>0</v>
      </c>
      <c r="I49" s="254">
        <v>0</v>
      </c>
      <c r="J49" s="228">
        <v>7</v>
      </c>
      <c r="K49" s="229">
        <f>COUNTIF('세부(구축)'!$B:$B,C49)</f>
        <v>10</v>
      </c>
      <c r="L49" s="230">
        <f>COUNTIFS('세부(구축)'!$B:$B,C49,'세부(구축)'!$G:$G,"&lt;&gt;승인")</f>
        <v>0</v>
      </c>
      <c r="M49" s="231">
        <f>COUNTIFS('세부(구축)'!$B:$B,C49,'세부(구축)'!$G:$G,"신규")</f>
        <v>0</v>
      </c>
      <c r="N49" s="230">
        <f>COUNTIFS('세부(구축)'!$B:$B,C49,'세부(구축)'!$G:$G,"승인")</f>
        <v>10</v>
      </c>
      <c r="O49" s="232">
        <f ca="1">COUNTIFS('세부(구축)'!$I:$I,$C$12,'세부(구축)'!$B:$B,C49)</f>
        <v>0</v>
      </c>
      <c r="P49" s="233">
        <f>COUNTIFS('세부(구축)'!$B:$B,C49,'세부(구축)'!$J:$J,"발행")</f>
        <v>0</v>
      </c>
      <c r="Q49" s="210"/>
      <c r="R49" s="233">
        <f t="shared" si="2"/>
        <v>10</v>
      </c>
      <c r="S49" s="233">
        <f ca="1">COUNTIFS('세부(구축)'!$I:$I,$C$12,'세부(구축)'!$B:$B,C49)</f>
        <v>0</v>
      </c>
      <c r="T49" s="231">
        <f ca="1">COUNTIFS('세부(구축)'!$B:$B,C49,'세부(구축)'!$H:$H,TODAY())</f>
        <v>0</v>
      </c>
      <c r="U49" s="233">
        <f t="shared" ca="1" si="0"/>
        <v>0</v>
      </c>
      <c r="V49" s="233"/>
      <c r="AA49" s="180">
        <f t="shared" ca="1" si="1"/>
        <v>0</v>
      </c>
      <c r="AD49" s="181"/>
    </row>
    <row r="50" spans="2:30" ht="36" customHeight="1" x14ac:dyDescent="0.15">
      <c r="B50" s="261"/>
      <c r="C50" s="204" t="s">
        <v>245</v>
      </c>
      <c r="D50" s="234">
        <v>20</v>
      </c>
      <c r="E50" s="234">
        <v>3</v>
      </c>
      <c r="F50" s="234">
        <v>4</v>
      </c>
      <c r="G50" s="234">
        <v>4</v>
      </c>
      <c r="H50" s="234">
        <v>0</v>
      </c>
      <c r="I50" s="254">
        <v>0</v>
      </c>
      <c r="J50" s="228">
        <v>0</v>
      </c>
      <c r="K50" s="229">
        <f>COUNTIF('세부(구축)'!$B:$B,C50)</f>
        <v>0</v>
      </c>
      <c r="L50" s="230">
        <f>COUNTIFS('세부(구축)'!$B:$B,C50,'세부(구축)'!$G:$G,"&lt;&gt;승인")</f>
        <v>0</v>
      </c>
      <c r="M50" s="231">
        <f>COUNTIFS('세부(구축)'!$B:$B,C50,'세부(구축)'!$G:$G,"신규")</f>
        <v>0</v>
      </c>
      <c r="N50" s="230">
        <f>COUNTIFS('세부(구축)'!$B:$B,C50,'세부(구축)'!$G:$G,"승인")</f>
        <v>0</v>
      </c>
      <c r="O50" s="232">
        <f ca="1">COUNTIFS('세부(구축)'!$I:$I,$C$12,'세부(구축)'!$B:$B,C50)</f>
        <v>0</v>
      </c>
      <c r="P50" s="233">
        <f>COUNTIFS('세부(구축)'!$B:$B,C50,'세부(구축)'!$J:$J,"발행")</f>
        <v>0</v>
      </c>
      <c r="Q50" s="210"/>
      <c r="R50" s="233">
        <f t="shared" si="2"/>
        <v>0</v>
      </c>
      <c r="S50" s="233">
        <f ca="1">COUNTIFS('세부(구축)'!$I:$I,$C$12,'세부(구축)'!$B:$B,C50)</f>
        <v>0</v>
      </c>
      <c r="T50" s="231">
        <f ca="1">COUNTIFS('세부(구축)'!$B:$B,C50,'세부(구축)'!$H:$H,TODAY())</f>
        <v>0</v>
      </c>
      <c r="U50" s="233">
        <f t="shared" ca="1" si="0"/>
        <v>0</v>
      </c>
      <c r="V50" s="233"/>
      <c r="AA50" s="180">
        <f t="shared" ca="1" si="1"/>
        <v>0</v>
      </c>
      <c r="AD50" s="181"/>
    </row>
    <row r="51" spans="2:30" ht="36" customHeight="1" x14ac:dyDescent="0.15">
      <c r="B51" s="261"/>
      <c r="C51" s="204" t="s">
        <v>246</v>
      </c>
      <c r="D51" s="234"/>
      <c r="E51" s="234">
        <v>12</v>
      </c>
      <c r="F51" s="234">
        <v>3</v>
      </c>
      <c r="G51" s="234">
        <v>2</v>
      </c>
      <c r="H51" s="234">
        <v>0</v>
      </c>
      <c r="I51" s="254">
        <v>0</v>
      </c>
      <c r="J51" s="228">
        <v>0</v>
      </c>
      <c r="K51" s="229">
        <f>COUNTIF('세부(구축)'!$B:$B,C51)</f>
        <v>0</v>
      </c>
      <c r="L51" s="230">
        <f>COUNTIFS('세부(구축)'!$B:$B,C51,'세부(구축)'!$G:$G,"&lt;&gt;승인")</f>
        <v>0</v>
      </c>
      <c r="M51" s="231">
        <f>COUNTIFS('세부(구축)'!$B:$B,C51,'세부(구축)'!$G:$G,"신규")</f>
        <v>0</v>
      </c>
      <c r="N51" s="230">
        <f>COUNTIFS('세부(구축)'!$B:$B,C51,'세부(구축)'!$G:$G,"승인")</f>
        <v>0</v>
      </c>
      <c r="O51" s="232">
        <f ca="1">COUNTIFS('세부(구축)'!$I:$I,$C$12,'세부(구축)'!$B:$B,C51)</f>
        <v>0</v>
      </c>
      <c r="P51" s="233">
        <f>COUNTIFS('세부(구축)'!$B:$B,C51,'세부(구축)'!$J:$J,"발행")</f>
        <v>0</v>
      </c>
      <c r="Q51" s="210"/>
      <c r="R51" s="233">
        <f t="shared" si="2"/>
        <v>0</v>
      </c>
      <c r="S51" s="233">
        <f ca="1">COUNTIFS('세부(구축)'!$I:$I,$C$12,'세부(구축)'!$B:$B,C51)</f>
        <v>0</v>
      </c>
      <c r="T51" s="231">
        <f ca="1">COUNTIFS('세부(구축)'!$B:$B,C51,'세부(구축)'!$H:$H,TODAY())</f>
        <v>0</v>
      </c>
      <c r="U51" s="233">
        <f t="shared" ca="1" si="0"/>
        <v>0</v>
      </c>
      <c r="V51" s="233"/>
      <c r="AA51" s="180">
        <f t="shared" ca="1" si="1"/>
        <v>0</v>
      </c>
      <c r="AD51" s="181"/>
    </row>
    <row r="52" spans="2:30" ht="36" customHeight="1" x14ac:dyDescent="0.15">
      <c r="B52" s="261"/>
      <c r="C52" s="204" t="s">
        <v>412</v>
      </c>
      <c r="D52" s="234"/>
      <c r="E52" s="234"/>
      <c r="F52" s="234"/>
      <c r="G52" s="234"/>
      <c r="H52" s="234"/>
      <c r="I52" s="254"/>
      <c r="J52" s="228"/>
      <c r="K52" s="229">
        <f>COUNTIF('세부(구축)'!$B:$B,C52)</f>
        <v>5</v>
      </c>
      <c r="L52" s="230">
        <f>COUNTIFS('세부(구축)'!$B:$B,C52,'세부(구축)'!$G:$G,"&lt;&gt;승인")</f>
        <v>0</v>
      </c>
      <c r="M52" s="231">
        <f>COUNTIFS('세부(구축)'!$B:$B,C52,'세부(구축)'!$G:$G,"신규")</f>
        <v>0</v>
      </c>
      <c r="N52" s="230">
        <f>COUNTIFS('세부(구축)'!$B:$B,C52,'세부(구축)'!$G:$G,"승인")</f>
        <v>5</v>
      </c>
      <c r="O52" s="232">
        <f ca="1">COUNTIFS('세부(구축)'!$I:$I,$C$12,'세부(구축)'!$B:$B,C52)</f>
        <v>0</v>
      </c>
      <c r="P52" s="233">
        <f>COUNTIFS('세부(구축)'!$B:$B,C52,'세부(구축)'!$J:$J,"발행")</f>
        <v>0</v>
      </c>
      <c r="Q52" s="210"/>
      <c r="R52" s="233">
        <f t="shared" ref="R52" si="4">K52-P52</f>
        <v>5</v>
      </c>
      <c r="S52" s="233">
        <f ca="1">COUNTIFS('세부(구축)'!$I:$I,$C$12,'세부(구축)'!$B:$B,C52)</f>
        <v>0</v>
      </c>
      <c r="T52" s="231">
        <f ca="1">COUNTIFS('세부(구축)'!$B:$B,C52,'세부(구축)'!$H:$H,TODAY())</f>
        <v>0</v>
      </c>
      <c r="U52" s="233">
        <f t="shared" ref="U52" ca="1" si="5">L52+T52</f>
        <v>0</v>
      </c>
      <c r="V52" s="233"/>
      <c r="AD52" s="181"/>
    </row>
    <row r="53" spans="2:30" ht="36" customHeight="1" x14ac:dyDescent="0.15">
      <c r="B53" s="261"/>
      <c r="C53" s="205" t="s">
        <v>247</v>
      </c>
      <c r="D53" s="235"/>
      <c r="E53" s="235"/>
      <c r="F53" s="234">
        <v>43</v>
      </c>
      <c r="G53" s="234">
        <v>43</v>
      </c>
      <c r="H53" s="235">
        <v>34</v>
      </c>
      <c r="I53" s="254">
        <v>0</v>
      </c>
      <c r="J53" s="228">
        <v>3</v>
      </c>
      <c r="K53" s="229">
        <f>COUNTIF('세부(구축)'!$B:$B,C53)</f>
        <v>2</v>
      </c>
      <c r="L53" s="230">
        <f>COUNTIFS('세부(구축)'!$B:$B,C53,'세부(구축)'!$G:$G,"&lt;&gt;승인")</f>
        <v>0</v>
      </c>
      <c r="M53" s="231">
        <f>COUNTIFS('세부(구축)'!$B:$B,C53,'세부(구축)'!$G:$G,"신규")</f>
        <v>0</v>
      </c>
      <c r="N53" s="230">
        <f>COUNTIFS('세부(구축)'!$B:$B,C53,'세부(구축)'!$G:$G,"승인")</f>
        <v>2</v>
      </c>
      <c r="O53" s="232">
        <f ca="1">COUNTIFS('세부(구축)'!$I:$I,$C$12,'세부(구축)'!$B:$B,C53)</f>
        <v>0</v>
      </c>
      <c r="P53" s="233">
        <f>COUNTIFS('세부(구축)'!$B:$B,C53,'세부(구축)'!$J:$J,"발행")</f>
        <v>0</v>
      </c>
      <c r="Q53" s="210"/>
      <c r="R53" s="233">
        <f t="shared" si="2"/>
        <v>2</v>
      </c>
      <c r="S53" s="233">
        <f ca="1">COUNTIFS('세부(구축)'!$I:$I,$C$12,'세부(구축)'!$B:$B,C53)</f>
        <v>0</v>
      </c>
      <c r="T53" s="231">
        <f ca="1">COUNTIFS('세부(구축)'!$B:$B,C53,'세부(구축)'!$H:$H,TODAY())</f>
        <v>0</v>
      </c>
      <c r="U53" s="233">
        <f t="shared" ca="1" si="0"/>
        <v>0</v>
      </c>
      <c r="V53" s="233"/>
      <c r="W53" s="183"/>
      <c r="X53" s="182"/>
      <c r="Y53" s="182"/>
      <c r="Z53" s="182"/>
      <c r="AA53" s="180">
        <f t="shared" ca="1" si="1"/>
        <v>0</v>
      </c>
      <c r="AD53" s="181"/>
    </row>
    <row r="54" spans="2:30" ht="36" customHeight="1" x14ac:dyDescent="0.15">
      <c r="B54" s="261"/>
      <c r="C54" s="206" t="s">
        <v>248</v>
      </c>
      <c r="D54" s="234"/>
      <c r="E54" s="234"/>
      <c r="F54" s="234">
        <v>7</v>
      </c>
      <c r="G54" s="234">
        <v>6</v>
      </c>
      <c r="H54" s="234">
        <v>0</v>
      </c>
      <c r="I54" s="254">
        <v>0</v>
      </c>
      <c r="J54" s="228">
        <v>0</v>
      </c>
      <c r="K54" s="229">
        <f>COUNTIF('세부(구축)'!$B:$B,C54)</f>
        <v>0</v>
      </c>
      <c r="L54" s="230">
        <f>COUNTIFS('세부(구축)'!$B:$B,C54,'세부(구축)'!$G:$G,"&lt;&gt;승인")</f>
        <v>0</v>
      </c>
      <c r="M54" s="231">
        <f>COUNTIFS('세부(구축)'!$B:$B,C54,'세부(구축)'!$G:$G,"신규")</f>
        <v>0</v>
      </c>
      <c r="N54" s="230">
        <f>COUNTIFS('세부(구축)'!$B:$B,C54,'세부(구축)'!$G:$G,"승인")</f>
        <v>0</v>
      </c>
      <c r="O54" s="232">
        <f ca="1">COUNTIFS('세부(구축)'!$I:$I,$C$12,'세부(구축)'!$B:$B,C54)</f>
        <v>0</v>
      </c>
      <c r="P54" s="233">
        <f>COUNTIFS('세부(구축)'!$B:$B,C54,'세부(구축)'!$J:$J,"발행")</f>
        <v>0</v>
      </c>
      <c r="Q54" s="210"/>
      <c r="R54" s="233">
        <f t="shared" si="2"/>
        <v>0</v>
      </c>
      <c r="S54" s="233">
        <f ca="1">COUNTIFS('세부(구축)'!$I:$I,$C$12,'세부(구축)'!$B:$B,C54)</f>
        <v>0</v>
      </c>
      <c r="T54" s="231">
        <f ca="1">COUNTIFS('세부(구축)'!$B:$B,C54,'세부(구축)'!$H:$H,TODAY())</f>
        <v>0</v>
      </c>
      <c r="U54" s="233">
        <f t="shared" ca="1" si="0"/>
        <v>0</v>
      </c>
      <c r="V54" s="233"/>
      <c r="W54" s="183"/>
      <c r="X54" s="182"/>
      <c r="Y54" s="182"/>
      <c r="Z54" s="182"/>
      <c r="AA54" s="180">
        <f t="shared" ca="1" si="1"/>
        <v>0</v>
      </c>
      <c r="AD54" s="181"/>
    </row>
    <row r="55" spans="2:30" ht="36" customHeight="1" x14ac:dyDescent="0.15">
      <c r="B55" s="261"/>
      <c r="C55" s="204" t="s">
        <v>249</v>
      </c>
      <c r="D55" s="234"/>
      <c r="E55" s="234"/>
      <c r="F55" s="234"/>
      <c r="G55" s="234"/>
      <c r="H55" s="234">
        <v>9</v>
      </c>
      <c r="I55" s="254">
        <v>0</v>
      </c>
      <c r="J55" s="228">
        <v>0</v>
      </c>
      <c r="K55" s="229">
        <f>COUNTIF('세부(구축)'!$B:$B,C55)</f>
        <v>0</v>
      </c>
      <c r="L55" s="230">
        <f>COUNTIFS('세부(구축)'!$B:$B,C55,'세부(구축)'!$G:$G,"&lt;&gt;승인")</f>
        <v>0</v>
      </c>
      <c r="M55" s="231">
        <f>COUNTIFS('세부(구축)'!$B:$B,C55,'세부(구축)'!$G:$G,"신규")</f>
        <v>0</v>
      </c>
      <c r="N55" s="230">
        <f>COUNTIFS('세부(구축)'!$B:$B,C55,'세부(구축)'!$G:$G,"승인")</f>
        <v>0</v>
      </c>
      <c r="O55" s="232">
        <f ca="1">COUNTIFS('세부(구축)'!$I:$I,$C$12,'세부(구축)'!$B:$B,C55)</f>
        <v>0</v>
      </c>
      <c r="P55" s="233">
        <f>COUNTIFS('세부(구축)'!$B:$B,C55,'세부(구축)'!$J:$J,"발행")</f>
        <v>0</v>
      </c>
      <c r="Q55" s="210"/>
      <c r="R55" s="233">
        <f t="shared" si="2"/>
        <v>0</v>
      </c>
      <c r="S55" s="233">
        <f ca="1">COUNTIFS('세부(구축)'!$I:$I,$C$12,'세부(구축)'!$B:$B,C55)</f>
        <v>0</v>
      </c>
      <c r="T55" s="231">
        <f ca="1">COUNTIFS('세부(구축)'!$B:$B,C55,'세부(구축)'!$H:$H,TODAY())</f>
        <v>0</v>
      </c>
      <c r="U55" s="233">
        <f t="shared" ca="1" si="0"/>
        <v>0</v>
      </c>
      <c r="V55" s="233"/>
      <c r="W55" s="183"/>
      <c r="X55" s="182"/>
      <c r="Y55" s="182"/>
      <c r="Z55" s="182"/>
      <c r="AA55" s="180">
        <f t="shared" ca="1" si="1"/>
        <v>0</v>
      </c>
      <c r="AD55" s="181"/>
    </row>
    <row r="56" spans="2:30" ht="36" customHeight="1" x14ac:dyDescent="0.15">
      <c r="B56" s="261"/>
      <c r="C56" s="206" t="s">
        <v>294</v>
      </c>
      <c r="D56" s="234"/>
      <c r="E56" s="234"/>
      <c r="F56" s="234"/>
      <c r="G56" s="234"/>
      <c r="H56" s="234"/>
      <c r="I56" s="254">
        <v>0</v>
      </c>
      <c r="J56" s="228">
        <v>3</v>
      </c>
      <c r="K56" s="229">
        <f>COUNTIF('세부(구축)'!$B:$B,C56)</f>
        <v>0</v>
      </c>
      <c r="L56" s="230">
        <f>COUNTIFS('세부(구축)'!$B:$B,C56,'세부(구축)'!$G:$G,"&lt;&gt;승인")</f>
        <v>0</v>
      </c>
      <c r="M56" s="231">
        <f>COUNTIFS('세부(구축)'!$B:$B,C56,'세부(구축)'!$G:$G,"신규")</f>
        <v>0</v>
      </c>
      <c r="N56" s="230">
        <f>COUNTIFS('세부(구축)'!$B:$B,C56,'세부(구축)'!$G:$G,"승인")</f>
        <v>0</v>
      </c>
      <c r="O56" s="232">
        <f ca="1">COUNTIFS('세부(구축)'!$I:$I,$C$12,'세부(구축)'!$B:$B,C56)</f>
        <v>0</v>
      </c>
      <c r="P56" s="233">
        <f>COUNTIFS('세부(구축)'!$B:$B,C56,'세부(구축)'!$J:$J,"발행")</f>
        <v>0</v>
      </c>
      <c r="Q56" s="218"/>
      <c r="R56" s="233">
        <f t="shared" si="2"/>
        <v>0</v>
      </c>
      <c r="S56" s="233">
        <f ca="1">COUNTIFS('세부(구축)'!$I:$I,$C$12,'세부(구축)'!$B:$B,C56)</f>
        <v>0</v>
      </c>
      <c r="T56" s="231">
        <f ca="1">COUNTIFS('세부(구축)'!$B:$B,C56,'세부(구축)'!$H:$H,TODAY())</f>
        <v>0</v>
      </c>
      <c r="U56" s="233">
        <f t="shared" ca="1" si="0"/>
        <v>0</v>
      </c>
      <c r="V56" s="233"/>
      <c r="W56" s="183"/>
      <c r="X56" s="182"/>
      <c r="Y56" s="182"/>
      <c r="Z56" s="182"/>
      <c r="AA56" s="180">
        <f t="shared" ca="1" si="1"/>
        <v>0</v>
      </c>
      <c r="AD56" s="181"/>
    </row>
    <row r="57" spans="2:30" ht="36" customHeight="1" thickBot="1" x14ac:dyDescent="0.2">
      <c r="B57" s="261"/>
      <c r="C57" s="207" t="s">
        <v>250</v>
      </c>
      <c r="D57" s="236"/>
      <c r="E57" s="236">
        <v>4</v>
      </c>
      <c r="F57" s="236">
        <v>0</v>
      </c>
      <c r="G57" s="236"/>
      <c r="H57" s="236">
        <v>0</v>
      </c>
      <c r="I57" s="255">
        <v>0</v>
      </c>
      <c r="J57" s="256">
        <v>0</v>
      </c>
      <c r="K57" s="237">
        <f>COUNTIF('세부(구축)'!$B:$B,C57)</f>
        <v>0</v>
      </c>
      <c r="L57" s="230">
        <f>COUNTIFS('세부(구축)'!$B:$B,C57,'세부(구축)'!$G:$G,"&lt;&gt;승인")</f>
        <v>0</v>
      </c>
      <c r="M57" s="231">
        <f>COUNTIFS('세부(구축)'!$B:$B,C57,'세부(구축)'!$G:$G,"신규")</f>
        <v>0</v>
      </c>
      <c r="N57" s="230">
        <f>COUNTIFS('세부(구축)'!$B:$B,C57,'세부(구축)'!$G:$G,"승인")</f>
        <v>0</v>
      </c>
      <c r="O57" s="232">
        <f ca="1">COUNTIFS('세부(구축)'!$I:$I,$C$12,'세부(구축)'!$B:$B,C57)</f>
        <v>0</v>
      </c>
      <c r="P57" s="238">
        <f>COUNTIFS('세부(구축)'!$B:$B,C57,'세부(구축)'!$J:$J,"발행")</f>
        <v>0</v>
      </c>
      <c r="Q57" s="212"/>
      <c r="R57" s="238">
        <f t="shared" si="2"/>
        <v>0</v>
      </c>
      <c r="S57" s="233">
        <f ca="1">COUNTIFS('세부(구축)'!$I:$I,$C$12,'세부(구축)'!$B:$B,C57)</f>
        <v>0</v>
      </c>
      <c r="T57" s="247">
        <f ca="1">COUNTIFS('세부(구축)'!$B:$B,C57,'세부(구축)'!$H:$H,TODAY())</f>
        <v>0</v>
      </c>
      <c r="U57" s="238">
        <f t="shared" ca="1" si="0"/>
        <v>0</v>
      </c>
      <c r="V57" s="233"/>
      <c r="W57" s="183"/>
      <c r="X57" s="182"/>
      <c r="Y57" s="182"/>
      <c r="Z57" s="182"/>
      <c r="AA57" s="180">
        <f t="shared" ca="1" si="1"/>
        <v>0</v>
      </c>
      <c r="AD57" s="181"/>
    </row>
    <row r="58" spans="2:30" ht="36" customHeight="1" thickBot="1" x14ac:dyDescent="0.2">
      <c r="B58" s="262"/>
      <c r="C58" s="215" t="s">
        <v>326</v>
      </c>
      <c r="D58" s="239">
        <f>SUM(D16:D57)</f>
        <v>965</v>
      </c>
      <c r="E58" s="240">
        <f>SUM(E16:E57)</f>
        <v>915</v>
      </c>
      <c r="F58" s="241">
        <f>SUM(F16:F57)</f>
        <v>604</v>
      </c>
      <c r="G58" s="241">
        <f>SUM(G16:G57)</f>
        <v>558</v>
      </c>
      <c r="H58" s="240">
        <f>SUM(H16:H57)</f>
        <v>119</v>
      </c>
      <c r="I58" s="243">
        <f t="shared" ref="I58:U58" si="6">SUM(I16:I57)</f>
        <v>289</v>
      </c>
      <c r="J58" s="245">
        <f t="shared" si="6"/>
        <v>225</v>
      </c>
      <c r="K58" s="242">
        <f t="shared" si="6"/>
        <v>116</v>
      </c>
      <c r="L58" s="243">
        <f>SUM(L16:L57)</f>
        <v>41</v>
      </c>
      <c r="M58" s="244">
        <f>SUM(M16:M57)</f>
        <v>0</v>
      </c>
      <c r="N58" s="243">
        <f>SUM(N16:N57)</f>
        <v>75</v>
      </c>
      <c r="O58" s="245">
        <f ca="1">SUM(O16:O57)</f>
        <v>0</v>
      </c>
      <c r="P58" s="246">
        <f t="shared" si="6"/>
        <v>0</v>
      </c>
      <c r="Q58" s="214"/>
      <c r="R58" s="243">
        <f>SUM(R16:R57)</f>
        <v>116</v>
      </c>
      <c r="S58" s="243">
        <f t="shared" ca="1" si="6"/>
        <v>0</v>
      </c>
      <c r="T58" s="244">
        <f t="shared" ca="1" si="6"/>
        <v>0</v>
      </c>
      <c r="U58" s="243">
        <f t="shared" ca="1" si="6"/>
        <v>33</v>
      </c>
      <c r="V58" s="243"/>
      <c r="W58" s="183"/>
      <c r="X58" s="182"/>
      <c r="Y58" s="182"/>
      <c r="Z58" s="182"/>
      <c r="AD58" s="181"/>
    </row>
    <row r="59" spans="2:30" ht="14.1" customHeight="1" x14ac:dyDescent="0.15">
      <c r="B59" s="54"/>
      <c r="C59" s="54"/>
      <c r="D59" s="54"/>
      <c r="E59" s="54"/>
      <c r="F59" s="54"/>
      <c r="G59" s="54"/>
      <c r="H59" s="54"/>
      <c r="I59" s="54"/>
      <c r="J59" s="54"/>
      <c r="K59" s="55"/>
      <c r="L59" s="55"/>
      <c r="M59" s="55"/>
      <c r="N59" s="55"/>
      <c r="O59" s="55"/>
      <c r="P59" s="55"/>
      <c r="Q59" s="55"/>
      <c r="R59" s="55"/>
      <c r="S59" s="55"/>
      <c r="T59" s="56"/>
      <c r="U59" s="56"/>
      <c r="V59" s="56"/>
      <c r="W59" s="183"/>
      <c r="X59" s="182"/>
      <c r="Y59" s="182"/>
      <c r="Z59" s="182"/>
      <c r="AD59" s="181"/>
    </row>
    <row r="60" spans="2:30" ht="14.1" customHeight="1" x14ac:dyDescent="0.15">
      <c r="B60" s="54"/>
      <c r="C60" s="54"/>
      <c r="D60" s="54"/>
      <c r="E60" s="54"/>
      <c r="F60" s="54"/>
      <c r="G60" s="54"/>
      <c r="H60" s="54"/>
      <c r="I60" s="54"/>
      <c r="J60" s="54"/>
      <c r="K60" s="55"/>
      <c r="L60" s="55"/>
      <c r="M60" s="55"/>
      <c r="N60" s="55"/>
      <c r="O60" s="55"/>
      <c r="P60" s="55"/>
      <c r="Q60" s="55"/>
      <c r="R60" s="55"/>
      <c r="S60" s="55"/>
      <c r="T60" s="56"/>
      <c r="U60" s="56"/>
      <c r="V60" s="56"/>
      <c r="W60" s="183"/>
      <c r="X60" s="182"/>
      <c r="Y60" s="182"/>
      <c r="Z60" s="182"/>
      <c r="AD60" s="181"/>
    </row>
  </sheetData>
  <mergeCells count="29">
    <mergeCell ref="W13:Z13"/>
    <mergeCell ref="W15:Z16"/>
    <mergeCell ref="V13:V15"/>
    <mergeCell ref="U13:U15"/>
    <mergeCell ref="B13:B15"/>
    <mergeCell ref="S13:T13"/>
    <mergeCell ref="C13:C15"/>
    <mergeCell ref="L13:O13"/>
    <mergeCell ref="N14:O14"/>
    <mergeCell ref="K14:K15"/>
    <mergeCell ref="J14:J15"/>
    <mergeCell ref="H14:H15"/>
    <mergeCell ref="L14:M14"/>
    <mergeCell ref="B3:S3"/>
    <mergeCell ref="P13:R13"/>
    <mergeCell ref="B16:B58"/>
    <mergeCell ref="D13:J13"/>
    <mergeCell ref="G14:G15"/>
    <mergeCell ref="F14:F15"/>
    <mergeCell ref="E14:E15"/>
    <mergeCell ref="D14:D15"/>
    <mergeCell ref="P14:P15"/>
    <mergeCell ref="Q14:Q15"/>
    <mergeCell ref="R14:R15"/>
    <mergeCell ref="C7:M7"/>
    <mergeCell ref="B7:B8"/>
    <mergeCell ref="B9:B10"/>
    <mergeCell ref="C9:M9"/>
    <mergeCell ref="I14:I15"/>
  </mergeCells>
  <phoneticPr fontId="4" type="noConversion"/>
  <conditionalFormatting sqref="C16:V52 O53:P53 R53:V53 C53:N57 O54:V55 O56:P56 R56:V56 O57:V57">
    <cfRule type="expression" dxfId="81" priority="1">
      <formula>$AA16=1</formula>
    </cfRule>
  </conditionalFormatting>
  <conditionalFormatting sqref="Q16:Q52 Q54:Q55 Q57">
    <cfRule type="expression" dxfId="80" priority="2">
      <formula>$AI16=1</formula>
    </cfRule>
  </conditionalFormatting>
  <conditionalFormatting sqref="Q53">
    <cfRule type="expression" dxfId="79" priority="50">
      <formula>$AA56=1</formula>
    </cfRule>
    <cfRule type="expression" dxfId="78" priority="52">
      <formula>$AI56=1</formula>
    </cfRule>
  </conditionalFormatting>
  <conditionalFormatting sqref="S13:S14">
    <cfRule type="expression" dxfId="77" priority="16">
      <formula>#REF!="삭제"</formula>
    </cfRule>
    <cfRule type="expression" dxfId="76" priority="17">
      <formula>#REF!="확인완료"</formula>
    </cfRule>
    <cfRule type="expression" dxfId="75" priority="18">
      <formula>#REF!="승인"</formula>
    </cfRule>
    <cfRule type="expression" dxfId="74" priority="19">
      <formula>#REF!="사업지연"</formula>
    </cfRule>
    <cfRule type="expression" dxfId="73" priority="20">
      <formula>#REF!="수정요청"</formula>
    </cfRule>
    <cfRule type="expression" dxfId="72" priority="21">
      <formula>#REF!="완료"</formula>
    </cfRule>
    <cfRule type="expression" dxfId="71" priority="22">
      <formula>#REF!="사업포기"</formula>
    </cfRule>
    <cfRule type="expression" dxfId="70" priority="23">
      <formula>#REF!="현장평가 미진행"</formula>
    </cfRule>
    <cfRule type="expression" dxfId="69" priority="24">
      <formula>#REF!="미제출"</formula>
    </cfRule>
    <cfRule type="expression" dxfId="68" priority="25">
      <formula>#REF!="작성중"</formula>
    </cfRule>
    <cfRule type="expression" dxfId="67" priority="26">
      <formula>#REF!="기업확인"</formula>
    </cfRule>
  </conditionalFormatting>
  <conditionalFormatting sqref="U13:V14">
    <cfRule type="expression" dxfId="66" priority="5">
      <formula>#REF!="삭제"</formula>
    </cfRule>
    <cfRule type="expression" dxfId="65" priority="6">
      <formula>#REF!="확인완료"</formula>
    </cfRule>
    <cfRule type="expression" dxfId="64" priority="7">
      <formula>#REF!="승인"</formula>
    </cfRule>
    <cfRule type="expression" dxfId="63" priority="8">
      <formula>#REF!="사업지연"</formula>
    </cfRule>
    <cfRule type="expression" dxfId="62" priority="9">
      <formula>#REF!="수정요청"</formula>
    </cfRule>
    <cfRule type="expression" dxfId="61" priority="10">
      <formula>#REF!="완료"</formula>
    </cfRule>
    <cfRule type="expression" dxfId="60" priority="11">
      <formula>#REF!="사업포기"</formula>
    </cfRule>
    <cfRule type="expression" dxfId="59" priority="12">
      <formula>#REF!="현장평가 미진행"</formula>
    </cfRule>
    <cfRule type="expression" dxfId="58" priority="13">
      <formula>#REF!="미제출"</formula>
    </cfRule>
    <cfRule type="expression" dxfId="57" priority="14">
      <formula>#REF!="작성중"</formula>
    </cfRule>
    <cfRule type="expression" dxfId="56" priority="15">
      <formula>#REF!="기업확인"</formula>
    </cfRule>
  </conditionalFormatting>
  <printOptions horizontalCentered="1" verticalCentered="1"/>
  <pageMargins left="0.39370078740157483" right="0" top="0.55118110236220474" bottom="0.27559055118110237" header="0.31496062992125984" footer="0.31496062992125984"/>
  <pageSetup paperSize="9" scale="3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2" r:id="rId4" name="Button 2">
              <controlPr defaultSize="0" print="0" autoFill="0" autoPict="0">
                <anchor moveWithCells="1" sizeWithCells="1">
                  <from>
                    <xdr:col>10</xdr:col>
                    <xdr:colOff>381000</xdr:colOff>
                    <xdr:row>11</xdr:row>
                    <xdr:rowOff>0</xdr:rowOff>
                  </from>
                  <to>
                    <xdr:col>10</xdr:col>
                    <xdr:colOff>828675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Button 3">
              <controlPr defaultSize="0" print="0" autoFill="0" autoPict="0">
                <anchor moveWithCells="1" sizeWithCells="1">
                  <from>
                    <xdr:col>10</xdr:col>
                    <xdr:colOff>847725</xdr:colOff>
                    <xdr:row>11</xdr:row>
                    <xdr:rowOff>0</xdr:rowOff>
                  </from>
                  <to>
                    <xdr:col>13</xdr:col>
                    <xdr:colOff>638175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Button 4">
              <controlPr defaultSize="0" print="0" autoFill="0" autoPict="0">
                <anchor moveWithCells="1" sizeWithCells="1">
                  <from>
                    <xdr:col>2</xdr:col>
                    <xdr:colOff>1381125</xdr:colOff>
                    <xdr:row>11</xdr:row>
                    <xdr:rowOff>0</xdr:rowOff>
                  </from>
                  <to>
                    <xdr:col>3</xdr:col>
                    <xdr:colOff>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Button 5">
              <controlPr defaultSize="0" print="0" autoFill="0" autoPict="0">
                <anchor moveWithCells="1" sizeWithCells="1">
                  <from>
                    <xdr:col>2</xdr:col>
                    <xdr:colOff>1190625</xdr:colOff>
                    <xdr:row>10</xdr:row>
                    <xdr:rowOff>342900</xdr:rowOff>
                  </from>
                  <to>
                    <xdr:col>10</xdr:col>
                    <xdr:colOff>381000</xdr:colOff>
                    <xdr:row>11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C5D8-39E0-41D0-A4EF-509E4F760DE5}">
  <dimension ref="A1:T489"/>
  <sheetViews>
    <sheetView view="pageBreakPreview" zoomScale="85" zoomScaleNormal="100" zoomScaleSheetLayoutView="85" workbookViewId="0">
      <pane ySplit="3" topLeftCell="A108" activePane="bottomLeft" state="frozen"/>
      <selection activeCell="P49" sqref="P49:X55"/>
      <selection pane="bottomLeft" activeCell="L120" sqref="L120"/>
    </sheetView>
  </sheetViews>
  <sheetFormatPr defaultRowHeight="12" x14ac:dyDescent="0.15"/>
  <cols>
    <col min="1" max="1" width="4.88671875" style="14" bestFit="1" customWidth="1"/>
    <col min="2" max="2" width="13.6640625" style="14" bestFit="1" customWidth="1"/>
    <col min="3" max="3" width="16.77734375" style="62" customWidth="1"/>
    <col min="4" max="4" width="18.77734375" style="62" customWidth="1"/>
    <col min="5" max="6" width="20.109375" style="14" customWidth="1"/>
    <col min="7" max="7" width="9.77734375" style="15" customWidth="1"/>
    <col min="8" max="8" width="9.77734375" style="159" customWidth="1"/>
    <col min="9" max="9" width="10.5546875" style="159" customWidth="1"/>
    <col min="10" max="10" width="8.44140625" style="15" customWidth="1"/>
    <col min="11" max="11" width="7.6640625" style="15" customWidth="1"/>
    <col min="12" max="12" width="9.77734375" style="15" customWidth="1"/>
    <col min="13" max="13" width="8.88671875" style="9"/>
    <col min="14" max="14" width="11.44140625" style="9" customWidth="1"/>
    <col min="15" max="17" width="8.88671875" style="9"/>
    <col min="18" max="18" width="5.77734375" style="9" customWidth="1"/>
    <col min="19" max="19" width="8.88671875" style="9"/>
    <col min="20" max="20" width="15.77734375" style="9" customWidth="1"/>
    <col min="21" max="16384" width="8.88671875" style="9"/>
  </cols>
  <sheetData>
    <row r="1" spans="1:20" ht="24" x14ac:dyDescent="0.15">
      <c r="A1" s="302" t="s">
        <v>26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16"/>
      <c r="O1" s="16"/>
      <c r="P1" s="16"/>
      <c r="Q1" s="16"/>
    </row>
    <row r="2" spans="1:20" ht="20.100000000000001" customHeight="1" x14ac:dyDescent="0.15"/>
    <row r="3" spans="1:20" ht="30" customHeight="1" x14ac:dyDescent="0.15">
      <c r="A3" s="12" t="s">
        <v>0</v>
      </c>
      <c r="B3" s="12" t="s">
        <v>20</v>
      </c>
      <c r="C3" s="63" t="s">
        <v>209</v>
      </c>
      <c r="D3" s="63" t="s">
        <v>208</v>
      </c>
      <c r="E3" s="12" t="s">
        <v>8</v>
      </c>
      <c r="F3" s="12" t="s">
        <v>9</v>
      </c>
      <c r="G3" s="13" t="s">
        <v>13</v>
      </c>
      <c r="H3" s="160" t="s">
        <v>168</v>
      </c>
      <c r="I3" s="160" t="s">
        <v>180</v>
      </c>
      <c r="J3" s="13" t="s">
        <v>272</v>
      </c>
      <c r="K3" s="13" t="s">
        <v>287</v>
      </c>
      <c r="L3" s="13" t="s">
        <v>25</v>
      </c>
      <c r="M3" s="12" t="s">
        <v>1</v>
      </c>
      <c r="N3" s="21"/>
      <c r="O3" s="21"/>
      <c r="P3" s="21"/>
      <c r="Q3" s="21"/>
      <c r="R3" s="21"/>
      <c r="S3" s="14"/>
      <c r="T3" s="22"/>
    </row>
    <row r="4" spans="1:20" ht="20.100000000000001" customHeight="1" x14ac:dyDescent="0.15">
      <c r="A4" s="10">
        <v>1</v>
      </c>
      <c r="B4" s="10" t="s">
        <v>24</v>
      </c>
      <c r="C4" s="64" t="s">
        <v>410</v>
      </c>
      <c r="D4" s="64" t="s">
        <v>347</v>
      </c>
      <c r="E4" s="10" t="s">
        <v>348</v>
      </c>
      <c r="F4" s="10" t="s">
        <v>349</v>
      </c>
      <c r="G4" s="11" t="s">
        <v>407</v>
      </c>
      <c r="H4" s="69"/>
      <c r="I4" s="69"/>
      <c r="J4" s="38"/>
      <c r="K4" s="38"/>
      <c r="L4" s="11" t="s">
        <v>381</v>
      </c>
      <c r="M4" s="11"/>
      <c r="N4" s="18"/>
      <c r="O4" s="18"/>
      <c r="P4" s="15" t="s">
        <v>51</v>
      </c>
      <c r="Q4" s="18" t="s">
        <v>39</v>
      </c>
      <c r="R4" s="9" t="b">
        <f t="shared" ref="R4:R9" si="0">P4=E4</f>
        <v>0</v>
      </c>
      <c r="S4" s="14"/>
      <c r="T4" s="23"/>
    </row>
    <row r="5" spans="1:20" ht="20.100000000000001" customHeight="1" x14ac:dyDescent="0.15">
      <c r="A5" s="10">
        <f t="shared" ref="A5:A68" si="1">A4+1</f>
        <v>2</v>
      </c>
      <c r="B5" s="10" t="s">
        <v>24</v>
      </c>
      <c r="C5" s="64" t="s">
        <v>410</v>
      </c>
      <c r="D5" s="64" t="s">
        <v>347</v>
      </c>
      <c r="E5" s="10" t="s">
        <v>350</v>
      </c>
      <c r="F5" s="10" t="s">
        <v>351</v>
      </c>
      <c r="G5" s="11" t="s">
        <v>407</v>
      </c>
      <c r="H5" s="69"/>
      <c r="I5" s="69"/>
      <c r="J5" s="38"/>
      <c r="K5" s="38"/>
      <c r="L5" s="11" t="s">
        <v>381</v>
      </c>
      <c r="M5" s="11"/>
      <c r="N5" s="18"/>
      <c r="O5" s="18"/>
      <c r="P5" s="18" t="s">
        <v>52</v>
      </c>
      <c r="Q5" s="18" t="s">
        <v>39</v>
      </c>
      <c r="R5" s="9" t="b">
        <f t="shared" si="0"/>
        <v>0</v>
      </c>
      <c r="S5" s="14"/>
      <c r="T5" s="23"/>
    </row>
    <row r="6" spans="1:20" ht="20.100000000000001" customHeight="1" x14ac:dyDescent="0.15">
      <c r="A6" s="10">
        <f t="shared" si="1"/>
        <v>3</v>
      </c>
      <c r="B6" s="10" t="s">
        <v>261</v>
      </c>
      <c r="C6" s="64" t="s">
        <v>410</v>
      </c>
      <c r="D6" s="64" t="s">
        <v>347</v>
      </c>
      <c r="E6" s="10" t="s">
        <v>357</v>
      </c>
      <c r="F6" s="10" t="s">
        <v>356</v>
      </c>
      <c r="G6" s="11" t="s">
        <v>407</v>
      </c>
      <c r="H6" s="69"/>
      <c r="I6" s="69"/>
      <c r="J6" s="11"/>
      <c r="K6" s="11"/>
      <c r="L6" s="11" t="s">
        <v>381</v>
      </c>
      <c r="M6" s="11"/>
      <c r="N6" s="15"/>
      <c r="O6" s="15"/>
      <c r="P6" s="15" t="s">
        <v>38</v>
      </c>
      <c r="Q6" s="15" t="s">
        <v>39</v>
      </c>
      <c r="R6" s="9" t="b">
        <f t="shared" si="0"/>
        <v>0</v>
      </c>
    </row>
    <row r="7" spans="1:20" ht="20.100000000000001" customHeight="1" x14ac:dyDescent="0.15">
      <c r="A7" s="10">
        <f t="shared" si="1"/>
        <v>4</v>
      </c>
      <c r="B7" s="10" t="s">
        <v>261</v>
      </c>
      <c r="C7" s="64" t="s">
        <v>410</v>
      </c>
      <c r="D7" s="64" t="s">
        <v>347</v>
      </c>
      <c r="E7" s="10" t="s">
        <v>358</v>
      </c>
      <c r="F7" s="10" t="s">
        <v>359</v>
      </c>
      <c r="G7" s="11" t="s">
        <v>407</v>
      </c>
      <c r="H7" s="69"/>
      <c r="I7" s="69"/>
      <c r="J7" s="11"/>
      <c r="K7" s="11"/>
      <c r="L7" s="11" t="s">
        <v>381</v>
      </c>
      <c r="M7" s="11"/>
      <c r="N7" s="15"/>
      <c r="O7" s="15"/>
      <c r="P7" s="15" t="s">
        <v>40</v>
      </c>
      <c r="Q7" s="15" t="s">
        <v>41</v>
      </c>
      <c r="R7" s="9" t="b">
        <f t="shared" si="0"/>
        <v>0</v>
      </c>
    </row>
    <row r="8" spans="1:20" ht="20.100000000000001" customHeight="1" x14ac:dyDescent="0.15">
      <c r="A8" s="10">
        <f t="shared" si="1"/>
        <v>5</v>
      </c>
      <c r="B8" s="10" t="s">
        <v>261</v>
      </c>
      <c r="C8" s="64" t="s">
        <v>410</v>
      </c>
      <c r="D8" s="64" t="s">
        <v>347</v>
      </c>
      <c r="E8" s="10" t="s">
        <v>360</v>
      </c>
      <c r="F8" s="10" t="s">
        <v>361</v>
      </c>
      <c r="G8" s="11" t="s">
        <v>407</v>
      </c>
      <c r="H8" s="69"/>
      <c r="I8" s="69"/>
      <c r="J8" s="38"/>
      <c r="K8" s="38"/>
      <c r="L8" s="11" t="s">
        <v>381</v>
      </c>
      <c r="M8" s="11"/>
      <c r="N8" s="15"/>
      <c r="O8" s="15"/>
      <c r="P8" s="15" t="s">
        <v>53</v>
      </c>
      <c r="Q8" s="15" t="s">
        <v>54</v>
      </c>
      <c r="R8" s="9" t="b">
        <f t="shared" si="0"/>
        <v>0</v>
      </c>
    </row>
    <row r="9" spans="1:20" ht="20.100000000000001" customHeight="1" x14ac:dyDescent="0.15">
      <c r="A9" s="10">
        <f t="shared" si="1"/>
        <v>6</v>
      </c>
      <c r="B9" s="10" t="s">
        <v>261</v>
      </c>
      <c r="C9" s="64" t="s">
        <v>410</v>
      </c>
      <c r="D9" s="64" t="s">
        <v>347</v>
      </c>
      <c r="E9" s="10" t="s">
        <v>362</v>
      </c>
      <c r="F9" s="10" t="s">
        <v>363</v>
      </c>
      <c r="G9" s="11" t="s">
        <v>407</v>
      </c>
      <c r="H9" s="69"/>
      <c r="I9" s="69"/>
      <c r="J9" s="38"/>
      <c r="K9" s="38"/>
      <c r="L9" s="11" t="s">
        <v>381</v>
      </c>
      <c r="M9" s="11"/>
      <c r="N9" s="15"/>
      <c r="O9" s="15"/>
      <c r="P9" s="15" t="s">
        <v>55</v>
      </c>
      <c r="Q9" s="15" t="s">
        <v>54</v>
      </c>
      <c r="R9" s="9" t="b">
        <f t="shared" si="0"/>
        <v>0</v>
      </c>
    </row>
    <row r="10" spans="1:20" ht="20.100000000000001" customHeight="1" x14ac:dyDescent="0.15">
      <c r="A10" s="10">
        <f t="shared" si="1"/>
        <v>7</v>
      </c>
      <c r="B10" s="10" t="s">
        <v>376</v>
      </c>
      <c r="C10" s="64" t="s">
        <v>410</v>
      </c>
      <c r="D10" s="64" t="s">
        <v>347</v>
      </c>
      <c r="E10" s="10" t="s">
        <v>364</v>
      </c>
      <c r="F10" s="10" t="s">
        <v>365</v>
      </c>
      <c r="G10" s="11" t="s">
        <v>407</v>
      </c>
      <c r="H10" s="69"/>
      <c r="I10" s="69"/>
      <c r="J10" s="38"/>
      <c r="K10" s="38"/>
      <c r="L10" s="11" t="s">
        <v>381</v>
      </c>
      <c r="M10" s="11"/>
      <c r="N10" s="15"/>
      <c r="O10" s="15"/>
      <c r="P10" s="15"/>
      <c r="Q10" s="15"/>
    </row>
    <row r="11" spans="1:20" ht="20.100000000000001" customHeight="1" x14ac:dyDescent="0.15">
      <c r="A11" s="10">
        <f t="shared" si="1"/>
        <v>8</v>
      </c>
      <c r="B11" s="10" t="s">
        <v>376</v>
      </c>
      <c r="C11" s="64" t="s">
        <v>410</v>
      </c>
      <c r="D11" s="64" t="s">
        <v>347</v>
      </c>
      <c r="E11" s="10" t="s">
        <v>366</v>
      </c>
      <c r="F11" s="10" t="s">
        <v>367</v>
      </c>
      <c r="G11" s="11" t="s">
        <v>407</v>
      </c>
      <c r="H11" s="69"/>
      <c r="I11" s="69"/>
      <c r="J11" s="38"/>
      <c r="K11" s="38"/>
      <c r="L11" s="11" t="s">
        <v>381</v>
      </c>
      <c r="M11" s="11"/>
      <c r="N11" s="15" t="s">
        <v>44</v>
      </c>
      <c r="O11" s="15"/>
      <c r="P11" s="15"/>
      <c r="Q11" s="15"/>
    </row>
    <row r="12" spans="1:20" ht="20.100000000000001" customHeight="1" x14ac:dyDescent="0.15">
      <c r="A12" s="10">
        <f t="shared" si="1"/>
        <v>9</v>
      </c>
      <c r="B12" s="10" t="s">
        <v>376</v>
      </c>
      <c r="C12" s="64" t="s">
        <v>410</v>
      </c>
      <c r="D12" s="64" t="s">
        <v>347</v>
      </c>
      <c r="E12" s="10" t="s">
        <v>368</v>
      </c>
      <c r="F12" s="10" t="s">
        <v>367</v>
      </c>
      <c r="G12" s="11" t="s">
        <v>407</v>
      </c>
      <c r="H12" s="69"/>
      <c r="I12" s="69"/>
      <c r="J12" s="38"/>
      <c r="K12" s="38"/>
      <c r="L12" s="11" t="s">
        <v>381</v>
      </c>
      <c r="M12" s="11"/>
      <c r="N12" s="15" t="s">
        <v>44</v>
      </c>
      <c r="O12" s="15"/>
      <c r="P12" s="15"/>
      <c r="Q12" s="15"/>
    </row>
    <row r="13" spans="1:20" ht="20.100000000000001" customHeight="1" x14ac:dyDescent="0.15">
      <c r="A13" s="10">
        <f t="shared" si="1"/>
        <v>10</v>
      </c>
      <c r="B13" s="10" t="s">
        <v>369</v>
      </c>
      <c r="C13" s="64">
        <v>2026</v>
      </c>
      <c r="D13" s="64" t="s">
        <v>370</v>
      </c>
      <c r="E13" s="10" t="s">
        <v>371</v>
      </c>
      <c r="F13" s="10" t="s">
        <v>372</v>
      </c>
      <c r="G13" s="11" t="s">
        <v>407</v>
      </c>
      <c r="H13" s="69"/>
      <c r="I13" s="69"/>
      <c r="J13" s="11"/>
      <c r="K13" s="11"/>
      <c r="L13" s="11" t="s">
        <v>381</v>
      </c>
      <c r="M13" s="11"/>
      <c r="N13" s="15" t="s">
        <v>49</v>
      </c>
      <c r="O13" s="15"/>
      <c r="P13" s="15"/>
      <c r="Q13" s="15"/>
    </row>
    <row r="14" spans="1:20" ht="20.100000000000001" customHeight="1" x14ac:dyDescent="0.15">
      <c r="A14" s="10">
        <f t="shared" si="1"/>
        <v>11</v>
      </c>
      <c r="B14" s="10" t="s">
        <v>369</v>
      </c>
      <c r="C14" s="64">
        <v>2026</v>
      </c>
      <c r="D14" s="64" t="s">
        <v>370</v>
      </c>
      <c r="E14" s="10" t="s">
        <v>373</v>
      </c>
      <c r="F14" s="10" t="s">
        <v>374</v>
      </c>
      <c r="G14" s="11" t="s">
        <v>407</v>
      </c>
      <c r="H14" s="69"/>
      <c r="I14" s="69"/>
      <c r="J14" s="38"/>
      <c r="K14" s="11"/>
      <c r="L14" s="11" t="s">
        <v>381</v>
      </c>
      <c r="M14" s="11"/>
      <c r="N14" s="15"/>
      <c r="O14" s="15"/>
      <c r="P14" s="11" t="s">
        <v>406</v>
      </c>
      <c r="Q14" s="15"/>
    </row>
    <row r="15" spans="1:20" ht="20.100000000000001" customHeight="1" x14ac:dyDescent="0.15">
      <c r="A15" s="10">
        <f t="shared" si="1"/>
        <v>12</v>
      </c>
      <c r="B15" s="10" t="s">
        <v>377</v>
      </c>
      <c r="C15" s="64" t="s">
        <v>411</v>
      </c>
      <c r="D15" s="64" t="s">
        <v>380</v>
      </c>
      <c r="E15" s="10" t="s">
        <v>378</v>
      </c>
      <c r="F15" s="10" t="s">
        <v>379</v>
      </c>
      <c r="G15" s="11" t="s">
        <v>407</v>
      </c>
      <c r="H15" s="69"/>
      <c r="I15" s="69"/>
      <c r="J15" s="38"/>
      <c r="K15" s="11"/>
      <c r="L15" s="11" t="s">
        <v>381</v>
      </c>
      <c r="M15" s="11"/>
      <c r="N15" s="15"/>
      <c r="O15" s="15"/>
      <c r="P15" s="15"/>
      <c r="Q15" s="15"/>
    </row>
    <row r="16" spans="1:20" ht="20.100000000000001" customHeight="1" x14ac:dyDescent="0.15">
      <c r="A16" s="10">
        <f t="shared" si="1"/>
        <v>13</v>
      </c>
      <c r="B16" s="10" t="s">
        <v>397</v>
      </c>
      <c r="C16" s="64" t="s">
        <v>410</v>
      </c>
      <c r="D16" s="64" t="s">
        <v>382</v>
      </c>
      <c r="E16" s="10" t="s">
        <v>383</v>
      </c>
      <c r="F16" s="10" t="s">
        <v>384</v>
      </c>
      <c r="G16" s="11" t="s">
        <v>407</v>
      </c>
      <c r="H16" s="69"/>
      <c r="I16" s="69"/>
      <c r="J16" s="38"/>
      <c r="K16" s="11"/>
      <c r="L16" s="11" t="s">
        <v>183</v>
      </c>
      <c r="M16" s="11"/>
      <c r="N16" s="15"/>
      <c r="O16" s="15"/>
      <c r="P16" s="15"/>
      <c r="Q16" s="15"/>
    </row>
    <row r="17" spans="1:18" ht="20.100000000000001" customHeight="1" x14ac:dyDescent="0.15">
      <c r="A17" s="10">
        <f t="shared" si="1"/>
        <v>14</v>
      </c>
      <c r="B17" s="10" t="s">
        <v>397</v>
      </c>
      <c r="C17" s="64" t="s">
        <v>410</v>
      </c>
      <c r="D17" s="64" t="s">
        <v>382</v>
      </c>
      <c r="E17" s="10" t="s">
        <v>385</v>
      </c>
      <c r="F17" s="10" t="s">
        <v>386</v>
      </c>
      <c r="G17" s="11" t="s">
        <v>407</v>
      </c>
      <c r="H17" s="69"/>
      <c r="I17" s="69"/>
      <c r="J17" s="38"/>
      <c r="K17" s="11"/>
      <c r="L17" s="11" t="s">
        <v>183</v>
      </c>
      <c r="M17" s="11"/>
      <c r="N17" s="15"/>
      <c r="O17" s="15"/>
      <c r="P17" s="15"/>
      <c r="Q17" s="15"/>
    </row>
    <row r="18" spans="1:18" ht="20.100000000000001" customHeight="1" x14ac:dyDescent="0.15">
      <c r="A18" s="10">
        <f t="shared" si="1"/>
        <v>15</v>
      </c>
      <c r="B18" s="10" t="s">
        <v>397</v>
      </c>
      <c r="C18" s="64" t="s">
        <v>410</v>
      </c>
      <c r="D18" s="64" t="s">
        <v>382</v>
      </c>
      <c r="E18" s="10" t="s">
        <v>387</v>
      </c>
      <c r="F18" s="10" t="s">
        <v>388</v>
      </c>
      <c r="G18" s="11" t="s">
        <v>409</v>
      </c>
      <c r="H18" s="69"/>
      <c r="I18" s="69"/>
      <c r="J18" s="38"/>
      <c r="K18" s="11"/>
      <c r="L18" s="11" t="s">
        <v>183</v>
      </c>
      <c r="M18" s="11"/>
      <c r="N18" s="15"/>
      <c r="O18" s="15"/>
      <c r="P18" s="15"/>
      <c r="Q18" s="15"/>
    </row>
    <row r="19" spans="1:18" ht="20.100000000000001" customHeight="1" x14ac:dyDescent="0.15">
      <c r="A19" s="10">
        <f t="shared" si="1"/>
        <v>16</v>
      </c>
      <c r="B19" s="10" t="s">
        <v>397</v>
      </c>
      <c r="C19" s="64" t="s">
        <v>410</v>
      </c>
      <c r="D19" s="64" t="s">
        <v>382</v>
      </c>
      <c r="E19" s="10" t="s">
        <v>389</v>
      </c>
      <c r="F19" s="10" t="s">
        <v>390</v>
      </c>
      <c r="G19" s="11" t="s">
        <v>409</v>
      </c>
      <c r="H19" s="69"/>
      <c r="I19" s="69"/>
      <c r="J19" s="38"/>
      <c r="K19" s="11"/>
      <c r="L19" s="11" t="s">
        <v>183</v>
      </c>
      <c r="M19" s="11"/>
      <c r="N19" s="15"/>
      <c r="O19" s="15"/>
      <c r="P19" s="15"/>
      <c r="Q19" s="15"/>
    </row>
    <row r="20" spans="1:18" ht="20.100000000000001" customHeight="1" x14ac:dyDescent="0.15">
      <c r="A20" s="10">
        <f t="shared" si="1"/>
        <v>17</v>
      </c>
      <c r="B20" s="10" t="s">
        <v>397</v>
      </c>
      <c r="C20" s="64" t="s">
        <v>410</v>
      </c>
      <c r="D20" s="64" t="s">
        <v>382</v>
      </c>
      <c r="E20" s="10" t="s">
        <v>391</v>
      </c>
      <c r="F20" s="10" t="s">
        <v>392</v>
      </c>
      <c r="G20" s="11" t="s">
        <v>409</v>
      </c>
      <c r="H20" s="69"/>
      <c r="I20" s="69"/>
      <c r="J20" s="38"/>
      <c r="K20" s="11"/>
      <c r="L20" s="11" t="s">
        <v>183</v>
      </c>
      <c r="M20" s="11"/>
      <c r="N20" s="15"/>
      <c r="O20" s="15"/>
      <c r="P20" s="15"/>
      <c r="Q20" s="15"/>
    </row>
    <row r="21" spans="1:18" ht="20.100000000000001" customHeight="1" x14ac:dyDescent="0.15">
      <c r="A21" s="10">
        <f t="shared" si="1"/>
        <v>18</v>
      </c>
      <c r="B21" s="10" t="s">
        <v>397</v>
      </c>
      <c r="C21" s="64" t="s">
        <v>410</v>
      </c>
      <c r="D21" s="64" t="s">
        <v>382</v>
      </c>
      <c r="E21" s="10" t="s">
        <v>393</v>
      </c>
      <c r="F21" s="10" t="s">
        <v>394</v>
      </c>
      <c r="G21" s="11" t="s">
        <v>409</v>
      </c>
      <c r="H21" s="69"/>
      <c r="I21" s="69"/>
      <c r="J21" s="11"/>
      <c r="K21" s="11"/>
      <c r="L21" s="11" t="s">
        <v>183</v>
      </c>
      <c r="M21" s="11"/>
      <c r="N21" s="15"/>
      <c r="O21" s="15"/>
      <c r="P21" s="15"/>
      <c r="Q21" s="15"/>
    </row>
    <row r="22" spans="1:18" ht="20.100000000000001" customHeight="1" x14ac:dyDescent="0.15">
      <c r="A22" s="10">
        <f t="shared" si="1"/>
        <v>19</v>
      </c>
      <c r="B22" s="10" t="s">
        <v>397</v>
      </c>
      <c r="C22" s="64" t="s">
        <v>410</v>
      </c>
      <c r="D22" s="64" t="s">
        <v>382</v>
      </c>
      <c r="E22" s="10" t="s">
        <v>395</v>
      </c>
      <c r="F22" s="10" t="s">
        <v>396</v>
      </c>
      <c r="G22" s="11" t="s">
        <v>409</v>
      </c>
      <c r="H22" s="69"/>
      <c r="I22" s="69"/>
      <c r="J22" s="38"/>
      <c r="K22" s="38"/>
      <c r="L22" s="11" t="s">
        <v>183</v>
      </c>
      <c r="M22" s="11"/>
      <c r="N22" s="15"/>
      <c r="O22" s="15"/>
      <c r="P22" s="15" t="s">
        <v>108</v>
      </c>
      <c r="Q22" s="15" t="s">
        <v>57</v>
      </c>
      <c r="R22" s="9" t="b">
        <f t="shared" ref="R22:R53" si="2">P22=E22</f>
        <v>0</v>
      </c>
    </row>
    <row r="23" spans="1:18" ht="20.100000000000001" customHeight="1" x14ac:dyDescent="0.15">
      <c r="A23" s="10">
        <f t="shared" si="1"/>
        <v>20</v>
      </c>
      <c r="B23" s="10" t="s">
        <v>401</v>
      </c>
      <c r="C23" s="64" t="s">
        <v>402</v>
      </c>
      <c r="D23" s="64" t="s">
        <v>400</v>
      </c>
      <c r="E23" s="10" t="s">
        <v>398</v>
      </c>
      <c r="F23" s="10" t="s">
        <v>399</v>
      </c>
      <c r="G23" s="11" t="s">
        <v>407</v>
      </c>
      <c r="H23" s="69"/>
      <c r="I23" s="69"/>
      <c r="J23" s="38"/>
      <c r="K23" s="38"/>
      <c r="L23" s="11" t="s">
        <v>183</v>
      </c>
      <c r="M23" s="11"/>
      <c r="N23" s="15"/>
      <c r="O23" s="15"/>
      <c r="P23" s="15" t="s">
        <v>60</v>
      </c>
      <c r="Q23" s="15" t="s">
        <v>59</v>
      </c>
      <c r="R23" s="9" t="b">
        <f t="shared" si="2"/>
        <v>0</v>
      </c>
    </row>
    <row r="24" spans="1:18" ht="20.100000000000001" customHeight="1" x14ac:dyDescent="0.15">
      <c r="A24" s="10">
        <f t="shared" si="1"/>
        <v>21</v>
      </c>
      <c r="B24" s="10" t="s">
        <v>401</v>
      </c>
      <c r="C24" s="64" t="s">
        <v>402</v>
      </c>
      <c r="D24" s="64" t="s">
        <v>400</v>
      </c>
      <c r="E24" s="10" t="s">
        <v>404</v>
      </c>
      <c r="F24" s="10" t="s">
        <v>405</v>
      </c>
      <c r="G24" s="11" t="s">
        <v>407</v>
      </c>
      <c r="H24" s="69"/>
      <c r="I24" s="69"/>
      <c r="J24" s="38"/>
      <c r="K24" s="38"/>
      <c r="L24" s="11" t="s">
        <v>183</v>
      </c>
      <c r="M24" s="11"/>
      <c r="N24" s="15"/>
      <c r="O24" s="15"/>
      <c r="P24" s="15" t="s">
        <v>68</v>
      </c>
      <c r="Q24" s="15" t="s">
        <v>61</v>
      </c>
      <c r="R24" s="9" t="b">
        <f t="shared" si="2"/>
        <v>0</v>
      </c>
    </row>
    <row r="25" spans="1:18" ht="20.100000000000001" customHeight="1" x14ac:dyDescent="0.15">
      <c r="A25" s="10">
        <f t="shared" si="1"/>
        <v>22</v>
      </c>
      <c r="B25" s="10" t="s">
        <v>413</v>
      </c>
      <c r="C25" s="64" t="s">
        <v>414</v>
      </c>
      <c r="D25" s="64" t="s">
        <v>415</v>
      </c>
      <c r="E25" s="10" t="s">
        <v>417</v>
      </c>
      <c r="F25" s="10" t="s">
        <v>416</v>
      </c>
      <c r="G25" s="11" t="s">
        <v>407</v>
      </c>
      <c r="H25" s="69"/>
      <c r="I25" s="69"/>
      <c r="J25" s="38"/>
      <c r="K25" s="38"/>
      <c r="L25" s="11" t="s">
        <v>183</v>
      </c>
      <c r="M25" s="11"/>
      <c r="N25" s="15"/>
      <c r="O25" s="15"/>
      <c r="P25" s="15" t="s">
        <v>125</v>
      </c>
      <c r="Q25" s="15" t="s">
        <v>63</v>
      </c>
      <c r="R25" s="9" t="b">
        <f t="shared" si="2"/>
        <v>0</v>
      </c>
    </row>
    <row r="26" spans="1:18" ht="20.100000000000001" customHeight="1" x14ac:dyDescent="0.15">
      <c r="A26" s="10">
        <f t="shared" si="1"/>
        <v>23</v>
      </c>
      <c r="B26" s="10" t="s">
        <v>413</v>
      </c>
      <c r="C26" s="64" t="s">
        <v>414</v>
      </c>
      <c r="D26" s="64" t="s">
        <v>415</v>
      </c>
      <c r="E26" s="10" t="s">
        <v>418</v>
      </c>
      <c r="F26" s="10" t="s">
        <v>419</v>
      </c>
      <c r="G26" s="11" t="s">
        <v>407</v>
      </c>
      <c r="H26" s="69"/>
      <c r="I26" s="69"/>
      <c r="J26" s="38"/>
      <c r="K26" s="38"/>
      <c r="L26" s="11" t="s">
        <v>183</v>
      </c>
      <c r="M26" s="11"/>
      <c r="N26" s="18"/>
      <c r="O26" s="15"/>
      <c r="P26" s="15" t="s">
        <v>104</v>
      </c>
      <c r="Q26" s="15" t="s">
        <v>65</v>
      </c>
      <c r="R26" s="9" t="b">
        <f t="shared" si="2"/>
        <v>0</v>
      </c>
    </row>
    <row r="27" spans="1:18" ht="20.100000000000001" customHeight="1" x14ac:dyDescent="0.15">
      <c r="A27" s="10">
        <f t="shared" si="1"/>
        <v>24</v>
      </c>
      <c r="B27" s="10" t="s">
        <v>413</v>
      </c>
      <c r="C27" s="64" t="s">
        <v>414</v>
      </c>
      <c r="D27" s="64" t="s">
        <v>415</v>
      </c>
      <c r="E27" s="10" t="s">
        <v>420</v>
      </c>
      <c r="F27" s="10" t="s">
        <v>421</v>
      </c>
      <c r="G27" s="11" t="s">
        <v>407</v>
      </c>
      <c r="H27" s="69"/>
      <c r="I27" s="69"/>
      <c r="J27" s="38"/>
      <c r="K27" s="38"/>
      <c r="L27" s="11" t="s">
        <v>183</v>
      </c>
      <c r="M27" s="11"/>
      <c r="N27" s="15"/>
      <c r="O27" s="15"/>
      <c r="P27" s="15" t="s">
        <v>113</v>
      </c>
      <c r="Q27" s="15" t="s">
        <v>57</v>
      </c>
      <c r="R27" s="9" t="b">
        <f t="shared" si="2"/>
        <v>0</v>
      </c>
    </row>
    <row r="28" spans="1:18" ht="20.100000000000001" customHeight="1" x14ac:dyDescent="0.15">
      <c r="A28" s="10">
        <f t="shared" si="1"/>
        <v>25</v>
      </c>
      <c r="B28" s="10" t="s">
        <v>413</v>
      </c>
      <c r="C28" s="64" t="s">
        <v>414</v>
      </c>
      <c r="D28" s="64" t="s">
        <v>415</v>
      </c>
      <c r="E28" s="10" t="s">
        <v>422</v>
      </c>
      <c r="F28" s="10" t="s">
        <v>423</v>
      </c>
      <c r="G28" s="11" t="s">
        <v>407</v>
      </c>
      <c r="H28" s="69"/>
      <c r="I28" s="69"/>
      <c r="J28" s="38"/>
      <c r="K28" s="38"/>
      <c r="L28" s="11" t="s">
        <v>183</v>
      </c>
      <c r="M28" s="11"/>
      <c r="N28" s="15"/>
      <c r="O28" s="15"/>
      <c r="P28" s="15" t="s">
        <v>80</v>
      </c>
      <c r="Q28" s="15" t="s">
        <v>43</v>
      </c>
      <c r="R28" s="9" t="b">
        <f t="shared" si="2"/>
        <v>0</v>
      </c>
    </row>
    <row r="29" spans="1:18" ht="20.100000000000001" customHeight="1" x14ac:dyDescent="0.15">
      <c r="A29" s="10">
        <f t="shared" si="1"/>
        <v>26</v>
      </c>
      <c r="B29" s="10" t="s">
        <v>427</v>
      </c>
      <c r="C29" s="64" t="s">
        <v>402</v>
      </c>
      <c r="D29" s="64" t="s">
        <v>424</v>
      </c>
      <c r="E29" s="10" t="s">
        <v>430</v>
      </c>
      <c r="F29" s="10" t="s">
        <v>431</v>
      </c>
      <c r="G29" s="11" t="s">
        <v>407</v>
      </c>
      <c r="H29" s="69"/>
      <c r="I29" s="69"/>
      <c r="J29" s="38"/>
      <c r="K29" s="38"/>
      <c r="L29" s="11" t="s">
        <v>183</v>
      </c>
      <c r="M29" s="11"/>
      <c r="N29" s="15"/>
      <c r="O29" s="15"/>
      <c r="P29" s="15" t="s">
        <v>115</v>
      </c>
      <c r="Q29" s="15" t="s">
        <v>42</v>
      </c>
      <c r="R29" s="9" t="b">
        <f t="shared" si="2"/>
        <v>0</v>
      </c>
    </row>
    <row r="30" spans="1:18" ht="20.100000000000001" customHeight="1" x14ac:dyDescent="0.15">
      <c r="A30" s="10">
        <f t="shared" si="1"/>
        <v>27</v>
      </c>
      <c r="B30" s="10" t="s">
        <v>427</v>
      </c>
      <c r="C30" s="64" t="s">
        <v>402</v>
      </c>
      <c r="D30" s="64" t="s">
        <v>424</v>
      </c>
      <c r="E30" s="10" t="s">
        <v>432</v>
      </c>
      <c r="F30" s="10" t="s">
        <v>78</v>
      </c>
      <c r="G30" s="11" t="s">
        <v>407</v>
      </c>
      <c r="H30" s="69"/>
      <c r="I30" s="69"/>
      <c r="J30" s="38"/>
      <c r="K30" s="38"/>
      <c r="L30" s="11" t="s">
        <v>183</v>
      </c>
      <c r="M30" s="11"/>
      <c r="N30" s="15"/>
      <c r="O30" s="15"/>
      <c r="P30" s="15" t="s">
        <v>102</v>
      </c>
      <c r="Q30" s="15" t="s">
        <v>70</v>
      </c>
      <c r="R30" s="9" t="b">
        <f t="shared" si="2"/>
        <v>0</v>
      </c>
    </row>
    <row r="31" spans="1:18" ht="20.100000000000001" customHeight="1" x14ac:dyDescent="0.15">
      <c r="A31" s="10">
        <f t="shared" si="1"/>
        <v>28</v>
      </c>
      <c r="B31" s="10" t="s">
        <v>427</v>
      </c>
      <c r="C31" s="64" t="s">
        <v>402</v>
      </c>
      <c r="D31" s="64" t="s">
        <v>424</v>
      </c>
      <c r="E31" s="10" t="s">
        <v>433</v>
      </c>
      <c r="F31" s="10" t="s">
        <v>434</v>
      </c>
      <c r="G31" s="11" t="s">
        <v>407</v>
      </c>
      <c r="H31" s="69"/>
      <c r="I31" s="69"/>
      <c r="J31" s="38"/>
      <c r="K31" s="38"/>
      <c r="L31" s="11" t="s">
        <v>183</v>
      </c>
      <c r="M31" s="11"/>
      <c r="N31" s="15"/>
      <c r="O31" s="15"/>
      <c r="P31" s="15" t="s">
        <v>127</v>
      </c>
      <c r="Q31" s="15" t="s">
        <v>72</v>
      </c>
      <c r="R31" s="9" t="b">
        <f t="shared" si="2"/>
        <v>0</v>
      </c>
    </row>
    <row r="32" spans="1:18" ht="20.100000000000001" customHeight="1" x14ac:dyDescent="0.15">
      <c r="A32" s="10">
        <f t="shared" si="1"/>
        <v>29</v>
      </c>
      <c r="B32" s="10" t="s">
        <v>428</v>
      </c>
      <c r="C32" s="64" t="s">
        <v>402</v>
      </c>
      <c r="D32" s="64" t="s">
        <v>425</v>
      </c>
      <c r="E32" s="10" t="s">
        <v>435</v>
      </c>
      <c r="F32" s="10" t="s">
        <v>436</v>
      </c>
      <c r="G32" s="11" t="s">
        <v>407</v>
      </c>
      <c r="H32" s="69"/>
      <c r="I32" s="69"/>
      <c r="J32" s="38"/>
      <c r="K32" s="38"/>
      <c r="L32" s="11" t="s">
        <v>183</v>
      </c>
      <c r="M32" s="11"/>
      <c r="N32" s="15"/>
      <c r="O32" s="15"/>
      <c r="P32" s="15" t="s">
        <v>148</v>
      </c>
      <c r="Q32" s="15" t="s">
        <v>74</v>
      </c>
      <c r="R32" s="9" t="b">
        <f t="shared" si="2"/>
        <v>0</v>
      </c>
    </row>
    <row r="33" spans="1:18" ht="20.100000000000001" customHeight="1" x14ac:dyDescent="0.15">
      <c r="A33" s="10">
        <f t="shared" si="1"/>
        <v>30</v>
      </c>
      <c r="B33" s="10" t="s">
        <v>428</v>
      </c>
      <c r="C33" s="64" t="s">
        <v>402</v>
      </c>
      <c r="D33" s="64" t="s">
        <v>425</v>
      </c>
      <c r="E33" s="10" t="s">
        <v>437</v>
      </c>
      <c r="F33" s="11" t="s">
        <v>438</v>
      </c>
      <c r="G33" s="11" t="s">
        <v>407</v>
      </c>
      <c r="H33" s="69"/>
      <c r="I33" s="69"/>
      <c r="J33" s="38"/>
      <c r="K33" s="38"/>
      <c r="L33" s="11" t="s">
        <v>183</v>
      </c>
      <c r="M33" s="11"/>
      <c r="N33" s="15"/>
      <c r="O33" s="15"/>
      <c r="P33" s="15" t="s">
        <v>137</v>
      </c>
      <c r="Q33" s="15" t="s">
        <v>76</v>
      </c>
      <c r="R33" s="9" t="b">
        <f t="shared" si="2"/>
        <v>0</v>
      </c>
    </row>
    <row r="34" spans="1:18" ht="20.100000000000001" customHeight="1" x14ac:dyDescent="0.15">
      <c r="A34" s="10">
        <f t="shared" si="1"/>
        <v>31</v>
      </c>
      <c r="B34" s="10" t="s">
        <v>428</v>
      </c>
      <c r="C34" s="64" t="s">
        <v>402</v>
      </c>
      <c r="D34" s="64" t="s">
        <v>425</v>
      </c>
      <c r="E34" s="10" t="s">
        <v>439</v>
      </c>
      <c r="F34" s="11" t="s">
        <v>440</v>
      </c>
      <c r="G34" s="11" t="s">
        <v>407</v>
      </c>
      <c r="H34" s="69"/>
      <c r="I34" s="69"/>
      <c r="J34" s="38"/>
      <c r="K34" s="38"/>
      <c r="L34" s="11" t="s">
        <v>183</v>
      </c>
      <c r="M34" s="11"/>
      <c r="N34" s="15"/>
      <c r="O34" s="15"/>
      <c r="P34" s="15" t="s">
        <v>112</v>
      </c>
      <c r="Q34" s="15" t="s">
        <v>78</v>
      </c>
      <c r="R34" s="9" t="b">
        <f t="shared" si="2"/>
        <v>0</v>
      </c>
    </row>
    <row r="35" spans="1:18" ht="20.100000000000001" customHeight="1" x14ac:dyDescent="0.15">
      <c r="A35" s="10">
        <f t="shared" si="1"/>
        <v>32</v>
      </c>
      <c r="B35" s="10" t="s">
        <v>428</v>
      </c>
      <c r="C35" s="64" t="s">
        <v>402</v>
      </c>
      <c r="D35" s="64" t="s">
        <v>425</v>
      </c>
      <c r="E35" s="10" t="s">
        <v>441</v>
      </c>
      <c r="F35" s="11" t="s">
        <v>442</v>
      </c>
      <c r="G35" s="11" t="s">
        <v>407</v>
      </c>
      <c r="H35" s="69"/>
      <c r="I35" s="69"/>
      <c r="J35" s="38"/>
      <c r="K35" s="38"/>
      <c r="L35" s="11" t="s">
        <v>183</v>
      </c>
      <c r="M35" s="11"/>
      <c r="N35" s="15"/>
      <c r="O35" s="15"/>
      <c r="P35" s="15" t="s">
        <v>141</v>
      </c>
      <c r="Q35" s="15" t="s">
        <v>35</v>
      </c>
      <c r="R35" s="9" t="b">
        <f t="shared" si="2"/>
        <v>0</v>
      </c>
    </row>
    <row r="36" spans="1:18" ht="20.100000000000001" customHeight="1" x14ac:dyDescent="0.15">
      <c r="A36" s="10">
        <f t="shared" si="1"/>
        <v>33</v>
      </c>
      <c r="B36" s="10" t="s">
        <v>428</v>
      </c>
      <c r="C36" s="64" t="s">
        <v>402</v>
      </c>
      <c r="D36" s="64" t="s">
        <v>425</v>
      </c>
      <c r="E36" s="10" t="s">
        <v>443</v>
      </c>
      <c r="F36" s="10" t="s">
        <v>444</v>
      </c>
      <c r="G36" s="11" t="s">
        <v>407</v>
      </c>
      <c r="H36" s="69"/>
      <c r="I36" s="69"/>
      <c r="J36" s="38"/>
      <c r="K36" s="38"/>
      <c r="L36" s="11" t="s">
        <v>183</v>
      </c>
      <c r="M36" s="11"/>
      <c r="N36" s="15"/>
      <c r="O36" s="15"/>
      <c r="P36" s="15" t="s">
        <v>58</v>
      </c>
      <c r="Q36" s="15" t="s">
        <v>81</v>
      </c>
      <c r="R36" s="9" t="b">
        <f t="shared" si="2"/>
        <v>0</v>
      </c>
    </row>
    <row r="37" spans="1:18" ht="20.100000000000001" customHeight="1" x14ac:dyDescent="0.15">
      <c r="A37" s="10">
        <f t="shared" si="1"/>
        <v>34</v>
      </c>
      <c r="B37" s="10" t="s">
        <v>428</v>
      </c>
      <c r="C37" s="64" t="s">
        <v>402</v>
      </c>
      <c r="D37" s="64" t="s">
        <v>425</v>
      </c>
      <c r="E37" s="10" t="s">
        <v>445</v>
      </c>
      <c r="F37" s="10" t="s">
        <v>444</v>
      </c>
      <c r="G37" s="11" t="s">
        <v>407</v>
      </c>
      <c r="H37" s="69"/>
      <c r="I37" s="69"/>
      <c r="J37" s="38"/>
      <c r="K37" s="38"/>
      <c r="L37" s="11" t="s">
        <v>183</v>
      </c>
      <c r="M37" s="11"/>
      <c r="N37" s="15"/>
      <c r="O37" s="15"/>
      <c r="P37" s="15" t="s">
        <v>123</v>
      </c>
      <c r="Q37" s="15" t="s">
        <v>83</v>
      </c>
      <c r="R37" s="9" t="b">
        <f t="shared" si="2"/>
        <v>0</v>
      </c>
    </row>
    <row r="38" spans="1:18" ht="20.100000000000001" customHeight="1" x14ac:dyDescent="0.15">
      <c r="A38" s="10">
        <f t="shared" si="1"/>
        <v>35</v>
      </c>
      <c r="B38" s="10" t="s">
        <v>428</v>
      </c>
      <c r="C38" s="64" t="s">
        <v>402</v>
      </c>
      <c r="D38" s="64" t="s">
        <v>425</v>
      </c>
      <c r="E38" s="10" t="s">
        <v>446</v>
      </c>
      <c r="F38" s="10" t="s">
        <v>444</v>
      </c>
      <c r="G38" s="11" t="s">
        <v>407</v>
      </c>
      <c r="H38" s="69"/>
      <c r="I38" s="69"/>
      <c r="J38" s="38"/>
      <c r="K38" s="38"/>
      <c r="L38" s="11" t="s">
        <v>183</v>
      </c>
      <c r="M38" s="11"/>
      <c r="N38" s="15"/>
      <c r="O38" s="15"/>
      <c r="P38" s="15" t="s">
        <v>87</v>
      </c>
      <c r="Q38" s="15" t="s">
        <v>85</v>
      </c>
      <c r="R38" s="9" t="b">
        <f t="shared" si="2"/>
        <v>0</v>
      </c>
    </row>
    <row r="39" spans="1:18" ht="20.100000000000001" customHeight="1" x14ac:dyDescent="0.15">
      <c r="A39" s="10">
        <f t="shared" si="1"/>
        <v>36</v>
      </c>
      <c r="B39" s="10" t="s">
        <v>428</v>
      </c>
      <c r="C39" s="64" t="s">
        <v>402</v>
      </c>
      <c r="D39" s="64" t="s">
        <v>425</v>
      </c>
      <c r="E39" s="10" t="s">
        <v>447</v>
      </c>
      <c r="F39" s="10" t="s">
        <v>444</v>
      </c>
      <c r="G39" s="11" t="s">
        <v>407</v>
      </c>
      <c r="H39" s="69"/>
      <c r="I39" s="69"/>
      <c r="J39" s="38"/>
      <c r="K39" s="38"/>
      <c r="L39" s="11" t="s">
        <v>183</v>
      </c>
      <c r="M39" s="11"/>
      <c r="N39" s="15"/>
      <c r="O39" s="15"/>
      <c r="P39" s="15" t="s">
        <v>73</v>
      </c>
      <c r="Q39" s="15" t="s">
        <v>78</v>
      </c>
      <c r="R39" s="9" t="b">
        <f t="shared" si="2"/>
        <v>0</v>
      </c>
    </row>
    <row r="40" spans="1:18" ht="20.100000000000001" customHeight="1" x14ac:dyDescent="0.15">
      <c r="A40" s="10">
        <f t="shared" si="1"/>
        <v>37</v>
      </c>
      <c r="B40" s="10" t="s">
        <v>428</v>
      </c>
      <c r="C40" s="64" t="s">
        <v>402</v>
      </c>
      <c r="D40" s="64" t="s">
        <v>425</v>
      </c>
      <c r="E40" s="10" t="s">
        <v>448</v>
      </c>
      <c r="F40" s="10" t="s">
        <v>444</v>
      </c>
      <c r="G40" s="11" t="s">
        <v>407</v>
      </c>
      <c r="H40" s="69"/>
      <c r="I40" s="69"/>
      <c r="J40" s="38"/>
      <c r="K40" s="38"/>
      <c r="L40" s="11" t="s">
        <v>183</v>
      </c>
      <c r="M40" s="11"/>
      <c r="N40" s="15"/>
      <c r="O40" s="15"/>
      <c r="P40" s="15" t="s">
        <v>95</v>
      </c>
      <c r="Q40" s="15" t="s">
        <v>88</v>
      </c>
      <c r="R40" s="9" t="b">
        <f t="shared" si="2"/>
        <v>0</v>
      </c>
    </row>
    <row r="41" spans="1:18" ht="20.100000000000001" customHeight="1" x14ac:dyDescent="0.15">
      <c r="A41" s="10">
        <f t="shared" si="1"/>
        <v>38</v>
      </c>
      <c r="B41" s="10" t="s">
        <v>428</v>
      </c>
      <c r="C41" s="64" t="s">
        <v>402</v>
      </c>
      <c r="D41" s="64" t="s">
        <v>425</v>
      </c>
      <c r="E41" s="10" t="s">
        <v>449</v>
      </c>
      <c r="F41" s="10" t="s">
        <v>450</v>
      </c>
      <c r="G41" s="11" t="s">
        <v>407</v>
      </c>
      <c r="H41" s="69"/>
      <c r="I41" s="69"/>
      <c r="J41" s="38"/>
      <c r="K41" s="38"/>
      <c r="L41" s="11" t="s">
        <v>183</v>
      </c>
      <c r="M41" s="11"/>
      <c r="N41" s="15"/>
      <c r="O41" s="15"/>
      <c r="P41" s="15" t="s">
        <v>64</v>
      </c>
      <c r="Q41" s="15" t="s">
        <v>90</v>
      </c>
      <c r="R41" s="9" t="b">
        <f t="shared" si="2"/>
        <v>0</v>
      </c>
    </row>
    <row r="42" spans="1:18" ht="20.100000000000001" customHeight="1" x14ac:dyDescent="0.15">
      <c r="A42" s="10">
        <f t="shared" si="1"/>
        <v>39</v>
      </c>
      <c r="B42" s="10" t="s">
        <v>429</v>
      </c>
      <c r="C42" s="64" t="s">
        <v>402</v>
      </c>
      <c r="D42" s="64" t="s">
        <v>426</v>
      </c>
      <c r="E42" s="10" t="s">
        <v>451</v>
      </c>
      <c r="F42" s="10" t="s">
        <v>452</v>
      </c>
      <c r="G42" s="11" t="s">
        <v>407</v>
      </c>
      <c r="H42" s="69"/>
      <c r="I42" s="69"/>
      <c r="J42" s="38"/>
      <c r="K42" s="38"/>
      <c r="L42" s="11" t="s">
        <v>183</v>
      </c>
      <c r="M42" s="11"/>
      <c r="N42" s="15"/>
      <c r="O42" s="15"/>
      <c r="P42" s="15" t="s">
        <v>77</v>
      </c>
      <c r="Q42" s="15" t="s">
        <v>90</v>
      </c>
      <c r="R42" s="9" t="b">
        <f t="shared" si="2"/>
        <v>0</v>
      </c>
    </row>
    <row r="43" spans="1:18" ht="20.100000000000001" customHeight="1" x14ac:dyDescent="0.15">
      <c r="A43" s="10">
        <f t="shared" si="1"/>
        <v>40</v>
      </c>
      <c r="B43" s="10" t="s">
        <v>429</v>
      </c>
      <c r="C43" s="64" t="s">
        <v>402</v>
      </c>
      <c r="D43" s="64" t="s">
        <v>426</v>
      </c>
      <c r="E43" s="10" t="s">
        <v>453</v>
      </c>
      <c r="F43" s="10" t="s">
        <v>454</v>
      </c>
      <c r="G43" s="11" t="s">
        <v>407</v>
      </c>
      <c r="H43" s="69"/>
      <c r="I43" s="69"/>
      <c r="J43" s="38"/>
      <c r="K43" s="38"/>
      <c r="L43" s="11" t="s">
        <v>183</v>
      </c>
      <c r="M43" s="11"/>
      <c r="N43" s="15"/>
      <c r="O43" s="15"/>
      <c r="P43" s="15" t="s">
        <v>110</v>
      </c>
      <c r="Q43" s="15" t="s">
        <v>93</v>
      </c>
      <c r="R43" s="9" t="b">
        <f t="shared" si="2"/>
        <v>0</v>
      </c>
    </row>
    <row r="44" spans="1:18" ht="20.100000000000001" customHeight="1" x14ac:dyDescent="0.15">
      <c r="A44" s="10">
        <f t="shared" si="1"/>
        <v>41</v>
      </c>
      <c r="B44" s="10" t="s">
        <v>429</v>
      </c>
      <c r="C44" s="64" t="s">
        <v>402</v>
      </c>
      <c r="D44" s="64" t="s">
        <v>426</v>
      </c>
      <c r="E44" s="10" t="s">
        <v>455</v>
      </c>
      <c r="F44" s="10" t="s">
        <v>454</v>
      </c>
      <c r="G44" s="11" t="s">
        <v>407</v>
      </c>
      <c r="H44" s="69"/>
      <c r="I44" s="69"/>
      <c r="J44" s="38"/>
      <c r="K44" s="38"/>
      <c r="L44" s="11" t="s">
        <v>183</v>
      </c>
      <c r="M44" s="11"/>
      <c r="N44" s="15"/>
      <c r="O44" s="15"/>
      <c r="P44" s="15" t="s">
        <v>124</v>
      </c>
      <c r="Q44" s="15" t="s">
        <v>74</v>
      </c>
      <c r="R44" s="9" t="b">
        <f t="shared" si="2"/>
        <v>0</v>
      </c>
    </row>
    <row r="45" spans="1:18" ht="20.100000000000001" customHeight="1" x14ac:dyDescent="0.15">
      <c r="A45" s="10">
        <f t="shared" si="1"/>
        <v>42</v>
      </c>
      <c r="B45" s="10" t="s">
        <v>429</v>
      </c>
      <c r="C45" s="64" t="s">
        <v>402</v>
      </c>
      <c r="D45" s="64" t="s">
        <v>426</v>
      </c>
      <c r="E45" s="10" t="s">
        <v>456</v>
      </c>
      <c r="F45" s="10" t="s">
        <v>43</v>
      </c>
      <c r="G45" s="11" t="s">
        <v>407</v>
      </c>
      <c r="H45" s="69"/>
      <c r="I45" s="69"/>
      <c r="J45" s="38"/>
      <c r="K45" s="38"/>
      <c r="L45" s="11" t="s">
        <v>183</v>
      </c>
      <c r="M45" s="11"/>
      <c r="N45" s="15"/>
      <c r="O45" s="15"/>
      <c r="P45" s="15" t="s">
        <v>100</v>
      </c>
      <c r="Q45" s="15" t="s">
        <v>96</v>
      </c>
      <c r="R45" s="9" t="b">
        <f t="shared" si="2"/>
        <v>0</v>
      </c>
    </row>
    <row r="46" spans="1:18" ht="20.100000000000001" customHeight="1" x14ac:dyDescent="0.15">
      <c r="A46" s="10">
        <f t="shared" si="1"/>
        <v>43</v>
      </c>
      <c r="B46" s="10" t="s">
        <v>429</v>
      </c>
      <c r="C46" s="64" t="s">
        <v>402</v>
      </c>
      <c r="D46" s="64" t="s">
        <v>426</v>
      </c>
      <c r="E46" s="10" t="s">
        <v>457</v>
      </c>
      <c r="F46" s="10" t="s">
        <v>458</v>
      </c>
      <c r="G46" s="11" t="s">
        <v>407</v>
      </c>
      <c r="H46" s="69"/>
      <c r="I46" s="69"/>
      <c r="J46" s="38"/>
      <c r="K46" s="38"/>
      <c r="L46" s="11" t="s">
        <v>183</v>
      </c>
      <c r="M46" s="11"/>
      <c r="N46" s="15"/>
      <c r="O46" s="15"/>
      <c r="P46" s="15" t="s">
        <v>91</v>
      </c>
      <c r="Q46" s="15" t="s">
        <v>98</v>
      </c>
      <c r="R46" s="9" t="b">
        <f t="shared" si="2"/>
        <v>0</v>
      </c>
    </row>
    <row r="47" spans="1:18" ht="20.100000000000001" customHeight="1" x14ac:dyDescent="0.15">
      <c r="A47" s="10">
        <f t="shared" si="1"/>
        <v>44</v>
      </c>
      <c r="B47" s="10" t="s">
        <v>429</v>
      </c>
      <c r="C47" s="64" t="s">
        <v>402</v>
      </c>
      <c r="D47" s="64" t="s">
        <v>426</v>
      </c>
      <c r="E47" s="10" t="s">
        <v>459</v>
      </c>
      <c r="F47" s="10" t="s">
        <v>458</v>
      </c>
      <c r="G47" s="11" t="s">
        <v>407</v>
      </c>
      <c r="H47" s="69"/>
      <c r="I47" s="69"/>
      <c r="J47" s="38"/>
      <c r="K47" s="38"/>
      <c r="L47" s="11" t="s">
        <v>183</v>
      </c>
      <c r="M47" s="11"/>
      <c r="N47" s="15"/>
      <c r="O47" s="15"/>
      <c r="P47" s="15" t="s">
        <v>106</v>
      </c>
      <c r="Q47" s="15" t="s">
        <v>74</v>
      </c>
      <c r="R47" s="9" t="b">
        <f t="shared" si="2"/>
        <v>0</v>
      </c>
    </row>
    <row r="48" spans="1:18" ht="20.100000000000001" customHeight="1" x14ac:dyDescent="0.15">
      <c r="A48" s="10">
        <f t="shared" si="1"/>
        <v>45</v>
      </c>
      <c r="B48" s="10" t="s">
        <v>429</v>
      </c>
      <c r="C48" s="64" t="s">
        <v>402</v>
      </c>
      <c r="D48" s="64" t="s">
        <v>426</v>
      </c>
      <c r="E48" s="10" t="s">
        <v>460</v>
      </c>
      <c r="F48" s="10" t="s">
        <v>461</v>
      </c>
      <c r="G48" s="11" t="s">
        <v>407</v>
      </c>
      <c r="H48" s="69"/>
      <c r="I48" s="69"/>
      <c r="J48" s="38"/>
      <c r="K48" s="38"/>
      <c r="L48" s="11" t="s">
        <v>183</v>
      </c>
      <c r="M48" s="11"/>
      <c r="N48" s="15"/>
      <c r="O48" s="15"/>
      <c r="P48" s="15" t="s">
        <v>146</v>
      </c>
      <c r="Q48" s="15" t="s">
        <v>65</v>
      </c>
      <c r="R48" s="9" t="b">
        <f t="shared" si="2"/>
        <v>0</v>
      </c>
    </row>
    <row r="49" spans="1:20" ht="20.100000000000001" customHeight="1" x14ac:dyDescent="0.15">
      <c r="A49" s="10">
        <f t="shared" si="1"/>
        <v>46</v>
      </c>
      <c r="B49" s="10" t="s">
        <v>429</v>
      </c>
      <c r="C49" s="64" t="s">
        <v>402</v>
      </c>
      <c r="D49" s="64" t="s">
        <v>426</v>
      </c>
      <c r="E49" s="10" t="s">
        <v>462</v>
      </c>
      <c r="F49" s="10" t="s">
        <v>463</v>
      </c>
      <c r="G49" s="11" t="s">
        <v>407</v>
      </c>
      <c r="H49" s="69"/>
      <c r="I49" s="69"/>
      <c r="J49" s="38"/>
      <c r="K49" s="38"/>
      <c r="L49" s="11" t="s">
        <v>183</v>
      </c>
      <c r="M49" s="11"/>
      <c r="N49" s="15"/>
      <c r="O49" s="18"/>
      <c r="P49" s="15" t="s">
        <v>135</v>
      </c>
      <c r="Q49" s="18" t="s">
        <v>61</v>
      </c>
      <c r="R49" s="9" t="b">
        <f t="shared" si="2"/>
        <v>0</v>
      </c>
    </row>
    <row r="50" spans="1:20" ht="20.100000000000001" customHeight="1" x14ac:dyDescent="0.15">
      <c r="A50" s="10">
        <f t="shared" si="1"/>
        <v>47</v>
      </c>
      <c r="B50" s="10" t="s">
        <v>429</v>
      </c>
      <c r="C50" s="64" t="s">
        <v>402</v>
      </c>
      <c r="D50" s="64" t="s">
        <v>426</v>
      </c>
      <c r="E50" s="10" t="s">
        <v>464</v>
      </c>
      <c r="F50" s="10" t="s">
        <v>458</v>
      </c>
      <c r="G50" s="11" t="s">
        <v>407</v>
      </c>
      <c r="H50" s="69"/>
      <c r="I50" s="69"/>
      <c r="J50" s="38"/>
      <c r="K50" s="38"/>
      <c r="L50" s="11" t="s">
        <v>183</v>
      </c>
      <c r="M50" s="11"/>
      <c r="N50" s="15"/>
      <c r="O50" s="15"/>
      <c r="P50" s="15" t="s">
        <v>139</v>
      </c>
      <c r="Q50" s="15" t="s">
        <v>103</v>
      </c>
      <c r="R50" s="9" t="b">
        <f t="shared" si="2"/>
        <v>0</v>
      </c>
    </row>
    <row r="51" spans="1:20" ht="20.100000000000001" customHeight="1" x14ac:dyDescent="0.15">
      <c r="A51" s="10">
        <f t="shared" si="1"/>
        <v>48</v>
      </c>
      <c r="B51" s="10" t="s">
        <v>429</v>
      </c>
      <c r="C51" s="64" t="s">
        <v>402</v>
      </c>
      <c r="D51" s="64" t="s">
        <v>426</v>
      </c>
      <c r="E51" s="10" t="s">
        <v>465</v>
      </c>
      <c r="F51" s="10" t="s">
        <v>43</v>
      </c>
      <c r="G51" s="11" t="s">
        <v>407</v>
      </c>
      <c r="H51" s="69"/>
      <c r="I51" s="69"/>
      <c r="J51" s="38"/>
      <c r="K51" s="38"/>
      <c r="L51" s="11" t="s">
        <v>183</v>
      </c>
      <c r="M51" s="11"/>
      <c r="N51" s="18"/>
      <c r="O51" s="18"/>
      <c r="P51" s="15" t="s">
        <v>117</v>
      </c>
      <c r="Q51" s="18" t="s">
        <v>105</v>
      </c>
      <c r="R51" s="9" t="b">
        <f t="shared" si="2"/>
        <v>0</v>
      </c>
    </row>
    <row r="52" spans="1:20" ht="20.100000000000001" customHeight="1" x14ac:dyDescent="0.15">
      <c r="A52" s="10">
        <f t="shared" si="1"/>
        <v>49</v>
      </c>
      <c r="B52" s="10" t="s">
        <v>429</v>
      </c>
      <c r="C52" s="64" t="s">
        <v>402</v>
      </c>
      <c r="D52" s="64" t="s">
        <v>426</v>
      </c>
      <c r="E52" s="10" t="s">
        <v>466</v>
      </c>
      <c r="F52" s="10" t="s">
        <v>467</v>
      </c>
      <c r="G52" s="11" t="s">
        <v>407</v>
      </c>
      <c r="H52" s="69"/>
      <c r="I52" s="69"/>
      <c r="J52" s="38"/>
      <c r="K52" s="38"/>
      <c r="L52" s="11" t="s">
        <v>183</v>
      </c>
      <c r="M52" s="11"/>
      <c r="N52" s="15"/>
      <c r="O52" s="15"/>
      <c r="P52" s="15" t="s">
        <v>97</v>
      </c>
      <c r="Q52" s="15" t="s">
        <v>107</v>
      </c>
      <c r="R52" s="9" t="b">
        <f t="shared" si="2"/>
        <v>0</v>
      </c>
    </row>
    <row r="53" spans="1:20" ht="20.100000000000001" customHeight="1" x14ac:dyDescent="0.15">
      <c r="A53" s="10">
        <f t="shared" si="1"/>
        <v>50</v>
      </c>
      <c r="B53" s="10" t="s">
        <v>429</v>
      </c>
      <c r="C53" s="64" t="s">
        <v>402</v>
      </c>
      <c r="D53" s="64" t="s">
        <v>426</v>
      </c>
      <c r="E53" s="10" t="s">
        <v>468</v>
      </c>
      <c r="F53" s="10" t="s">
        <v>469</v>
      </c>
      <c r="G53" s="11" t="s">
        <v>407</v>
      </c>
      <c r="H53" s="69"/>
      <c r="I53" s="69"/>
      <c r="J53" s="38"/>
      <c r="K53" s="38"/>
      <c r="L53" s="11" t="s">
        <v>183</v>
      </c>
      <c r="M53" s="11"/>
      <c r="N53" s="15"/>
      <c r="O53" s="15"/>
      <c r="P53" s="15" t="s">
        <v>62</v>
      </c>
      <c r="Q53" s="15" t="s">
        <v>109</v>
      </c>
      <c r="R53" s="9" t="b">
        <f t="shared" si="2"/>
        <v>0</v>
      </c>
    </row>
    <row r="54" spans="1:20" ht="20.100000000000001" customHeight="1" x14ac:dyDescent="0.15">
      <c r="A54" s="10">
        <f t="shared" si="1"/>
        <v>51</v>
      </c>
      <c r="B54" s="10" t="s">
        <v>429</v>
      </c>
      <c r="C54" s="64" t="s">
        <v>402</v>
      </c>
      <c r="D54" s="64" t="s">
        <v>426</v>
      </c>
      <c r="E54" s="10" t="s">
        <v>470</v>
      </c>
      <c r="F54" s="10" t="s">
        <v>471</v>
      </c>
      <c r="G54" s="11" t="s">
        <v>407</v>
      </c>
      <c r="H54" s="69"/>
      <c r="I54" s="69"/>
      <c r="J54" s="38"/>
      <c r="K54" s="38"/>
      <c r="L54" s="11" t="s">
        <v>183</v>
      </c>
      <c r="M54" s="11"/>
      <c r="N54" s="15"/>
      <c r="O54" s="15"/>
      <c r="P54" s="15" t="s">
        <v>132</v>
      </c>
      <c r="Q54" s="15" t="s">
        <v>45</v>
      </c>
      <c r="R54" s="9" t="b">
        <f t="shared" ref="R54:R78" si="3">P54=E54</f>
        <v>0</v>
      </c>
    </row>
    <row r="55" spans="1:20" ht="20.100000000000001" customHeight="1" x14ac:dyDescent="0.15">
      <c r="A55" s="10">
        <f t="shared" si="1"/>
        <v>52</v>
      </c>
      <c r="B55" s="10" t="s">
        <v>261</v>
      </c>
      <c r="C55" s="64" t="s">
        <v>472</v>
      </c>
      <c r="D55" s="64" t="s">
        <v>473</v>
      </c>
      <c r="E55" s="10" t="s">
        <v>474</v>
      </c>
      <c r="F55" s="10" t="s">
        <v>475</v>
      </c>
      <c r="G55" s="11" t="s">
        <v>403</v>
      </c>
      <c r="H55" s="69"/>
      <c r="I55" s="69"/>
      <c r="J55" s="38"/>
      <c r="K55" s="38"/>
      <c r="L55" s="11" t="s">
        <v>183</v>
      </c>
      <c r="M55" s="11"/>
      <c r="N55" s="18"/>
      <c r="O55" s="15"/>
      <c r="P55" s="15" t="s">
        <v>101</v>
      </c>
      <c r="Q55" s="15" t="s">
        <v>109</v>
      </c>
      <c r="R55" s="9" t="b">
        <f t="shared" si="3"/>
        <v>0</v>
      </c>
    </row>
    <row r="56" spans="1:20" ht="21" customHeight="1" x14ac:dyDescent="0.15">
      <c r="A56" s="10">
        <f t="shared" si="1"/>
        <v>53</v>
      </c>
      <c r="B56" s="10" t="s">
        <v>536</v>
      </c>
      <c r="C56" s="64" t="s">
        <v>476</v>
      </c>
      <c r="D56" s="64" t="s">
        <v>477</v>
      </c>
      <c r="E56" s="10" t="s">
        <v>480</v>
      </c>
      <c r="F56" s="10" t="s">
        <v>93</v>
      </c>
      <c r="G56" s="11" t="s">
        <v>407</v>
      </c>
      <c r="H56" s="69"/>
      <c r="I56" s="69"/>
      <c r="J56" s="38"/>
      <c r="K56" s="38"/>
      <c r="L56" s="11" t="s">
        <v>183</v>
      </c>
      <c r="M56" s="11"/>
      <c r="N56" s="15"/>
      <c r="O56" s="15"/>
      <c r="P56" s="15" t="s">
        <v>69</v>
      </c>
      <c r="Q56" s="15" t="s">
        <v>93</v>
      </c>
      <c r="R56" s="9" t="b">
        <f t="shared" si="3"/>
        <v>0</v>
      </c>
    </row>
    <row r="57" spans="1:20" ht="20.100000000000001" customHeight="1" x14ac:dyDescent="0.15">
      <c r="A57" s="10">
        <f t="shared" si="1"/>
        <v>54</v>
      </c>
      <c r="B57" s="10" t="s">
        <v>536</v>
      </c>
      <c r="C57" s="64" t="s">
        <v>476</v>
      </c>
      <c r="D57" s="64" t="s">
        <v>477</v>
      </c>
      <c r="E57" s="10" t="s">
        <v>481</v>
      </c>
      <c r="F57" s="10" t="s">
        <v>93</v>
      </c>
      <c r="G57" s="11" t="s">
        <v>407</v>
      </c>
      <c r="H57" s="69"/>
      <c r="I57" s="69"/>
      <c r="J57" s="38"/>
      <c r="K57" s="38"/>
      <c r="L57" s="11" t="s">
        <v>183</v>
      </c>
      <c r="M57" s="11"/>
      <c r="N57" s="15"/>
      <c r="O57" s="15"/>
      <c r="P57" s="15" t="s">
        <v>119</v>
      </c>
      <c r="Q57" s="15" t="s">
        <v>114</v>
      </c>
      <c r="R57" s="9" t="b">
        <f t="shared" si="3"/>
        <v>0</v>
      </c>
    </row>
    <row r="58" spans="1:20" ht="20.100000000000001" customHeight="1" x14ac:dyDescent="0.15">
      <c r="A58" s="10">
        <f t="shared" si="1"/>
        <v>55</v>
      </c>
      <c r="B58" s="10" t="s">
        <v>536</v>
      </c>
      <c r="C58" s="64" t="s">
        <v>476</v>
      </c>
      <c r="D58" s="64" t="s">
        <v>477</v>
      </c>
      <c r="E58" s="10" t="s">
        <v>482</v>
      </c>
      <c r="F58" s="10" t="s">
        <v>483</v>
      </c>
      <c r="G58" s="11" t="s">
        <v>407</v>
      </c>
      <c r="H58" s="69"/>
      <c r="I58" s="69"/>
      <c r="J58" s="38"/>
      <c r="K58" s="38"/>
      <c r="L58" s="11" t="s">
        <v>183</v>
      </c>
      <c r="M58" s="11"/>
      <c r="N58" s="15"/>
      <c r="O58" s="15"/>
      <c r="P58" s="15" t="s">
        <v>121</v>
      </c>
      <c r="Q58" s="15" t="s">
        <v>116</v>
      </c>
      <c r="R58" s="9" t="b">
        <f t="shared" si="3"/>
        <v>0</v>
      </c>
    </row>
    <row r="59" spans="1:20" ht="20.100000000000001" customHeight="1" x14ac:dyDescent="0.15">
      <c r="A59" s="10">
        <f t="shared" si="1"/>
        <v>56</v>
      </c>
      <c r="B59" s="10" t="s">
        <v>536</v>
      </c>
      <c r="C59" s="64" t="s">
        <v>476</v>
      </c>
      <c r="D59" s="64" t="s">
        <v>477</v>
      </c>
      <c r="E59" s="10" t="s">
        <v>484</v>
      </c>
      <c r="F59" s="10" t="s">
        <v>93</v>
      </c>
      <c r="G59" s="11" t="s">
        <v>407</v>
      </c>
      <c r="H59" s="69"/>
      <c r="I59" s="69"/>
      <c r="J59" s="38"/>
      <c r="K59" s="38"/>
      <c r="L59" s="11" t="s">
        <v>183</v>
      </c>
      <c r="M59" s="11"/>
      <c r="N59" s="15"/>
      <c r="O59" s="18"/>
      <c r="P59" s="18" t="s">
        <v>130</v>
      </c>
      <c r="Q59" s="18" t="s">
        <v>118</v>
      </c>
      <c r="R59" s="9" t="b">
        <f t="shared" si="3"/>
        <v>0</v>
      </c>
    </row>
    <row r="60" spans="1:20" ht="20.100000000000001" customHeight="1" x14ac:dyDescent="0.15">
      <c r="A60" s="10">
        <f t="shared" si="1"/>
        <v>57</v>
      </c>
      <c r="B60" s="10" t="s">
        <v>536</v>
      </c>
      <c r="C60" s="64" t="s">
        <v>476</v>
      </c>
      <c r="D60" s="64" t="s">
        <v>477</v>
      </c>
      <c r="E60" s="10" t="s">
        <v>485</v>
      </c>
      <c r="F60" s="10" t="s">
        <v>144</v>
      </c>
      <c r="G60" s="11" t="s">
        <v>407</v>
      </c>
      <c r="H60" s="69"/>
      <c r="I60" s="69"/>
      <c r="J60" s="38"/>
      <c r="K60" s="38"/>
      <c r="L60" s="11" t="s">
        <v>183</v>
      </c>
      <c r="M60" s="11"/>
      <c r="N60" s="15"/>
      <c r="O60" s="15"/>
      <c r="P60" s="15" t="s">
        <v>134</v>
      </c>
      <c r="Q60" s="15" t="s">
        <v>120</v>
      </c>
      <c r="R60" s="9" t="b">
        <f t="shared" si="3"/>
        <v>0</v>
      </c>
    </row>
    <row r="61" spans="1:20" ht="20.100000000000001" customHeight="1" x14ac:dyDescent="0.15">
      <c r="A61" s="10">
        <f t="shared" si="1"/>
        <v>58</v>
      </c>
      <c r="B61" s="10" t="s">
        <v>536</v>
      </c>
      <c r="C61" s="64" t="s">
        <v>476</v>
      </c>
      <c r="D61" s="64" t="s">
        <v>477</v>
      </c>
      <c r="E61" s="10" t="s">
        <v>486</v>
      </c>
      <c r="F61" s="10" t="s">
        <v>487</v>
      </c>
      <c r="G61" s="11" t="s">
        <v>407</v>
      </c>
      <c r="H61" s="69"/>
      <c r="I61" s="69"/>
      <c r="J61" s="38"/>
      <c r="K61" s="38"/>
      <c r="L61" s="11" t="s">
        <v>183</v>
      </c>
      <c r="M61" s="11"/>
      <c r="N61" s="15"/>
      <c r="O61" s="15"/>
      <c r="P61" s="15" t="s">
        <v>84</v>
      </c>
      <c r="Q61" s="15" t="s">
        <v>122</v>
      </c>
      <c r="R61" s="9" t="b">
        <f t="shared" si="3"/>
        <v>0</v>
      </c>
    </row>
    <row r="62" spans="1:20" ht="20.100000000000001" customHeight="1" x14ac:dyDescent="0.15">
      <c r="A62" s="10">
        <f t="shared" si="1"/>
        <v>59</v>
      </c>
      <c r="B62" s="10" t="s">
        <v>536</v>
      </c>
      <c r="C62" s="64" t="s">
        <v>476</v>
      </c>
      <c r="D62" s="64" t="s">
        <v>477</v>
      </c>
      <c r="E62" s="10" t="s">
        <v>488</v>
      </c>
      <c r="F62" s="10" t="s">
        <v>489</v>
      </c>
      <c r="G62" s="11" t="s">
        <v>407</v>
      </c>
      <c r="H62" s="69"/>
      <c r="I62" s="69"/>
      <c r="J62" s="38"/>
      <c r="K62" s="38"/>
      <c r="L62" s="11" t="s">
        <v>183</v>
      </c>
      <c r="M62" s="11"/>
      <c r="N62" s="15"/>
      <c r="O62" s="15"/>
      <c r="P62" s="15" t="s">
        <v>94</v>
      </c>
      <c r="Q62" s="15" t="s">
        <v>32</v>
      </c>
      <c r="R62" s="9" t="b">
        <f t="shared" si="3"/>
        <v>0</v>
      </c>
    </row>
    <row r="63" spans="1:20" ht="20.100000000000001" customHeight="1" x14ac:dyDescent="0.15">
      <c r="A63" s="10">
        <f t="shared" si="1"/>
        <v>60</v>
      </c>
      <c r="B63" s="10" t="s">
        <v>536</v>
      </c>
      <c r="C63" s="64" t="s">
        <v>476</v>
      </c>
      <c r="D63" s="64" t="s">
        <v>477</v>
      </c>
      <c r="E63" s="10" t="s">
        <v>490</v>
      </c>
      <c r="F63" s="10" t="s">
        <v>93</v>
      </c>
      <c r="G63" s="11" t="s">
        <v>407</v>
      </c>
      <c r="H63" s="69"/>
      <c r="I63" s="69"/>
      <c r="J63" s="38"/>
      <c r="K63" s="38"/>
      <c r="L63" s="11" t="s">
        <v>183</v>
      </c>
      <c r="M63" s="11"/>
      <c r="N63" s="15"/>
      <c r="O63" s="15"/>
      <c r="P63" s="15" t="s">
        <v>143</v>
      </c>
      <c r="Q63" s="15" t="s">
        <v>31</v>
      </c>
      <c r="R63" s="9" t="b">
        <f t="shared" si="3"/>
        <v>0</v>
      </c>
    </row>
    <row r="64" spans="1:20" ht="20.100000000000001" customHeight="1" x14ac:dyDescent="0.15">
      <c r="A64" s="10">
        <f t="shared" si="1"/>
        <v>61</v>
      </c>
      <c r="B64" s="10" t="s">
        <v>536</v>
      </c>
      <c r="C64" s="64" t="s">
        <v>476</v>
      </c>
      <c r="D64" s="64" t="s">
        <v>477</v>
      </c>
      <c r="E64" s="10" t="s">
        <v>491</v>
      </c>
      <c r="F64" s="10" t="s">
        <v>492</v>
      </c>
      <c r="G64" s="11" t="s">
        <v>407</v>
      </c>
      <c r="H64" s="69"/>
      <c r="I64" s="69"/>
      <c r="J64" s="38"/>
      <c r="K64" s="38"/>
      <c r="L64" s="11" t="s">
        <v>183</v>
      </c>
      <c r="M64" s="11"/>
      <c r="N64" s="15"/>
      <c r="O64" s="15"/>
      <c r="P64" s="15" t="s">
        <v>92</v>
      </c>
      <c r="Q64" s="15" t="s">
        <v>126</v>
      </c>
      <c r="R64" s="9" t="b">
        <f t="shared" si="3"/>
        <v>0</v>
      </c>
      <c r="T64" s="15"/>
    </row>
    <row r="65" spans="1:18" ht="20.100000000000001" customHeight="1" x14ac:dyDescent="0.15">
      <c r="A65" s="10">
        <f t="shared" si="1"/>
        <v>62</v>
      </c>
      <c r="B65" s="10" t="s">
        <v>536</v>
      </c>
      <c r="C65" s="64" t="s">
        <v>476</v>
      </c>
      <c r="D65" s="64" t="s">
        <v>477</v>
      </c>
      <c r="E65" s="10" t="s">
        <v>493</v>
      </c>
      <c r="F65" s="10" t="s">
        <v>494</v>
      </c>
      <c r="G65" s="11" t="s">
        <v>407</v>
      </c>
      <c r="H65" s="69"/>
      <c r="I65" s="69"/>
      <c r="J65" s="38"/>
      <c r="K65" s="38"/>
      <c r="L65" s="11" t="s">
        <v>183</v>
      </c>
      <c r="M65" s="11"/>
      <c r="N65" s="15"/>
      <c r="O65" s="15"/>
      <c r="P65" s="15" t="s">
        <v>99</v>
      </c>
      <c r="Q65" s="15" t="s">
        <v>45</v>
      </c>
      <c r="R65" s="9" t="b">
        <f t="shared" si="3"/>
        <v>0</v>
      </c>
    </row>
    <row r="66" spans="1:18" ht="20.100000000000001" customHeight="1" x14ac:dyDescent="0.15">
      <c r="A66" s="10">
        <f t="shared" si="1"/>
        <v>63</v>
      </c>
      <c r="B66" s="10" t="s">
        <v>24</v>
      </c>
      <c r="C66" s="64" t="s">
        <v>476</v>
      </c>
      <c r="D66" s="64" t="s">
        <v>478</v>
      </c>
      <c r="E66" s="10" t="s">
        <v>495</v>
      </c>
      <c r="F66" s="10" t="s">
        <v>496</v>
      </c>
      <c r="G66" s="11" t="s">
        <v>407</v>
      </c>
      <c r="H66" s="69"/>
      <c r="I66" s="69"/>
      <c r="J66" s="38"/>
      <c r="K66" s="38"/>
      <c r="L66" s="11" t="s">
        <v>183</v>
      </c>
      <c r="M66" s="11"/>
      <c r="N66" s="15"/>
      <c r="O66" s="15"/>
      <c r="P66" s="15" t="s">
        <v>89</v>
      </c>
      <c r="Q66" s="15" t="s">
        <v>129</v>
      </c>
      <c r="R66" s="9" t="b">
        <f t="shared" si="3"/>
        <v>0</v>
      </c>
    </row>
    <row r="67" spans="1:18" ht="20.100000000000001" customHeight="1" x14ac:dyDescent="0.15">
      <c r="A67" s="10">
        <f t="shared" si="1"/>
        <v>64</v>
      </c>
      <c r="B67" s="10" t="s">
        <v>536</v>
      </c>
      <c r="C67" s="64" t="s">
        <v>476</v>
      </c>
      <c r="D67" s="64" t="s">
        <v>477</v>
      </c>
      <c r="E67" s="10" t="s">
        <v>497</v>
      </c>
      <c r="F67" s="10" t="s">
        <v>93</v>
      </c>
      <c r="G67" s="11" t="s">
        <v>407</v>
      </c>
      <c r="H67" s="69"/>
      <c r="I67" s="69"/>
      <c r="J67" s="38"/>
      <c r="K67" s="38"/>
      <c r="L67" s="11" t="s">
        <v>183</v>
      </c>
      <c r="M67" s="11"/>
      <c r="N67" s="15"/>
      <c r="O67" s="15"/>
      <c r="P67" s="15" t="s">
        <v>56</v>
      </c>
      <c r="Q67" s="15" t="s">
        <v>131</v>
      </c>
      <c r="R67" s="9" t="b">
        <f t="shared" si="3"/>
        <v>0</v>
      </c>
    </row>
    <row r="68" spans="1:18" ht="20.100000000000001" customHeight="1" x14ac:dyDescent="0.15">
      <c r="A68" s="10">
        <f t="shared" si="1"/>
        <v>65</v>
      </c>
      <c r="B68" s="10" t="s">
        <v>536</v>
      </c>
      <c r="C68" s="64" t="s">
        <v>476</v>
      </c>
      <c r="D68" s="64" t="s">
        <v>477</v>
      </c>
      <c r="E68" s="10" t="s">
        <v>498</v>
      </c>
      <c r="F68" s="10" t="s">
        <v>499</v>
      </c>
      <c r="G68" s="11" t="s">
        <v>407</v>
      </c>
      <c r="H68" s="69"/>
      <c r="I68" s="69"/>
      <c r="J68" s="38"/>
      <c r="K68" s="38"/>
      <c r="L68" s="11" t="s">
        <v>183</v>
      </c>
      <c r="M68" s="11"/>
      <c r="N68" s="15"/>
      <c r="O68" s="15"/>
      <c r="P68" s="15" t="s">
        <v>79</v>
      </c>
      <c r="Q68" s="15" t="s">
        <v>133</v>
      </c>
      <c r="R68" s="9" t="b">
        <f t="shared" si="3"/>
        <v>0</v>
      </c>
    </row>
    <row r="69" spans="1:18" ht="20.100000000000001" customHeight="1" x14ac:dyDescent="0.15">
      <c r="A69" s="10">
        <f t="shared" ref="A69:A132" si="4">A68+1</f>
        <v>66</v>
      </c>
      <c r="B69" s="10" t="s">
        <v>536</v>
      </c>
      <c r="C69" s="64" t="s">
        <v>476</v>
      </c>
      <c r="D69" s="64" t="s">
        <v>477</v>
      </c>
      <c r="E69" s="10" t="s">
        <v>500</v>
      </c>
      <c r="F69" s="10" t="s">
        <v>501</v>
      </c>
      <c r="G69" s="11" t="s">
        <v>407</v>
      </c>
      <c r="H69" s="69"/>
      <c r="I69" s="69"/>
      <c r="J69" s="38"/>
      <c r="K69" s="38"/>
      <c r="L69" s="11" t="s">
        <v>183</v>
      </c>
      <c r="M69" s="11"/>
      <c r="N69" s="15"/>
      <c r="O69" s="15"/>
      <c r="P69" s="15" t="s">
        <v>145</v>
      </c>
      <c r="Q69" s="15" t="s">
        <v>126</v>
      </c>
      <c r="R69" s="9" t="b">
        <f t="shared" si="3"/>
        <v>0</v>
      </c>
    </row>
    <row r="70" spans="1:18" ht="20.100000000000001" customHeight="1" x14ac:dyDescent="0.15">
      <c r="A70" s="10">
        <f t="shared" si="4"/>
        <v>67</v>
      </c>
      <c r="B70" s="10" t="s">
        <v>536</v>
      </c>
      <c r="C70" s="64" t="s">
        <v>476</v>
      </c>
      <c r="D70" s="64" t="s">
        <v>477</v>
      </c>
      <c r="E70" s="10" t="s">
        <v>502</v>
      </c>
      <c r="F70" s="10" t="s">
        <v>503</v>
      </c>
      <c r="G70" s="11" t="s">
        <v>407</v>
      </c>
      <c r="H70" s="69"/>
      <c r="I70" s="69"/>
      <c r="J70" s="38"/>
      <c r="K70" s="38"/>
      <c r="L70" s="11" t="s">
        <v>183</v>
      </c>
      <c r="M70" s="11"/>
      <c r="N70" s="15"/>
      <c r="O70" s="15"/>
      <c r="P70" s="15" t="s">
        <v>128</v>
      </c>
      <c r="Q70" s="15" t="s">
        <v>136</v>
      </c>
      <c r="R70" s="9" t="b">
        <f t="shared" si="3"/>
        <v>0</v>
      </c>
    </row>
    <row r="71" spans="1:18" ht="20.100000000000001" customHeight="1" x14ac:dyDescent="0.15">
      <c r="A71" s="10">
        <f t="shared" si="4"/>
        <v>68</v>
      </c>
      <c r="B71" s="10" t="s">
        <v>536</v>
      </c>
      <c r="C71" s="64" t="s">
        <v>476</v>
      </c>
      <c r="D71" s="64" t="s">
        <v>477</v>
      </c>
      <c r="E71" s="10" t="s">
        <v>504</v>
      </c>
      <c r="F71" s="10" t="s">
        <v>505</v>
      </c>
      <c r="G71" s="11" t="s">
        <v>407</v>
      </c>
      <c r="H71" s="69"/>
      <c r="I71" s="69"/>
      <c r="J71" s="38"/>
      <c r="K71" s="38"/>
      <c r="L71" s="11" t="s">
        <v>183</v>
      </c>
      <c r="M71" s="11"/>
      <c r="N71" s="15"/>
      <c r="O71" s="15"/>
      <c r="P71" s="15" t="s">
        <v>71</v>
      </c>
      <c r="Q71" s="15" t="s">
        <v>138</v>
      </c>
      <c r="R71" s="9" t="b">
        <f t="shared" si="3"/>
        <v>0</v>
      </c>
    </row>
    <row r="72" spans="1:18" ht="20.100000000000001" customHeight="1" x14ac:dyDescent="0.15">
      <c r="A72" s="10">
        <f t="shared" si="4"/>
        <v>69</v>
      </c>
      <c r="B72" s="10" t="s">
        <v>536</v>
      </c>
      <c r="C72" s="64" t="s">
        <v>476</v>
      </c>
      <c r="D72" s="64" t="s">
        <v>477</v>
      </c>
      <c r="E72" s="10" t="s">
        <v>506</v>
      </c>
      <c r="F72" s="10" t="s">
        <v>72</v>
      </c>
      <c r="G72" s="11" t="s">
        <v>407</v>
      </c>
      <c r="H72" s="69"/>
      <c r="I72" s="69"/>
      <c r="J72" s="38"/>
      <c r="K72" s="38"/>
      <c r="L72" s="11" t="s">
        <v>183</v>
      </c>
      <c r="M72" s="11"/>
      <c r="N72" s="15"/>
      <c r="O72" s="15"/>
      <c r="P72" s="15" t="s">
        <v>150</v>
      </c>
      <c r="Q72" s="15" t="s">
        <v>140</v>
      </c>
      <c r="R72" s="9" t="b">
        <f t="shared" si="3"/>
        <v>0</v>
      </c>
    </row>
    <row r="73" spans="1:18" ht="20.100000000000001" customHeight="1" x14ac:dyDescent="0.15">
      <c r="A73" s="10">
        <f t="shared" si="4"/>
        <v>70</v>
      </c>
      <c r="B73" s="10" t="s">
        <v>24</v>
      </c>
      <c r="C73" s="64" t="s">
        <v>476</v>
      </c>
      <c r="D73" s="64" t="s">
        <v>478</v>
      </c>
      <c r="E73" s="10" t="s">
        <v>507</v>
      </c>
      <c r="F73" s="10" t="s">
        <v>508</v>
      </c>
      <c r="G73" s="11" t="s">
        <v>407</v>
      </c>
      <c r="H73" s="69"/>
      <c r="I73" s="69"/>
      <c r="J73" s="38"/>
      <c r="K73" s="38"/>
      <c r="L73" s="11" t="s">
        <v>183</v>
      </c>
      <c r="M73" s="11"/>
      <c r="N73" s="15"/>
      <c r="O73" s="15"/>
      <c r="P73" s="15" t="s">
        <v>82</v>
      </c>
      <c r="Q73" s="15" t="s">
        <v>142</v>
      </c>
      <c r="R73" s="9" t="b">
        <f t="shared" si="3"/>
        <v>0</v>
      </c>
    </row>
    <row r="74" spans="1:18" ht="20.100000000000001" customHeight="1" x14ac:dyDescent="0.15">
      <c r="A74" s="10">
        <f t="shared" si="4"/>
        <v>71</v>
      </c>
      <c r="B74" s="10" t="s">
        <v>24</v>
      </c>
      <c r="C74" s="64" t="s">
        <v>476</v>
      </c>
      <c r="D74" s="64" t="s">
        <v>478</v>
      </c>
      <c r="E74" s="10" t="s">
        <v>509</v>
      </c>
      <c r="F74" s="10" t="s">
        <v>510</v>
      </c>
      <c r="G74" s="11" t="s">
        <v>403</v>
      </c>
      <c r="H74" s="69"/>
      <c r="I74" s="69"/>
      <c r="J74" s="38"/>
      <c r="K74" s="38"/>
      <c r="L74" s="11" t="s">
        <v>183</v>
      </c>
      <c r="M74" s="11"/>
      <c r="N74" s="15"/>
      <c r="O74" s="15"/>
      <c r="P74" s="15" t="s">
        <v>67</v>
      </c>
      <c r="Q74" s="15" t="s">
        <v>144</v>
      </c>
      <c r="R74" s="9" t="b">
        <f t="shared" si="3"/>
        <v>0</v>
      </c>
    </row>
    <row r="75" spans="1:18" ht="20.100000000000001" customHeight="1" x14ac:dyDescent="0.15">
      <c r="A75" s="10">
        <f t="shared" si="4"/>
        <v>72</v>
      </c>
      <c r="B75" s="10" t="s">
        <v>536</v>
      </c>
      <c r="C75" s="64" t="s">
        <v>476</v>
      </c>
      <c r="D75" s="64" t="s">
        <v>477</v>
      </c>
      <c r="E75" s="10" t="s">
        <v>511</v>
      </c>
      <c r="F75" s="10" t="s">
        <v>512</v>
      </c>
      <c r="G75" s="11" t="s">
        <v>407</v>
      </c>
      <c r="H75" s="69"/>
      <c r="I75" s="69"/>
      <c r="J75" s="38"/>
      <c r="K75" s="38"/>
      <c r="L75" s="11" t="s">
        <v>183</v>
      </c>
      <c r="M75" s="11"/>
      <c r="N75" s="15"/>
      <c r="O75" s="15"/>
      <c r="P75" s="15" t="s">
        <v>75</v>
      </c>
      <c r="Q75" s="15" t="s">
        <v>144</v>
      </c>
      <c r="R75" s="9" t="b">
        <f t="shared" si="3"/>
        <v>0</v>
      </c>
    </row>
    <row r="76" spans="1:18" ht="20.100000000000001" customHeight="1" x14ac:dyDescent="0.15">
      <c r="A76" s="10">
        <f t="shared" si="4"/>
        <v>73</v>
      </c>
      <c r="B76" s="10" t="s">
        <v>536</v>
      </c>
      <c r="C76" s="64" t="s">
        <v>476</v>
      </c>
      <c r="D76" s="64" t="s">
        <v>477</v>
      </c>
      <c r="E76" s="10" t="s">
        <v>513</v>
      </c>
      <c r="F76" s="10" t="s">
        <v>514</v>
      </c>
      <c r="G76" s="11" t="s">
        <v>407</v>
      </c>
      <c r="H76" s="69"/>
      <c r="I76" s="69"/>
      <c r="J76" s="38"/>
      <c r="K76" s="38"/>
      <c r="L76" s="11" t="s">
        <v>183</v>
      </c>
      <c r="M76" s="11"/>
      <c r="N76" s="15"/>
      <c r="O76" s="15"/>
      <c r="P76" s="15" t="s">
        <v>111</v>
      </c>
      <c r="Q76" s="15" t="s">
        <v>147</v>
      </c>
      <c r="R76" s="9" t="b">
        <f t="shared" si="3"/>
        <v>0</v>
      </c>
    </row>
    <row r="77" spans="1:18" ht="20.100000000000001" customHeight="1" x14ac:dyDescent="0.15">
      <c r="A77" s="10">
        <f t="shared" si="4"/>
        <v>74</v>
      </c>
      <c r="B77" s="10" t="s">
        <v>536</v>
      </c>
      <c r="C77" s="64" t="s">
        <v>476</v>
      </c>
      <c r="D77" s="64" t="s">
        <v>477</v>
      </c>
      <c r="E77" s="10" t="s">
        <v>515</v>
      </c>
      <c r="F77" s="10" t="s">
        <v>505</v>
      </c>
      <c r="G77" s="11" t="s">
        <v>407</v>
      </c>
      <c r="H77" s="69"/>
      <c r="I77" s="69"/>
      <c r="J77" s="38"/>
      <c r="K77" s="38"/>
      <c r="L77" s="11" t="s">
        <v>183</v>
      </c>
      <c r="M77" s="11"/>
      <c r="N77" s="15"/>
      <c r="O77" s="15"/>
      <c r="P77" s="15" t="s">
        <v>86</v>
      </c>
      <c r="Q77" s="15" t="s">
        <v>149</v>
      </c>
      <c r="R77" s="9" t="b">
        <f t="shared" si="3"/>
        <v>0</v>
      </c>
    </row>
    <row r="78" spans="1:18" ht="20.100000000000001" customHeight="1" x14ac:dyDescent="0.15">
      <c r="A78" s="10">
        <f t="shared" si="4"/>
        <v>75</v>
      </c>
      <c r="B78" s="10" t="s">
        <v>536</v>
      </c>
      <c r="C78" s="64" t="s">
        <v>476</v>
      </c>
      <c r="D78" s="64" t="s">
        <v>477</v>
      </c>
      <c r="E78" s="10" t="s">
        <v>516</v>
      </c>
      <c r="F78" s="10" t="s">
        <v>142</v>
      </c>
      <c r="G78" s="11" t="s">
        <v>407</v>
      </c>
      <c r="H78" s="69"/>
      <c r="I78" s="69"/>
      <c r="J78" s="38"/>
      <c r="K78" s="38"/>
      <c r="L78" s="11" t="s">
        <v>183</v>
      </c>
      <c r="M78" s="11"/>
      <c r="N78" s="15"/>
      <c r="O78" s="15"/>
      <c r="P78" s="15" t="s">
        <v>66</v>
      </c>
      <c r="Q78" s="15" t="s">
        <v>45</v>
      </c>
      <c r="R78" s="9" t="b">
        <f t="shared" si="3"/>
        <v>0</v>
      </c>
    </row>
    <row r="79" spans="1:18" ht="20.100000000000001" customHeight="1" x14ac:dyDescent="0.15">
      <c r="A79" s="10">
        <f t="shared" si="4"/>
        <v>76</v>
      </c>
      <c r="B79" s="10" t="s">
        <v>536</v>
      </c>
      <c r="C79" s="64" t="s">
        <v>476</v>
      </c>
      <c r="D79" s="64" t="s">
        <v>477</v>
      </c>
      <c r="E79" s="10" t="s">
        <v>517</v>
      </c>
      <c r="F79" s="10" t="s">
        <v>518</v>
      </c>
      <c r="G79" s="11" t="s">
        <v>407</v>
      </c>
      <c r="H79" s="69"/>
      <c r="I79" s="69"/>
      <c r="J79" s="11"/>
      <c r="K79" s="11"/>
      <c r="L79" s="11" t="s">
        <v>183</v>
      </c>
      <c r="M79" s="11"/>
      <c r="N79" s="15"/>
      <c r="O79" s="15"/>
      <c r="P79" s="15"/>
      <c r="Q79" s="15"/>
    </row>
    <row r="80" spans="1:18" ht="20.100000000000001" customHeight="1" x14ac:dyDescent="0.15">
      <c r="A80" s="10">
        <f t="shared" si="4"/>
        <v>77</v>
      </c>
      <c r="B80" s="10" t="s">
        <v>536</v>
      </c>
      <c r="C80" s="64" t="s">
        <v>476</v>
      </c>
      <c r="D80" s="64" t="s">
        <v>477</v>
      </c>
      <c r="E80" s="10" t="s">
        <v>519</v>
      </c>
      <c r="F80" s="10" t="s">
        <v>496</v>
      </c>
      <c r="G80" s="11" t="s">
        <v>407</v>
      </c>
      <c r="H80" s="69"/>
      <c r="I80" s="69"/>
      <c r="J80" s="11"/>
      <c r="K80" s="11"/>
      <c r="L80" s="11" t="s">
        <v>183</v>
      </c>
      <c r="M80" s="11"/>
      <c r="N80" s="15"/>
      <c r="O80" s="15"/>
      <c r="P80" s="15"/>
      <c r="Q80" s="15"/>
    </row>
    <row r="81" spans="1:18" ht="20.100000000000001" customHeight="1" x14ac:dyDescent="0.15">
      <c r="A81" s="10">
        <f t="shared" si="4"/>
        <v>78</v>
      </c>
      <c r="B81" s="10" t="s">
        <v>536</v>
      </c>
      <c r="C81" s="64" t="s">
        <v>476</v>
      </c>
      <c r="D81" s="64" t="s">
        <v>477</v>
      </c>
      <c r="E81" s="10" t="s">
        <v>520</v>
      </c>
      <c r="F81" s="10" t="s">
        <v>521</v>
      </c>
      <c r="G81" s="11" t="s">
        <v>407</v>
      </c>
      <c r="H81" s="69"/>
      <c r="I81" s="69"/>
      <c r="J81" s="11"/>
      <c r="K81" s="11"/>
      <c r="L81" s="11" t="s">
        <v>183</v>
      </c>
      <c r="M81" s="11"/>
      <c r="N81" s="15"/>
      <c r="O81" s="15"/>
      <c r="P81" s="15"/>
      <c r="Q81" s="15"/>
    </row>
    <row r="82" spans="1:18" ht="20.100000000000001" customHeight="1" x14ac:dyDescent="0.15">
      <c r="A82" s="10">
        <f t="shared" si="4"/>
        <v>79</v>
      </c>
      <c r="B82" s="10" t="s">
        <v>536</v>
      </c>
      <c r="C82" s="64" t="s">
        <v>476</v>
      </c>
      <c r="D82" s="64" t="s">
        <v>477</v>
      </c>
      <c r="E82" s="10" t="s">
        <v>522</v>
      </c>
      <c r="F82" s="10" t="s">
        <v>126</v>
      </c>
      <c r="G82" s="11" t="s">
        <v>407</v>
      </c>
      <c r="H82" s="69"/>
      <c r="I82" s="69"/>
      <c r="J82" s="11"/>
      <c r="K82" s="11"/>
      <c r="L82" s="11" t="s">
        <v>183</v>
      </c>
      <c r="M82" s="11"/>
      <c r="N82" s="15"/>
      <c r="O82" s="15"/>
      <c r="P82" s="15"/>
      <c r="Q82" s="15"/>
    </row>
    <row r="83" spans="1:18" ht="20.100000000000001" customHeight="1" x14ac:dyDescent="0.15">
      <c r="A83" s="10">
        <f t="shared" si="4"/>
        <v>80</v>
      </c>
      <c r="B83" s="10" t="s">
        <v>536</v>
      </c>
      <c r="C83" s="64" t="s">
        <v>476</v>
      </c>
      <c r="D83" s="64" t="s">
        <v>477</v>
      </c>
      <c r="E83" s="10" t="s">
        <v>523</v>
      </c>
      <c r="F83" s="10" t="s">
        <v>524</v>
      </c>
      <c r="G83" s="11" t="s">
        <v>407</v>
      </c>
      <c r="H83" s="69"/>
      <c r="I83" s="69"/>
      <c r="J83" s="11"/>
      <c r="K83" s="11"/>
      <c r="L83" s="11" t="s">
        <v>183</v>
      </c>
      <c r="M83" s="11"/>
      <c r="N83" s="15"/>
      <c r="O83" s="15"/>
      <c r="P83" s="15"/>
      <c r="Q83" s="15"/>
    </row>
    <row r="84" spans="1:18" ht="20.100000000000001" customHeight="1" x14ac:dyDescent="0.15">
      <c r="A84" s="10">
        <f t="shared" si="4"/>
        <v>81</v>
      </c>
      <c r="B84" s="10" t="s">
        <v>536</v>
      </c>
      <c r="C84" s="64" t="s">
        <v>476</v>
      </c>
      <c r="D84" s="64" t="s">
        <v>477</v>
      </c>
      <c r="E84" s="10" t="s">
        <v>525</v>
      </c>
      <c r="F84" s="10" t="s">
        <v>142</v>
      </c>
      <c r="G84" s="11" t="s">
        <v>407</v>
      </c>
      <c r="H84" s="69"/>
      <c r="I84" s="69"/>
      <c r="J84" s="11"/>
      <c r="K84" s="11"/>
      <c r="L84" s="11" t="s">
        <v>183</v>
      </c>
      <c r="M84" s="11"/>
      <c r="N84" s="15"/>
      <c r="O84" s="15"/>
      <c r="P84" s="15"/>
      <c r="Q84" s="15"/>
    </row>
    <row r="85" spans="1:18" ht="20.100000000000001" customHeight="1" x14ac:dyDescent="0.15">
      <c r="A85" s="10">
        <f t="shared" si="4"/>
        <v>82</v>
      </c>
      <c r="B85" s="10" t="s">
        <v>536</v>
      </c>
      <c r="C85" s="64" t="s">
        <v>476</v>
      </c>
      <c r="D85" s="64" t="s">
        <v>477</v>
      </c>
      <c r="E85" s="10" t="s">
        <v>526</v>
      </c>
      <c r="F85" s="10" t="s">
        <v>129</v>
      </c>
      <c r="G85" s="11" t="s">
        <v>407</v>
      </c>
      <c r="H85" s="69"/>
      <c r="I85" s="69"/>
      <c r="J85" s="11"/>
      <c r="K85" s="11"/>
      <c r="L85" s="11" t="s">
        <v>183</v>
      </c>
      <c r="M85" s="11"/>
      <c r="N85" s="15"/>
      <c r="O85" s="15"/>
      <c r="P85" s="15"/>
      <c r="Q85" s="15"/>
    </row>
    <row r="86" spans="1:18" ht="20.100000000000001" customHeight="1" x14ac:dyDescent="0.15">
      <c r="A86" s="10">
        <f t="shared" si="4"/>
        <v>83</v>
      </c>
      <c r="B86" s="10" t="s">
        <v>261</v>
      </c>
      <c r="C86" s="64" t="s">
        <v>476</v>
      </c>
      <c r="D86" s="64" t="s">
        <v>479</v>
      </c>
      <c r="E86" s="10" t="s">
        <v>527</v>
      </c>
      <c r="F86" s="10" t="s">
        <v>528</v>
      </c>
      <c r="G86" s="11" t="s">
        <v>409</v>
      </c>
      <c r="H86" s="69"/>
      <c r="I86" s="69"/>
      <c r="J86" s="11"/>
      <c r="K86" s="11"/>
      <c r="L86" s="11" t="s">
        <v>183</v>
      </c>
      <c r="M86" s="11"/>
      <c r="N86" s="15"/>
      <c r="O86" s="15"/>
      <c r="P86" s="15"/>
      <c r="Q86" s="15"/>
    </row>
    <row r="87" spans="1:18" ht="20.100000000000001" customHeight="1" x14ac:dyDescent="0.15">
      <c r="A87" s="10">
        <f t="shared" si="4"/>
        <v>84</v>
      </c>
      <c r="B87" s="10" t="s">
        <v>261</v>
      </c>
      <c r="C87" s="64" t="s">
        <v>476</v>
      </c>
      <c r="D87" s="64" t="s">
        <v>479</v>
      </c>
      <c r="E87" s="10" t="s">
        <v>529</v>
      </c>
      <c r="F87" s="10" t="s">
        <v>528</v>
      </c>
      <c r="G87" s="11" t="s">
        <v>409</v>
      </c>
      <c r="H87" s="69"/>
      <c r="I87" s="69"/>
      <c r="J87" s="11"/>
      <c r="K87" s="11"/>
      <c r="L87" s="11" t="s">
        <v>183</v>
      </c>
      <c r="M87" s="11"/>
      <c r="N87" s="15"/>
      <c r="O87" s="15"/>
      <c r="P87" s="15"/>
      <c r="Q87" s="15"/>
    </row>
    <row r="88" spans="1:18" ht="20.100000000000001" customHeight="1" x14ac:dyDescent="0.15">
      <c r="A88" s="10">
        <f t="shared" si="4"/>
        <v>85</v>
      </c>
      <c r="B88" s="10" t="s">
        <v>261</v>
      </c>
      <c r="C88" s="64" t="s">
        <v>476</v>
      </c>
      <c r="D88" s="64" t="s">
        <v>479</v>
      </c>
      <c r="E88" s="10" t="s">
        <v>530</v>
      </c>
      <c r="F88" s="10" t="s">
        <v>444</v>
      </c>
      <c r="G88" s="11" t="s">
        <v>409</v>
      </c>
      <c r="H88" s="69"/>
      <c r="I88" s="69"/>
      <c r="J88" s="11"/>
      <c r="K88" s="11"/>
      <c r="L88" s="11" t="s">
        <v>183</v>
      </c>
      <c r="M88" s="11"/>
      <c r="N88" s="15"/>
      <c r="O88" s="15"/>
      <c r="P88" s="15"/>
      <c r="Q88" s="15"/>
    </row>
    <row r="89" spans="1:18" ht="20.100000000000001" customHeight="1" x14ac:dyDescent="0.15">
      <c r="A89" s="10">
        <f t="shared" si="4"/>
        <v>86</v>
      </c>
      <c r="B89" s="10" t="s">
        <v>261</v>
      </c>
      <c r="C89" s="64" t="s">
        <v>476</v>
      </c>
      <c r="D89" s="64" t="s">
        <v>479</v>
      </c>
      <c r="E89" s="10" t="s">
        <v>531</v>
      </c>
      <c r="F89" s="10" t="s">
        <v>172</v>
      </c>
      <c r="G89" s="11" t="s">
        <v>408</v>
      </c>
      <c r="H89" s="69"/>
      <c r="I89" s="69"/>
      <c r="J89" s="11"/>
      <c r="K89" s="11"/>
      <c r="L89" s="11" t="s">
        <v>183</v>
      </c>
      <c r="M89" s="11"/>
      <c r="N89" s="15"/>
      <c r="O89" s="15"/>
      <c r="P89" s="15"/>
      <c r="Q89" s="15"/>
    </row>
    <row r="90" spans="1:18" ht="20.100000000000001" customHeight="1" x14ac:dyDescent="0.15">
      <c r="A90" s="10">
        <f t="shared" si="4"/>
        <v>87</v>
      </c>
      <c r="B90" s="10" t="s">
        <v>261</v>
      </c>
      <c r="C90" s="64" t="s">
        <v>476</v>
      </c>
      <c r="D90" s="64" t="s">
        <v>479</v>
      </c>
      <c r="E90" s="10" t="s">
        <v>532</v>
      </c>
      <c r="F90" s="10" t="s">
        <v>136</v>
      </c>
      <c r="G90" s="11" t="s">
        <v>408</v>
      </c>
      <c r="H90" s="69"/>
      <c r="I90" s="69"/>
      <c r="J90" s="11"/>
      <c r="K90" s="11"/>
      <c r="L90" s="11" t="s">
        <v>183</v>
      </c>
      <c r="M90" s="11"/>
      <c r="N90" s="15"/>
      <c r="O90" s="15"/>
      <c r="P90" s="15"/>
      <c r="Q90" s="15"/>
    </row>
    <row r="91" spans="1:18" ht="20.100000000000001" customHeight="1" x14ac:dyDescent="0.15">
      <c r="A91" s="10">
        <f t="shared" si="4"/>
        <v>88</v>
      </c>
      <c r="B91" s="10" t="s">
        <v>261</v>
      </c>
      <c r="C91" s="64" t="s">
        <v>476</v>
      </c>
      <c r="D91" s="64" t="s">
        <v>479</v>
      </c>
      <c r="E91" s="10" t="s">
        <v>533</v>
      </c>
      <c r="F91" s="10" t="s">
        <v>534</v>
      </c>
      <c r="G91" s="11" t="s">
        <v>409</v>
      </c>
      <c r="H91" s="69"/>
      <c r="I91" s="69"/>
      <c r="J91" s="11"/>
      <c r="K91" s="11"/>
      <c r="L91" s="11" t="s">
        <v>183</v>
      </c>
      <c r="M91" s="11"/>
      <c r="N91" s="15"/>
      <c r="O91" s="15"/>
      <c r="P91" s="15" t="s">
        <v>192</v>
      </c>
      <c r="Q91" s="15" t="s">
        <v>33</v>
      </c>
      <c r="R91" s="9" t="b">
        <f t="shared" ref="R91:R105" si="5">P91=E91</f>
        <v>0</v>
      </c>
    </row>
    <row r="92" spans="1:18" ht="20.100000000000001" customHeight="1" x14ac:dyDescent="0.15">
      <c r="A92" s="10">
        <f t="shared" si="4"/>
        <v>89</v>
      </c>
      <c r="B92" s="10" t="s">
        <v>261</v>
      </c>
      <c r="C92" s="64" t="s">
        <v>476</v>
      </c>
      <c r="D92" s="64" t="s">
        <v>479</v>
      </c>
      <c r="E92" s="10" t="s">
        <v>535</v>
      </c>
      <c r="F92" s="10" t="s">
        <v>10</v>
      </c>
      <c r="G92" s="11" t="s">
        <v>409</v>
      </c>
      <c r="H92" s="69"/>
      <c r="I92" s="69"/>
      <c r="J92" s="11"/>
      <c r="K92" s="11"/>
      <c r="L92" s="11" t="s">
        <v>183</v>
      </c>
      <c r="M92" s="11"/>
      <c r="N92" s="15"/>
      <c r="O92" s="15"/>
      <c r="P92" s="15" t="s">
        <v>207</v>
      </c>
      <c r="Q92" s="15" t="s">
        <v>90</v>
      </c>
      <c r="R92" s="9" t="b">
        <f t="shared" si="5"/>
        <v>0</v>
      </c>
    </row>
    <row r="93" spans="1:18" ht="20.100000000000001" customHeight="1" x14ac:dyDescent="0.15">
      <c r="A93" s="10">
        <f t="shared" si="4"/>
        <v>90</v>
      </c>
      <c r="B93" s="10" t="s">
        <v>538</v>
      </c>
      <c r="C93" s="64" t="s">
        <v>472</v>
      </c>
      <c r="D93" s="64" t="s">
        <v>473</v>
      </c>
      <c r="E93" s="10" t="s">
        <v>537</v>
      </c>
      <c r="F93" s="10" t="s">
        <v>416</v>
      </c>
      <c r="G93" s="11" t="s">
        <v>403</v>
      </c>
      <c r="H93" s="69"/>
      <c r="I93" s="69"/>
      <c r="J93" s="11"/>
      <c r="K93" s="11"/>
      <c r="L93" s="11" t="s">
        <v>183</v>
      </c>
      <c r="M93" s="11"/>
      <c r="N93" s="15"/>
      <c r="O93" s="15"/>
      <c r="P93" s="15" t="s">
        <v>193</v>
      </c>
      <c r="Q93" s="15" t="s">
        <v>90</v>
      </c>
      <c r="R93" s="9" t="b">
        <f t="shared" si="5"/>
        <v>0</v>
      </c>
    </row>
    <row r="94" spans="1:18" ht="20.100000000000001" customHeight="1" x14ac:dyDescent="0.15">
      <c r="A94" s="10">
        <f t="shared" si="4"/>
        <v>91</v>
      </c>
      <c r="B94" s="10" t="s">
        <v>540</v>
      </c>
      <c r="C94" s="64" t="s">
        <v>476</v>
      </c>
      <c r="D94" s="64" t="s">
        <v>539</v>
      </c>
      <c r="E94" s="10" t="s">
        <v>541</v>
      </c>
      <c r="F94" s="10" t="s">
        <v>436</v>
      </c>
      <c r="G94" s="11" t="s">
        <v>403</v>
      </c>
      <c r="H94" s="69"/>
      <c r="I94" s="69"/>
      <c r="J94" s="11"/>
      <c r="K94" s="11"/>
      <c r="L94" s="11" t="s">
        <v>183</v>
      </c>
      <c r="M94" s="11"/>
      <c r="N94" s="15"/>
      <c r="O94" s="15"/>
      <c r="P94" s="15" t="s">
        <v>205</v>
      </c>
      <c r="Q94" s="15" t="s">
        <v>35</v>
      </c>
      <c r="R94" s="9" t="b">
        <f t="shared" si="5"/>
        <v>0</v>
      </c>
    </row>
    <row r="95" spans="1:18" ht="20.100000000000001" customHeight="1" x14ac:dyDescent="0.15">
      <c r="A95" s="10">
        <f t="shared" si="4"/>
        <v>92</v>
      </c>
      <c r="B95" s="10" t="s">
        <v>540</v>
      </c>
      <c r="C95" s="64" t="s">
        <v>476</v>
      </c>
      <c r="D95" s="64" t="s">
        <v>539</v>
      </c>
      <c r="E95" s="10" t="s">
        <v>542</v>
      </c>
      <c r="F95" s="10" t="s">
        <v>534</v>
      </c>
      <c r="G95" s="11" t="s">
        <v>403</v>
      </c>
      <c r="H95" s="69"/>
      <c r="I95" s="69"/>
      <c r="J95" s="11"/>
      <c r="K95" s="11"/>
      <c r="L95" s="11" t="s">
        <v>183</v>
      </c>
      <c r="M95" s="11"/>
      <c r="O95" s="15"/>
      <c r="P95" s="15" t="s">
        <v>194</v>
      </c>
      <c r="Q95" s="15" t="s">
        <v>195</v>
      </c>
      <c r="R95" s="9" t="b">
        <f t="shared" si="5"/>
        <v>0</v>
      </c>
    </row>
    <row r="96" spans="1:18" ht="20.100000000000001" customHeight="1" x14ac:dyDescent="0.15">
      <c r="A96" s="10">
        <f t="shared" si="4"/>
        <v>93</v>
      </c>
      <c r="B96" s="10" t="s">
        <v>540</v>
      </c>
      <c r="C96" s="64" t="s">
        <v>476</v>
      </c>
      <c r="D96" s="64" t="s">
        <v>539</v>
      </c>
      <c r="E96" s="10" t="s">
        <v>543</v>
      </c>
      <c r="F96" s="10" t="s">
        <v>544</v>
      </c>
      <c r="G96" s="11" t="s">
        <v>403</v>
      </c>
      <c r="H96" s="69"/>
      <c r="I96" s="69"/>
      <c r="J96" s="11"/>
      <c r="K96" s="11"/>
      <c r="L96" s="11" t="s">
        <v>183</v>
      </c>
      <c r="M96" s="11"/>
      <c r="O96" s="15"/>
      <c r="P96" s="15" t="s">
        <v>196</v>
      </c>
      <c r="Q96" s="15" t="s">
        <v>90</v>
      </c>
      <c r="R96" s="9" t="b">
        <f t="shared" si="5"/>
        <v>0</v>
      </c>
    </row>
    <row r="97" spans="1:18" ht="20.100000000000001" customHeight="1" x14ac:dyDescent="0.15">
      <c r="A97" s="10">
        <f t="shared" si="4"/>
        <v>94</v>
      </c>
      <c r="B97" s="10" t="s">
        <v>540</v>
      </c>
      <c r="C97" s="64" t="s">
        <v>476</v>
      </c>
      <c r="D97" s="64" t="s">
        <v>539</v>
      </c>
      <c r="E97" s="10" t="s">
        <v>545</v>
      </c>
      <c r="F97" s="10" t="s">
        <v>546</v>
      </c>
      <c r="G97" s="11" t="s">
        <v>403</v>
      </c>
      <c r="H97" s="69"/>
      <c r="I97" s="69"/>
      <c r="J97" s="11"/>
      <c r="K97" s="11"/>
      <c r="L97" s="11" t="s">
        <v>183</v>
      </c>
      <c r="M97" s="11"/>
      <c r="N97" s="15"/>
      <c r="O97" s="15"/>
      <c r="P97" s="15" t="s">
        <v>206</v>
      </c>
      <c r="Q97" s="15" t="s">
        <v>11</v>
      </c>
      <c r="R97" s="9" t="b">
        <f t="shared" si="5"/>
        <v>0</v>
      </c>
    </row>
    <row r="98" spans="1:18" ht="20.100000000000001" customHeight="1" x14ac:dyDescent="0.15">
      <c r="A98" s="10">
        <f t="shared" si="4"/>
        <v>95</v>
      </c>
      <c r="B98" s="10" t="s">
        <v>540</v>
      </c>
      <c r="C98" s="64" t="s">
        <v>476</v>
      </c>
      <c r="D98" s="64" t="s">
        <v>539</v>
      </c>
      <c r="E98" s="10" t="s">
        <v>547</v>
      </c>
      <c r="F98" s="10" t="s">
        <v>548</v>
      </c>
      <c r="G98" s="11" t="s">
        <v>403</v>
      </c>
      <c r="H98" s="69"/>
      <c r="I98" s="69"/>
      <c r="J98" s="11"/>
      <c r="K98" s="11"/>
      <c r="L98" s="11" t="s">
        <v>183</v>
      </c>
      <c r="M98" s="11"/>
      <c r="N98" s="15"/>
      <c r="O98" s="15"/>
      <c r="P98" s="15" t="s">
        <v>197</v>
      </c>
      <c r="Q98" s="15" t="s">
        <v>198</v>
      </c>
      <c r="R98" s="9" t="b">
        <f t="shared" si="5"/>
        <v>0</v>
      </c>
    </row>
    <row r="99" spans="1:18" ht="20.100000000000001" customHeight="1" x14ac:dyDescent="0.15">
      <c r="A99" s="10">
        <f t="shared" si="4"/>
        <v>96</v>
      </c>
      <c r="B99" s="10" t="s">
        <v>540</v>
      </c>
      <c r="C99" s="64" t="s">
        <v>476</v>
      </c>
      <c r="D99" s="64" t="s">
        <v>539</v>
      </c>
      <c r="E99" s="10" t="s">
        <v>549</v>
      </c>
      <c r="F99" s="10" t="s">
        <v>548</v>
      </c>
      <c r="G99" s="11" t="s">
        <v>403</v>
      </c>
      <c r="H99" s="69"/>
      <c r="I99" s="69"/>
      <c r="J99" s="11"/>
      <c r="K99" s="11"/>
      <c r="L99" s="11" t="s">
        <v>183</v>
      </c>
      <c r="M99" s="11"/>
      <c r="N99" s="15"/>
      <c r="O99" s="15"/>
      <c r="P99" s="15" t="s">
        <v>46</v>
      </c>
      <c r="Q99" s="15" t="s">
        <v>10</v>
      </c>
      <c r="R99" s="9" t="b">
        <f t="shared" si="5"/>
        <v>0</v>
      </c>
    </row>
    <row r="100" spans="1:18" ht="20.100000000000001" customHeight="1" x14ac:dyDescent="0.15">
      <c r="A100" s="10">
        <f t="shared" si="4"/>
        <v>97</v>
      </c>
      <c r="B100" s="10" t="s">
        <v>540</v>
      </c>
      <c r="C100" s="64" t="s">
        <v>476</v>
      </c>
      <c r="D100" s="64" t="s">
        <v>539</v>
      </c>
      <c r="E100" s="10" t="s">
        <v>550</v>
      </c>
      <c r="F100" s="10" t="s">
        <v>436</v>
      </c>
      <c r="G100" s="11" t="s">
        <v>403</v>
      </c>
      <c r="H100" s="69"/>
      <c r="I100" s="69"/>
      <c r="J100" s="11"/>
      <c r="K100" s="11"/>
      <c r="L100" s="11" t="s">
        <v>183</v>
      </c>
      <c r="M100" s="11"/>
      <c r="N100" s="15"/>
      <c r="O100" s="15"/>
      <c r="P100" s="15" t="s">
        <v>169</v>
      </c>
      <c r="Q100" s="15" t="s">
        <v>170</v>
      </c>
      <c r="R100" s="9" t="b">
        <f t="shared" si="5"/>
        <v>0</v>
      </c>
    </row>
    <row r="101" spans="1:18" ht="20.100000000000001" customHeight="1" x14ac:dyDescent="0.15">
      <c r="A101" s="10">
        <f t="shared" si="4"/>
        <v>98</v>
      </c>
      <c r="B101" s="10" t="s">
        <v>540</v>
      </c>
      <c r="C101" s="64" t="s">
        <v>476</v>
      </c>
      <c r="D101" s="64" t="s">
        <v>539</v>
      </c>
      <c r="E101" s="10" t="s">
        <v>551</v>
      </c>
      <c r="F101" s="10" t="s">
        <v>436</v>
      </c>
      <c r="G101" s="11" t="s">
        <v>403</v>
      </c>
      <c r="H101" s="69"/>
      <c r="I101" s="69"/>
      <c r="J101" s="11"/>
      <c r="K101" s="11"/>
      <c r="L101" s="11" t="s">
        <v>183</v>
      </c>
      <c r="M101" s="11"/>
      <c r="N101" s="15"/>
      <c r="O101" s="15"/>
      <c r="P101" s="15" t="s">
        <v>181</v>
      </c>
      <c r="Q101" s="15" t="s">
        <v>182</v>
      </c>
      <c r="R101" s="9" t="b">
        <f t="shared" si="5"/>
        <v>0</v>
      </c>
    </row>
    <row r="102" spans="1:18" ht="20.100000000000001" customHeight="1" x14ac:dyDescent="0.15">
      <c r="A102" s="10">
        <f t="shared" si="4"/>
        <v>99</v>
      </c>
      <c r="B102" s="10" t="s">
        <v>540</v>
      </c>
      <c r="C102" s="64" t="s">
        <v>476</v>
      </c>
      <c r="D102" s="64" t="s">
        <v>539</v>
      </c>
      <c r="E102" s="10" t="s">
        <v>552</v>
      </c>
      <c r="F102" s="10" t="s">
        <v>553</v>
      </c>
      <c r="G102" s="11" t="s">
        <v>403</v>
      </c>
      <c r="H102" s="69"/>
      <c r="I102" s="69"/>
      <c r="J102" s="11"/>
      <c r="K102" s="11"/>
      <c r="L102" s="11" t="s">
        <v>183</v>
      </c>
      <c r="M102" s="11"/>
      <c r="N102" s="15"/>
      <c r="O102" s="15"/>
      <c r="P102" s="15" t="s">
        <v>171</v>
      </c>
      <c r="Q102" s="15" t="s">
        <v>172</v>
      </c>
      <c r="R102" s="9" t="b">
        <f t="shared" si="5"/>
        <v>0</v>
      </c>
    </row>
    <row r="103" spans="1:18" ht="20.100000000000001" customHeight="1" x14ac:dyDescent="0.15">
      <c r="A103" s="10">
        <f t="shared" si="4"/>
        <v>100</v>
      </c>
      <c r="B103" s="10" t="s">
        <v>540</v>
      </c>
      <c r="C103" s="64" t="s">
        <v>476</v>
      </c>
      <c r="D103" s="64" t="s">
        <v>539</v>
      </c>
      <c r="E103" s="10" t="s">
        <v>554</v>
      </c>
      <c r="F103" s="10" t="s">
        <v>555</v>
      </c>
      <c r="G103" s="11" t="s">
        <v>403</v>
      </c>
      <c r="H103" s="69"/>
      <c r="I103" s="69"/>
      <c r="J103" s="11"/>
      <c r="K103" s="11"/>
      <c r="L103" s="11" t="s">
        <v>183</v>
      </c>
      <c r="M103" s="11"/>
      <c r="N103" s="15"/>
      <c r="O103" s="15"/>
      <c r="P103" s="15" t="s">
        <v>36</v>
      </c>
      <c r="Q103" s="15" t="s">
        <v>37</v>
      </c>
      <c r="R103" s="9" t="b">
        <f t="shared" si="5"/>
        <v>0</v>
      </c>
    </row>
    <row r="104" spans="1:18" ht="20.100000000000001" customHeight="1" x14ac:dyDescent="0.15">
      <c r="A104" s="10">
        <f t="shared" si="4"/>
        <v>101</v>
      </c>
      <c r="B104" s="10" t="s">
        <v>540</v>
      </c>
      <c r="C104" s="64" t="s">
        <v>476</v>
      </c>
      <c r="D104" s="64" t="s">
        <v>539</v>
      </c>
      <c r="E104" s="10" t="s">
        <v>556</v>
      </c>
      <c r="F104" s="10" t="s">
        <v>557</v>
      </c>
      <c r="G104" s="11" t="s">
        <v>403</v>
      </c>
      <c r="H104" s="69"/>
      <c r="I104" s="69"/>
      <c r="J104" s="11"/>
      <c r="K104" s="11"/>
      <c r="L104" s="11" t="s">
        <v>183</v>
      </c>
      <c r="M104" s="11"/>
      <c r="N104" s="15"/>
      <c r="O104" s="15"/>
      <c r="P104" s="15" t="s">
        <v>202</v>
      </c>
      <c r="Q104" s="15" t="s">
        <v>12</v>
      </c>
      <c r="R104" s="9" t="b">
        <f t="shared" si="5"/>
        <v>0</v>
      </c>
    </row>
    <row r="105" spans="1:18" ht="20.100000000000001" customHeight="1" x14ac:dyDescent="0.15">
      <c r="A105" s="10">
        <f t="shared" si="4"/>
        <v>102</v>
      </c>
      <c r="B105" s="10" t="s">
        <v>540</v>
      </c>
      <c r="C105" s="64" t="s">
        <v>476</v>
      </c>
      <c r="D105" s="64" t="s">
        <v>539</v>
      </c>
      <c r="E105" s="10" t="s">
        <v>558</v>
      </c>
      <c r="F105" s="10" t="s">
        <v>559</v>
      </c>
      <c r="G105" s="11" t="s">
        <v>403</v>
      </c>
      <c r="H105" s="69"/>
      <c r="I105" s="69"/>
      <c r="J105" s="11"/>
      <c r="K105" s="11"/>
      <c r="L105" s="11" t="s">
        <v>183</v>
      </c>
      <c r="M105" s="11"/>
      <c r="O105" s="15"/>
      <c r="P105" s="15" t="s">
        <v>203</v>
      </c>
      <c r="Q105" s="15" t="s">
        <v>12</v>
      </c>
      <c r="R105" s="9" t="b">
        <f t="shared" si="5"/>
        <v>0</v>
      </c>
    </row>
    <row r="106" spans="1:18" ht="20.100000000000001" customHeight="1" x14ac:dyDescent="0.15">
      <c r="A106" s="10">
        <f t="shared" si="4"/>
        <v>103</v>
      </c>
      <c r="B106" s="10" t="s">
        <v>540</v>
      </c>
      <c r="C106" s="64" t="s">
        <v>476</v>
      </c>
      <c r="D106" s="64" t="s">
        <v>539</v>
      </c>
      <c r="E106" s="10" t="s">
        <v>560</v>
      </c>
      <c r="F106" s="10" t="s">
        <v>444</v>
      </c>
      <c r="G106" s="11" t="s">
        <v>403</v>
      </c>
      <c r="H106" s="69"/>
      <c r="I106" s="69"/>
      <c r="J106" s="11"/>
      <c r="K106" s="11"/>
      <c r="L106" s="11" t="s">
        <v>183</v>
      </c>
      <c r="M106" s="11"/>
      <c r="O106" s="15"/>
      <c r="P106" s="15"/>
      <c r="Q106" s="15"/>
    </row>
    <row r="107" spans="1:18" ht="20.100000000000001" customHeight="1" x14ac:dyDescent="0.15">
      <c r="A107" s="10">
        <f t="shared" si="4"/>
        <v>104</v>
      </c>
      <c r="B107" s="10" t="s">
        <v>561</v>
      </c>
      <c r="C107" s="64" t="s">
        <v>476</v>
      </c>
      <c r="D107" s="64" t="s">
        <v>562</v>
      </c>
      <c r="E107" s="10" t="s">
        <v>563</v>
      </c>
      <c r="F107" s="10" t="s">
        <v>489</v>
      </c>
      <c r="G107" s="11" t="s">
        <v>403</v>
      </c>
      <c r="H107" s="69"/>
      <c r="I107" s="69"/>
      <c r="J107" s="11"/>
      <c r="K107" s="11"/>
      <c r="L107" s="11" t="s">
        <v>183</v>
      </c>
      <c r="M107" s="11"/>
      <c r="N107" s="15"/>
      <c r="O107" s="15"/>
      <c r="P107" s="15"/>
      <c r="Q107" s="15"/>
    </row>
    <row r="108" spans="1:18" ht="20.100000000000001" customHeight="1" x14ac:dyDescent="0.15">
      <c r="A108" s="10">
        <f t="shared" si="4"/>
        <v>105</v>
      </c>
      <c r="B108" s="10" t="s">
        <v>561</v>
      </c>
      <c r="C108" s="64" t="s">
        <v>476</v>
      </c>
      <c r="D108" s="64" t="s">
        <v>562</v>
      </c>
      <c r="E108" s="10" t="s">
        <v>564</v>
      </c>
      <c r="F108" s="10" t="s">
        <v>565</v>
      </c>
      <c r="G108" s="11" t="s">
        <v>403</v>
      </c>
      <c r="H108" s="69"/>
      <c r="I108" s="69"/>
      <c r="J108" s="11"/>
      <c r="K108" s="11"/>
      <c r="L108" s="11" t="s">
        <v>183</v>
      </c>
      <c r="M108" s="11"/>
      <c r="O108" s="15"/>
      <c r="P108" s="15"/>
      <c r="Q108" s="15"/>
    </row>
    <row r="109" spans="1:18" ht="20.100000000000001" customHeight="1" x14ac:dyDescent="0.15">
      <c r="A109" s="10">
        <f t="shared" si="4"/>
        <v>106</v>
      </c>
      <c r="B109" s="10" t="s">
        <v>561</v>
      </c>
      <c r="C109" s="64" t="s">
        <v>476</v>
      </c>
      <c r="D109" s="64" t="s">
        <v>562</v>
      </c>
      <c r="E109" s="10" t="s">
        <v>566</v>
      </c>
      <c r="F109" s="10" t="s">
        <v>567</v>
      </c>
      <c r="G109" s="11" t="s">
        <v>403</v>
      </c>
      <c r="H109" s="69"/>
      <c r="I109" s="69"/>
      <c r="J109" s="11"/>
      <c r="K109" s="11"/>
      <c r="L109" s="11" t="s">
        <v>183</v>
      </c>
      <c r="M109" s="11"/>
      <c r="O109" s="15"/>
      <c r="P109" s="15"/>
      <c r="Q109" s="15"/>
    </row>
    <row r="110" spans="1:18" ht="20.100000000000001" customHeight="1" x14ac:dyDescent="0.15">
      <c r="A110" s="10">
        <f t="shared" si="4"/>
        <v>107</v>
      </c>
      <c r="B110" s="10" t="s">
        <v>561</v>
      </c>
      <c r="C110" s="64" t="s">
        <v>476</v>
      </c>
      <c r="D110" s="64" t="s">
        <v>562</v>
      </c>
      <c r="E110" s="10" t="s">
        <v>568</v>
      </c>
      <c r="F110" s="10" t="s">
        <v>489</v>
      </c>
      <c r="G110" s="11" t="s">
        <v>403</v>
      </c>
      <c r="H110" s="69"/>
      <c r="I110" s="69"/>
      <c r="J110" s="11"/>
      <c r="K110" s="11"/>
      <c r="L110" s="11" t="s">
        <v>183</v>
      </c>
      <c r="M110" s="11"/>
      <c r="N110" s="15"/>
      <c r="O110" s="15"/>
      <c r="P110" s="15"/>
      <c r="Q110" s="15"/>
    </row>
    <row r="111" spans="1:18" ht="20.100000000000001" customHeight="1" x14ac:dyDescent="0.15">
      <c r="A111" s="10">
        <f t="shared" si="4"/>
        <v>108</v>
      </c>
      <c r="B111" s="10" t="s">
        <v>561</v>
      </c>
      <c r="C111" s="64" t="s">
        <v>476</v>
      </c>
      <c r="D111" s="64" t="s">
        <v>562</v>
      </c>
      <c r="E111" s="10" t="s">
        <v>569</v>
      </c>
      <c r="F111" s="10" t="s">
        <v>570</v>
      </c>
      <c r="G111" s="11" t="s">
        <v>403</v>
      </c>
      <c r="H111" s="69"/>
      <c r="I111" s="69"/>
      <c r="J111" s="11"/>
      <c r="K111" s="11"/>
      <c r="L111" s="11" t="s">
        <v>183</v>
      </c>
      <c r="M111" s="11"/>
      <c r="O111" s="15"/>
      <c r="P111" s="15"/>
      <c r="Q111" s="15"/>
    </row>
    <row r="112" spans="1:18" ht="20.100000000000001" customHeight="1" x14ac:dyDescent="0.15">
      <c r="A112" s="10">
        <f t="shared" si="4"/>
        <v>109</v>
      </c>
      <c r="B112" s="10" t="s">
        <v>561</v>
      </c>
      <c r="C112" s="64" t="s">
        <v>476</v>
      </c>
      <c r="D112" s="64" t="s">
        <v>562</v>
      </c>
      <c r="E112" s="10" t="s">
        <v>571</v>
      </c>
      <c r="F112" s="10" t="s">
        <v>572</v>
      </c>
      <c r="G112" s="11" t="s">
        <v>403</v>
      </c>
      <c r="H112" s="69"/>
      <c r="I112" s="69"/>
      <c r="J112" s="11"/>
      <c r="K112" s="11"/>
      <c r="L112" s="11" t="s">
        <v>183</v>
      </c>
      <c r="M112" s="11"/>
      <c r="N112" s="15" t="s">
        <v>300</v>
      </c>
      <c r="O112" s="15"/>
      <c r="P112" s="15"/>
      <c r="Q112" s="15"/>
    </row>
    <row r="113" spans="1:17" ht="20.100000000000001" customHeight="1" x14ac:dyDescent="0.15">
      <c r="A113" s="10">
        <f t="shared" si="4"/>
        <v>110</v>
      </c>
      <c r="B113" s="10" t="s">
        <v>561</v>
      </c>
      <c r="C113" s="64" t="s">
        <v>476</v>
      </c>
      <c r="D113" s="64" t="s">
        <v>562</v>
      </c>
      <c r="E113" s="10" t="s">
        <v>573</v>
      </c>
      <c r="F113" s="10" t="s">
        <v>521</v>
      </c>
      <c r="G113" s="11" t="s">
        <v>403</v>
      </c>
      <c r="H113" s="69"/>
      <c r="I113" s="69"/>
      <c r="J113" s="11"/>
      <c r="K113" s="11"/>
      <c r="L113" s="11" t="s">
        <v>183</v>
      </c>
      <c r="M113" s="11"/>
      <c r="N113" s="15" t="s">
        <v>300</v>
      </c>
      <c r="O113" s="15"/>
      <c r="P113" s="15"/>
      <c r="Q113" s="15"/>
    </row>
    <row r="114" spans="1:17" ht="20.100000000000001" customHeight="1" x14ac:dyDescent="0.15">
      <c r="A114" s="10">
        <f t="shared" si="4"/>
        <v>111</v>
      </c>
      <c r="B114" s="10" t="s">
        <v>561</v>
      </c>
      <c r="C114" s="64" t="s">
        <v>476</v>
      </c>
      <c r="D114" s="64" t="s">
        <v>562</v>
      </c>
      <c r="E114" s="10" t="s">
        <v>574</v>
      </c>
      <c r="F114" s="10" t="s">
        <v>575</v>
      </c>
      <c r="G114" s="11" t="s">
        <v>403</v>
      </c>
      <c r="H114" s="69"/>
      <c r="I114" s="69"/>
      <c r="J114" s="11"/>
      <c r="K114" s="11"/>
      <c r="L114" s="11" t="s">
        <v>183</v>
      </c>
      <c r="M114" s="11"/>
      <c r="N114" s="15" t="s">
        <v>300</v>
      </c>
      <c r="O114" s="15"/>
      <c r="P114" s="15"/>
      <c r="Q114" s="15"/>
    </row>
    <row r="115" spans="1:17" ht="20.100000000000001" customHeight="1" x14ac:dyDescent="0.15">
      <c r="A115" s="10">
        <f t="shared" si="4"/>
        <v>112</v>
      </c>
      <c r="B115" s="10" t="s">
        <v>561</v>
      </c>
      <c r="C115" s="64" t="s">
        <v>476</v>
      </c>
      <c r="D115" s="64" t="s">
        <v>562</v>
      </c>
      <c r="E115" s="10" t="s">
        <v>576</v>
      </c>
      <c r="F115" s="10" t="s">
        <v>512</v>
      </c>
      <c r="G115" s="11" t="s">
        <v>403</v>
      </c>
      <c r="H115" s="69"/>
      <c r="I115" s="69"/>
      <c r="J115" s="11"/>
      <c r="K115" s="11"/>
      <c r="L115" s="11" t="s">
        <v>183</v>
      </c>
      <c r="M115" s="11"/>
      <c r="N115" s="15" t="s">
        <v>300</v>
      </c>
      <c r="O115" s="15"/>
      <c r="P115" s="15"/>
      <c r="Q115" s="15"/>
    </row>
    <row r="116" spans="1:17" ht="20.100000000000001" customHeight="1" x14ac:dyDescent="0.15">
      <c r="A116" s="10">
        <f t="shared" si="4"/>
        <v>113</v>
      </c>
      <c r="B116" s="10" t="s">
        <v>561</v>
      </c>
      <c r="C116" s="64" t="s">
        <v>476</v>
      </c>
      <c r="D116" s="64" t="s">
        <v>562</v>
      </c>
      <c r="E116" s="10" t="s">
        <v>577</v>
      </c>
      <c r="F116" s="10" t="s">
        <v>521</v>
      </c>
      <c r="G116" s="11" t="s">
        <v>403</v>
      </c>
      <c r="H116" s="69"/>
      <c r="I116" s="69"/>
      <c r="J116" s="11"/>
      <c r="K116" s="11"/>
      <c r="L116" s="11" t="s">
        <v>183</v>
      </c>
      <c r="M116" s="11"/>
      <c r="N116" s="15"/>
      <c r="O116" s="15"/>
      <c r="P116" s="15"/>
      <c r="Q116" s="15"/>
    </row>
    <row r="117" spans="1:17" ht="20.100000000000001" customHeight="1" x14ac:dyDescent="0.15">
      <c r="A117" s="10">
        <f t="shared" si="4"/>
        <v>114</v>
      </c>
      <c r="B117" s="10" t="s">
        <v>561</v>
      </c>
      <c r="C117" s="64" t="s">
        <v>476</v>
      </c>
      <c r="D117" s="64" t="s">
        <v>562</v>
      </c>
      <c r="E117" s="10" t="s">
        <v>578</v>
      </c>
      <c r="F117" s="10" t="s">
        <v>512</v>
      </c>
      <c r="G117" s="11" t="s">
        <v>403</v>
      </c>
      <c r="H117" s="69"/>
      <c r="I117" s="69"/>
      <c r="J117" s="11"/>
      <c r="K117" s="11"/>
      <c r="L117" s="11" t="s">
        <v>183</v>
      </c>
      <c r="M117" s="58"/>
      <c r="N117" s="15"/>
      <c r="O117" s="15"/>
      <c r="P117" s="15"/>
      <c r="Q117" s="15"/>
    </row>
    <row r="118" spans="1:17" ht="20.100000000000001" customHeight="1" x14ac:dyDescent="0.15">
      <c r="A118" s="10">
        <f t="shared" si="4"/>
        <v>115</v>
      </c>
      <c r="B118" s="10" t="s">
        <v>561</v>
      </c>
      <c r="C118" s="64" t="s">
        <v>476</v>
      </c>
      <c r="D118" s="64" t="s">
        <v>562</v>
      </c>
      <c r="E118" s="10" t="s">
        <v>579</v>
      </c>
      <c r="F118" s="10" t="s">
        <v>580</v>
      </c>
      <c r="G118" s="11" t="s">
        <v>403</v>
      </c>
      <c r="H118" s="69"/>
      <c r="I118" s="69"/>
      <c r="J118" s="11"/>
      <c r="K118" s="11"/>
      <c r="L118" s="11" t="s">
        <v>183</v>
      </c>
      <c r="M118" s="11"/>
      <c r="N118" s="15"/>
      <c r="O118" s="15"/>
      <c r="P118" s="15"/>
      <c r="Q118" s="15"/>
    </row>
    <row r="119" spans="1:17" ht="20.100000000000001" customHeight="1" x14ac:dyDescent="0.15">
      <c r="A119" s="10">
        <f t="shared" si="4"/>
        <v>116</v>
      </c>
      <c r="B119" s="10" t="s">
        <v>561</v>
      </c>
      <c r="C119" s="64" t="s">
        <v>476</v>
      </c>
      <c r="D119" s="64" t="s">
        <v>562</v>
      </c>
      <c r="E119" s="10" t="s">
        <v>581</v>
      </c>
      <c r="F119" s="10" t="s">
        <v>582</v>
      </c>
      <c r="G119" s="11" t="s">
        <v>403</v>
      </c>
      <c r="H119" s="69"/>
      <c r="I119" s="69"/>
      <c r="J119" s="11"/>
      <c r="K119" s="11"/>
      <c r="L119" s="11" t="s">
        <v>183</v>
      </c>
      <c r="M119" s="11"/>
      <c r="N119" s="15"/>
      <c r="O119" s="15"/>
      <c r="P119" s="15"/>
      <c r="Q119" s="15"/>
    </row>
    <row r="120" spans="1:17" ht="20.100000000000001" customHeight="1" x14ac:dyDescent="0.15">
      <c r="A120" s="10">
        <f t="shared" si="4"/>
        <v>117</v>
      </c>
      <c r="B120" s="10"/>
      <c r="C120" s="64"/>
      <c r="D120" s="64"/>
      <c r="E120" s="10"/>
      <c r="F120" s="10"/>
      <c r="G120" s="11"/>
      <c r="H120" s="69"/>
      <c r="I120" s="69"/>
      <c r="J120" s="11"/>
      <c r="K120" s="11"/>
      <c r="L120" s="11"/>
      <c r="M120" s="11"/>
    </row>
    <row r="121" spans="1:17" ht="20.100000000000001" customHeight="1" x14ac:dyDescent="0.15">
      <c r="A121" s="10">
        <f t="shared" si="4"/>
        <v>118</v>
      </c>
      <c r="B121" s="10"/>
      <c r="C121" s="64"/>
      <c r="D121" s="64"/>
      <c r="E121" s="10"/>
      <c r="F121" s="10"/>
      <c r="G121" s="11"/>
      <c r="H121" s="69"/>
      <c r="I121" s="69"/>
      <c r="J121" s="11"/>
      <c r="K121" s="11"/>
      <c r="L121" s="11"/>
      <c r="M121" s="11"/>
    </row>
    <row r="122" spans="1:17" ht="20.100000000000001" customHeight="1" x14ac:dyDescent="0.15">
      <c r="A122" s="10">
        <f t="shared" si="4"/>
        <v>119</v>
      </c>
      <c r="B122" s="10"/>
      <c r="C122" s="64"/>
      <c r="D122" s="64"/>
      <c r="E122" s="10"/>
      <c r="F122" s="10"/>
      <c r="G122" s="11"/>
      <c r="H122" s="69"/>
      <c r="I122" s="69"/>
      <c r="J122" s="11"/>
      <c r="K122" s="11"/>
      <c r="L122" s="11"/>
      <c r="M122" s="11"/>
    </row>
    <row r="123" spans="1:17" ht="20.100000000000001" customHeight="1" x14ac:dyDescent="0.15">
      <c r="A123" s="10">
        <f t="shared" si="4"/>
        <v>120</v>
      </c>
      <c r="B123" s="10"/>
      <c r="C123" s="64"/>
      <c r="D123" s="64"/>
      <c r="E123" s="10"/>
      <c r="F123" s="10"/>
      <c r="G123" s="11"/>
      <c r="H123" s="69"/>
      <c r="I123" s="69"/>
      <c r="J123" s="11"/>
      <c r="K123" s="11"/>
      <c r="L123" s="11"/>
      <c r="M123" s="11"/>
    </row>
    <row r="124" spans="1:17" ht="20.100000000000001" customHeight="1" x14ac:dyDescent="0.15">
      <c r="A124" s="10">
        <f t="shared" si="4"/>
        <v>121</v>
      </c>
      <c r="B124" s="10"/>
      <c r="C124" s="64"/>
      <c r="D124" s="64"/>
      <c r="E124" s="10"/>
      <c r="F124" s="10"/>
      <c r="G124" s="11"/>
      <c r="H124" s="69"/>
      <c r="I124" s="69"/>
      <c r="J124" s="11"/>
      <c r="K124" s="11"/>
      <c r="L124" s="11"/>
      <c r="M124" s="11"/>
    </row>
    <row r="125" spans="1:17" ht="20.100000000000001" customHeight="1" x14ac:dyDescent="0.15">
      <c r="A125" s="10">
        <f t="shared" si="4"/>
        <v>122</v>
      </c>
      <c r="B125" s="10"/>
      <c r="C125" s="64"/>
      <c r="D125" s="64"/>
      <c r="E125" s="10"/>
      <c r="F125" s="10"/>
      <c r="G125" s="11"/>
      <c r="H125" s="69"/>
      <c r="I125" s="69"/>
      <c r="J125" s="11"/>
      <c r="K125" s="11"/>
      <c r="L125" s="11"/>
      <c r="M125" s="11"/>
    </row>
    <row r="126" spans="1:17" ht="20.100000000000001" customHeight="1" x14ac:dyDescent="0.15">
      <c r="A126" s="10">
        <f t="shared" si="4"/>
        <v>123</v>
      </c>
      <c r="B126" s="10"/>
      <c r="C126" s="64"/>
      <c r="D126" s="64"/>
      <c r="E126" s="10"/>
      <c r="F126" s="10"/>
      <c r="G126" s="11"/>
      <c r="H126" s="69"/>
      <c r="I126" s="69"/>
      <c r="J126" s="11"/>
      <c r="K126" s="11"/>
      <c r="L126" s="11"/>
      <c r="M126" s="11"/>
    </row>
    <row r="127" spans="1:17" ht="20.100000000000001" customHeight="1" x14ac:dyDescent="0.15">
      <c r="A127" s="10">
        <f t="shared" si="4"/>
        <v>124</v>
      </c>
      <c r="B127" s="10"/>
      <c r="C127" s="64"/>
      <c r="D127" s="64"/>
      <c r="E127" s="10"/>
      <c r="F127" s="10"/>
      <c r="G127" s="11"/>
      <c r="H127" s="69"/>
      <c r="I127" s="69"/>
      <c r="J127" s="11"/>
      <c r="K127" s="11"/>
      <c r="L127" s="11"/>
      <c r="M127" s="11"/>
    </row>
    <row r="128" spans="1:17" ht="20.100000000000001" customHeight="1" x14ac:dyDescent="0.15">
      <c r="A128" s="10">
        <f t="shared" si="4"/>
        <v>125</v>
      </c>
      <c r="B128" s="10"/>
      <c r="C128" s="64"/>
      <c r="D128" s="64"/>
      <c r="E128" s="10"/>
      <c r="F128" s="10"/>
      <c r="G128" s="11"/>
      <c r="H128" s="69"/>
      <c r="I128" s="69"/>
      <c r="J128" s="11"/>
      <c r="K128" s="11"/>
      <c r="L128" s="11"/>
      <c r="M128" s="11"/>
    </row>
    <row r="129" spans="1:13" ht="20.100000000000001" customHeight="1" x14ac:dyDescent="0.15">
      <c r="A129" s="10">
        <f t="shared" si="4"/>
        <v>126</v>
      </c>
      <c r="B129" s="10"/>
      <c r="C129" s="64"/>
      <c r="D129" s="64"/>
      <c r="E129" s="10"/>
      <c r="F129" s="10"/>
      <c r="G129" s="11"/>
      <c r="H129" s="69"/>
      <c r="I129" s="69"/>
      <c r="J129" s="11"/>
      <c r="K129" s="11"/>
      <c r="L129" s="11"/>
      <c r="M129" s="11"/>
    </row>
    <row r="130" spans="1:13" ht="20.100000000000001" customHeight="1" x14ac:dyDescent="0.15">
      <c r="A130" s="10">
        <f t="shared" si="4"/>
        <v>127</v>
      </c>
      <c r="B130" s="10"/>
      <c r="C130" s="64"/>
      <c r="D130" s="64"/>
      <c r="E130" s="10"/>
      <c r="F130" s="10"/>
      <c r="G130" s="11"/>
      <c r="H130" s="69"/>
      <c r="I130" s="69"/>
      <c r="J130" s="11"/>
      <c r="K130" s="11"/>
      <c r="L130" s="11"/>
      <c r="M130" s="11"/>
    </row>
    <row r="131" spans="1:13" ht="20.100000000000001" customHeight="1" x14ac:dyDescent="0.15">
      <c r="A131" s="10">
        <f t="shared" si="4"/>
        <v>128</v>
      </c>
      <c r="B131" s="10"/>
      <c r="C131" s="64"/>
      <c r="D131" s="64"/>
      <c r="E131" s="10"/>
      <c r="F131" s="10"/>
      <c r="G131" s="11"/>
      <c r="H131" s="69"/>
      <c r="I131" s="69"/>
      <c r="J131" s="11"/>
      <c r="K131" s="11"/>
      <c r="L131" s="11"/>
      <c r="M131" s="11"/>
    </row>
    <row r="132" spans="1:13" ht="20.100000000000001" customHeight="1" x14ac:dyDescent="0.15">
      <c r="A132" s="10">
        <f t="shared" si="4"/>
        <v>129</v>
      </c>
      <c r="B132" s="10"/>
      <c r="C132" s="64"/>
      <c r="D132" s="64"/>
      <c r="E132" s="10"/>
      <c r="F132" s="10"/>
      <c r="G132" s="11"/>
      <c r="H132" s="69"/>
      <c r="I132" s="69"/>
      <c r="J132" s="11"/>
      <c r="K132" s="11"/>
      <c r="L132" s="11"/>
      <c r="M132" s="11"/>
    </row>
    <row r="133" spans="1:13" ht="20.100000000000001" customHeight="1" x14ac:dyDescent="0.15">
      <c r="A133" s="10">
        <f t="shared" ref="A133:A196" si="6">A132+1</f>
        <v>130</v>
      </c>
      <c r="B133" s="10"/>
      <c r="C133" s="64"/>
      <c r="D133" s="64"/>
      <c r="E133" s="10"/>
      <c r="F133" s="10"/>
      <c r="G133" s="11"/>
      <c r="H133" s="69"/>
      <c r="I133" s="69"/>
      <c r="J133" s="11"/>
      <c r="K133" s="11"/>
      <c r="L133" s="11"/>
      <c r="M133" s="11"/>
    </row>
    <row r="134" spans="1:13" ht="20.100000000000001" customHeight="1" x14ac:dyDescent="0.15">
      <c r="A134" s="10">
        <f t="shared" si="6"/>
        <v>131</v>
      </c>
      <c r="B134" s="10"/>
      <c r="C134" s="64"/>
      <c r="D134" s="64"/>
      <c r="E134" s="10"/>
      <c r="F134" s="10"/>
      <c r="G134" s="11"/>
      <c r="H134" s="69"/>
      <c r="I134" s="69"/>
      <c r="J134" s="11"/>
      <c r="K134" s="11"/>
      <c r="L134" s="11"/>
      <c r="M134" s="11"/>
    </row>
    <row r="135" spans="1:13" ht="20.100000000000001" customHeight="1" x14ac:dyDescent="0.15">
      <c r="A135" s="10">
        <f t="shared" si="6"/>
        <v>132</v>
      </c>
      <c r="B135" s="10"/>
      <c r="C135" s="64"/>
      <c r="D135" s="64"/>
      <c r="E135" s="10"/>
      <c r="F135" s="10"/>
      <c r="G135" s="11"/>
      <c r="H135" s="69"/>
      <c r="I135" s="69"/>
      <c r="J135" s="11"/>
      <c r="K135" s="11"/>
      <c r="L135" s="11"/>
      <c r="M135" s="11"/>
    </row>
    <row r="136" spans="1:13" ht="20.100000000000001" customHeight="1" x14ac:dyDescent="0.15">
      <c r="A136" s="10">
        <f t="shared" si="6"/>
        <v>133</v>
      </c>
      <c r="B136" s="10"/>
      <c r="C136" s="64"/>
      <c r="D136" s="64"/>
      <c r="E136" s="10"/>
      <c r="F136" s="10"/>
      <c r="G136" s="11"/>
      <c r="H136" s="69"/>
      <c r="I136" s="69"/>
      <c r="J136" s="11"/>
      <c r="K136" s="11"/>
      <c r="L136" s="11"/>
      <c r="M136" s="11"/>
    </row>
    <row r="137" spans="1:13" ht="20.100000000000001" customHeight="1" x14ac:dyDescent="0.15">
      <c r="A137" s="10">
        <f t="shared" si="6"/>
        <v>134</v>
      </c>
      <c r="B137" s="10"/>
      <c r="C137" s="64"/>
      <c r="D137" s="64"/>
      <c r="E137" s="10"/>
      <c r="F137" s="10"/>
      <c r="G137" s="11"/>
      <c r="H137" s="69"/>
      <c r="I137" s="69"/>
      <c r="J137" s="11"/>
      <c r="K137" s="11"/>
      <c r="L137" s="11"/>
      <c r="M137" s="11"/>
    </row>
    <row r="138" spans="1:13" ht="20.100000000000001" customHeight="1" x14ac:dyDescent="0.15">
      <c r="A138" s="10">
        <f t="shared" si="6"/>
        <v>135</v>
      </c>
      <c r="B138" s="10"/>
      <c r="C138" s="64"/>
      <c r="D138" s="64"/>
      <c r="E138" s="10"/>
      <c r="F138" s="10"/>
      <c r="G138" s="11"/>
      <c r="H138" s="69"/>
      <c r="I138" s="69"/>
      <c r="J138" s="11"/>
      <c r="K138" s="11"/>
      <c r="L138" s="11"/>
      <c r="M138" s="11"/>
    </row>
    <row r="139" spans="1:13" ht="20.100000000000001" customHeight="1" x14ac:dyDescent="0.15">
      <c r="A139" s="10">
        <f t="shared" si="6"/>
        <v>136</v>
      </c>
      <c r="B139" s="10"/>
      <c r="C139" s="64"/>
      <c r="D139" s="64"/>
      <c r="E139" s="10"/>
      <c r="F139" s="10"/>
      <c r="G139" s="11"/>
      <c r="H139" s="69"/>
      <c r="I139" s="69"/>
      <c r="J139" s="11"/>
      <c r="K139" s="11"/>
      <c r="L139" s="11"/>
      <c r="M139" s="11"/>
    </row>
    <row r="140" spans="1:13" ht="20.100000000000001" customHeight="1" x14ac:dyDescent="0.15">
      <c r="A140" s="10">
        <f t="shared" si="6"/>
        <v>137</v>
      </c>
      <c r="B140" s="10"/>
      <c r="C140" s="64"/>
      <c r="D140" s="64"/>
      <c r="E140" s="10"/>
      <c r="F140" s="10"/>
      <c r="G140" s="11"/>
      <c r="H140" s="69"/>
      <c r="I140" s="69"/>
      <c r="J140" s="11"/>
      <c r="K140" s="11"/>
      <c r="L140" s="11"/>
      <c r="M140" s="11"/>
    </row>
    <row r="141" spans="1:13" ht="20.100000000000001" customHeight="1" x14ac:dyDescent="0.15">
      <c r="A141" s="10">
        <f t="shared" si="6"/>
        <v>138</v>
      </c>
      <c r="B141" s="10"/>
      <c r="C141" s="64"/>
      <c r="D141" s="64"/>
      <c r="E141" s="70"/>
      <c r="F141" s="71"/>
      <c r="G141" s="11"/>
      <c r="H141" s="69"/>
      <c r="I141" s="69"/>
      <c r="J141" s="11"/>
      <c r="K141" s="11"/>
      <c r="L141" s="11"/>
      <c r="M141" s="11"/>
    </row>
    <row r="142" spans="1:13" ht="20.100000000000001" customHeight="1" x14ac:dyDescent="0.15">
      <c r="A142" s="10">
        <f t="shared" si="6"/>
        <v>139</v>
      </c>
      <c r="B142" s="10"/>
      <c r="C142" s="64"/>
      <c r="D142" s="64"/>
      <c r="E142" s="10"/>
      <c r="F142" s="10"/>
      <c r="G142" s="11"/>
      <c r="H142" s="69"/>
      <c r="I142" s="69"/>
      <c r="J142" s="11"/>
      <c r="K142" s="11"/>
      <c r="L142" s="11"/>
      <c r="M142" s="11"/>
    </row>
    <row r="143" spans="1:13" ht="20.100000000000001" customHeight="1" x14ac:dyDescent="0.15">
      <c r="A143" s="10">
        <f t="shared" si="6"/>
        <v>140</v>
      </c>
      <c r="B143" s="10"/>
      <c r="C143" s="64"/>
      <c r="D143" s="64"/>
      <c r="E143" s="10"/>
      <c r="F143" s="10"/>
      <c r="G143" s="11"/>
      <c r="H143" s="69"/>
      <c r="I143" s="69"/>
      <c r="J143" s="11"/>
      <c r="K143" s="11"/>
      <c r="L143" s="11"/>
      <c r="M143" s="11"/>
    </row>
    <row r="144" spans="1:13" ht="20.100000000000001" customHeight="1" x14ac:dyDescent="0.15">
      <c r="A144" s="10">
        <f t="shared" si="6"/>
        <v>141</v>
      </c>
      <c r="B144" s="10"/>
      <c r="C144" s="64"/>
      <c r="D144" s="64"/>
      <c r="E144" s="67"/>
      <c r="F144" s="66"/>
      <c r="G144" s="11"/>
      <c r="H144" s="69"/>
      <c r="I144" s="69"/>
      <c r="J144" s="11"/>
      <c r="K144" s="11"/>
      <c r="L144" s="11"/>
      <c r="M144" s="11"/>
    </row>
    <row r="145" spans="1:14" ht="20.100000000000001" customHeight="1" x14ac:dyDescent="0.15">
      <c r="A145" s="10">
        <f t="shared" si="6"/>
        <v>142</v>
      </c>
      <c r="B145" s="10"/>
      <c r="C145" s="64"/>
      <c r="D145" s="64"/>
      <c r="E145" s="67"/>
      <c r="F145" s="66"/>
      <c r="G145" s="11"/>
      <c r="H145" s="69"/>
      <c r="I145" s="69"/>
      <c r="J145" s="11"/>
      <c r="K145" s="11"/>
      <c r="L145" s="11"/>
      <c r="M145" s="11"/>
    </row>
    <row r="146" spans="1:14" ht="20.100000000000001" customHeight="1" x14ac:dyDescent="0.15">
      <c r="A146" s="10">
        <f t="shared" si="6"/>
        <v>143</v>
      </c>
      <c r="B146" s="10"/>
      <c r="C146" s="64"/>
      <c r="D146" s="64"/>
      <c r="E146" s="67"/>
      <c r="F146" s="66"/>
      <c r="G146" s="11"/>
      <c r="H146" s="69"/>
      <c r="I146" s="69"/>
      <c r="J146" s="11"/>
      <c r="K146" s="11"/>
      <c r="L146" s="11"/>
      <c r="M146" s="11"/>
    </row>
    <row r="147" spans="1:14" ht="20.100000000000001" customHeight="1" x14ac:dyDescent="0.15">
      <c r="A147" s="10">
        <f t="shared" si="6"/>
        <v>144</v>
      </c>
      <c r="B147" s="10"/>
      <c r="C147" s="64"/>
      <c r="D147" s="64"/>
      <c r="E147" s="67"/>
      <c r="F147" s="66"/>
      <c r="G147" s="11"/>
      <c r="H147" s="69"/>
      <c r="I147" s="69"/>
      <c r="J147" s="11"/>
      <c r="K147" s="11"/>
      <c r="L147" s="11"/>
      <c r="M147" s="11"/>
    </row>
    <row r="148" spans="1:14" ht="20.100000000000001" customHeight="1" x14ac:dyDescent="0.15">
      <c r="A148" s="10">
        <f t="shared" si="6"/>
        <v>145</v>
      </c>
      <c r="B148" s="10"/>
      <c r="C148" s="64"/>
      <c r="D148" s="64"/>
      <c r="E148" s="67"/>
      <c r="F148" s="66"/>
      <c r="G148" s="11"/>
      <c r="H148" s="69"/>
      <c r="I148" s="69"/>
      <c r="J148" s="11"/>
      <c r="K148" s="11"/>
      <c r="L148" s="11"/>
      <c r="M148" s="11"/>
    </row>
    <row r="149" spans="1:14" ht="20.100000000000001" customHeight="1" x14ac:dyDescent="0.15">
      <c r="A149" s="10">
        <f t="shared" si="6"/>
        <v>146</v>
      </c>
      <c r="B149" s="10"/>
      <c r="C149" s="64"/>
      <c r="D149" s="64"/>
      <c r="E149" s="67"/>
      <c r="F149" s="66"/>
      <c r="G149" s="11"/>
      <c r="H149" s="69"/>
      <c r="I149" s="69"/>
      <c r="J149" s="11"/>
      <c r="K149" s="11"/>
      <c r="L149" s="11"/>
      <c r="M149" s="11"/>
    </row>
    <row r="150" spans="1:14" ht="20.100000000000001" customHeight="1" x14ac:dyDescent="0.15">
      <c r="A150" s="10">
        <f t="shared" si="6"/>
        <v>147</v>
      </c>
      <c r="B150" s="10"/>
      <c r="C150" s="64"/>
      <c r="D150" s="64"/>
      <c r="E150" s="67"/>
      <c r="F150" s="66"/>
      <c r="G150" s="11"/>
      <c r="H150" s="69"/>
      <c r="I150" s="69"/>
      <c r="J150" s="11"/>
      <c r="K150" s="11"/>
      <c r="L150" s="11"/>
      <c r="M150" s="11"/>
    </row>
    <row r="151" spans="1:14" ht="20.100000000000001" customHeight="1" x14ac:dyDescent="0.2">
      <c r="A151" s="10">
        <f t="shared" si="6"/>
        <v>148</v>
      </c>
      <c r="B151" s="10"/>
      <c r="C151" s="64"/>
      <c r="D151" s="64"/>
      <c r="E151" s="68"/>
      <c r="F151" s="66"/>
      <c r="G151" s="11"/>
      <c r="H151" s="69"/>
      <c r="I151" s="69"/>
      <c r="J151" s="11"/>
      <c r="K151" s="11"/>
      <c r="L151" s="11"/>
      <c r="M151" s="11"/>
      <c r="N151" s="15"/>
    </row>
    <row r="152" spans="1:14" ht="20.100000000000001" customHeight="1" x14ac:dyDescent="0.15">
      <c r="A152" s="10">
        <f t="shared" si="6"/>
        <v>149</v>
      </c>
      <c r="B152" s="10"/>
      <c r="C152" s="64"/>
      <c r="D152" s="64"/>
      <c r="E152" s="10"/>
      <c r="F152" s="10"/>
      <c r="G152" s="11"/>
      <c r="H152" s="69"/>
      <c r="I152" s="69"/>
      <c r="J152" s="11"/>
      <c r="K152" s="11"/>
      <c r="L152" s="11"/>
      <c r="M152" s="11"/>
    </row>
    <row r="153" spans="1:14" ht="20.100000000000001" customHeight="1" x14ac:dyDescent="0.15">
      <c r="A153" s="10">
        <f t="shared" si="6"/>
        <v>150</v>
      </c>
      <c r="B153" s="10"/>
      <c r="C153" s="64"/>
      <c r="D153" s="64"/>
      <c r="E153" s="10"/>
      <c r="F153" s="10"/>
      <c r="G153" s="11"/>
      <c r="H153" s="69"/>
      <c r="I153" s="69"/>
      <c r="J153" s="11"/>
      <c r="K153" s="11"/>
      <c r="L153" s="11"/>
      <c r="M153" s="11"/>
    </row>
    <row r="154" spans="1:14" ht="20.100000000000001" customHeight="1" x14ac:dyDescent="0.15">
      <c r="A154" s="10">
        <f t="shared" si="6"/>
        <v>151</v>
      </c>
      <c r="B154" s="10"/>
      <c r="C154" s="64"/>
      <c r="D154" s="64"/>
      <c r="E154" s="10"/>
      <c r="F154" s="10"/>
      <c r="G154" s="11"/>
      <c r="H154" s="69"/>
      <c r="I154" s="69"/>
      <c r="J154" s="11"/>
      <c r="K154" s="11"/>
      <c r="L154" s="11"/>
      <c r="M154" s="11"/>
    </row>
    <row r="155" spans="1:14" ht="20.100000000000001" customHeight="1" x14ac:dyDescent="0.15">
      <c r="A155" s="10">
        <f t="shared" si="6"/>
        <v>152</v>
      </c>
      <c r="B155" s="10"/>
      <c r="C155" s="64"/>
      <c r="D155" s="64"/>
      <c r="E155" s="10"/>
      <c r="F155" s="10"/>
      <c r="G155" s="11"/>
      <c r="H155" s="69"/>
      <c r="I155" s="69"/>
      <c r="J155" s="11"/>
      <c r="K155" s="11"/>
      <c r="L155" s="11"/>
      <c r="M155" s="11"/>
    </row>
    <row r="156" spans="1:14" ht="20.100000000000001" customHeight="1" x14ac:dyDescent="0.15">
      <c r="A156" s="10">
        <f t="shared" si="6"/>
        <v>153</v>
      </c>
      <c r="B156" s="10"/>
      <c r="C156" s="64"/>
      <c r="D156" s="64"/>
      <c r="E156" s="10"/>
      <c r="F156" s="10"/>
      <c r="G156" s="11"/>
      <c r="H156" s="69"/>
      <c r="I156" s="69"/>
      <c r="J156" s="11"/>
      <c r="K156" s="11"/>
      <c r="L156" s="11"/>
      <c r="M156" s="11"/>
    </row>
    <row r="157" spans="1:14" ht="20.100000000000001" customHeight="1" x14ac:dyDescent="0.15">
      <c r="A157" s="10">
        <f t="shared" si="6"/>
        <v>154</v>
      </c>
      <c r="B157" s="10"/>
      <c r="C157" s="64"/>
      <c r="D157" s="64"/>
      <c r="E157" s="10"/>
      <c r="F157" s="10"/>
      <c r="G157" s="11"/>
      <c r="H157" s="69"/>
      <c r="I157" s="69"/>
      <c r="J157" s="11"/>
      <c r="K157" s="11"/>
      <c r="L157" s="11"/>
      <c r="M157" s="11"/>
      <c r="N157" s="15"/>
    </row>
    <row r="158" spans="1:14" ht="20.100000000000001" customHeight="1" x14ac:dyDescent="0.15">
      <c r="A158" s="10">
        <f t="shared" si="6"/>
        <v>155</v>
      </c>
      <c r="B158" s="10"/>
      <c r="C158" s="64"/>
      <c r="D158" s="64"/>
      <c r="E158" s="10"/>
      <c r="F158" s="10"/>
      <c r="G158" s="11"/>
      <c r="H158" s="69"/>
      <c r="I158" s="69"/>
      <c r="J158" s="11"/>
      <c r="K158" s="11"/>
      <c r="L158" s="11"/>
      <c r="M158" s="11"/>
    </row>
    <row r="159" spans="1:14" ht="20.100000000000001" customHeight="1" x14ac:dyDescent="0.15">
      <c r="A159" s="10">
        <f t="shared" si="6"/>
        <v>156</v>
      </c>
      <c r="B159" s="10"/>
      <c r="C159" s="64"/>
      <c r="D159" s="64"/>
      <c r="E159" s="10"/>
      <c r="F159" s="10"/>
      <c r="G159" s="11"/>
      <c r="H159" s="69"/>
      <c r="I159" s="69"/>
      <c r="J159" s="11"/>
      <c r="K159" s="11"/>
      <c r="L159" s="11"/>
      <c r="M159" s="11"/>
    </row>
    <row r="160" spans="1:14" ht="20.100000000000001" customHeight="1" x14ac:dyDescent="0.15">
      <c r="A160" s="10">
        <f t="shared" si="6"/>
        <v>157</v>
      </c>
      <c r="B160" s="10"/>
      <c r="C160" s="64"/>
      <c r="D160" s="64"/>
      <c r="E160" s="10"/>
      <c r="F160" s="10"/>
      <c r="G160" s="11"/>
      <c r="H160" s="69"/>
      <c r="I160" s="69"/>
      <c r="J160" s="11"/>
      <c r="K160" s="11"/>
      <c r="L160" s="11"/>
      <c r="M160" s="11"/>
    </row>
    <row r="161" spans="1:14" ht="20.100000000000001" customHeight="1" x14ac:dyDescent="0.15">
      <c r="A161" s="10">
        <f t="shared" si="6"/>
        <v>158</v>
      </c>
      <c r="B161" s="10"/>
      <c r="C161" s="64"/>
      <c r="D161" s="64"/>
      <c r="E161" s="10"/>
      <c r="F161" s="10"/>
      <c r="G161" s="11"/>
      <c r="H161" s="69"/>
      <c r="I161" s="69"/>
      <c r="J161" s="11"/>
      <c r="K161" s="11"/>
      <c r="L161" s="11"/>
      <c r="M161" s="11"/>
      <c r="N161" s="15"/>
    </row>
    <row r="162" spans="1:14" ht="20.100000000000001" customHeight="1" x14ac:dyDescent="0.15">
      <c r="A162" s="10">
        <f t="shared" si="6"/>
        <v>159</v>
      </c>
      <c r="B162" s="10"/>
      <c r="C162" s="64"/>
      <c r="D162" s="64"/>
      <c r="E162" s="10"/>
      <c r="F162" s="10"/>
      <c r="G162" s="11"/>
      <c r="H162" s="69"/>
      <c r="I162" s="69"/>
      <c r="J162" s="11"/>
      <c r="K162" s="11"/>
      <c r="L162" s="11"/>
      <c r="M162" s="11"/>
    </row>
    <row r="163" spans="1:14" ht="20.100000000000001" customHeight="1" x14ac:dyDescent="0.15">
      <c r="A163" s="10">
        <f t="shared" si="6"/>
        <v>160</v>
      </c>
      <c r="B163" s="10"/>
      <c r="C163" s="64"/>
      <c r="D163" s="64"/>
      <c r="E163" s="10"/>
      <c r="F163" s="10"/>
      <c r="G163" s="11"/>
      <c r="H163" s="69"/>
      <c r="I163" s="69"/>
      <c r="J163" s="11"/>
      <c r="K163" s="11"/>
      <c r="L163" s="11"/>
      <c r="M163" s="11"/>
    </row>
    <row r="164" spans="1:14" ht="20.100000000000001" customHeight="1" x14ac:dyDescent="0.15">
      <c r="A164" s="10">
        <f t="shared" si="6"/>
        <v>161</v>
      </c>
      <c r="B164" s="10"/>
      <c r="C164" s="64"/>
      <c r="D164" s="64"/>
      <c r="E164" s="10"/>
      <c r="F164" s="10"/>
      <c r="G164" s="11"/>
      <c r="H164" s="69"/>
      <c r="I164" s="69"/>
      <c r="J164" s="11"/>
      <c r="K164" s="11"/>
      <c r="L164" s="11"/>
      <c r="M164" s="11"/>
    </row>
    <row r="165" spans="1:14" ht="20.100000000000001" customHeight="1" x14ac:dyDescent="0.15">
      <c r="A165" s="10">
        <f t="shared" si="6"/>
        <v>162</v>
      </c>
      <c r="B165" s="10"/>
      <c r="C165" s="64"/>
      <c r="D165" s="64"/>
      <c r="E165" s="10"/>
      <c r="F165" s="10"/>
      <c r="G165" s="11"/>
      <c r="H165" s="69"/>
      <c r="I165" s="69"/>
      <c r="J165" s="11"/>
      <c r="K165" s="11"/>
      <c r="L165" s="11"/>
      <c r="M165" s="11"/>
    </row>
    <row r="166" spans="1:14" ht="20.100000000000001" customHeight="1" x14ac:dyDescent="0.15">
      <c r="A166" s="10">
        <f t="shared" si="6"/>
        <v>163</v>
      </c>
      <c r="B166" s="10"/>
      <c r="C166" s="64"/>
      <c r="D166" s="64"/>
      <c r="E166" s="10"/>
      <c r="F166" s="10"/>
      <c r="G166" s="11"/>
      <c r="H166" s="69"/>
      <c r="I166" s="69"/>
      <c r="J166" s="11"/>
      <c r="K166" s="11"/>
      <c r="L166" s="11"/>
      <c r="M166" s="11"/>
      <c r="N166" s="15"/>
    </row>
    <row r="167" spans="1:14" ht="20.100000000000001" customHeight="1" x14ac:dyDescent="0.15">
      <c r="A167" s="10">
        <f t="shared" si="6"/>
        <v>164</v>
      </c>
      <c r="B167" s="10"/>
      <c r="C167" s="64"/>
      <c r="D167" s="64"/>
      <c r="E167" s="10"/>
      <c r="F167" s="10"/>
      <c r="G167" s="11"/>
      <c r="H167" s="69"/>
      <c r="I167" s="69"/>
      <c r="J167" s="11"/>
      <c r="K167" s="11"/>
      <c r="L167" s="11"/>
      <c r="M167" s="11"/>
    </row>
    <row r="168" spans="1:14" ht="20.100000000000001" customHeight="1" x14ac:dyDescent="0.15">
      <c r="A168" s="10">
        <f t="shared" si="6"/>
        <v>165</v>
      </c>
      <c r="B168" s="10"/>
      <c r="C168" s="64"/>
      <c r="D168" s="64"/>
      <c r="E168" s="10"/>
      <c r="F168" s="10"/>
      <c r="G168" s="11"/>
      <c r="H168" s="69"/>
      <c r="I168" s="69"/>
      <c r="J168" s="11"/>
      <c r="K168" s="11"/>
      <c r="L168" s="11"/>
      <c r="M168" s="11"/>
    </row>
    <row r="169" spans="1:14" ht="20.100000000000001" customHeight="1" x14ac:dyDescent="0.15">
      <c r="A169" s="10">
        <f t="shared" si="6"/>
        <v>166</v>
      </c>
      <c r="B169" s="10"/>
      <c r="C169" s="64"/>
      <c r="D169" s="64"/>
      <c r="E169" s="10"/>
      <c r="F169" s="10"/>
      <c r="G169" s="11"/>
      <c r="H169" s="69"/>
      <c r="I169" s="69"/>
      <c r="J169" s="11"/>
      <c r="K169" s="11"/>
      <c r="L169" s="11"/>
      <c r="M169" s="11"/>
    </row>
    <row r="170" spans="1:14" ht="20.100000000000001" customHeight="1" x14ac:dyDescent="0.15">
      <c r="A170" s="10">
        <f t="shared" si="6"/>
        <v>167</v>
      </c>
      <c r="B170" s="10"/>
      <c r="C170" s="64"/>
      <c r="D170" s="64"/>
      <c r="E170" s="10"/>
      <c r="F170" s="10"/>
      <c r="G170" s="11"/>
      <c r="H170" s="69"/>
      <c r="I170" s="69"/>
      <c r="J170" s="11"/>
      <c r="K170" s="11"/>
      <c r="L170" s="11"/>
      <c r="M170" s="11"/>
    </row>
    <row r="171" spans="1:14" ht="20.100000000000001" customHeight="1" x14ac:dyDescent="0.15">
      <c r="A171" s="10">
        <f t="shared" si="6"/>
        <v>168</v>
      </c>
      <c r="B171" s="10"/>
      <c r="C171" s="64"/>
      <c r="D171" s="64"/>
      <c r="E171" s="10"/>
      <c r="F171" s="10"/>
      <c r="G171" s="11"/>
      <c r="H171" s="69"/>
      <c r="I171" s="69"/>
      <c r="J171" s="11"/>
      <c r="K171" s="11"/>
      <c r="L171" s="11"/>
      <c r="M171" s="11"/>
    </row>
    <row r="172" spans="1:14" ht="20.100000000000001" customHeight="1" x14ac:dyDescent="0.15">
      <c r="A172" s="10">
        <f t="shared" si="6"/>
        <v>169</v>
      </c>
      <c r="B172" s="10"/>
      <c r="C172" s="64"/>
      <c r="D172" s="64"/>
      <c r="E172" s="10"/>
      <c r="F172" s="10"/>
      <c r="G172" s="11"/>
      <c r="H172" s="69"/>
      <c r="I172" s="69"/>
      <c r="J172" s="11"/>
      <c r="K172" s="11"/>
      <c r="L172" s="11"/>
      <c r="M172" s="11"/>
    </row>
    <row r="173" spans="1:14" ht="20.100000000000001" customHeight="1" x14ac:dyDescent="0.15">
      <c r="A173" s="10">
        <f t="shared" si="6"/>
        <v>170</v>
      </c>
      <c r="B173" s="10"/>
      <c r="C173" s="64"/>
      <c r="D173" s="64"/>
      <c r="E173" s="10"/>
      <c r="F173" s="10"/>
      <c r="G173" s="11"/>
      <c r="H173" s="69"/>
      <c r="I173" s="69"/>
      <c r="J173" s="11"/>
      <c r="K173" s="11"/>
      <c r="L173" s="11"/>
      <c r="M173" s="11"/>
    </row>
    <row r="174" spans="1:14" ht="20.100000000000001" customHeight="1" x14ac:dyDescent="0.15">
      <c r="A174" s="10">
        <f t="shared" si="6"/>
        <v>171</v>
      </c>
      <c r="B174" s="10"/>
      <c r="C174" s="64"/>
      <c r="D174" s="64"/>
      <c r="E174" s="10"/>
      <c r="F174" s="10"/>
      <c r="G174" s="11"/>
      <c r="H174" s="69"/>
      <c r="I174" s="69"/>
      <c r="J174" s="11"/>
      <c r="K174" s="11"/>
      <c r="L174" s="11"/>
      <c r="M174" s="11"/>
      <c r="N174" s="15"/>
    </row>
    <row r="175" spans="1:14" ht="20.100000000000001" customHeight="1" x14ac:dyDescent="0.15">
      <c r="A175" s="10">
        <f t="shared" si="6"/>
        <v>172</v>
      </c>
      <c r="B175" s="10"/>
      <c r="C175" s="64"/>
      <c r="D175" s="64"/>
      <c r="E175" s="10"/>
      <c r="F175" s="10"/>
      <c r="G175" s="11"/>
      <c r="H175" s="69"/>
      <c r="I175" s="69"/>
      <c r="J175" s="11"/>
      <c r="K175" s="11"/>
      <c r="L175" s="11"/>
      <c r="M175" s="11"/>
    </row>
    <row r="176" spans="1:14" ht="20.100000000000001" customHeight="1" x14ac:dyDescent="0.15">
      <c r="A176" s="10">
        <f t="shared" si="6"/>
        <v>173</v>
      </c>
      <c r="B176" s="10"/>
      <c r="C176" s="64"/>
      <c r="D176" s="64"/>
      <c r="E176" s="10"/>
      <c r="F176" s="10"/>
      <c r="G176" s="11"/>
      <c r="H176" s="69"/>
      <c r="I176" s="69"/>
      <c r="J176" s="11"/>
      <c r="K176" s="11"/>
      <c r="L176" s="11"/>
      <c r="M176" s="11"/>
      <c r="N176" s="15"/>
    </row>
    <row r="177" spans="1:14" ht="20.100000000000001" customHeight="1" x14ac:dyDescent="0.15">
      <c r="A177" s="10">
        <f t="shared" si="6"/>
        <v>174</v>
      </c>
      <c r="B177" s="10"/>
      <c r="C177" s="64"/>
      <c r="D177" s="64"/>
      <c r="E177" s="10"/>
      <c r="F177" s="10"/>
      <c r="G177" s="11"/>
      <c r="H177" s="69"/>
      <c r="I177" s="69"/>
      <c r="J177" s="11"/>
      <c r="K177" s="11"/>
      <c r="L177" s="11"/>
      <c r="M177" s="11"/>
    </row>
    <row r="178" spans="1:14" ht="20.100000000000001" customHeight="1" x14ac:dyDescent="0.15">
      <c r="A178" s="10">
        <f t="shared" si="6"/>
        <v>175</v>
      </c>
      <c r="B178" s="10"/>
      <c r="C178" s="64"/>
      <c r="D178" s="64"/>
      <c r="E178" s="10"/>
      <c r="F178" s="10"/>
      <c r="G178" s="11"/>
      <c r="H178" s="69"/>
      <c r="I178" s="69"/>
      <c r="J178" s="11"/>
      <c r="K178" s="11"/>
      <c r="L178" s="11"/>
      <c r="M178" s="11"/>
    </row>
    <row r="179" spans="1:14" ht="20.100000000000001" customHeight="1" x14ac:dyDescent="0.15">
      <c r="A179" s="10">
        <f t="shared" si="6"/>
        <v>176</v>
      </c>
      <c r="B179" s="10"/>
      <c r="C179" s="64"/>
      <c r="D179" s="64"/>
      <c r="E179" s="10"/>
      <c r="F179" s="10"/>
      <c r="G179" s="11"/>
      <c r="H179" s="69"/>
      <c r="I179" s="69"/>
      <c r="J179" s="11"/>
      <c r="K179" s="11"/>
      <c r="L179" s="11"/>
      <c r="M179" s="11"/>
      <c r="N179" s="9" t="s">
        <v>271</v>
      </c>
    </row>
    <row r="180" spans="1:14" ht="20.100000000000001" customHeight="1" x14ac:dyDescent="0.15">
      <c r="A180" s="10">
        <f t="shared" si="6"/>
        <v>177</v>
      </c>
      <c r="B180" s="10"/>
      <c r="C180" s="64"/>
      <c r="D180" s="64"/>
      <c r="E180" s="10"/>
      <c r="F180" s="10"/>
      <c r="G180" s="11"/>
      <c r="H180" s="69"/>
      <c r="I180" s="69"/>
      <c r="J180" s="11"/>
      <c r="K180" s="11"/>
      <c r="L180" s="11"/>
      <c r="M180" s="11"/>
    </row>
    <row r="181" spans="1:14" s="72" customFormat="1" ht="20.100000000000001" customHeight="1" x14ac:dyDescent="0.15">
      <c r="A181" s="10">
        <f t="shared" si="6"/>
        <v>178</v>
      </c>
      <c r="B181" s="10"/>
      <c r="C181" s="64"/>
      <c r="D181" s="64"/>
      <c r="E181" s="10"/>
      <c r="F181" s="10"/>
      <c r="G181" s="11"/>
      <c r="H181" s="69"/>
      <c r="I181" s="69"/>
      <c r="J181" s="11"/>
      <c r="K181" s="11"/>
      <c r="L181" s="11"/>
      <c r="M181" s="11"/>
    </row>
    <row r="182" spans="1:14" ht="20.100000000000001" customHeight="1" x14ac:dyDescent="0.15">
      <c r="A182" s="10">
        <f t="shared" si="6"/>
        <v>179</v>
      </c>
      <c r="B182" s="10"/>
      <c r="C182" s="64"/>
      <c r="D182" s="64"/>
      <c r="E182" s="10"/>
      <c r="F182" s="10"/>
      <c r="G182" s="11"/>
      <c r="H182" s="69"/>
      <c r="I182" s="69"/>
      <c r="J182" s="11"/>
      <c r="K182" s="11"/>
      <c r="L182" s="11"/>
      <c r="M182" s="11"/>
    </row>
    <row r="183" spans="1:14" ht="20.100000000000001" customHeight="1" x14ac:dyDescent="0.15">
      <c r="A183" s="10">
        <f t="shared" si="6"/>
        <v>180</v>
      </c>
      <c r="B183" s="10"/>
      <c r="C183" s="64"/>
      <c r="D183" s="64"/>
      <c r="E183" s="10"/>
      <c r="F183" s="10"/>
      <c r="G183" s="11"/>
      <c r="H183" s="69"/>
      <c r="I183" s="69"/>
      <c r="J183" s="11"/>
      <c r="K183" s="11"/>
      <c r="L183" s="11"/>
      <c r="M183" s="11"/>
    </row>
    <row r="184" spans="1:14" ht="20.100000000000001" customHeight="1" x14ac:dyDescent="0.15">
      <c r="A184" s="10">
        <f t="shared" si="6"/>
        <v>181</v>
      </c>
      <c r="B184" s="10"/>
      <c r="C184" s="64"/>
      <c r="D184" s="64"/>
      <c r="E184" s="10"/>
      <c r="F184" s="10"/>
      <c r="G184" s="11"/>
      <c r="H184" s="69"/>
      <c r="I184" s="69"/>
      <c r="J184" s="11"/>
      <c r="K184" s="11"/>
      <c r="L184" s="11"/>
      <c r="M184" s="11"/>
    </row>
    <row r="185" spans="1:14" ht="20.100000000000001" customHeight="1" x14ac:dyDescent="0.15">
      <c r="A185" s="10">
        <f t="shared" si="6"/>
        <v>182</v>
      </c>
      <c r="B185" s="10"/>
      <c r="C185" s="64"/>
      <c r="D185" s="64"/>
      <c r="E185" s="10"/>
      <c r="F185" s="10"/>
      <c r="G185" s="11"/>
      <c r="H185" s="69"/>
      <c r="I185" s="69"/>
      <c r="J185" s="11"/>
      <c r="K185" s="11"/>
      <c r="L185" s="11"/>
      <c r="M185" s="11"/>
    </row>
    <row r="186" spans="1:14" ht="20.100000000000001" customHeight="1" x14ac:dyDescent="0.15">
      <c r="A186" s="10">
        <f t="shared" si="6"/>
        <v>183</v>
      </c>
      <c r="B186" s="10"/>
      <c r="C186" s="64"/>
      <c r="D186" s="64"/>
      <c r="E186" s="10"/>
      <c r="F186" s="10"/>
      <c r="G186" s="11"/>
      <c r="H186" s="69"/>
      <c r="I186" s="69"/>
      <c r="J186" s="11"/>
      <c r="K186" s="11"/>
      <c r="L186" s="11"/>
      <c r="M186" s="11"/>
    </row>
    <row r="187" spans="1:14" ht="20.100000000000001" customHeight="1" x14ac:dyDescent="0.15">
      <c r="A187" s="10">
        <f t="shared" si="6"/>
        <v>184</v>
      </c>
      <c r="B187" s="10"/>
      <c r="C187" s="64"/>
      <c r="D187" s="64"/>
      <c r="E187" s="10"/>
      <c r="F187" s="10"/>
      <c r="G187" s="11"/>
      <c r="H187" s="69"/>
      <c r="I187" s="69"/>
      <c r="J187" s="11"/>
      <c r="K187" s="11"/>
      <c r="L187" s="11"/>
      <c r="M187" s="11"/>
    </row>
    <row r="188" spans="1:14" ht="20.100000000000001" customHeight="1" x14ac:dyDescent="0.15">
      <c r="A188" s="10">
        <f t="shared" si="6"/>
        <v>185</v>
      </c>
      <c r="B188" s="10"/>
      <c r="C188" s="64"/>
      <c r="D188" s="64"/>
      <c r="E188" s="10"/>
      <c r="F188" s="10"/>
      <c r="G188" s="11"/>
      <c r="H188" s="69"/>
      <c r="I188" s="69"/>
      <c r="J188" s="11"/>
      <c r="K188" s="11"/>
      <c r="L188" s="11"/>
      <c r="M188" s="11"/>
      <c r="N188" s="9" t="s">
        <v>271</v>
      </c>
    </row>
    <row r="189" spans="1:14" ht="20.100000000000001" customHeight="1" x14ac:dyDescent="0.15">
      <c r="A189" s="10">
        <f t="shared" si="6"/>
        <v>186</v>
      </c>
      <c r="B189" s="10"/>
      <c r="C189" s="64"/>
      <c r="D189" s="64"/>
      <c r="E189" s="10"/>
      <c r="F189" s="10"/>
      <c r="G189" s="11"/>
      <c r="H189" s="69"/>
      <c r="I189" s="69"/>
      <c r="J189" s="11"/>
      <c r="K189" s="11"/>
      <c r="L189" s="11"/>
      <c r="M189" s="11"/>
    </row>
    <row r="190" spans="1:14" ht="20.100000000000001" customHeight="1" x14ac:dyDescent="0.15">
      <c r="A190" s="10">
        <f t="shared" si="6"/>
        <v>187</v>
      </c>
      <c r="B190" s="10"/>
      <c r="C190" s="64"/>
      <c r="D190" s="64"/>
      <c r="E190" s="10"/>
      <c r="F190" s="10"/>
      <c r="G190" s="11"/>
      <c r="H190" s="69"/>
      <c r="I190" s="69"/>
      <c r="J190" s="11"/>
      <c r="K190" s="11"/>
      <c r="L190" s="11"/>
      <c r="M190" s="11"/>
    </row>
    <row r="191" spans="1:14" ht="20.100000000000001" customHeight="1" x14ac:dyDescent="0.15">
      <c r="A191" s="10">
        <f t="shared" si="6"/>
        <v>188</v>
      </c>
      <c r="B191" s="10"/>
      <c r="C191" s="64"/>
      <c r="D191" s="64"/>
      <c r="E191" s="10"/>
      <c r="F191" s="10"/>
      <c r="G191" s="11"/>
      <c r="H191" s="69"/>
      <c r="I191" s="69"/>
      <c r="J191" s="11"/>
      <c r="K191" s="11"/>
      <c r="L191" s="11"/>
      <c r="M191" s="11"/>
    </row>
    <row r="192" spans="1:14" ht="20.100000000000001" customHeight="1" x14ac:dyDescent="0.15">
      <c r="A192" s="10">
        <f t="shared" si="6"/>
        <v>189</v>
      </c>
      <c r="B192" s="10"/>
      <c r="C192" s="64"/>
      <c r="D192" s="64"/>
      <c r="E192" s="10"/>
      <c r="F192" s="10"/>
      <c r="G192" s="11"/>
      <c r="H192" s="69"/>
      <c r="I192" s="69"/>
      <c r="J192" s="11"/>
      <c r="K192" s="11"/>
      <c r="L192" s="11"/>
      <c r="M192" s="11"/>
    </row>
    <row r="193" spans="1:18" ht="20.100000000000001" customHeight="1" x14ac:dyDescent="0.15">
      <c r="A193" s="10">
        <f t="shared" si="6"/>
        <v>190</v>
      </c>
      <c r="B193" s="10"/>
      <c r="C193" s="64"/>
      <c r="D193" s="64"/>
      <c r="E193" s="10"/>
      <c r="F193" s="10"/>
      <c r="G193" s="11"/>
      <c r="H193" s="69"/>
      <c r="I193" s="69"/>
      <c r="J193" s="11"/>
      <c r="K193" s="11"/>
      <c r="L193" s="11"/>
      <c r="M193" s="11"/>
    </row>
    <row r="194" spans="1:18" ht="20.100000000000001" customHeight="1" x14ac:dyDescent="0.15">
      <c r="A194" s="10">
        <f t="shared" si="6"/>
        <v>191</v>
      </c>
      <c r="B194" s="10"/>
      <c r="C194" s="64"/>
      <c r="D194" s="64"/>
      <c r="E194" s="10"/>
      <c r="F194" s="10"/>
      <c r="G194" s="11"/>
      <c r="H194" s="69"/>
      <c r="I194" s="69"/>
      <c r="J194" s="11"/>
      <c r="K194" s="11"/>
      <c r="L194" s="11"/>
      <c r="M194" s="11"/>
    </row>
    <row r="195" spans="1:18" ht="20.100000000000001" customHeight="1" x14ac:dyDescent="0.15">
      <c r="A195" s="10">
        <f t="shared" si="6"/>
        <v>192</v>
      </c>
      <c r="B195" s="10"/>
      <c r="C195" s="64"/>
      <c r="D195" s="64"/>
      <c r="E195" s="10"/>
      <c r="F195" s="10"/>
      <c r="G195" s="11"/>
      <c r="H195" s="69"/>
      <c r="I195" s="69"/>
      <c r="J195" s="11"/>
      <c r="K195" s="11"/>
      <c r="L195" s="11"/>
      <c r="M195" s="11"/>
      <c r="N195" s="15"/>
    </row>
    <row r="196" spans="1:18" ht="20.100000000000001" customHeight="1" x14ac:dyDescent="0.15">
      <c r="A196" s="221">
        <f t="shared" si="6"/>
        <v>193</v>
      </c>
      <c r="B196" s="221"/>
      <c r="C196" s="222"/>
      <c r="D196" s="222"/>
      <c r="E196" s="221"/>
      <c r="F196" s="221"/>
      <c r="G196" s="223"/>
      <c r="H196" s="224"/>
      <c r="I196" s="224"/>
      <c r="J196" s="223"/>
      <c r="K196" s="223"/>
      <c r="L196" s="223"/>
      <c r="M196" s="223"/>
      <c r="N196" s="57">
        <v>45541</v>
      </c>
    </row>
    <row r="197" spans="1:18" ht="20.100000000000001" customHeight="1" x14ac:dyDescent="0.15">
      <c r="A197" s="10">
        <f t="shared" ref="A197:A260" si="7">A196+1</f>
        <v>194</v>
      </c>
      <c r="B197" s="10"/>
      <c r="C197" s="64"/>
      <c r="D197" s="64"/>
      <c r="E197" s="10"/>
      <c r="F197" s="10"/>
      <c r="G197" s="11"/>
      <c r="H197" s="69"/>
      <c r="I197" s="69"/>
      <c r="J197" s="11"/>
      <c r="K197" s="11"/>
      <c r="L197" s="11"/>
      <c r="M197" s="11"/>
    </row>
    <row r="198" spans="1:18" ht="20.100000000000001" customHeight="1" x14ac:dyDescent="0.15">
      <c r="A198" s="10">
        <f t="shared" si="7"/>
        <v>195</v>
      </c>
      <c r="B198" s="10"/>
      <c r="C198" s="64"/>
      <c r="D198" s="64"/>
      <c r="F198" s="10"/>
      <c r="G198" s="11"/>
      <c r="H198" s="69"/>
      <c r="I198" s="69"/>
      <c r="J198" s="11"/>
      <c r="K198" s="11"/>
      <c r="L198" s="11"/>
      <c r="M198" s="11"/>
    </row>
    <row r="199" spans="1:18" ht="20.100000000000001" customHeight="1" x14ac:dyDescent="0.15">
      <c r="A199" s="10">
        <f t="shared" si="7"/>
        <v>196</v>
      </c>
      <c r="B199" s="10"/>
      <c r="C199" s="64"/>
      <c r="D199" s="64"/>
      <c r="E199" s="10"/>
      <c r="F199" s="10"/>
      <c r="G199" s="11"/>
      <c r="H199" s="69"/>
      <c r="I199" s="69"/>
      <c r="J199" s="11"/>
      <c r="K199" s="11"/>
      <c r="L199" s="11"/>
      <c r="M199" s="11"/>
    </row>
    <row r="200" spans="1:18" ht="20.100000000000001" customHeight="1" x14ac:dyDescent="0.15">
      <c r="A200" s="10">
        <f t="shared" si="7"/>
        <v>197</v>
      </c>
      <c r="B200" s="10"/>
      <c r="C200" s="64"/>
      <c r="D200" s="64"/>
      <c r="E200" s="10"/>
      <c r="F200" s="10"/>
      <c r="G200" s="11"/>
      <c r="H200" s="69"/>
      <c r="I200" s="69"/>
      <c r="J200" s="11"/>
      <c r="K200" s="11"/>
      <c r="L200" s="11"/>
      <c r="M200" s="11"/>
    </row>
    <row r="201" spans="1:18" ht="20.100000000000001" customHeight="1" x14ac:dyDescent="0.15">
      <c r="A201" s="10">
        <f t="shared" si="7"/>
        <v>198</v>
      </c>
      <c r="B201" s="10"/>
      <c r="C201" s="64"/>
      <c r="D201" s="64"/>
      <c r="E201" s="10"/>
      <c r="F201" s="10"/>
      <c r="G201" s="11"/>
      <c r="H201" s="69"/>
      <c r="I201" s="69"/>
      <c r="J201" s="11"/>
      <c r="K201" s="11"/>
      <c r="L201" s="11"/>
      <c r="M201" s="11"/>
    </row>
    <row r="202" spans="1:18" ht="20.100000000000001" customHeight="1" x14ac:dyDescent="0.15">
      <c r="A202" s="10">
        <f t="shared" si="7"/>
        <v>199</v>
      </c>
      <c r="B202" s="10"/>
      <c r="C202" s="64"/>
      <c r="D202" s="64"/>
      <c r="E202" s="10"/>
      <c r="F202" s="10"/>
      <c r="G202" s="11"/>
      <c r="H202" s="69"/>
      <c r="I202" s="69"/>
      <c r="J202" s="11"/>
      <c r="K202" s="11"/>
      <c r="L202" s="11"/>
      <c r="M202" s="11"/>
    </row>
    <row r="203" spans="1:18" ht="20.100000000000001" customHeight="1" x14ac:dyDescent="0.15">
      <c r="A203" s="10">
        <f t="shared" si="7"/>
        <v>200</v>
      </c>
      <c r="B203" s="10"/>
      <c r="C203" s="64"/>
      <c r="D203" s="64"/>
      <c r="E203" s="10"/>
      <c r="F203" s="10"/>
      <c r="G203" s="11"/>
      <c r="H203" s="69"/>
      <c r="I203" s="69"/>
      <c r="J203" s="11"/>
      <c r="K203" s="11"/>
      <c r="L203" s="11"/>
      <c r="M203" s="11"/>
    </row>
    <row r="204" spans="1:18" ht="20.100000000000001" customHeight="1" x14ac:dyDescent="0.15">
      <c r="A204" s="10">
        <f t="shared" si="7"/>
        <v>201</v>
      </c>
      <c r="B204" s="10"/>
      <c r="C204" s="64"/>
      <c r="D204" s="64"/>
      <c r="E204" s="10"/>
      <c r="F204" s="10"/>
      <c r="G204" s="11"/>
      <c r="H204" s="69"/>
      <c r="I204" s="69"/>
      <c r="J204" s="11"/>
      <c r="K204" s="11"/>
      <c r="L204" s="11"/>
      <c r="M204" s="11"/>
    </row>
    <row r="205" spans="1:18" ht="20.100000000000001" customHeight="1" x14ac:dyDescent="0.15">
      <c r="A205" s="10">
        <f t="shared" si="7"/>
        <v>202</v>
      </c>
      <c r="B205" s="10"/>
      <c r="C205" s="64"/>
      <c r="D205" s="64"/>
      <c r="E205" s="10"/>
      <c r="F205" s="10"/>
      <c r="G205" s="11"/>
      <c r="H205" s="69"/>
      <c r="I205" s="69"/>
      <c r="J205" s="11"/>
      <c r="K205" s="11"/>
      <c r="L205" s="11"/>
      <c r="M205" s="11"/>
    </row>
    <row r="206" spans="1:18" ht="20.100000000000001" customHeight="1" x14ac:dyDescent="0.15">
      <c r="A206" s="10">
        <f t="shared" si="7"/>
        <v>203</v>
      </c>
      <c r="B206" s="10"/>
      <c r="C206" s="64"/>
      <c r="D206" s="64"/>
      <c r="E206" s="10"/>
      <c r="F206" s="10"/>
      <c r="G206" s="11"/>
      <c r="H206" s="69"/>
      <c r="I206" s="69"/>
      <c r="J206" s="11"/>
      <c r="K206" s="11"/>
      <c r="L206" s="11"/>
      <c r="M206" s="11"/>
    </row>
    <row r="207" spans="1:18" ht="20.100000000000001" customHeight="1" x14ac:dyDescent="0.15">
      <c r="A207" s="10">
        <f t="shared" si="7"/>
        <v>204</v>
      </c>
      <c r="B207" s="10"/>
      <c r="C207" s="64"/>
      <c r="D207" s="64"/>
      <c r="E207" s="10"/>
      <c r="F207" s="10"/>
      <c r="G207" s="11"/>
      <c r="H207" s="69"/>
      <c r="I207" s="69"/>
      <c r="J207" s="11"/>
      <c r="K207" s="11"/>
      <c r="L207" s="11"/>
      <c r="M207" s="11"/>
      <c r="R207" s="9" t="b">
        <f t="shared" ref="R207:R225" si="8">P207=E207</f>
        <v>1</v>
      </c>
    </row>
    <row r="208" spans="1:18" ht="20.100000000000001" customHeight="1" x14ac:dyDescent="0.15">
      <c r="A208" s="10">
        <f t="shared" si="7"/>
        <v>205</v>
      </c>
      <c r="B208" s="10"/>
      <c r="C208" s="64"/>
      <c r="D208" s="64"/>
      <c r="E208" s="10"/>
      <c r="F208" s="10"/>
      <c r="G208" s="11"/>
      <c r="H208" s="69"/>
      <c r="I208" s="69"/>
      <c r="J208" s="11"/>
      <c r="K208" s="11"/>
      <c r="L208" s="11"/>
      <c r="M208" s="11"/>
      <c r="R208" s="9" t="b">
        <f t="shared" si="8"/>
        <v>1</v>
      </c>
    </row>
    <row r="209" spans="1:18" ht="20.100000000000001" customHeight="1" x14ac:dyDescent="0.15">
      <c r="A209" s="10">
        <f t="shared" si="7"/>
        <v>206</v>
      </c>
      <c r="B209" s="10"/>
      <c r="C209" s="64"/>
      <c r="D209" s="64"/>
      <c r="E209" s="10"/>
      <c r="F209" s="10"/>
      <c r="G209" s="11"/>
      <c r="H209" s="69"/>
      <c r="I209" s="69"/>
      <c r="J209" s="11"/>
      <c r="K209" s="11"/>
      <c r="L209" s="11"/>
      <c r="M209" s="11"/>
      <c r="R209" s="9" t="b">
        <f t="shared" si="8"/>
        <v>1</v>
      </c>
    </row>
    <row r="210" spans="1:18" ht="20.100000000000001" customHeight="1" x14ac:dyDescent="0.15">
      <c r="A210" s="10">
        <f t="shared" si="7"/>
        <v>207</v>
      </c>
      <c r="B210" s="10"/>
      <c r="C210" s="226"/>
      <c r="D210" s="226"/>
      <c r="E210" s="10"/>
      <c r="F210" s="10"/>
      <c r="G210" s="11"/>
      <c r="H210" s="69"/>
      <c r="I210" s="69"/>
      <c r="K210" s="11"/>
      <c r="L210" s="11"/>
      <c r="M210" s="11"/>
      <c r="N210" s="11" t="s">
        <v>343</v>
      </c>
      <c r="R210" s="9" t="b">
        <f t="shared" si="8"/>
        <v>1</v>
      </c>
    </row>
    <row r="211" spans="1:18" ht="20.100000000000001" customHeight="1" x14ac:dyDescent="0.15">
      <c r="A211" s="10">
        <f t="shared" si="7"/>
        <v>208</v>
      </c>
      <c r="B211" s="10"/>
      <c r="C211" s="64"/>
      <c r="D211" s="64"/>
      <c r="E211" s="10"/>
      <c r="F211" s="10"/>
      <c r="G211" s="11"/>
      <c r="H211" s="69"/>
      <c r="I211" s="69"/>
      <c r="J211" s="11"/>
      <c r="K211" s="11"/>
      <c r="L211" s="11"/>
      <c r="M211" s="11"/>
      <c r="R211" s="9" t="b">
        <f t="shared" si="8"/>
        <v>1</v>
      </c>
    </row>
    <row r="212" spans="1:18" ht="20.100000000000001" customHeight="1" x14ac:dyDescent="0.15">
      <c r="A212" s="10">
        <f t="shared" si="7"/>
        <v>209</v>
      </c>
      <c r="B212" s="10"/>
      <c r="C212" s="64"/>
      <c r="D212" s="64"/>
      <c r="E212" s="10"/>
      <c r="F212" s="10"/>
      <c r="G212" s="11"/>
      <c r="H212" s="69"/>
      <c r="I212" s="69"/>
      <c r="J212" s="11"/>
      <c r="K212" s="11"/>
      <c r="L212" s="11"/>
      <c r="M212" s="11"/>
      <c r="R212" s="9" t="b">
        <f t="shared" si="8"/>
        <v>1</v>
      </c>
    </row>
    <row r="213" spans="1:18" ht="20.100000000000001" customHeight="1" x14ac:dyDescent="0.15">
      <c r="A213" s="10">
        <f t="shared" si="7"/>
        <v>210</v>
      </c>
      <c r="B213" s="10"/>
      <c r="C213" s="64"/>
      <c r="D213" s="64"/>
      <c r="E213" s="10"/>
      <c r="F213" s="10"/>
      <c r="G213" s="11"/>
      <c r="H213" s="69"/>
      <c r="I213" s="69"/>
      <c r="J213" s="11"/>
      <c r="K213" s="11"/>
      <c r="L213" s="11"/>
      <c r="M213" s="11"/>
      <c r="N213" s="9" t="s">
        <v>265</v>
      </c>
      <c r="O213" s="9" t="s">
        <v>266</v>
      </c>
      <c r="R213" s="9" t="b">
        <f t="shared" si="8"/>
        <v>1</v>
      </c>
    </row>
    <row r="214" spans="1:18" ht="20.100000000000001" customHeight="1" x14ac:dyDescent="0.15">
      <c r="A214" s="10">
        <f t="shared" si="7"/>
        <v>211</v>
      </c>
      <c r="B214" s="10"/>
      <c r="C214" s="64"/>
      <c r="D214" s="64"/>
      <c r="E214" s="10"/>
      <c r="F214" s="10"/>
      <c r="G214" s="11"/>
      <c r="H214" s="69"/>
      <c r="I214" s="69"/>
      <c r="J214" s="11"/>
      <c r="K214" s="11"/>
      <c r="L214" s="11"/>
      <c r="M214" s="11"/>
      <c r="R214" s="9" t="b">
        <f t="shared" si="8"/>
        <v>1</v>
      </c>
    </row>
    <row r="215" spans="1:18" ht="20.100000000000001" customHeight="1" x14ac:dyDescent="0.15">
      <c r="A215" s="10">
        <f t="shared" si="7"/>
        <v>212</v>
      </c>
      <c r="B215" s="10"/>
      <c r="C215" s="64"/>
      <c r="D215" s="64"/>
      <c r="E215" s="10"/>
      <c r="F215" s="10"/>
      <c r="G215" s="11"/>
      <c r="H215" s="69"/>
      <c r="I215" s="69"/>
      <c r="J215" s="11"/>
      <c r="K215" s="11"/>
      <c r="L215" s="11"/>
      <c r="M215" s="11"/>
      <c r="R215" s="9" t="b">
        <f t="shared" si="8"/>
        <v>1</v>
      </c>
    </row>
    <row r="216" spans="1:18" ht="20.100000000000001" customHeight="1" x14ac:dyDescent="0.15">
      <c r="A216" s="10">
        <f t="shared" si="7"/>
        <v>213</v>
      </c>
      <c r="B216" s="10"/>
      <c r="C216" s="226"/>
      <c r="D216" s="226"/>
      <c r="E216" s="10"/>
      <c r="F216" s="10"/>
      <c r="G216" s="11"/>
      <c r="H216" s="69"/>
      <c r="I216" s="69"/>
      <c r="J216" s="11"/>
      <c r="K216" s="11"/>
      <c r="L216" s="11"/>
      <c r="M216" s="11"/>
      <c r="N216" s="9" t="s">
        <v>267</v>
      </c>
      <c r="O216" s="9" t="s">
        <v>268</v>
      </c>
      <c r="R216" s="9" t="b">
        <f t="shared" si="8"/>
        <v>1</v>
      </c>
    </row>
    <row r="217" spans="1:18" ht="20.100000000000001" customHeight="1" x14ac:dyDescent="0.15">
      <c r="A217" s="10">
        <f t="shared" si="7"/>
        <v>214</v>
      </c>
      <c r="B217" s="10"/>
      <c r="C217" s="226"/>
      <c r="D217" s="226"/>
      <c r="E217" s="10"/>
      <c r="F217" s="10"/>
      <c r="G217" s="11"/>
      <c r="H217" s="69"/>
      <c r="I217" s="69"/>
      <c r="J217" s="11"/>
      <c r="K217" s="11"/>
      <c r="L217" s="11"/>
      <c r="M217" s="11"/>
      <c r="R217" s="9" t="b">
        <f t="shared" si="8"/>
        <v>1</v>
      </c>
    </row>
    <row r="218" spans="1:18" ht="20.100000000000001" customHeight="1" x14ac:dyDescent="0.15">
      <c r="A218" s="10">
        <f t="shared" si="7"/>
        <v>215</v>
      </c>
      <c r="B218" s="10"/>
      <c r="C218" s="64"/>
      <c r="D218" s="64"/>
      <c r="E218" s="10"/>
      <c r="F218" s="10"/>
      <c r="G218" s="11"/>
      <c r="H218" s="69"/>
      <c r="I218" s="69"/>
      <c r="J218" s="11"/>
      <c r="K218" s="11"/>
      <c r="L218" s="11"/>
      <c r="M218" s="11"/>
      <c r="R218" s="9" t="b">
        <f t="shared" si="8"/>
        <v>1</v>
      </c>
    </row>
    <row r="219" spans="1:18" ht="20.100000000000001" customHeight="1" x14ac:dyDescent="0.15">
      <c r="A219" s="10">
        <f t="shared" si="7"/>
        <v>216</v>
      </c>
      <c r="B219" s="10"/>
      <c r="C219" s="226"/>
      <c r="D219" s="226"/>
      <c r="E219" s="10"/>
      <c r="F219" s="10"/>
      <c r="G219" s="11"/>
      <c r="H219" s="69"/>
      <c r="I219" s="69"/>
      <c r="J219" s="11"/>
      <c r="K219" s="11"/>
      <c r="L219" s="11"/>
      <c r="M219" s="11"/>
      <c r="R219" s="9" t="b">
        <f t="shared" si="8"/>
        <v>1</v>
      </c>
    </row>
    <row r="220" spans="1:18" ht="20.100000000000001" customHeight="1" x14ac:dyDescent="0.15">
      <c r="A220" s="10">
        <f t="shared" si="7"/>
        <v>217</v>
      </c>
      <c r="B220" s="10"/>
      <c r="C220" s="64"/>
      <c r="D220" s="64"/>
      <c r="E220" s="10"/>
      <c r="F220" s="10"/>
      <c r="G220" s="11"/>
      <c r="H220" s="69"/>
      <c r="I220" s="69"/>
      <c r="J220" s="11"/>
      <c r="K220" s="11"/>
      <c r="L220" s="11"/>
      <c r="M220" s="11"/>
      <c r="N220" s="9">
        <v>0</v>
      </c>
      <c r="R220" s="9" t="b">
        <f t="shared" si="8"/>
        <v>1</v>
      </c>
    </row>
    <row r="221" spans="1:18" ht="20.100000000000001" customHeight="1" x14ac:dyDescent="0.15">
      <c r="A221" s="10">
        <f t="shared" si="7"/>
        <v>218</v>
      </c>
      <c r="B221" s="10"/>
      <c r="C221" s="64"/>
      <c r="D221" s="64"/>
      <c r="E221" s="10"/>
      <c r="F221" s="10"/>
      <c r="G221" s="11"/>
      <c r="H221" s="69"/>
      <c r="I221" s="69"/>
      <c r="J221" s="11"/>
      <c r="K221" s="11"/>
      <c r="L221" s="11"/>
      <c r="M221" s="11"/>
      <c r="N221" s="9">
        <v>0</v>
      </c>
      <c r="R221" s="9" t="b">
        <f t="shared" si="8"/>
        <v>1</v>
      </c>
    </row>
    <row r="222" spans="1:18" ht="20.100000000000001" customHeight="1" x14ac:dyDescent="0.15">
      <c r="A222" s="10">
        <f t="shared" si="7"/>
        <v>219</v>
      </c>
      <c r="B222" s="10"/>
      <c r="C222" s="64"/>
      <c r="D222" s="64"/>
      <c r="E222" s="10"/>
      <c r="F222" s="10"/>
      <c r="G222" s="11"/>
      <c r="H222" s="69"/>
      <c r="I222" s="69"/>
      <c r="J222" s="11"/>
      <c r="K222" s="11"/>
      <c r="L222" s="11"/>
      <c r="M222" s="11"/>
      <c r="N222" s="9" t="s">
        <v>269</v>
      </c>
      <c r="R222" s="9" t="b">
        <f t="shared" si="8"/>
        <v>1</v>
      </c>
    </row>
    <row r="223" spans="1:18" ht="20.100000000000001" customHeight="1" x14ac:dyDescent="0.15">
      <c r="A223" s="10">
        <f t="shared" si="7"/>
        <v>220</v>
      </c>
      <c r="B223" s="10"/>
      <c r="C223" s="64"/>
      <c r="D223" s="64"/>
      <c r="E223" s="10"/>
      <c r="F223" s="10"/>
      <c r="G223" s="11"/>
      <c r="H223" s="69"/>
      <c r="I223" s="69"/>
      <c r="J223" s="11"/>
      <c r="K223" s="11"/>
      <c r="L223" s="11"/>
      <c r="M223" s="11"/>
      <c r="R223" s="9" t="b">
        <f t="shared" si="8"/>
        <v>1</v>
      </c>
    </row>
    <row r="224" spans="1:18" ht="20.100000000000001" customHeight="1" x14ac:dyDescent="0.15">
      <c r="A224" s="10">
        <f t="shared" si="7"/>
        <v>221</v>
      </c>
      <c r="B224" s="10"/>
      <c r="C224" s="64"/>
      <c r="D224" s="64"/>
      <c r="E224" s="10"/>
      <c r="F224" s="10"/>
      <c r="G224" s="11"/>
      <c r="H224" s="69"/>
      <c r="I224" s="69"/>
      <c r="J224" s="11"/>
      <c r="K224" s="11"/>
      <c r="L224" s="11"/>
      <c r="M224" s="11"/>
      <c r="R224" s="9" t="b">
        <f t="shared" si="8"/>
        <v>1</v>
      </c>
    </row>
    <row r="225" spans="1:18" ht="20.100000000000001" customHeight="1" x14ac:dyDescent="0.15">
      <c r="A225" s="10">
        <f t="shared" si="7"/>
        <v>222</v>
      </c>
      <c r="B225" s="10"/>
      <c r="C225" s="64"/>
      <c r="D225" s="64"/>
      <c r="E225" s="10"/>
      <c r="F225" s="10"/>
      <c r="G225" s="11"/>
      <c r="H225" s="69"/>
      <c r="I225" s="69"/>
      <c r="J225" s="11"/>
      <c r="K225" s="11"/>
      <c r="L225" s="11"/>
      <c r="M225" s="11"/>
      <c r="N225" s="9">
        <v>0</v>
      </c>
      <c r="R225" s="9" t="b">
        <f t="shared" si="8"/>
        <v>1</v>
      </c>
    </row>
    <row r="226" spans="1:18" ht="20.100000000000001" customHeight="1" x14ac:dyDescent="0.15">
      <c r="A226" s="10">
        <f t="shared" si="7"/>
        <v>223</v>
      </c>
      <c r="B226" s="10"/>
      <c r="C226" s="64"/>
      <c r="D226" s="64"/>
      <c r="E226" s="10"/>
      <c r="F226" s="10"/>
      <c r="G226" s="11"/>
      <c r="H226" s="69"/>
      <c r="I226" s="69"/>
      <c r="J226" s="11"/>
      <c r="K226" s="11"/>
      <c r="L226" s="11"/>
      <c r="M226" s="11"/>
      <c r="N226" s="9">
        <v>0</v>
      </c>
    </row>
    <row r="227" spans="1:18" ht="20.100000000000001" customHeight="1" x14ac:dyDescent="0.15">
      <c r="A227" s="10">
        <f t="shared" si="7"/>
        <v>224</v>
      </c>
      <c r="B227" s="10"/>
      <c r="C227" s="64"/>
      <c r="D227" s="64"/>
      <c r="E227" s="10"/>
      <c r="F227" s="10"/>
      <c r="G227" s="11"/>
      <c r="H227" s="69"/>
      <c r="I227" s="69"/>
      <c r="J227" s="11"/>
      <c r="K227" s="11"/>
      <c r="L227" s="11"/>
      <c r="M227" s="11"/>
    </row>
    <row r="228" spans="1:18" ht="20.100000000000001" customHeight="1" x14ac:dyDescent="0.15">
      <c r="A228" s="10">
        <f t="shared" si="7"/>
        <v>225</v>
      </c>
      <c r="B228" s="10"/>
      <c r="C228" s="64"/>
      <c r="D228" s="64"/>
      <c r="E228" s="10"/>
      <c r="F228" s="10"/>
      <c r="G228" s="11"/>
      <c r="H228" s="69"/>
      <c r="I228" s="69"/>
      <c r="J228" s="11"/>
      <c r="K228" s="11"/>
      <c r="L228" s="11"/>
      <c r="M228" s="11"/>
    </row>
    <row r="229" spans="1:18" ht="20.100000000000001" customHeight="1" x14ac:dyDescent="0.15">
      <c r="A229" s="10">
        <f t="shared" si="7"/>
        <v>226</v>
      </c>
      <c r="B229" s="10"/>
      <c r="C229" s="64"/>
      <c r="D229" s="64"/>
      <c r="E229" s="10"/>
      <c r="F229" s="10"/>
      <c r="G229" s="11"/>
      <c r="H229" s="69"/>
      <c r="I229" s="69"/>
      <c r="J229" s="11"/>
      <c r="K229" s="11"/>
      <c r="L229" s="11"/>
      <c r="M229" s="11"/>
    </row>
    <row r="230" spans="1:18" ht="20.100000000000001" customHeight="1" x14ac:dyDescent="0.15">
      <c r="A230" s="10">
        <f t="shared" si="7"/>
        <v>227</v>
      </c>
      <c r="B230" s="10"/>
      <c r="C230" s="64"/>
      <c r="D230" s="64"/>
      <c r="E230" s="10"/>
      <c r="F230" s="10"/>
      <c r="G230" s="11"/>
      <c r="H230" s="69"/>
      <c r="I230" s="69"/>
      <c r="J230" s="11"/>
      <c r="K230" s="11"/>
      <c r="L230" s="11"/>
      <c r="M230" s="11"/>
      <c r="N230" s="9" t="s">
        <v>276</v>
      </c>
    </row>
    <row r="231" spans="1:18" ht="20.100000000000001" customHeight="1" x14ac:dyDescent="0.15">
      <c r="A231" s="10">
        <f t="shared" si="7"/>
        <v>228</v>
      </c>
      <c r="B231" s="10"/>
      <c r="C231" s="64"/>
      <c r="D231" s="64"/>
      <c r="E231" s="10"/>
      <c r="F231" s="10"/>
      <c r="G231" s="11"/>
      <c r="H231" s="69"/>
      <c r="I231" s="69"/>
      <c r="J231" s="11"/>
      <c r="K231" s="11"/>
      <c r="L231" s="11"/>
      <c r="M231" s="11"/>
    </row>
    <row r="232" spans="1:18" ht="20.100000000000001" customHeight="1" x14ac:dyDescent="0.15">
      <c r="A232" s="10">
        <f t="shared" si="7"/>
        <v>229</v>
      </c>
      <c r="B232" s="10"/>
      <c r="C232" s="64"/>
      <c r="D232" s="64"/>
      <c r="E232" s="10"/>
      <c r="F232" s="10"/>
      <c r="G232" s="11"/>
      <c r="H232" s="69"/>
      <c r="I232" s="69"/>
      <c r="J232" s="11"/>
      <c r="K232" s="11"/>
      <c r="L232" s="11"/>
      <c r="M232" s="11"/>
    </row>
    <row r="233" spans="1:18" ht="20.100000000000001" customHeight="1" x14ac:dyDescent="0.15">
      <c r="A233" s="10">
        <f t="shared" si="7"/>
        <v>230</v>
      </c>
      <c r="B233" s="10"/>
      <c r="C233" s="64"/>
      <c r="D233" s="64"/>
      <c r="E233" s="10"/>
      <c r="F233" s="10"/>
      <c r="G233" s="11"/>
      <c r="H233" s="69"/>
      <c r="I233" s="69"/>
      <c r="J233" s="11"/>
      <c r="K233" s="11"/>
      <c r="L233" s="11"/>
      <c r="M233" s="11"/>
    </row>
    <row r="234" spans="1:18" ht="20.100000000000001" customHeight="1" x14ac:dyDescent="0.15">
      <c r="A234" s="10">
        <f t="shared" si="7"/>
        <v>231</v>
      </c>
      <c r="B234" s="10"/>
      <c r="C234" s="64"/>
      <c r="D234" s="64"/>
      <c r="E234" s="10"/>
      <c r="F234" s="10"/>
      <c r="G234" s="11"/>
      <c r="H234" s="69"/>
      <c r="I234" s="69"/>
      <c r="J234" s="11"/>
      <c r="K234" s="11"/>
      <c r="L234" s="11"/>
      <c r="M234" s="11"/>
    </row>
    <row r="235" spans="1:18" ht="20.100000000000001" customHeight="1" x14ac:dyDescent="0.15">
      <c r="A235" s="10">
        <f t="shared" si="7"/>
        <v>232</v>
      </c>
      <c r="B235" s="10"/>
      <c r="C235" s="64"/>
      <c r="D235" s="64"/>
      <c r="E235" s="10"/>
      <c r="F235" s="10"/>
      <c r="G235" s="11"/>
      <c r="H235" s="69"/>
      <c r="I235" s="69"/>
      <c r="J235" s="11"/>
      <c r="K235" s="11"/>
      <c r="L235" s="11"/>
      <c r="M235" s="11"/>
    </row>
    <row r="236" spans="1:18" ht="20.100000000000001" customHeight="1" x14ac:dyDescent="0.15">
      <c r="A236" s="10">
        <f t="shared" si="7"/>
        <v>233</v>
      </c>
      <c r="B236" s="10"/>
      <c r="C236" s="64"/>
      <c r="D236" s="64"/>
      <c r="E236" s="10"/>
      <c r="F236" s="10"/>
      <c r="G236" s="11"/>
      <c r="H236" s="69"/>
      <c r="I236" s="69"/>
      <c r="J236" s="11"/>
      <c r="K236" s="11"/>
      <c r="L236" s="11"/>
      <c r="M236" s="11"/>
    </row>
    <row r="237" spans="1:18" ht="20.100000000000001" customHeight="1" x14ac:dyDescent="0.15">
      <c r="A237" s="10">
        <f t="shared" si="7"/>
        <v>234</v>
      </c>
      <c r="B237" s="10"/>
      <c r="C237" s="64"/>
      <c r="D237" s="64"/>
      <c r="E237" s="10"/>
      <c r="F237" s="10"/>
      <c r="G237" s="11"/>
      <c r="H237" s="69"/>
      <c r="I237" s="69"/>
      <c r="J237" s="11"/>
      <c r="K237" s="11"/>
      <c r="L237" s="11"/>
      <c r="M237" s="11"/>
    </row>
    <row r="238" spans="1:18" ht="20.100000000000001" customHeight="1" x14ac:dyDescent="0.15">
      <c r="A238" s="10">
        <f t="shared" si="7"/>
        <v>235</v>
      </c>
      <c r="B238" s="10"/>
      <c r="C238" s="64"/>
      <c r="D238" s="64"/>
      <c r="E238" s="10"/>
      <c r="F238" s="10"/>
      <c r="G238" s="11"/>
      <c r="H238" s="69"/>
      <c r="I238" s="69"/>
      <c r="J238" s="11"/>
      <c r="K238" s="11"/>
      <c r="L238" s="11"/>
      <c r="M238" s="11"/>
    </row>
    <row r="239" spans="1:18" ht="20.100000000000001" customHeight="1" x14ac:dyDescent="0.15">
      <c r="A239" s="10">
        <f t="shared" si="7"/>
        <v>236</v>
      </c>
      <c r="B239" s="10"/>
      <c r="C239" s="64"/>
      <c r="D239" s="64"/>
      <c r="E239" s="10"/>
      <c r="F239" s="10"/>
      <c r="G239" s="11"/>
      <c r="H239" s="69"/>
      <c r="I239" s="69"/>
      <c r="J239" s="11"/>
      <c r="K239" s="11"/>
      <c r="L239" s="11"/>
      <c r="M239" s="11"/>
    </row>
    <row r="240" spans="1:18" ht="20.100000000000001" customHeight="1" x14ac:dyDescent="0.15">
      <c r="A240" s="10">
        <f t="shared" si="7"/>
        <v>237</v>
      </c>
      <c r="B240" s="10"/>
      <c r="C240" s="64"/>
      <c r="D240" s="64"/>
      <c r="E240" s="10"/>
      <c r="F240" s="10"/>
      <c r="G240" s="11"/>
      <c r="H240" s="69"/>
      <c r="I240" s="69"/>
      <c r="J240" s="11"/>
      <c r="K240" s="11"/>
      <c r="L240" s="11"/>
      <c r="M240" s="11"/>
    </row>
    <row r="241" spans="1:13" ht="20.100000000000001" customHeight="1" x14ac:dyDescent="0.15">
      <c r="A241" s="10">
        <f t="shared" si="7"/>
        <v>238</v>
      </c>
      <c r="B241" s="10"/>
      <c r="C241" s="64"/>
      <c r="D241" s="64"/>
      <c r="E241" s="10"/>
      <c r="F241" s="10"/>
      <c r="G241" s="11"/>
      <c r="H241" s="69"/>
      <c r="I241" s="69"/>
      <c r="J241" s="11"/>
      <c r="K241" s="11"/>
      <c r="L241" s="11"/>
      <c r="M241" s="11"/>
    </row>
    <row r="242" spans="1:13" ht="20.100000000000001" customHeight="1" x14ac:dyDescent="0.15">
      <c r="A242" s="10">
        <f t="shared" si="7"/>
        <v>239</v>
      </c>
      <c r="B242" s="10"/>
      <c r="C242" s="64"/>
      <c r="D242" s="64"/>
      <c r="E242" s="10"/>
      <c r="F242" s="10"/>
      <c r="G242" s="11"/>
      <c r="H242" s="69"/>
      <c r="I242" s="69"/>
      <c r="J242" s="11"/>
      <c r="K242" s="11"/>
      <c r="L242" s="11"/>
      <c r="M242" s="11"/>
    </row>
    <row r="243" spans="1:13" ht="20.100000000000001" customHeight="1" x14ac:dyDescent="0.15">
      <c r="A243" s="10">
        <f t="shared" si="7"/>
        <v>240</v>
      </c>
      <c r="B243" s="10"/>
      <c r="C243" s="64"/>
      <c r="D243" s="64"/>
      <c r="E243" s="10"/>
      <c r="F243" s="10"/>
      <c r="G243" s="11"/>
      <c r="H243" s="69"/>
      <c r="I243" s="69"/>
      <c r="J243" s="11"/>
      <c r="K243" s="11"/>
      <c r="L243" s="11"/>
      <c r="M243" s="11"/>
    </row>
    <row r="244" spans="1:13" ht="20.100000000000001" customHeight="1" x14ac:dyDescent="0.15">
      <c r="A244" s="10">
        <f t="shared" si="7"/>
        <v>241</v>
      </c>
      <c r="B244" s="10"/>
      <c r="C244" s="64"/>
      <c r="D244" s="64"/>
      <c r="E244" s="10"/>
      <c r="F244" s="10"/>
      <c r="G244" s="11"/>
      <c r="H244" s="69"/>
      <c r="I244" s="69"/>
      <c r="J244" s="11"/>
      <c r="K244" s="11"/>
      <c r="L244" s="11"/>
      <c r="M244" s="11"/>
    </row>
    <row r="245" spans="1:13" ht="20.100000000000001" customHeight="1" x14ac:dyDescent="0.15">
      <c r="A245" s="10">
        <f t="shared" si="7"/>
        <v>242</v>
      </c>
      <c r="B245" s="10"/>
      <c r="C245" s="64"/>
      <c r="D245" s="64"/>
      <c r="E245" s="10"/>
      <c r="F245" s="10"/>
      <c r="G245" s="11"/>
      <c r="H245" s="69"/>
      <c r="I245" s="69"/>
      <c r="J245" s="11"/>
      <c r="K245" s="11"/>
      <c r="L245" s="11"/>
      <c r="M245" s="11"/>
    </row>
    <row r="246" spans="1:13" ht="20.100000000000001" customHeight="1" x14ac:dyDescent="0.15">
      <c r="A246" s="10">
        <f t="shared" si="7"/>
        <v>243</v>
      </c>
      <c r="B246" s="10"/>
      <c r="C246" s="64"/>
      <c r="D246" s="64"/>
      <c r="E246" s="10"/>
      <c r="F246" s="10"/>
      <c r="G246" s="11"/>
      <c r="H246" s="69"/>
      <c r="I246" s="69"/>
      <c r="J246" s="11"/>
      <c r="K246" s="11"/>
      <c r="L246" s="11"/>
      <c r="M246" s="11"/>
    </row>
    <row r="247" spans="1:13" ht="20.100000000000001" customHeight="1" x14ac:dyDescent="0.15">
      <c r="A247" s="10">
        <f t="shared" si="7"/>
        <v>244</v>
      </c>
      <c r="B247" s="10"/>
      <c r="C247" s="64"/>
      <c r="D247" s="64"/>
      <c r="E247" s="10"/>
      <c r="F247" s="10"/>
      <c r="G247" s="11"/>
      <c r="H247" s="69"/>
      <c r="I247" s="69"/>
      <c r="J247" s="11"/>
      <c r="K247" s="11"/>
      <c r="L247" s="11"/>
      <c r="M247" s="11"/>
    </row>
    <row r="248" spans="1:13" ht="20.100000000000001" customHeight="1" x14ac:dyDescent="0.15">
      <c r="A248" s="10">
        <f t="shared" si="7"/>
        <v>245</v>
      </c>
      <c r="B248" s="10"/>
      <c r="C248" s="64"/>
      <c r="D248" s="64"/>
      <c r="E248" s="10"/>
      <c r="F248" s="10"/>
      <c r="G248" s="11"/>
      <c r="H248" s="69"/>
      <c r="I248" s="69"/>
      <c r="J248" s="11"/>
      <c r="K248" s="11"/>
      <c r="L248" s="11"/>
      <c r="M248" s="11"/>
    </row>
    <row r="249" spans="1:13" ht="20.100000000000001" customHeight="1" x14ac:dyDescent="0.15">
      <c r="A249" s="10">
        <f t="shared" si="7"/>
        <v>246</v>
      </c>
      <c r="B249" s="10"/>
      <c r="C249" s="64"/>
      <c r="D249" s="64"/>
      <c r="E249" s="10"/>
      <c r="F249" s="10"/>
      <c r="G249" s="11"/>
      <c r="H249" s="69"/>
      <c r="I249" s="69"/>
      <c r="J249" s="11"/>
      <c r="K249" s="11"/>
      <c r="L249" s="11"/>
      <c r="M249" s="11"/>
    </row>
    <row r="250" spans="1:13" ht="20.100000000000001" customHeight="1" x14ac:dyDescent="0.15">
      <c r="A250" s="10">
        <f t="shared" si="7"/>
        <v>247</v>
      </c>
      <c r="B250" s="10"/>
      <c r="C250" s="64"/>
      <c r="D250" s="64"/>
      <c r="E250" s="10"/>
      <c r="F250" s="10"/>
      <c r="G250" s="11"/>
      <c r="H250" s="69"/>
      <c r="I250" s="69"/>
      <c r="J250" s="11"/>
      <c r="K250" s="11"/>
      <c r="L250" s="11"/>
      <c r="M250" s="11"/>
    </row>
    <row r="251" spans="1:13" ht="20.100000000000001" customHeight="1" x14ac:dyDescent="0.15">
      <c r="A251" s="10">
        <f t="shared" si="7"/>
        <v>248</v>
      </c>
      <c r="B251" s="10"/>
      <c r="C251" s="64"/>
      <c r="D251" s="64"/>
      <c r="E251" s="10"/>
      <c r="F251" s="10"/>
      <c r="G251" s="11"/>
      <c r="H251" s="69"/>
      <c r="I251" s="69"/>
      <c r="J251" s="11"/>
      <c r="K251" s="11"/>
      <c r="L251" s="11"/>
      <c r="M251" s="11"/>
    </row>
    <row r="252" spans="1:13" ht="20.100000000000001" customHeight="1" x14ac:dyDescent="0.15">
      <c r="A252" s="10">
        <f t="shared" si="7"/>
        <v>249</v>
      </c>
      <c r="B252" s="10"/>
      <c r="C252" s="64"/>
      <c r="D252" s="64"/>
      <c r="E252" s="10"/>
      <c r="F252" s="10"/>
      <c r="G252" s="11"/>
      <c r="H252" s="69"/>
      <c r="I252" s="69"/>
      <c r="J252" s="11"/>
      <c r="K252" s="11"/>
      <c r="L252" s="11"/>
      <c r="M252" s="11"/>
    </row>
    <row r="253" spans="1:13" ht="20.100000000000001" customHeight="1" x14ac:dyDescent="0.15">
      <c r="A253" s="10">
        <f t="shared" si="7"/>
        <v>250</v>
      </c>
      <c r="B253" s="10"/>
      <c r="C253" s="64"/>
      <c r="D253" s="64"/>
      <c r="E253" s="10"/>
      <c r="F253" s="10"/>
      <c r="G253" s="11"/>
      <c r="H253" s="69"/>
      <c r="I253" s="69"/>
      <c r="J253" s="11"/>
      <c r="K253" s="11"/>
      <c r="L253" s="11"/>
      <c r="M253" s="11"/>
    </row>
    <row r="254" spans="1:13" ht="20.100000000000001" customHeight="1" x14ac:dyDescent="0.15">
      <c r="A254" s="10">
        <f t="shared" si="7"/>
        <v>251</v>
      </c>
      <c r="B254" s="10"/>
      <c r="C254" s="64"/>
      <c r="D254" s="64"/>
      <c r="E254" s="10"/>
      <c r="F254" s="10"/>
      <c r="G254" s="11"/>
      <c r="H254" s="69"/>
      <c r="I254" s="69"/>
      <c r="J254" s="11"/>
      <c r="K254" s="11"/>
      <c r="L254" s="11"/>
      <c r="M254" s="11"/>
    </row>
    <row r="255" spans="1:13" ht="20.100000000000001" customHeight="1" x14ac:dyDescent="0.15">
      <c r="A255" s="10">
        <f t="shared" si="7"/>
        <v>252</v>
      </c>
      <c r="B255" s="10"/>
      <c r="C255" s="64"/>
      <c r="D255" s="64"/>
      <c r="E255" s="10"/>
      <c r="F255" s="10"/>
      <c r="G255" s="11"/>
      <c r="H255" s="69"/>
      <c r="I255" s="69"/>
      <c r="J255" s="11"/>
      <c r="K255" s="11"/>
      <c r="L255" s="11"/>
      <c r="M255" s="11"/>
    </row>
    <row r="256" spans="1:13" ht="20.100000000000001" customHeight="1" x14ac:dyDescent="0.15">
      <c r="A256" s="10">
        <f t="shared" si="7"/>
        <v>253</v>
      </c>
      <c r="B256" s="10"/>
      <c r="C256" s="64"/>
      <c r="D256" s="64"/>
      <c r="E256" s="10"/>
      <c r="F256" s="10"/>
      <c r="G256" s="11"/>
      <c r="H256" s="69"/>
      <c r="I256" s="69"/>
      <c r="J256" s="11"/>
      <c r="K256" s="11"/>
      <c r="L256" s="11"/>
      <c r="M256" s="11"/>
    </row>
    <row r="257" spans="1:14" ht="20.100000000000001" customHeight="1" x14ac:dyDescent="0.15">
      <c r="A257" s="10">
        <f t="shared" si="7"/>
        <v>254</v>
      </c>
      <c r="B257" s="10"/>
      <c r="C257" s="64"/>
      <c r="D257" s="64"/>
      <c r="E257" s="10"/>
      <c r="F257" s="10"/>
      <c r="G257" s="11"/>
      <c r="H257" s="69"/>
      <c r="I257" s="69"/>
      <c r="J257" s="11"/>
      <c r="K257" s="11"/>
      <c r="L257" s="11"/>
      <c r="M257" s="11"/>
    </row>
    <row r="258" spans="1:14" ht="20.100000000000001" customHeight="1" x14ac:dyDescent="0.15">
      <c r="A258" s="10">
        <f t="shared" si="7"/>
        <v>255</v>
      </c>
      <c r="B258" s="10"/>
      <c r="C258" s="64"/>
      <c r="D258" s="64"/>
      <c r="E258" s="10"/>
      <c r="F258" s="10"/>
      <c r="G258" s="11"/>
      <c r="H258" s="69"/>
      <c r="I258" s="69"/>
      <c r="J258" s="11"/>
      <c r="K258" s="11"/>
      <c r="L258" s="11"/>
      <c r="M258" s="11"/>
    </row>
    <row r="259" spans="1:14" ht="20.100000000000001" customHeight="1" x14ac:dyDescent="0.15">
      <c r="A259" s="10">
        <f t="shared" si="7"/>
        <v>256</v>
      </c>
      <c r="B259" s="10"/>
      <c r="C259" s="64"/>
      <c r="D259" s="64"/>
      <c r="E259" s="10"/>
      <c r="F259" s="10"/>
      <c r="G259" s="11"/>
      <c r="H259" s="69"/>
      <c r="I259" s="69"/>
      <c r="J259" s="11"/>
      <c r="K259" s="11"/>
      <c r="L259" s="11"/>
      <c r="M259" s="11"/>
    </row>
    <row r="260" spans="1:14" ht="20.100000000000001" customHeight="1" x14ac:dyDescent="0.15">
      <c r="A260" s="10">
        <f t="shared" si="7"/>
        <v>257</v>
      </c>
      <c r="B260" s="10"/>
      <c r="C260" s="64"/>
      <c r="D260" s="64"/>
      <c r="E260" s="10"/>
      <c r="F260" s="10"/>
      <c r="G260" s="11"/>
      <c r="H260" s="69"/>
      <c r="I260" s="69"/>
      <c r="J260" s="11"/>
      <c r="K260" s="11"/>
      <c r="L260" s="11"/>
      <c r="M260" s="11"/>
    </row>
    <row r="261" spans="1:14" ht="20.100000000000001" customHeight="1" x14ac:dyDescent="0.15">
      <c r="A261" s="10">
        <f t="shared" ref="A261:A294" si="9">A260+1</f>
        <v>258</v>
      </c>
      <c r="B261" s="10"/>
      <c r="C261" s="64"/>
      <c r="D261" s="64"/>
      <c r="E261" s="10"/>
      <c r="F261" s="10"/>
      <c r="G261" s="11"/>
      <c r="H261" s="69"/>
      <c r="I261" s="69"/>
      <c r="J261" s="11"/>
      <c r="K261" s="11"/>
      <c r="L261" s="11"/>
      <c r="M261" s="11"/>
    </row>
    <row r="262" spans="1:14" ht="20.100000000000001" customHeight="1" x14ac:dyDescent="0.15">
      <c r="A262" s="10">
        <f t="shared" si="9"/>
        <v>259</v>
      </c>
      <c r="B262" s="10"/>
      <c r="C262" s="64"/>
      <c r="D262" s="64"/>
      <c r="E262" s="10"/>
      <c r="F262" s="10"/>
      <c r="G262" s="11"/>
      <c r="H262" s="69"/>
      <c r="I262" s="69"/>
      <c r="J262" s="11"/>
      <c r="K262" s="11"/>
      <c r="L262" s="11"/>
      <c r="M262" s="11"/>
    </row>
    <row r="263" spans="1:14" ht="20.100000000000001" customHeight="1" x14ac:dyDescent="0.15">
      <c r="A263" s="10">
        <f t="shared" si="9"/>
        <v>260</v>
      </c>
      <c r="B263" s="10"/>
      <c r="C263" s="64"/>
      <c r="D263" s="64"/>
      <c r="E263" s="10"/>
      <c r="F263" s="10"/>
      <c r="G263" s="11"/>
      <c r="H263" s="69"/>
      <c r="I263" s="69"/>
      <c r="J263" s="11"/>
      <c r="K263" s="11"/>
      <c r="L263" s="11"/>
      <c r="M263" s="11"/>
    </row>
    <row r="264" spans="1:14" ht="20.100000000000001" customHeight="1" x14ac:dyDescent="0.15">
      <c r="A264" s="10">
        <f t="shared" si="9"/>
        <v>261</v>
      </c>
      <c r="B264" s="10"/>
      <c r="C264" s="64"/>
      <c r="D264" s="64"/>
      <c r="E264" s="10"/>
      <c r="F264" s="10"/>
      <c r="G264" s="11"/>
      <c r="H264" s="69"/>
      <c r="I264" s="69"/>
      <c r="J264" s="11"/>
      <c r="K264" s="11"/>
      <c r="L264" s="11"/>
      <c r="M264" s="11"/>
    </row>
    <row r="265" spans="1:14" ht="20.100000000000001" customHeight="1" x14ac:dyDescent="0.15">
      <c r="A265" s="10">
        <f t="shared" si="9"/>
        <v>262</v>
      </c>
      <c r="B265" s="10"/>
      <c r="C265" s="64"/>
      <c r="D265" s="64"/>
      <c r="E265" s="10"/>
      <c r="F265" s="10"/>
      <c r="G265" s="11"/>
      <c r="H265" s="69"/>
      <c r="I265" s="69"/>
      <c r="J265" s="11"/>
      <c r="K265" s="11"/>
      <c r="L265" s="11"/>
      <c r="M265" s="11"/>
    </row>
    <row r="266" spans="1:14" ht="20.100000000000001" customHeight="1" x14ac:dyDescent="0.15">
      <c r="A266" s="10">
        <f t="shared" si="9"/>
        <v>263</v>
      </c>
      <c r="B266" s="10"/>
      <c r="C266" s="64"/>
      <c r="D266" s="64"/>
      <c r="E266" s="10"/>
      <c r="F266" s="10"/>
      <c r="G266" s="11"/>
      <c r="H266" s="69"/>
      <c r="I266" s="69"/>
      <c r="J266" s="11"/>
      <c r="K266" s="11"/>
      <c r="L266" s="11"/>
      <c r="M266" s="11"/>
      <c r="N266" s="9" t="s">
        <v>278</v>
      </c>
    </row>
    <row r="267" spans="1:14" ht="20.100000000000001" customHeight="1" x14ac:dyDescent="0.15">
      <c r="A267" s="10">
        <f t="shared" si="9"/>
        <v>264</v>
      </c>
      <c r="B267" s="10"/>
      <c r="C267" s="64"/>
      <c r="D267" s="64"/>
      <c r="E267" s="10"/>
      <c r="F267" s="10"/>
      <c r="G267" s="11"/>
      <c r="H267" s="69"/>
      <c r="I267" s="69"/>
      <c r="J267" s="11"/>
      <c r="K267" s="11"/>
      <c r="L267" s="11"/>
      <c r="M267" s="11"/>
    </row>
    <row r="268" spans="1:14" ht="20.100000000000001" customHeight="1" x14ac:dyDescent="0.15">
      <c r="A268" s="10">
        <f t="shared" si="9"/>
        <v>265</v>
      </c>
      <c r="B268" s="10"/>
      <c r="C268" s="64"/>
      <c r="D268" s="64"/>
      <c r="E268" s="10"/>
      <c r="F268" s="10"/>
      <c r="G268" s="11"/>
      <c r="H268" s="69"/>
      <c r="I268" s="69"/>
      <c r="J268" s="11"/>
      <c r="K268" s="11"/>
      <c r="L268" s="11"/>
      <c r="M268" s="11"/>
    </row>
    <row r="269" spans="1:14" ht="20.100000000000001" customHeight="1" x14ac:dyDescent="0.15">
      <c r="A269" s="10">
        <f t="shared" si="9"/>
        <v>266</v>
      </c>
      <c r="B269" s="10"/>
      <c r="C269" s="64"/>
      <c r="D269" s="64"/>
      <c r="E269" s="10"/>
      <c r="F269" s="10"/>
      <c r="G269" s="11"/>
      <c r="H269" s="69"/>
      <c r="I269" s="69"/>
      <c r="J269" s="11"/>
      <c r="K269" s="11"/>
      <c r="L269" s="11"/>
      <c r="M269" s="11"/>
    </row>
    <row r="270" spans="1:14" ht="20.100000000000001" customHeight="1" x14ac:dyDescent="0.15">
      <c r="A270" s="10">
        <f t="shared" si="9"/>
        <v>267</v>
      </c>
      <c r="B270" s="10"/>
      <c r="C270" s="64"/>
      <c r="D270" s="64"/>
      <c r="E270" s="10"/>
      <c r="F270" s="10"/>
      <c r="G270" s="11"/>
      <c r="H270" s="69"/>
      <c r="I270" s="69"/>
      <c r="J270" s="11"/>
      <c r="K270" s="11"/>
      <c r="L270" s="11"/>
      <c r="M270" s="11"/>
    </row>
    <row r="271" spans="1:14" ht="20.100000000000001" customHeight="1" x14ac:dyDescent="0.15">
      <c r="A271" s="10">
        <f t="shared" si="9"/>
        <v>268</v>
      </c>
      <c r="B271" s="10"/>
      <c r="C271" s="64"/>
      <c r="D271" s="64"/>
      <c r="E271" s="10"/>
      <c r="F271" s="10"/>
      <c r="G271" s="11"/>
      <c r="H271" s="69"/>
      <c r="I271" s="69"/>
      <c r="J271" s="11"/>
      <c r="K271" s="11"/>
      <c r="L271" s="11"/>
      <c r="M271" s="11"/>
    </row>
    <row r="272" spans="1:14" ht="20.100000000000001" customHeight="1" x14ac:dyDescent="0.15">
      <c r="A272" s="10">
        <f t="shared" si="9"/>
        <v>269</v>
      </c>
      <c r="B272" s="10"/>
      <c r="C272" s="64"/>
      <c r="D272" s="64"/>
      <c r="E272" s="10"/>
      <c r="F272" s="10"/>
      <c r="G272" s="11"/>
      <c r="H272" s="69"/>
      <c r="I272" s="69"/>
      <c r="J272" s="11"/>
      <c r="K272" s="11"/>
      <c r="L272" s="11"/>
      <c r="M272" s="11"/>
    </row>
    <row r="273" spans="1:13" ht="20.100000000000001" customHeight="1" x14ac:dyDescent="0.15">
      <c r="A273" s="10">
        <f t="shared" si="9"/>
        <v>270</v>
      </c>
      <c r="B273" s="10"/>
      <c r="C273" s="64"/>
      <c r="D273" s="64"/>
      <c r="E273" s="10"/>
      <c r="F273" s="10"/>
      <c r="G273" s="11"/>
      <c r="H273" s="69"/>
      <c r="I273" s="69"/>
      <c r="J273" s="11"/>
      <c r="K273" s="11"/>
      <c r="L273" s="11"/>
      <c r="M273" s="11"/>
    </row>
    <row r="274" spans="1:13" ht="20.100000000000001" customHeight="1" x14ac:dyDescent="0.15">
      <c r="A274" s="10">
        <f t="shared" si="9"/>
        <v>271</v>
      </c>
      <c r="B274" s="10"/>
      <c r="C274" s="64"/>
      <c r="D274" s="64"/>
      <c r="E274" s="10"/>
      <c r="F274" s="10"/>
      <c r="G274" s="11"/>
      <c r="H274" s="69"/>
      <c r="I274" s="69"/>
      <c r="J274" s="11"/>
      <c r="K274" s="11"/>
      <c r="L274" s="11"/>
      <c r="M274" s="11"/>
    </row>
    <row r="275" spans="1:13" ht="20.100000000000001" customHeight="1" x14ac:dyDescent="0.15">
      <c r="A275" s="10">
        <f t="shared" si="9"/>
        <v>272</v>
      </c>
      <c r="B275" s="10"/>
      <c r="C275" s="64"/>
      <c r="D275" s="64"/>
      <c r="E275" s="10"/>
      <c r="F275" s="10"/>
      <c r="G275" s="11"/>
      <c r="H275" s="69"/>
      <c r="I275" s="69"/>
      <c r="J275" s="11"/>
      <c r="K275" s="11"/>
      <c r="L275" s="11"/>
      <c r="M275" s="11"/>
    </row>
    <row r="276" spans="1:13" ht="20.100000000000001" customHeight="1" x14ac:dyDescent="0.15">
      <c r="A276" s="10">
        <f t="shared" si="9"/>
        <v>273</v>
      </c>
      <c r="B276" s="10"/>
      <c r="C276" s="64"/>
      <c r="D276" s="64"/>
      <c r="E276" s="10"/>
      <c r="F276" s="10"/>
      <c r="G276" s="11"/>
      <c r="H276" s="69"/>
      <c r="I276" s="69"/>
      <c r="J276" s="11"/>
      <c r="K276" s="11"/>
      <c r="L276" s="11"/>
      <c r="M276" s="11"/>
    </row>
    <row r="277" spans="1:13" ht="20.100000000000001" customHeight="1" x14ac:dyDescent="0.15">
      <c r="A277" s="10">
        <f t="shared" si="9"/>
        <v>274</v>
      </c>
      <c r="B277" s="10"/>
      <c r="C277" s="64"/>
      <c r="D277" s="64"/>
      <c r="E277" s="10"/>
      <c r="F277" s="10"/>
      <c r="G277" s="11"/>
      <c r="H277" s="69"/>
      <c r="I277" s="69"/>
      <c r="J277" s="11"/>
      <c r="K277" s="11"/>
      <c r="L277" s="11"/>
      <c r="M277" s="11"/>
    </row>
    <row r="278" spans="1:13" ht="20.100000000000001" customHeight="1" x14ac:dyDescent="0.15">
      <c r="A278" s="10">
        <f t="shared" si="9"/>
        <v>275</v>
      </c>
      <c r="B278" s="10"/>
      <c r="C278" s="64"/>
      <c r="D278" s="64"/>
      <c r="E278" s="10"/>
      <c r="F278" s="10"/>
      <c r="G278" s="11"/>
      <c r="H278" s="69"/>
      <c r="I278" s="69"/>
      <c r="J278" s="11"/>
      <c r="K278" s="11"/>
      <c r="L278" s="11"/>
      <c r="M278" s="11"/>
    </row>
    <row r="279" spans="1:13" ht="20.100000000000001" customHeight="1" x14ac:dyDescent="0.15">
      <c r="A279" s="10">
        <f t="shared" si="9"/>
        <v>276</v>
      </c>
      <c r="B279" s="10"/>
      <c r="C279" s="64"/>
      <c r="D279" s="64"/>
      <c r="E279" s="10"/>
      <c r="F279" s="10"/>
      <c r="G279" s="11"/>
      <c r="H279" s="69"/>
      <c r="I279" s="69"/>
      <c r="J279" s="11"/>
      <c r="K279" s="11"/>
      <c r="L279" s="11"/>
      <c r="M279" s="11"/>
    </row>
    <row r="280" spans="1:13" ht="20.100000000000001" customHeight="1" x14ac:dyDescent="0.15">
      <c r="A280" s="10">
        <f t="shared" si="9"/>
        <v>277</v>
      </c>
      <c r="B280" s="10"/>
      <c r="C280" s="64"/>
      <c r="D280" s="64"/>
      <c r="E280" s="10"/>
      <c r="F280" s="10"/>
      <c r="G280" s="11"/>
      <c r="H280" s="69"/>
      <c r="I280" s="69"/>
      <c r="J280" s="11"/>
      <c r="K280" s="11"/>
      <c r="L280" s="11"/>
      <c r="M280" s="11"/>
    </row>
    <row r="281" spans="1:13" ht="20.100000000000001" customHeight="1" x14ac:dyDescent="0.15">
      <c r="A281" s="10">
        <f t="shared" si="9"/>
        <v>278</v>
      </c>
      <c r="B281" s="10"/>
      <c r="C281" s="64"/>
      <c r="D281" s="64"/>
      <c r="E281" s="10"/>
      <c r="F281" s="10"/>
      <c r="G281" s="11"/>
      <c r="H281" s="69"/>
      <c r="I281" s="69"/>
      <c r="J281" s="11"/>
      <c r="K281" s="11"/>
      <c r="L281" s="11"/>
      <c r="M281" s="11"/>
    </row>
    <row r="282" spans="1:13" ht="20.100000000000001" customHeight="1" x14ac:dyDescent="0.15">
      <c r="A282" s="10">
        <f t="shared" si="9"/>
        <v>279</v>
      </c>
      <c r="B282" s="10"/>
      <c r="C282" s="64"/>
      <c r="D282" s="64"/>
      <c r="E282" s="10"/>
      <c r="F282" s="10"/>
      <c r="G282" s="11"/>
      <c r="H282" s="69"/>
      <c r="I282" s="69"/>
      <c r="J282" s="11"/>
      <c r="K282" s="11"/>
      <c r="L282" s="11"/>
      <c r="M282" s="11"/>
    </row>
    <row r="283" spans="1:13" ht="20.100000000000001" customHeight="1" x14ac:dyDescent="0.15">
      <c r="A283" s="10">
        <f t="shared" si="9"/>
        <v>280</v>
      </c>
      <c r="B283" s="10"/>
      <c r="C283" s="64"/>
      <c r="D283" s="64"/>
      <c r="E283" s="10"/>
      <c r="F283" s="10"/>
      <c r="G283" s="11"/>
      <c r="H283" s="69"/>
      <c r="I283" s="69"/>
      <c r="J283" s="11"/>
      <c r="K283" s="11"/>
      <c r="L283" s="11"/>
      <c r="M283" s="11"/>
    </row>
    <row r="284" spans="1:13" ht="20.100000000000001" customHeight="1" x14ac:dyDescent="0.15">
      <c r="A284" s="10">
        <f t="shared" si="9"/>
        <v>281</v>
      </c>
      <c r="B284" s="10"/>
      <c r="C284" s="64"/>
      <c r="D284" s="64"/>
      <c r="E284" s="10"/>
      <c r="F284" s="10"/>
      <c r="G284" s="11"/>
      <c r="H284" s="69"/>
      <c r="I284" s="69"/>
      <c r="J284" s="11"/>
      <c r="K284" s="11"/>
      <c r="L284" s="11"/>
      <c r="M284" s="11"/>
    </row>
    <row r="285" spans="1:13" ht="20.100000000000001" customHeight="1" x14ac:dyDescent="0.15">
      <c r="A285" s="10">
        <f t="shared" si="9"/>
        <v>282</v>
      </c>
      <c r="B285" s="10"/>
      <c r="C285" s="64"/>
      <c r="D285" s="64"/>
      <c r="E285" s="10"/>
      <c r="F285" s="10"/>
      <c r="G285" s="11"/>
      <c r="H285" s="69"/>
      <c r="I285" s="69"/>
      <c r="J285" s="11"/>
      <c r="K285" s="11"/>
      <c r="L285" s="11"/>
      <c r="M285" s="11"/>
    </row>
    <row r="286" spans="1:13" ht="20.100000000000001" customHeight="1" x14ac:dyDescent="0.15">
      <c r="A286" s="10">
        <f t="shared" si="9"/>
        <v>283</v>
      </c>
      <c r="B286" s="10"/>
      <c r="C286" s="64"/>
      <c r="D286" s="64"/>
      <c r="E286" s="10"/>
      <c r="F286" s="10"/>
      <c r="G286" s="11"/>
      <c r="H286" s="69"/>
      <c r="I286" s="69"/>
      <c r="J286" s="11"/>
      <c r="K286" s="11"/>
      <c r="L286" s="11"/>
      <c r="M286" s="11"/>
    </row>
    <row r="287" spans="1:13" ht="20.100000000000001" customHeight="1" x14ac:dyDescent="0.15">
      <c r="A287" s="10">
        <f t="shared" si="9"/>
        <v>284</v>
      </c>
      <c r="B287" s="10"/>
      <c r="C287" s="64"/>
      <c r="D287" s="64"/>
      <c r="E287" s="10"/>
      <c r="F287" s="10"/>
      <c r="G287" s="11"/>
      <c r="H287" s="69"/>
      <c r="I287" s="69"/>
      <c r="J287" s="11"/>
      <c r="K287" s="11"/>
      <c r="L287" s="11"/>
      <c r="M287" s="11"/>
    </row>
    <row r="288" spans="1:13" ht="20.100000000000001" customHeight="1" x14ac:dyDescent="0.15">
      <c r="A288" s="10">
        <f t="shared" si="9"/>
        <v>285</v>
      </c>
      <c r="B288" s="10"/>
      <c r="C288" s="64"/>
      <c r="D288" s="64"/>
      <c r="E288" s="10"/>
      <c r="F288" s="10"/>
      <c r="G288" s="11"/>
      <c r="H288" s="69"/>
      <c r="I288" s="69"/>
      <c r="J288" s="11"/>
      <c r="K288" s="11"/>
      <c r="L288" s="11"/>
      <c r="M288" s="11"/>
    </row>
    <row r="289" spans="1:13" ht="20.100000000000001" customHeight="1" x14ac:dyDescent="0.15">
      <c r="A289" s="10">
        <f t="shared" si="9"/>
        <v>286</v>
      </c>
      <c r="B289" s="10"/>
      <c r="C289" s="64"/>
      <c r="D289" s="64"/>
      <c r="E289" s="10"/>
      <c r="F289" s="10"/>
      <c r="G289" s="11"/>
      <c r="H289" s="69"/>
      <c r="I289" s="69"/>
      <c r="J289" s="11"/>
      <c r="K289" s="11"/>
      <c r="L289" s="11"/>
      <c r="M289" s="11"/>
    </row>
    <row r="290" spans="1:13" ht="20.100000000000001" customHeight="1" x14ac:dyDescent="0.15">
      <c r="A290" s="10">
        <f t="shared" si="9"/>
        <v>287</v>
      </c>
      <c r="B290" s="10"/>
      <c r="C290" s="64"/>
      <c r="D290" s="64"/>
      <c r="E290" s="10"/>
      <c r="F290" s="10"/>
      <c r="G290" s="11"/>
      <c r="H290" s="69"/>
      <c r="I290" s="69"/>
      <c r="J290" s="11"/>
      <c r="K290" s="11"/>
      <c r="L290" s="11"/>
      <c r="M290" s="11"/>
    </row>
    <row r="291" spans="1:13" ht="20.100000000000001" customHeight="1" x14ac:dyDescent="0.15">
      <c r="A291" s="10">
        <f t="shared" si="9"/>
        <v>288</v>
      </c>
      <c r="B291" s="10"/>
      <c r="C291" s="64"/>
      <c r="D291" s="64"/>
      <c r="E291" s="10"/>
      <c r="F291" s="10"/>
      <c r="G291" s="11"/>
      <c r="H291" s="69"/>
      <c r="I291" s="69"/>
      <c r="J291" s="11"/>
      <c r="K291" s="11"/>
      <c r="L291" s="11"/>
      <c r="M291" s="11"/>
    </row>
    <row r="292" spans="1:13" ht="20.100000000000001" customHeight="1" x14ac:dyDescent="0.15">
      <c r="A292" s="10">
        <f t="shared" si="9"/>
        <v>289</v>
      </c>
      <c r="B292" s="10"/>
      <c r="C292" s="64"/>
      <c r="D292" s="64"/>
      <c r="E292" s="10"/>
      <c r="F292" s="10"/>
      <c r="G292" s="11"/>
      <c r="H292" s="69"/>
      <c r="I292" s="69"/>
      <c r="J292" s="11"/>
      <c r="K292" s="11"/>
      <c r="L292" s="11"/>
      <c r="M292" s="11"/>
    </row>
    <row r="293" spans="1:13" ht="20.100000000000001" customHeight="1" x14ac:dyDescent="0.15">
      <c r="A293" s="10">
        <f t="shared" si="9"/>
        <v>290</v>
      </c>
      <c r="B293" s="10"/>
      <c r="C293" s="64"/>
      <c r="D293" s="64"/>
      <c r="E293" s="10"/>
      <c r="F293" s="10"/>
      <c r="G293" s="11"/>
      <c r="H293" s="69"/>
      <c r="I293" s="69"/>
      <c r="J293" s="11"/>
      <c r="K293" s="11"/>
      <c r="L293" s="11"/>
      <c r="M293" s="11"/>
    </row>
    <row r="294" spans="1:13" ht="20.100000000000001" customHeight="1" x14ac:dyDescent="0.15">
      <c r="A294" s="10">
        <f t="shared" si="9"/>
        <v>291</v>
      </c>
      <c r="B294" s="10"/>
      <c r="C294" s="64"/>
      <c r="D294" s="64"/>
      <c r="E294" s="10"/>
      <c r="F294" s="10"/>
      <c r="G294" s="11"/>
      <c r="H294" s="69"/>
      <c r="I294" s="69"/>
      <c r="J294" s="11"/>
      <c r="K294" s="11"/>
      <c r="L294" s="11"/>
      <c r="M294" s="11"/>
    </row>
    <row r="295" spans="1:13" ht="20.100000000000001" customHeight="1" x14ac:dyDescent="0.15">
      <c r="A295" s="10"/>
      <c r="B295" s="10"/>
      <c r="C295" s="64"/>
      <c r="D295" s="64"/>
      <c r="E295" s="10"/>
      <c r="F295" s="10"/>
      <c r="G295" s="11"/>
      <c r="H295" s="69"/>
      <c r="I295" s="69"/>
      <c r="J295" s="11"/>
      <c r="K295" s="11"/>
      <c r="L295" s="11"/>
      <c r="M295" s="11"/>
    </row>
    <row r="296" spans="1:13" x14ac:dyDescent="0.15">
      <c r="L296" s="11"/>
      <c r="M296" s="11"/>
    </row>
    <row r="297" spans="1:13" ht="16.5" x14ac:dyDescent="0.15">
      <c r="E297" s="65"/>
    </row>
    <row r="298" spans="1:13" ht="16.5" x14ac:dyDescent="0.15">
      <c r="E298" s="65"/>
    </row>
    <row r="299" spans="1:13" ht="16.5" x14ac:dyDescent="0.15">
      <c r="E299" s="65"/>
    </row>
    <row r="300" spans="1:13" ht="16.5" x14ac:dyDescent="0.15">
      <c r="E300" s="65"/>
    </row>
    <row r="301" spans="1:13" ht="16.5" x14ac:dyDescent="0.15">
      <c r="E301" s="65"/>
    </row>
    <row r="302" spans="1:13" ht="16.5" x14ac:dyDescent="0.15">
      <c r="E302" s="65"/>
    </row>
    <row r="303" spans="1:13" ht="16.5" x14ac:dyDescent="0.15">
      <c r="E303" s="65"/>
    </row>
    <row r="304" spans="1:13" ht="16.5" x14ac:dyDescent="0.15">
      <c r="E304" s="65"/>
    </row>
    <row r="305" spans="5:5" ht="16.5" x14ac:dyDescent="0.15">
      <c r="E305" s="65"/>
    </row>
    <row r="306" spans="5:5" ht="16.5" x14ac:dyDescent="0.15">
      <c r="E306" s="65"/>
    </row>
    <row r="307" spans="5:5" ht="16.5" x14ac:dyDescent="0.15">
      <c r="E307" s="65"/>
    </row>
    <row r="308" spans="5:5" ht="16.5" x14ac:dyDescent="0.15">
      <c r="E308" s="65"/>
    </row>
    <row r="309" spans="5:5" ht="16.5" x14ac:dyDescent="0.15">
      <c r="E309" s="65"/>
    </row>
    <row r="310" spans="5:5" ht="16.5" x14ac:dyDescent="0.15">
      <c r="E310" s="65"/>
    </row>
    <row r="311" spans="5:5" ht="16.5" x14ac:dyDescent="0.15">
      <c r="E311" s="65"/>
    </row>
    <row r="312" spans="5:5" ht="16.5" x14ac:dyDescent="0.15">
      <c r="E312" s="65"/>
    </row>
    <row r="313" spans="5:5" ht="16.5" x14ac:dyDescent="0.15">
      <c r="E313" s="65"/>
    </row>
    <row r="314" spans="5:5" ht="16.5" x14ac:dyDescent="0.15">
      <c r="E314" s="65"/>
    </row>
    <row r="315" spans="5:5" ht="16.5" x14ac:dyDescent="0.15">
      <c r="E315" s="65"/>
    </row>
    <row r="316" spans="5:5" ht="16.5" x14ac:dyDescent="0.15">
      <c r="E316" s="65"/>
    </row>
    <row r="317" spans="5:5" ht="16.5" x14ac:dyDescent="0.15">
      <c r="E317" s="65"/>
    </row>
    <row r="318" spans="5:5" ht="16.5" x14ac:dyDescent="0.15">
      <c r="E318" s="65"/>
    </row>
    <row r="319" spans="5:5" ht="16.5" x14ac:dyDescent="0.15">
      <c r="E319" s="65"/>
    </row>
    <row r="320" spans="5:5" ht="16.5" x14ac:dyDescent="0.15">
      <c r="E320" s="65"/>
    </row>
    <row r="321" spans="5:5" ht="16.5" x14ac:dyDescent="0.15">
      <c r="E321" s="65"/>
    </row>
    <row r="322" spans="5:5" ht="16.5" x14ac:dyDescent="0.15">
      <c r="E322" s="65"/>
    </row>
    <row r="323" spans="5:5" ht="16.5" x14ac:dyDescent="0.15">
      <c r="E323" s="65"/>
    </row>
    <row r="324" spans="5:5" ht="16.5" x14ac:dyDescent="0.15">
      <c r="E324" s="65"/>
    </row>
    <row r="325" spans="5:5" ht="16.5" x14ac:dyDescent="0.15">
      <c r="E325" s="65"/>
    </row>
    <row r="326" spans="5:5" ht="16.5" x14ac:dyDescent="0.15">
      <c r="E326" s="65"/>
    </row>
    <row r="327" spans="5:5" ht="16.5" x14ac:dyDescent="0.15">
      <c r="E327" s="65"/>
    </row>
    <row r="328" spans="5:5" ht="16.5" x14ac:dyDescent="0.15">
      <c r="E328" s="65"/>
    </row>
    <row r="329" spans="5:5" ht="16.5" x14ac:dyDescent="0.15">
      <c r="E329" s="65"/>
    </row>
    <row r="330" spans="5:5" ht="16.5" x14ac:dyDescent="0.15">
      <c r="E330" s="65"/>
    </row>
    <row r="331" spans="5:5" ht="16.5" x14ac:dyDescent="0.15">
      <c r="E331" s="65"/>
    </row>
    <row r="332" spans="5:5" ht="16.5" x14ac:dyDescent="0.15">
      <c r="E332" s="65"/>
    </row>
    <row r="333" spans="5:5" ht="16.5" x14ac:dyDescent="0.15">
      <c r="E333" s="65"/>
    </row>
    <row r="334" spans="5:5" ht="16.5" x14ac:dyDescent="0.15">
      <c r="E334" s="65"/>
    </row>
    <row r="335" spans="5:5" ht="16.5" x14ac:dyDescent="0.15">
      <c r="E335" s="65"/>
    </row>
    <row r="336" spans="5:5" ht="16.5" x14ac:dyDescent="0.15">
      <c r="E336" s="65"/>
    </row>
    <row r="337" spans="5:5" ht="16.5" x14ac:dyDescent="0.15">
      <c r="E337" s="65"/>
    </row>
    <row r="338" spans="5:5" ht="16.5" x14ac:dyDescent="0.15">
      <c r="E338" s="65"/>
    </row>
    <row r="339" spans="5:5" ht="16.5" x14ac:dyDescent="0.15">
      <c r="E339" s="65"/>
    </row>
    <row r="340" spans="5:5" ht="16.5" x14ac:dyDescent="0.15">
      <c r="E340" s="65"/>
    </row>
    <row r="341" spans="5:5" ht="16.5" x14ac:dyDescent="0.15">
      <c r="E341" s="65"/>
    </row>
    <row r="342" spans="5:5" ht="16.5" x14ac:dyDescent="0.15">
      <c r="E342" s="65"/>
    </row>
    <row r="343" spans="5:5" ht="16.5" x14ac:dyDescent="0.15">
      <c r="E343" s="65"/>
    </row>
    <row r="344" spans="5:5" ht="16.5" x14ac:dyDescent="0.15">
      <c r="E344" s="65"/>
    </row>
    <row r="345" spans="5:5" ht="16.5" x14ac:dyDescent="0.15">
      <c r="E345" s="65"/>
    </row>
    <row r="346" spans="5:5" ht="16.5" x14ac:dyDescent="0.15">
      <c r="E346" s="65"/>
    </row>
    <row r="347" spans="5:5" ht="16.5" x14ac:dyDescent="0.15">
      <c r="E347" s="65"/>
    </row>
    <row r="348" spans="5:5" ht="16.5" x14ac:dyDescent="0.15">
      <c r="E348" s="65"/>
    </row>
    <row r="349" spans="5:5" ht="16.5" x14ac:dyDescent="0.15">
      <c r="E349" s="65"/>
    </row>
    <row r="350" spans="5:5" ht="16.5" x14ac:dyDescent="0.15">
      <c r="E350" s="65"/>
    </row>
    <row r="351" spans="5:5" ht="16.5" x14ac:dyDescent="0.15">
      <c r="E351" s="65"/>
    </row>
    <row r="352" spans="5:5" ht="16.5" x14ac:dyDescent="0.15">
      <c r="E352" s="65"/>
    </row>
    <row r="353" spans="5:5" ht="16.5" x14ac:dyDescent="0.15">
      <c r="E353" s="65"/>
    </row>
    <row r="354" spans="5:5" ht="16.5" x14ac:dyDescent="0.15">
      <c r="E354" s="65"/>
    </row>
    <row r="355" spans="5:5" ht="16.5" x14ac:dyDescent="0.15">
      <c r="E355" s="65"/>
    </row>
    <row r="356" spans="5:5" ht="16.5" x14ac:dyDescent="0.15">
      <c r="E356" s="65"/>
    </row>
    <row r="357" spans="5:5" ht="16.5" x14ac:dyDescent="0.15">
      <c r="E357" s="65"/>
    </row>
    <row r="358" spans="5:5" ht="16.5" x14ac:dyDescent="0.15">
      <c r="E358" s="65"/>
    </row>
    <row r="359" spans="5:5" ht="16.5" x14ac:dyDescent="0.15">
      <c r="E359" s="65"/>
    </row>
    <row r="360" spans="5:5" ht="16.5" x14ac:dyDescent="0.15">
      <c r="E360" s="65"/>
    </row>
    <row r="361" spans="5:5" ht="16.5" x14ac:dyDescent="0.15">
      <c r="E361" s="65"/>
    </row>
    <row r="362" spans="5:5" ht="16.5" x14ac:dyDescent="0.15">
      <c r="E362" s="65"/>
    </row>
    <row r="363" spans="5:5" ht="16.5" x14ac:dyDescent="0.15">
      <c r="E363" s="65"/>
    </row>
    <row r="364" spans="5:5" ht="16.5" x14ac:dyDescent="0.15">
      <c r="E364" s="65"/>
    </row>
    <row r="365" spans="5:5" ht="16.5" x14ac:dyDescent="0.15">
      <c r="E365" s="65"/>
    </row>
    <row r="366" spans="5:5" ht="16.5" x14ac:dyDescent="0.15">
      <c r="E366" s="65"/>
    </row>
    <row r="367" spans="5:5" ht="16.5" x14ac:dyDescent="0.15">
      <c r="E367" s="65"/>
    </row>
    <row r="368" spans="5:5" ht="16.5" x14ac:dyDescent="0.15">
      <c r="E368" s="65"/>
    </row>
    <row r="369" spans="5:5" ht="16.5" x14ac:dyDescent="0.15">
      <c r="E369" s="65"/>
    </row>
    <row r="370" spans="5:5" ht="16.5" x14ac:dyDescent="0.15">
      <c r="E370" s="65"/>
    </row>
    <row r="371" spans="5:5" ht="16.5" x14ac:dyDescent="0.15">
      <c r="E371" s="65"/>
    </row>
    <row r="372" spans="5:5" ht="16.5" x14ac:dyDescent="0.15">
      <c r="E372" s="65"/>
    </row>
    <row r="373" spans="5:5" ht="16.5" x14ac:dyDescent="0.15">
      <c r="E373" s="65"/>
    </row>
    <row r="374" spans="5:5" ht="16.5" x14ac:dyDescent="0.15">
      <c r="E374" s="65"/>
    </row>
    <row r="375" spans="5:5" ht="16.5" x14ac:dyDescent="0.15">
      <c r="E375" s="65"/>
    </row>
    <row r="376" spans="5:5" ht="16.5" x14ac:dyDescent="0.15">
      <c r="E376" s="65"/>
    </row>
    <row r="377" spans="5:5" ht="16.5" x14ac:dyDescent="0.15">
      <c r="E377" s="65"/>
    </row>
    <row r="378" spans="5:5" ht="16.5" x14ac:dyDescent="0.15">
      <c r="E378" s="65"/>
    </row>
    <row r="379" spans="5:5" ht="16.5" x14ac:dyDescent="0.15">
      <c r="E379" s="65"/>
    </row>
    <row r="380" spans="5:5" ht="16.5" x14ac:dyDescent="0.15">
      <c r="E380" s="65"/>
    </row>
    <row r="381" spans="5:5" ht="16.5" x14ac:dyDescent="0.15">
      <c r="E381" s="65"/>
    </row>
    <row r="382" spans="5:5" ht="16.5" x14ac:dyDescent="0.15">
      <c r="E382" s="65"/>
    </row>
    <row r="383" spans="5:5" ht="16.5" x14ac:dyDescent="0.15">
      <c r="E383" s="65"/>
    </row>
    <row r="384" spans="5:5" ht="16.5" x14ac:dyDescent="0.15">
      <c r="E384" s="65"/>
    </row>
    <row r="385" spans="5:5" ht="16.5" x14ac:dyDescent="0.15">
      <c r="E385" s="65"/>
    </row>
    <row r="386" spans="5:5" ht="16.5" x14ac:dyDescent="0.15">
      <c r="E386" s="65"/>
    </row>
    <row r="387" spans="5:5" ht="16.5" x14ac:dyDescent="0.15">
      <c r="E387" s="65"/>
    </row>
    <row r="388" spans="5:5" ht="16.5" x14ac:dyDescent="0.15">
      <c r="E388" s="65"/>
    </row>
    <row r="389" spans="5:5" ht="16.5" x14ac:dyDescent="0.15">
      <c r="E389" s="65"/>
    </row>
    <row r="390" spans="5:5" ht="16.5" x14ac:dyDescent="0.15">
      <c r="E390" s="65"/>
    </row>
    <row r="391" spans="5:5" ht="16.5" x14ac:dyDescent="0.15">
      <c r="E391" s="65"/>
    </row>
    <row r="392" spans="5:5" ht="16.5" x14ac:dyDescent="0.15">
      <c r="E392" s="65"/>
    </row>
    <row r="393" spans="5:5" ht="16.5" x14ac:dyDescent="0.15">
      <c r="E393" s="65"/>
    </row>
    <row r="394" spans="5:5" ht="16.5" x14ac:dyDescent="0.15">
      <c r="E394" s="65"/>
    </row>
    <row r="395" spans="5:5" ht="16.5" x14ac:dyDescent="0.15">
      <c r="E395" s="65"/>
    </row>
    <row r="396" spans="5:5" ht="16.5" x14ac:dyDescent="0.15">
      <c r="E396" s="65"/>
    </row>
    <row r="397" spans="5:5" ht="16.5" x14ac:dyDescent="0.15">
      <c r="E397" s="65"/>
    </row>
    <row r="398" spans="5:5" ht="16.5" x14ac:dyDescent="0.15">
      <c r="E398" s="65"/>
    </row>
    <row r="399" spans="5:5" ht="16.5" x14ac:dyDescent="0.15">
      <c r="E399" s="65"/>
    </row>
    <row r="400" spans="5:5" ht="16.5" x14ac:dyDescent="0.15">
      <c r="E400" s="65"/>
    </row>
    <row r="401" spans="5:5" ht="16.5" x14ac:dyDescent="0.15">
      <c r="E401" s="65"/>
    </row>
    <row r="402" spans="5:5" ht="16.5" x14ac:dyDescent="0.15">
      <c r="E402" s="65"/>
    </row>
    <row r="403" spans="5:5" ht="16.5" x14ac:dyDescent="0.15">
      <c r="E403" s="65"/>
    </row>
    <row r="404" spans="5:5" ht="16.5" x14ac:dyDescent="0.15">
      <c r="E404" s="65"/>
    </row>
    <row r="405" spans="5:5" ht="16.5" x14ac:dyDescent="0.15">
      <c r="E405" s="65"/>
    </row>
    <row r="406" spans="5:5" ht="16.5" x14ac:dyDescent="0.15">
      <c r="E406" s="65"/>
    </row>
    <row r="407" spans="5:5" ht="16.5" x14ac:dyDescent="0.15">
      <c r="E407" s="65"/>
    </row>
    <row r="408" spans="5:5" ht="16.5" x14ac:dyDescent="0.15">
      <c r="E408" s="65"/>
    </row>
    <row r="409" spans="5:5" ht="16.5" x14ac:dyDescent="0.15">
      <c r="E409" s="65"/>
    </row>
    <row r="410" spans="5:5" ht="16.5" x14ac:dyDescent="0.15">
      <c r="E410" s="65"/>
    </row>
    <row r="411" spans="5:5" ht="16.5" x14ac:dyDescent="0.15">
      <c r="E411" s="65"/>
    </row>
    <row r="412" spans="5:5" ht="16.5" x14ac:dyDescent="0.15">
      <c r="E412" s="65"/>
    </row>
    <row r="413" spans="5:5" ht="16.5" x14ac:dyDescent="0.15">
      <c r="E413" s="65"/>
    </row>
    <row r="414" spans="5:5" ht="16.5" x14ac:dyDescent="0.15">
      <c r="E414" s="65"/>
    </row>
    <row r="415" spans="5:5" ht="16.5" x14ac:dyDescent="0.15">
      <c r="E415" s="65"/>
    </row>
    <row r="416" spans="5:5" ht="16.5" x14ac:dyDescent="0.15">
      <c r="E416" s="65"/>
    </row>
    <row r="417" spans="5:5" ht="16.5" x14ac:dyDescent="0.15">
      <c r="E417" s="65"/>
    </row>
    <row r="418" spans="5:5" ht="16.5" x14ac:dyDescent="0.15">
      <c r="E418" s="65"/>
    </row>
    <row r="419" spans="5:5" ht="16.5" x14ac:dyDescent="0.15">
      <c r="E419" s="65"/>
    </row>
    <row r="420" spans="5:5" ht="16.5" x14ac:dyDescent="0.15">
      <c r="E420" s="65"/>
    </row>
    <row r="421" spans="5:5" ht="16.5" x14ac:dyDescent="0.15">
      <c r="E421" s="65"/>
    </row>
    <row r="422" spans="5:5" ht="16.5" x14ac:dyDescent="0.15">
      <c r="E422" s="65"/>
    </row>
    <row r="423" spans="5:5" ht="16.5" x14ac:dyDescent="0.15">
      <c r="E423" s="65"/>
    </row>
    <row r="424" spans="5:5" ht="16.5" x14ac:dyDescent="0.15">
      <c r="E424" s="65"/>
    </row>
    <row r="425" spans="5:5" ht="16.5" x14ac:dyDescent="0.15">
      <c r="E425" s="65"/>
    </row>
    <row r="426" spans="5:5" ht="16.5" x14ac:dyDescent="0.15">
      <c r="E426" s="65"/>
    </row>
    <row r="427" spans="5:5" ht="16.5" x14ac:dyDescent="0.15">
      <c r="E427" s="65"/>
    </row>
    <row r="428" spans="5:5" ht="16.5" x14ac:dyDescent="0.15">
      <c r="E428" s="65"/>
    </row>
    <row r="429" spans="5:5" ht="16.5" x14ac:dyDescent="0.15">
      <c r="E429" s="65"/>
    </row>
    <row r="430" spans="5:5" ht="16.5" x14ac:dyDescent="0.15">
      <c r="E430" s="65"/>
    </row>
    <row r="431" spans="5:5" ht="16.5" x14ac:dyDescent="0.15">
      <c r="E431" s="65"/>
    </row>
    <row r="432" spans="5:5" ht="16.5" x14ac:dyDescent="0.15">
      <c r="E432" s="65"/>
    </row>
    <row r="433" spans="5:5" ht="16.5" x14ac:dyDescent="0.15">
      <c r="E433" s="65"/>
    </row>
    <row r="434" spans="5:5" ht="16.5" x14ac:dyDescent="0.15">
      <c r="E434" s="65"/>
    </row>
    <row r="435" spans="5:5" ht="16.5" x14ac:dyDescent="0.15">
      <c r="E435" s="65"/>
    </row>
    <row r="436" spans="5:5" ht="16.5" x14ac:dyDescent="0.15">
      <c r="E436" s="65"/>
    </row>
    <row r="437" spans="5:5" ht="16.5" x14ac:dyDescent="0.15">
      <c r="E437" s="65"/>
    </row>
    <row r="438" spans="5:5" ht="16.5" x14ac:dyDescent="0.15">
      <c r="E438" s="65"/>
    </row>
    <row r="439" spans="5:5" ht="16.5" x14ac:dyDescent="0.15">
      <c r="E439" s="65"/>
    </row>
    <row r="440" spans="5:5" ht="16.5" x14ac:dyDescent="0.15">
      <c r="E440" s="65"/>
    </row>
    <row r="441" spans="5:5" ht="16.5" x14ac:dyDescent="0.15">
      <c r="E441" s="65"/>
    </row>
    <row r="442" spans="5:5" ht="16.5" x14ac:dyDescent="0.15">
      <c r="E442" s="65"/>
    </row>
    <row r="443" spans="5:5" ht="16.5" x14ac:dyDescent="0.15">
      <c r="E443" s="65"/>
    </row>
    <row r="444" spans="5:5" ht="16.5" x14ac:dyDescent="0.15">
      <c r="E444" s="65"/>
    </row>
    <row r="445" spans="5:5" ht="16.5" x14ac:dyDescent="0.15">
      <c r="E445" s="65"/>
    </row>
    <row r="446" spans="5:5" ht="16.5" x14ac:dyDescent="0.15">
      <c r="E446" s="65"/>
    </row>
    <row r="447" spans="5:5" ht="16.5" x14ac:dyDescent="0.15">
      <c r="E447" s="65"/>
    </row>
    <row r="448" spans="5:5" ht="16.5" x14ac:dyDescent="0.15">
      <c r="E448" s="65"/>
    </row>
    <row r="449" spans="5:5" ht="16.5" x14ac:dyDescent="0.15">
      <c r="E449" s="65"/>
    </row>
    <row r="450" spans="5:5" ht="16.5" x14ac:dyDescent="0.15">
      <c r="E450" s="65"/>
    </row>
    <row r="451" spans="5:5" ht="16.5" x14ac:dyDescent="0.15">
      <c r="E451" s="65"/>
    </row>
    <row r="452" spans="5:5" ht="16.5" x14ac:dyDescent="0.15">
      <c r="E452" s="65"/>
    </row>
    <row r="453" spans="5:5" ht="16.5" x14ac:dyDescent="0.15">
      <c r="E453" s="65"/>
    </row>
    <row r="454" spans="5:5" ht="16.5" x14ac:dyDescent="0.15">
      <c r="E454" s="65"/>
    </row>
    <row r="455" spans="5:5" ht="16.5" x14ac:dyDescent="0.15">
      <c r="E455" s="65"/>
    </row>
    <row r="456" spans="5:5" ht="16.5" x14ac:dyDescent="0.15">
      <c r="E456" s="65"/>
    </row>
    <row r="457" spans="5:5" ht="16.5" x14ac:dyDescent="0.15">
      <c r="E457" s="65"/>
    </row>
    <row r="458" spans="5:5" ht="16.5" x14ac:dyDescent="0.15">
      <c r="E458" s="65"/>
    </row>
    <row r="459" spans="5:5" ht="16.5" x14ac:dyDescent="0.15">
      <c r="E459" s="65"/>
    </row>
    <row r="460" spans="5:5" ht="16.5" x14ac:dyDescent="0.15">
      <c r="E460" s="65"/>
    </row>
    <row r="461" spans="5:5" ht="16.5" x14ac:dyDescent="0.15">
      <c r="E461" s="65"/>
    </row>
    <row r="462" spans="5:5" ht="16.5" x14ac:dyDescent="0.15">
      <c r="E462" s="65"/>
    </row>
    <row r="463" spans="5:5" ht="16.5" x14ac:dyDescent="0.15">
      <c r="E463" s="65"/>
    </row>
    <row r="464" spans="5:5" ht="16.5" x14ac:dyDescent="0.15">
      <c r="E464" s="65"/>
    </row>
    <row r="465" spans="5:5" ht="16.5" x14ac:dyDescent="0.15">
      <c r="E465" s="65"/>
    </row>
    <row r="466" spans="5:5" ht="16.5" x14ac:dyDescent="0.15">
      <c r="E466" s="65"/>
    </row>
    <row r="467" spans="5:5" ht="16.5" x14ac:dyDescent="0.15">
      <c r="E467" s="65"/>
    </row>
    <row r="468" spans="5:5" ht="16.5" x14ac:dyDescent="0.15">
      <c r="E468" s="65"/>
    </row>
    <row r="469" spans="5:5" ht="16.5" x14ac:dyDescent="0.15">
      <c r="E469" s="65"/>
    </row>
    <row r="470" spans="5:5" ht="16.5" x14ac:dyDescent="0.15">
      <c r="E470" s="65"/>
    </row>
    <row r="471" spans="5:5" ht="16.5" x14ac:dyDescent="0.15">
      <c r="E471" s="65"/>
    </row>
    <row r="472" spans="5:5" ht="16.5" x14ac:dyDescent="0.15">
      <c r="E472" s="65"/>
    </row>
    <row r="473" spans="5:5" ht="16.5" x14ac:dyDescent="0.15">
      <c r="E473" s="65"/>
    </row>
    <row r="474" spans="5:5" ht="16.5" x14ac:dyDescent="0.15">
      <c r="E474" s="65"/>
    </row>
    <row r="475" spans="5:5" ht="16.5" x14ac:dyDescent="0.15">
      <c r="E475" s="65"/>
    </row>
    <row r="476" spans="5:5" ht="16.5" x14ac:dyDescent="0.15">
      <c r="E476" s="65"/>
    </row>
    <row r="477" spans="5:5" ht="16.5" x14ac:dyDescent="0.15">
      <c r="E477" s="65"/>
    </row>
    <row r="478" spans="5:5" ht="16.5" x14ac:dyDescent="0.15">
      <c r="E478" s="65"/>
    </row>
    <row r="479" spans="5:5" ht="16.5" x14ac:dyDescent="0.15">
      <c r="E479" s="65"/>
    </row>
    <row r="480" spans="5:5" ht="16.5" x14ac:dyDescent="0.15">
      <c r="E480" s="65"/>
    </row>
    <row r="481" spans="5:5" ht="16.5" x14ac:dyDescent="0.15">
      <c r="E481" s="65"/>
    </row>
    <row r="482" spans="5:5" ht="16.5" x14ac:dyDescent="0.15">
      <c r="E482" s="65"/>
    </row>
    <row r="483" spans="5:5" ht="16.5" x14ac:dyDescent="0.15">
      <c r="E483" s="65"/>
    </row>
    <row r="484" spans="5:5" ht="16.5" x14ac:dyDescent="0.15">
      <c r="E484" s="65"/>
    </row>
    <row r="485" spans="5:5" ht="16.5" x14ac:dyDescent="0.15">
      <c r="E485" s="65"/>
    </row>
    <row r="486" spans="5:5" ht="16.5" x14ac:dyDescent="0.15">
      <c r="E486" s="65"/>
    </row>
    <row r="487" spans="5:5" ht="16.5" x14ac:dyDescent="0.15">
      <c r="E487" s="65"/>
    </row>
    <row r="488" spans="5:5" ht="16.5" x14ac:dyDescent="0.15">
      <c r="E488" s="65"/>
    </row>
    <row r="489" spans="5:5" ht="16.5" x14ac:dyDescent="0.15">
      <c r="E489" s="65"/>
    </row>
  </sheetData>
  <autoFilter ref="A3:N294" xr:uid="{71ECC5D8-39E0-41D0-A4EF-509E4F760DE5}">
    <sortState xmlns:xlrd2="http://schemas.microsoft.com/office/spreadsheetml/2017/richdata2" ref="A91:N195">
      <sortCondition ref="E3:E220"/>
    </sortState>
  </autoFilter>
  <mergeCells count="1">
    <mergeCell ref="A1:M1"/>
  </mergeCells>
  <phoneticPr fontId="4" type="noConversion"/>
  <conditionalFormatting sqref="E268:E278">
    <cfRule type="duplicateValues" dxfId="55" priority="5"/>
  </conditionalFormatting>
  <conditionalFormatting sqref="E297:E1048576 E2:E140 E142:E197 E199:E252">
    <cfRule type="duplicateValues" dxfId="54" priority="10"/>
  </conditionalFormatting>
  <conditionalFormatting sqref="F4">
    <cfRule type="duplicateValues" dxfId="53" priority="3"/>
  </conditionalFormatting>
  <conditionalFormatting sqref="F113">
    <cfRule type="duplicateValues" dxfId="52" priority="1"/>
  </conditionalFormatting>
  <conditionalFormatting sqref="G2:K209 F33:F35 G210:I210 K210 N210 G211:K1048576">
    <cfRule type="cellIs" dxfId="51" priority="2" operator="equal">
      <formula>"작성중"</formula>
    </cfRule>
  </conditionalFormatting>
  <conditionalFormatting sqref="M96">
    <cfRule type="cellIs" dxfId="50" priority="9" operator="equal">
      <formula>"작성중"</formula>
    </cfRule>
  </conditionalFormatting>
  <conditionalFormatting sqref="M106">
    <cfRule type="cellIs" dxfId="49" priority="8" operator="equal">
      <formula>"작성중"</formula>
    </cfRule>
  </conditionalFormatting>
  <conditionalFormatting sqref="M175">
    <cfRule type="cellIs" dxfId="48" priority="6" operator="equal">
      <formula>"작성중"</formula>
    </cfRule>
  </conditionalFormatting>
  <dataValidations count="1">
    <dataValidation type="list" allowBlank="1" showInputMessage="1" showErrorMessage="1" sqref="G4:G295" xr:uid="{5AB2573D-EBFD-47A5-86E5-270D053F4877}">
      <formula1>"작성중, 기업확인, 확인완료, 수정요청, 검토중, 승인, 반려"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A8C3-7526-4C03-A1B8-CC05DC9E4D95}">
  <dimension ref="P5:X55"/>
  <sheetViews>
    <sheetView topLeftCell="A31" workbookViewId="0">
      <selection activeCell="P49" sqref="P49:X55"/>
    </sheetView>
  </sheetViews>
  <sheetFormatPr defaultRowHeight="13.5" x14ac:dyDescent="0.15"/>
  <cols>
    <col min="3" max="13" width="7.77734375" customWidth="1"/>
    <col min="16" max="16" width="4.33203125" customWidth="1"/>
    <col min="17" max="24" width="5.33203125" customWidth="1"/>
  </cols>
  <sheetData>
    <row r="5" ht="41.1" customHeight="1" x14ac:dyDescent="0.15"/>
    <row r="6" ht="41.1" customHeight="1" x14ac:dyDescent="0.15"/>
    <row r="7" ht="41.1" customHeight="1" x14ac:dyDescent="0.15"/>
    <row r="8" ht="41.1" customHeight="1" x14ac:dyDescent="0.15"/>
    <row r="9" ht="41.1" customHeight="1" x14ac:dyDescent="0.15"/>
    <row r="10" ht="41.1" customHeight="1" x14ac:dyDescent="0.15"/>
    <row r="11" ht="41.1" customHeight="1" x14ac:dyDescent="0.15"/>
    <row r="12" ht="41.1" customHeight="1" x14ac:dyDescent="0.15"/>
    <row r="13" ht="41.1" customHeight="1" x14ac:dyDescent="0.15"/>
    <row r="14" ht="41.1" customHeight="1" x14ac:dyDescent="0.15"/>
    <row r="15" ht="41.1" customHeight="1" x14ac:dyDescent="0.15"/>
    <row r="16" ht="41.1" customHeight="1" x14ac:dyDescent="0.15"/>
    <row r="17" ht="41.1" customHeight="1" x14ac:dyDescent="0.15"/>
    <row r="18" ht="41.1" customHeight="1" x14ac:dyDescent="0.15"/>
    <row r="19" ht="41.1" customHeight="1" x14ac:dyDescent="0.15"/>
    <row r="20" ht="41.1" customHeight="1" x14ac:dyDescent="0.15"/>
    <row r="21" ht="41.1" customHeight="1" x14ac:dyDescent="0.15"/>
    <row r="22" ht="41.1" customHeight="1" x14ac:dyDescent="0.15"/>
    <row r="23" ht="41.1" customHeight="1" x14ac:dyDescent="0.15"/>
    <row r="24" ht="41.1" customHeight="1" x14ac:dyDescent="0.15"/>
    <row r="25" ht="41.1" customHeight="1" x14ac:dyDescent="0.15"/>
    <row r="26" ht="41.1" customHeight="1" x14ac:dyDescent="0.15"/>
    <row r="27" ht="41.1" customHeight="1" x14ac:dyDescent="0.15"/>
    <row r="28" ht="41.1" customHeight="1" x14ac:dyDescent="0.15"/>
    <row r="29" ht="41.1" customHeight="1" x14ac:dyDescent="0.15"/>
    <row r="30" ht="41.1" customHeight="1" x14ac:dyDescent="0.15"/>
    <row r="31" ht="41.1" customHeight="1" x14ac:dyDescent="0.15"/>
    <row r="32" ht="41.1" customHeight="1" x14ac:dyDescent="0.15"/>
    <row r="33" ht="41.1" customHeight="1" x14ac:dyDescent="0.15"/>
    <row r="34" ht="41.1" customHeight="1" x14ac:dyDescent="0.15"/>
    <row r="35" ht="41.1" customHeight="1" x14ac:dyDescent="0.15"/>
    <row r="36" ht="41.1" customHeight="1" x14ac:dyDescent="0.15"/>
    <row r="37" ht="41.1" customHeight="1" x14ac:dyDescent="0.15"/>
    <row r="38" ht="41.1" customHeight="1" x14ac:dyDescent="0.15"/>
    <row r="39" ht="41.1" customHeight="1" x14ac:dyDescent="0.15"/>
    <row r="40" ht="41.1" customHeight="1" x14ac:dyDescent="0.15"/>
    <row r="41" ht="41.1" customHeight="1" x14ac:dyDescent="0.15"/>
    <row r="42" ht="41.1" customHeight="1" x14ac:dyDescent="0.15"/>
    <row r="43" ht="41.1" customHeight="1" x14ac:dyDescent="0.15"/>
    <row r="44" ht="41.1" customHeight="1" x14ac:dyDescent="0.15"/>
    <row r="45" ht="41.1" customHeight="1" x14ac:dyDescent="0.15"/>
    <row r="46" ht="41.1" customHeight="1" x14ac:dyDescent="0.15"/>
    <row r="47" ht="41.1" customHeight="1" x14ac:dyDescent="0.15"/>
    <row r="48" ht="41.1" customHeight="1" thickBot="1" x14ac:dyDescent="0.2"/>
    <row r="49" spans="16:24" ht="23.25" customHeight="1" x14ac:dyDescent="0.15">
      <c r="P49" s="305" t="s">
        <v>329</v>
      </c>
      <c r="Q49" s="308" t="s">
        <v>352</v>
      </c>
      <c r="R49" s="309"/>
      <c r="S49" s="310" t="s">
        <v>353</v>
      </c>
      <c r="T49" s="309"/>
      <c r="U49" s="311" t="s">
        <v>354</v>
      </c>
      <c r="V49" s="311"/>
      <c r="W49" s="311" t="s">
        <v>355</v>
      </c>
      <c r="X49" s="312"/>
    </row>
    <row r="50" spans="16:24" ht="18" customHeight="1" x14ac:dyDescent="0.15">
      <c r="P50" s="306"/>
      <c r="Q50" s="313" t="s">
        <v>375</v>
      </c>
      <c r="R50" s="313"/>
      <c r="S50" s="314"/>
      <c r="T50" s="314"/>
      <c r="U50" s="314"/>
      <c r="V50" s="314"/>
      <c r="W50" s="314"/>
      <c r="X50" s="315"/>
    </row>
    <row r="51" spans="16:24" x14ac:dyDescent="0.15">
      <c r="P51" s="306"/>
      <c r="Q51" s="313"/>
      <c r="R51" s="313"/>
      <c r="S51" s="314"/>
      <c r="T51" s="314"/>
      <c r="U51" s="314"/>
      <c r="V51" s="314"/>
      <c r="W51" s="314"/>
      <c r="X51" s="315"/>
    </row>
    <row r="52" spans="16:24" x14ac:dyDescent="0.15">
      <c r="P52" s="306"/>
      <c r="Q52" s="313"/>
      <c r="R52" s="313"/>
      <c r="S52" s="314"/>
      <c r="T52" s="314"/>
      <c r="U52" s="314"/>
      <c r="V52" s="314"/>
      <c r="W52" s="314"/>
      <c r="X52" s="315"/>
    </row>
    <row r="53" spans="16:24" x14ac:dyDescent="0.15">
      <c r="P53" s="306"/>
      <c r="Q53" s="313"/>
      <c r="R53" s="313"/>
      <c r="S53" s="314"/>
      <c r="T53" s="314"/>
      <c r="U53" s="314"/>
      <c r="V53" s="314"/>
      <c r="W53" s="314"/>
      <c r="X53" s="315"/>
    </row>
    <row r="54" spans="16:24" ht="3.75" customHeight="1" x14ac:dyDescent="0.15">
      <c r="P54" s="306"/>
      <c r="Q54" s="313"/>
      <c r="R54" s="313"/>
      <c r="S54" s="314"/>
      <c r="T54" s="314"/>
      <c r="U54" s="314"/>
      <c r="V54" s="314"/>
      <c r="W54" s="314"/>
      <c r="X54" s="315"/>
    </row>
    <row r="55" spans="16:24" ht="22.5" customHeight="1" thickBot="1" x14ac:dyDescent="0.2">
      <c r="P55" s="307"/>
      <c r="Q55" s="303">
        <f ca="1">TODAY()</f>
        <v>46189</v>
      </c>
      <c r="R55" s="303"/>
      <c r="S55" s="303"/>
      <c r="T55" s="303"/>
      <c r="U55" s="303"/>
      <c r="V55" s="303"/>
      <c r="W55" s="303"/>
      <c r="X55" s="304"/>
    </row>
  </sheetData>
  <mergeCells count="13">
    <mergeCell ref="Q55:R55"/>
    <mergeCell ref="S55:T55"/>
    <mergeCell ref="U55:V55"/>
    <mergeCell ref="W55:X55"/>
    <mergeCell ref="P49:P55"/>
    <mergeCell ref="Q49:R49"/>
    <mergeCell ref="S49:T49"/>
    <mergeCell ref="U49:V49"/>
    <mergeCell ref="W49:X49"/>
    <mergeCell ref="Q50:R54"/>
    <mergeCell ref="S50:T54"/>
    <mergeCell ref="U50:V54"/>
    <mergeCell ref="W50:X5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5E7B-D1A4-4869-9EB6-7079FD57B40B}">
  <sheetPr>
    <tabColor rgb="FFFFC000"/>
    <pageSetUpPr fitToPage="1"/>
  </sheetPr>
  <dimension ref="A1:W68"/>
  <sheetViews>
    <sheetView view="pageBreakPreview" topLeftCell="A46" zoomScaleNormal="100" zoomScaleSheetLayoutView="100" workbookViewId="0">
      <selection activeCell="B66" sqref="B66"/>
    </sheetView>
  </sheetViews>
  <sheetFormatPr defaultRowHeight="13.5" x14ac:dyDescent="0.15"/>
  <cols>
    <col min="1" max="1" width="4.77734375" style="2" customWidth="1"/>
    <col min="2" max="2" width="26.44140625" style="2" customWidth="1"/>
    <col min="3" max="5" width="12" style="2" customWidth="1"/>
    <col min="6" max="7" width="8.77734375" style="2" customWidth="1"/>
    <col min="8" max="8" width="12" style="2" customWidth="1"/>
    <col min="9" max="20" width="17" style="2" customWidth="1"/>
    <col min="21" max="21" width="8.88671875" style="2"/>
    <col min="22" max="22" width="11.5546875" style="2" bestFit="1" customWidth="1"/>
    <col min="23" max="16384" width="8.88671875" style="2"/>
  </cols>
  <sheetData>
    <row r="1" spans="1:23" ht="30" customHeight="1" x14ac:dyDescent="0.15">
      <c r="A1" s="323" t="s">
        <v>29</v>
      </c>
      <c r="B1" s="323"/>
      <c r="C1" s="323"/>
      <c r="D1" s="323"/>
      <c r="E1" s="323"/>
      <c r="F1" s="323"/>
      <c r="G1" s="323"/>
      <c r="H1" s="32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3" ht="20.100000000000001" customHeight="1" x14ac:dyDescent="0.15"/>
    <row r="3" spans="1:23" ht="20.100000000000001" customHeight="1" x14ac:dyDescent="0.15">
      <c r="A3" s="2" t="s">
        <v>2</v>
      </c>
      <c r="K3" s="320">
        <f ca="1">TODAY()</f>
        <v>46189</v>
      </c>
      <c r="L3" s="320"/>
      <c r="M3" s="320"/>
      <c r="N3" s="320"/>
      <c r="O3" s="320"/>
      <c r="P3" s="320"/>
      <c r="Q3" s="320"/>
      <c r="R3" s="320"/>
      <c r="S3" s="320"/>
      <c r="T3" s="320"/>
      <c r="U3" s="17"/>
    </row>
    <row r="4" spans="1:23" ht="24.95" customHeight="1" x14ac:dyDescent="0.15">
      <c r="A4" s="321" t="s">
        <v>3</v>
      </c>
      <c r="B4" s="321"/>
      <c r="C4" s="316" t="s">
        <v>4</v>
      </c>
      <c r="D4" s="317"/>
      <c r="E4" s="317"/>
      <c r="F4" s="317"/>
      <c r="G4" s="317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27" t="s">
        <v>30</v>
      </c>
      <c r="V4" s="27" t="s">
        <v>17</v>
      </c>
      <c r="W4" s="27" t="s">
        <v>15</v>
      </c>
    </row>
    <row r="5" spans="1:23" ht="24.95" customHeight="1" x14ac:dyDescent="0.15">
      <c r="A5" s="326" t="s">
        <v>16</v>
      </c>
      <c r="B5" s="333"/>
      <c r="C5" s="334" t="s">
        <v>18</v>
      </c>
      <c r="D5" s="335"/>
      <c r="E5" s="335"/>
      <c r="F5" s="335"/>
      <c r="G5" s="335"/>
      <c r="H5" s="4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28" t="e">
        <f>C10+#REF!+#REF!+#REF!+#REF!+#REF!+#REF!+#REF!</f>
        <v>#REF!</v>
      </c>
      <c r="V5" s="28" t="e">
        <f>D10+#REF!+#REF!+#REF!+#REF!+#REF!+#REF!+#REF!</f>
        <v>#REF!</v>
      </c>
      <c r="W5" s="28" t="e">
        <f>J10+#REF!+#REF!+#REF!+#REF!+#REF!+#REF!+#REF!</f>
        <v>#REF!</v>
      </c>
    </row>
    <row r="6" spans="1:23" ht="20.100000000000001" customHeight="1" x14ac:dyDescent="0.15">
      <c r="U6" s="17" t="e">
        <f>"취소 "&amp;SUM(COUNTIF('세부(구축)'!M:M,"취소"),COUNTIF(#REF!,"취소"),COUNTIF(#REF!,"취소"),COUNTIF(#REF!,"취소"))&amp;"건 포함"</f>
        <v>#REF!</v>
      </c>
    </row>
    <row r="7" spans="1:23" ht="20.100000000000001" customHeight="1" x14ac:dyDescent="0.15">
      <c r="A7" s="2" t="s">
        <v>5</v>
      </c>
    </row>
    <row r="8" spans="1:23" ht="20.100000000000001" customHeight="1" x14ac:dyDescent="0.15">
      <c r="A8" s="321" t="s">
        <v>27</v>
      </c>
      <c r="B8" s="321"/>
      <c r="C8" s="316" t="s">
        <v>283</v>
      </c>
      <c r="D8" s="317"/>
      <c r="E8" s="317"/>
      <c r="F8" s="322" t="s">
        <v>284</v>
      </c>
      <c r="G8" s="322"/>
      <c r="H8" s="35"/>
    </row>
    <row r="9" spans="1:23" ht="30" customHeight="1" x14ac:dyDescent="0.15">
      <c r="A9" s="321"/>
      <c r="B9" s="321"/>
      <c r="C9" s="29" t="s">
        <v>280</v>
      </c>
      <c r="D9" s="4" t="s">
        <v>281</v>
      </c>
      <c r="E9" s="4" t="s">
        <v>282</v>
      </c>
      <c r="F9" s="4" t="s">
        <v>285</v>
      </c>
      <c r="G9" s="4" t="s">
        <v>286</v>
      </c>
      <c r="H9" s="4" t="s">
        <v>177</v>
      </c>
      <c r="I9" s="34"/>
      <c r="J9" s="321" t="s">
        <v>15</v>
      </c>
      <c r="K9" s="321"/>
      <c r="L9" s="19"/>
      <c r="M9" s="19"/>
      <c r="N9" s="19"/>
      <c r="O9" s="19"/>
      <c r="P9" s="19"/>
      <c r="Q9" s="19"/>
      <c r="R9" s="19"/>
      <c r="S9" s="19"/>
      <c r="T9" s="19"/>
    </row>
    <row r="10" spans="1:23" ht="24.95" customHeight="1" x14ac:dyDescent="0.15">
      <c r="A10" s="333" t="str">
        <f>COUNTA(B16:B37)&amp;"개 TP"</f>
        <v>22개 TP</v>
      </c>
      <c r="B10" s="333"/>
      <c r="C10" s="32">
        <f>C38</f>
        <v>29</v>
      </c>
      <c r="D10" s="28">
        <f>D38</f>
        <v>0</v>
      </c>
      <c r="E10" s="28">
        <f>C10-D10</f>
        <v>29</v>
      </c>
      <c r="F10" s="33">
        <f>F38</f>
        <v>0</v>
      </c>
      <c r="G10" s="33">
        <f>G38</f>
        <v>0</v>
      </c>
      <c r="H10" s="33">
        <f>H38</f>
        <v>0</v>
      </c>
      <c r="I10" s="33"/>
      <c r="J10" s="331">
        <f>C10-D10</f>
        <v>29</v>
      </c>
      <c r="K10" s="332"/>
      <c r="L10" s="30"/>
      <c r="M10" s="30"/>
      <c r="N10" s="30"/>
      <c r="O10" s="30"/>
      <c r="P10" s="30"/>
      <c r="Q10" s="30"/>
      <c r="R10" s="30"/>
      <c r="S10" s="30"/>
      <c r="T10" s="30"/>
      <c r="V10" s="25"/>
    </row>
    <row r="11" spans="1:23" ht="24.95" customHeight="1" x14ac:dyDescent="0.15">
      <c r="A11" s="49" t="str">
        <f>"*취소 "&amp;H10&amp;"건 포함"</f>
        <v>*취소 0건 포함</v>
      </c>
      <c r="B11" s="47"/>
      <c r="C11" s="25"/>
      <c r="D11" s="25"/>
      <c r="E11" s="25"/>
      <c r="F11" s="25"/>
      <c r="G11" s="25"/>
      <c r="H11" s="25"/>
      <c r="I11" s="25">
        <f>D10-H10</f>
        <v>0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V11" s="25"/>
    </row>
    <row r="12" spans="1:23" ht="20.100000000000001" customHeight="1" x14ac:dyDescent="0.15">
      <c r="A12" s="17"/>
    </row>
    <row r="13" spans="1:23" ht="20.100000000000001" customHeight="1" thickBot="1" x14ac:dyDescent="0.2">
      <c r="A13" s="17" t="s">
        <v>179</v>
      </c>
      <c r="D13" s="17"/>
      <c r="E13" s="17"/>
      <c r="F13" s="17"/>
      <c r="G13" s="17"/>
      <c r="H13" s="17"/>
    </row>
    <row r="14" spans="1:23" ht="24.95" customHeight="1" thickBot="1" x14ac:dyDescent="0.2">
      <c r="A14" s="321" t="s">
        <v>6</v>
      </c>
      <c r="B14" s="321" t="s">
        <v>19</v>
      </c>
      <c r="C14" s="316" t="s">
        <v>283</v>
      </c>
      <c r="D14" s="317"/>
      <c r="E14" s="318"/>
      <c r="F14" s="316" t="s">
        <v>284</v>
      </c>
      <c r="G14" s="319"/>
      <c r="H14" s="327" t="s">
        <v>177</v>
      </c>
      <c r="I14" s="324" t="s">
        <v>151</v>
      </c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</row>
    <row r="15" spans="1:23" ht="24.95" customHeight="1" thickBot="1" x14ac:dyDescent="0.2">
      <c r="A15" s="321"/>
      <c r="B15" s="321"/>
      <c r="C15" s="29" t="s">
        <v>280</v>
      </c>
      <c r="D15" s="4" t="s">
        <v>281</v>
      </c>
      <c r="E15" s="4" t="s">
        <v>282</v>
      </c>
      <c r="F15" s="4" t="s">
        <v>285</v>
      </c>
      <c r="G15" s="4" t="s">
        <v>286</v>
      </c>
      <c r="H15" s="328"/>
      <c r="I15" s="29" t="s">
        <v>156</v>
      </c>
      <c r="J15" s="4" t="s">
        <v>157</v>
      </c>
      <c r="K15" s="24" t="s">
        <v>158</v>
      </c>
      <c r="L15" s="26" t="s">
        <v>159</v>
      </c>
      <c r="M15" s="26" t="s">
        <v>160</v>
      </c>
      <c r="N15" s="26" t="s">
        <v>161</v>
      </c>
      <c r="O15" s="26" t="s">
        <v>162</v>
      </c>
      <c r="P15" s="26" t="s">
        <v>163</v>
      </c>
      <c r="Q15" s="26" t="s">
        <v>164</v>
      </c>
      <c r="R15" s="26" t="s">
        <v>165</v>
      </c>
      <c r="S15" s="26" t="s">
        <v>166</v>
      </c>
      <c r="T15" s="26" t="s">
        <v>167</v>
      </c>
    </row>
    <row r="16" spans="1:23" ht="20.100000000000001" customHeight="1" x14ac:dyDescent="0.15">
      <c r="A16" s="3">
        <v>1</v>
      </c>
      <c r="B16" s="31" t="s">
        <v>22</v>
      </c>
      <c r="C16" s="59">
        <f>SUM(D16:E16)</f>
        <v>0</v>
      </c>
      <c r="D16" s="60">
        <f>COUNTIFS('세부(구축)'!B:B,'집계(구축)'!B16,'세부(구축)'!G:G,"완료")+H16</f>
        <v>0</v>
      </c>
      <c r="E16" s="8">
        <f>SUM(COUNTIFS('세부(구축)'!B:B,'집계(구축)'!B16,'세부(구축)'!G:G,"작성중"),COUNTIFS('세부(구축)'!B:B,'집계(구축)'!B16,'세부(구축)'!G:G,"접수대기"))</f>
        <v>0</v>
      </c>
      <c r="F16" s="8">
        <f>COUNTIFS('세부(구축)'!J:J,"발행",'세부(구축)'!$B:$B,'집계(구축)'!$B16)</f>
        <v>0</v>
      </c>
      <c r="G16" s="8">
        <f>COUNTIFS('세부(구축)'!K:K,"수령",'세부(구축)'!$B:$B,'집계(구축)'!$B16)</f>
        <v>0</v>
      </c>
      <c r="H16" s="37">
        <f>COUNTIFS('세부(구축)'!$B:$B,'집계(구축)'!B16,'세부(구축)'!$G:$G,"취소")</f>
        <v>0</v>
      </c>
      <c r="I16" s="8">
        <f>COUNTIFS('세부(구축)'!B:B,'집계(구축)'!B$16,'세부(구축)'!C:C,'집계(구축)'!$I$15)</f>
        <v>0</v>
      </c>
      <c r="J16" s="8">
        <f>COUNTIFS('세부(구축)'!$B:$B,'집계(구축)'!$B$16,'세부(구축)'!$C:$C,'집계(구축)'!J$15)</f>
        <v>0</v>
      </c>
      <c r="K16" s="8">
        <f>COUNTIFS('세부(구축)'!$B:$B,'집계(구축)'!$B$16,'세부(구축)'!$C:$C,'집계(구축)'!K$15)</f>
        <v>0</v>
      </c>
      <c r="L16" s="8">
        <f>COUNTIFS('세부(구축)'!$B:$B,'집계(구축)'!$B$16,'세부(구축)'!$C:$C,'집계(구축)'!L$15)</f>
        <v>0</v>
      </c>
      <c r="M16" s="8">
        <f>COUNTIFS('세부(구축)'!$B:$B,'집계(구축)'!$B$16,'세부(구축)'!$C:$C,'집계(구축)'!M$15)</f>
        <v>0</v>
      </c>
      <c r="N16" s="8">
        <f>COUNTIFS('세부(구축)'!$B:$B,'집계(구축)'!$B$16,'세부(구축)'!$C:$C,'집계(구축)'!N$15)</f>
        <v>0</v>
      </c>
      <c r="O16" s="8">
        <f>COUNTIFS('세부(구축)'!$B:$B,'집계(구축)'!$B$16,'세부(구축)'!$C:$C,'집계(구축)'!O$15)</f>
        <v>0</v>
      </c>
      <c r="P16" s="8">
        <f>COUNTIFS('세부(구축)'!$B:$B,'집계(구축)'!$B$16,'세부(구축)'!$C:$C,'집계(구축)'!P$15)</f>
        <v>0</v>
      </c>
      <c r="Q16" s="8">
        <f>COUNTIFS('세부(구축)'!$B:$B,'집계(구축)'!$B$16,'세부(구축)'!$C:$C,'집계(구축)'!Q$15)</f>
        <v>0</v>
      </c>
      <c r="R16" s="8">
        <f>COUNTIFS('세부(구축)'!$B:$B,'집계(구축)'!$B$16,'세부(구축)'!$C:$C,'집계(구축)'!R$15)</f>
        <v>0</v>
      </c>
      <c r="S16" s="8">
        <f>COUNTIFS('세부(구축)'!$B:$B,'집계(구축)'!$B$16,'세부(구축)'!$C:$C,'집계(구축)'!S$15)</f>
        <v>0</v>
      </c>
      <c r="T16" s="8">
        <f>COUNTIFS('세부(구축)'!$B:$B,'집계(구축)'!$B$16,'세부(구축)'!$C:$C,'집계(구축)'!T$15)</f>
        <v>0</v>
      </c>
      <c r="V16" s="17"/>
    </row>
    <row r="17" spans="1:22" ht="20.100000000000001" customHeight="1" x14ac:dyDescent="0.15">
      <c r="A17" s="3">
        <f>A16+1</f>
        <v>2</v>
      </c>
      <c r="B17" s="31" t="s">
        <v>23</v>
      </c>
      <c r="C17" s="59">
        <f t="shared" ref="C17:C31" si="0">SUM(D17:E17)</f>
        <v>0</v>
      </c>
      <c r="D17" s="60">
        <f>COUNTIFS('세부(구축)'!B:B,'집계(구축)'!B17,'세부(구축)'!G:G,"완료")+H17</f>
        <v>0</v>
      </c>
      <c r="E17" s="8">
        <f>SUM(COUNTIFS('세부(구축)'!B:B,'집계(구축)'!B17,'세부(구축)'!G:G,"작성중"),COUNTIFS('세부(구축)'!B:B,'집계(구축)'!B17,'세부(구축)'!G:G,"접수대기"))</f>
        <v>0</v>
      </c>
      <c r="F17" s="8">
        <f>COUNTIFS('세부(구축)'!J:J,"발행",'세부(구축)'!B:B,'집계(구축)'!B17)</f>
        <v>0</v>
      </c>
      <c r="G17" s="8">
        <f>COUNTIFS('세부(구축)'!K:K,"수령",'세부(구축)'!$B:$B,'집계(구축)'!$B17)</f>
        <v>0</v>
      </c>
      <c r="H17" s="37">
        <f>COUNTIFS('세부(구축)'!$B:$B,'집계(구축)'!B17,'세부(구축)'!$G:$G,"취소")</f>
        <v>0</v>
      </c>
      <c r="I17" s="8">
        <f>COUNTIFS('세부(구축)'!$B:$B,'집계(구축)'!$B$17,'세부(구축)'!$C:$C,'집계(구축)'!I$15)</f>
        <v>0</v>
      </c>
      <c r="J17" s="8">
        <f>COUNTIFS('세부(구축)'!$B:$B,'집계(구축)'!$B$17,'세부(구축)'!$C:$C,'집계(구축)'!J$15)</f>
        <v>0</v>
      </c>
      <c r="K17" s="8">
        <f>COUNTIFS('세부(구축)'!$B:$B,'집계(구축)'!$B$17,'세부(구축)'!$C:$C,'집계(구축)'!K$15)</f>
        <v>0</v>
      </c>
      <c r="L17" s="8">
        <f>COUNTIFS('세부(구축)'!$B:$B,'집계(구축)'!$B$17,'세부(구축)'!$C:$C,'집계(구축)'!L$15)</f>
        <v>0</v>
      </c>
      <c r="M17" s="8">
        <f>COUNTIFS('세부(구축)'!$B:$B,'집계(구축)'!$B$17,'세부(구축)'!$C:$C,'집계(구축)'!M$15)</f>
        <v>0</v>
      </c>
      <c r="N17" s="8">
        <f>COUNTIFS('세부(구축)'!$B:$B,'집계(구축)'!$B$17,'세부(구축)'!$C:$C,'집계(구축)'!N$15)</f>
        <v>0</v>
      </c>
      <c r="O17" s="8">
        <f>COUNTIFS('세부(구축)'!$B:$B,'집계(구축)'!$B$17,'세부(구축)'!$C:$C,'집계(구축)'!O$15)</f>
        <v>0</v>
      </c>
      <c r="P17" s="8">
        <f>COUNTIFS('세부(구축)'!$B:$B,'집계(구축)'!$B$17,'세부(구축)'!$C:$C,'집계(구축)'!P$15)</f>
        <v>0</v>
      </c>
      <c r="Q17" s="8">
        <f>COUNTIFS('세부(구축)'!$B:$B,'집계(구축)'!$B$17,'세부(구축)'!$C:$C,'집계(구축)'!Q$15)</f>
        <v>0</v>
      </c>
      <c r="R17" s="8">
        <f>COUNTIFS('세부(구축)'!$B:$B,'집계(구축)'!$B$17,'세부(구축)'!$C:$C,'집계(구축)'!R$15)</f>
        <v>0</v>
      </c>
      <c r="S17" s="8">
        <f>COUNTIFS('세부(구축)'!$B:$B,'집계(구축)'!$B$17,'세부(구축)'!$C:$C,'집계(구축)'!S$15)</f>
        <v>0</v>
      </c>
      <c r="T17" s="8">
        <f>COUNTIFS('세부(구축)'!$B:$B,'집계(구축)'!$B$17,'세부(구축)'!$C:$C,'집계(구축)'!T$15)</f>
        <v>0</v>
      </c>
      <c r="V17" s="17"/>
    </row>
    <row r="18" spans="1:22" ht="20.100000000000001" customHeight="1" x14ac:dyDescent="0.15">
      <c r="A18" s="3">
        <f t="shared" ref="A18:A37" si="1">A17+1</f>
        <v>3</v>
      </c>
      <c r="B18" s="31" t="s">
        <v>152</v>
      </c>
      <c r="C18" s="59">
        <f t="shared" si="0"/>
        <v>0</v>
      </c>
      <c r="D18" s="60">
        <f>COUNTIFS('세부(구축)'!B:B,'집계(구축)'!B18,'세부(구축)'!G:G,"완료")+H18</f>
        <v>0</v>
      </c>
      <c r="E18" s="8">
        <f>SUM(COUNTIFS('세부(구축)'!B:B,'집계(구축)'!B18,'세부(구축)'!G:G,"작성중"),COUNTIFS('세부(구축)'!B:B,'집계(구축)'!B18,'세부(구축)'!G:G,"접수대기"))</f>
        <v>0</v>
      </c>
      <c r="F18" s="8">
        <f>COUNTIFS('세부(구축)'!J:J,"발행",'세부(구축)'!B:B,'집계(구축)'!B18)</f>
        <v>0</v>
      </c>
      <c r="G18" s="8">
        <f>COUNTIFS('세부(구축)'!K:K,"수령",'세부(구축)'!$B:$B,'집계(구축)'!$B18)</f>
        <v>0</v>
      </c>
      <c r="H18" s="37">
        <f>COUNTIFS('세부(구축)'!$B:$B,'집계(구축)'!B18,'세부(구축)'!$G:$G,"취소")</f>
        <v>0</v>
      </c>
      <c r="I18" s="8">
        <f>COUNTIFS('세부(구축)'!B:B,'집계(구축)'!B18,'세부(구축)'!C:C,'집계(구축)'!$I$15)</f>
        <v>0</v>
      </c>
      <c r="J18" s="8">
        <f>COUNTIFS('세부(구축)'!$B:$B,'집계(구축)'!$B18,'세부(구축)'!$C:$C,'집계(구축)'!J$15)</f>
        <v>0</v>
      </c>
      <c r="K18" s="8">
        <f>COUNTIFS('세부(구축)'!$B:$B,'집계(구축)'!$B18,'세부(구축)'!$C:$C,'집계(구축)'!K$15)</f>
        <v>0</v>
      </c>
      <c r="L18" s="8">
        <f>COUNTIFS('세부(구축)'!$B:$B,'집계(구축)'!$B18,'세부(구축)'!$C:$C,'집계(구축)'!L$15)</f>
        <v>0</v>
      </c>
      <c r="M18" s="8">
        <f>COUNTIFS('세부(구축)'!$B:$B,'집계(구축)'!$B18,'세부(구축)'!$C:$C,'집계(구축)'!M$15)</f>
        <v>0</v>
      </c>
      <c r="N18" s="8">
        <f>COUNTIFS('세부(구축)'!$B:$B,'집계(구축)'!$B18,'세부(구축)'!$C:$C,'집계(구축)'!N$15)</f>
        <v>0</v>
      </c>
      <c r="O18" s="8">
        <f>COUNTIFS('세부(구축)'!$B:$B,'집계(구축)'!$B18,'세부(구축)'!$C:$C,'집계(구축)'!O$15)</f>
        <v>0</v>
      </c>
      <c r="P18" s="8">
        <f>COUNTIFS('세부(구축)'!$B:$B,'집계(구축)'!$B18,'세부(구축)'!$C:$C,'집계(구축)'!P$15)</f>
        <v>0</v>
      </c>
      <c r="Q18" s="8">
        <f>COUNTIFS('세부(구축)'!$B:$B,'집계(구축)'!$B18,'세부(구축)'!$C:$C,'집계(구축)'!Q$15)</f>
        <v>0</v>
      </c>
      <c r="R18" s="8">
        <f>COUNTIFS('세부(구축)'!$B:$B,'집계(구축)'!$B18,'세부(구축)'!$C:$C,'집계(구축)'!R$15)</f>
        <v>0</v>
      </c>
      <c r="S18" s="8">
        <f>COUNTIFS('세부(구축)'!$B:$B,'집계(구축)'!$B18,'세부(구축)'!$C:$C,'집계(구축)'!S$15)</f>
        <v>0</v>
      </c>
      <c r="T18" s="8">
        <f>COUNTIFS('세부(구축)'!$B:$B,'집계(구축)'!$B18,'세부(구축)'!$C:$C,'집계(구축)'!T$15)</f>
        <v>0</v>
      </c>
      <c r="V18" s="17"/>
    </row>
    <row r="19" spans="1:22" ht="20.100000000000001" customHeight="1" x14ac:dyDescent="0.15">
      <c r="A19" s="3">
        <f t="shared" si="1"/>
        <v>4</v>
      </c>
      <c r="B19" s="31" t="s">
        <v>153</v>
      </c>
      <c r="C19" s="59">
        <f t="shared" si="0"/>
        <v>0</v>
      </c>
      <c r="D19" s="60">
        <f>COUNTIFS('세부(구축)'!B:B,'집계(구축)'!B19,'세부(구축)'!G:G,"완료")+H19</f>
        <v>0</v>
      </c>
      <c r="E19" s="8">
        <f>SUM(COUNTIFS('세부(구축)'!B:B,'집계(구축)'!B19,'세부(구축)'!G:G,"작성중"),COUNTIFS('세부(구축)'!B:B,'집계(구축)'!B19,'세부(구축)'!G:G,"접수대기"))</f>
        <v>0</v>
      </c>
      <c r="F19" s="8">
        <f>COUNTIFS('세부(구축)'!J:J,"발행",'세부(구축)'!B:B,'집계(구축)'!B19)</f>
        <v>0</v>
      </c>
      <c r="G19" s="8">
        <f>COUNTIFS('세부(구축)'!K:K,"수령",'세부(구축)'!$B:$B,'집계(구축)'!$B19)</f>
        <v>0</v>
      </c>
      <c r="H19" s="37">
        <f>COUNTIFS('세부(구축)'!$B:$B,'집계(구축)'!B19,'세부(구축)'!$G:$G,"취소")</f>
        <v>0</v>
      </c>
      <c r="I19" s="8">
        <f>COUNTIFS('세부(구축)'!B:B,'집계(구축)'!B19,'세부(구축)'!C:C,'집계(구축)'!$I$15)</f>
        <v>0</v>
      </c>
      <c r="J19" s="8">
        <f>COUNTIFS('세부(구축)'!$B:$B,'집계(구축)'!$B19,'세부(구축)'!$C:$C,'집계(구축)'!J$15)</f>
        <v>0</v>
      </c>
      <c r="K19" s="8">
        <f>COUNTIFS('세부(구축)'!$B:$B,'집계(구축)'!$B19,'세부(구축)'!$C:$C,'집계(구축)'!K$15)</f>
        <v>0</v>
      </c>
      <c r="L19" s="8">
        <f>COUNTIFS('세부(구축)'!$B:$B,'집계(구축)'!$B19,'세부(구축)'!$C:$C,'집계(구축)'!L$15)</f>
        <v>0</v>
      </c>
      <c r="M19" s="8">
        <f>COUNTIFS('세부(구축)'!$B:$B,'집계(구축)'!$B19,'세부(구축)'!$C:$C,'집계(구축)'!M$15)</f>
        <v>0</v>
      </c>
      <c r="N19" s="8">
        <f>COUNTIFS('세부(구축)'!$B:$B,'집계(구축)'!$B19,'세부(구축)'!$C:$C,'집계(구축)'!N$15)</f>
        <v>0</v>
      </c>
      <c r="O19" s="8">
        <f>COUNTIFS('세부(구축)'!$B:$B,'집계(구축)'!$B19,'세부(구축)'!$C:$C,'집계(구축)'!O$15)</f>
        <v>0</v>
      </c>
      <c r="P19" s="8">
        <f>COUNTIFS('세부(구축)'!$B:$B,'집계(구축)'!$B19,'세부(구축)'!$C:$C,'집계(구축)'!P$15)</f>
        <v>0</v>
      </c>
      <c r="Q19" s="8">
        <f>COUNTIFS('세부(구축)'!$B:$B,'집계(구축)'!$B19,'세부(구축)'!$C:$C,'집계(구축)'!Q$15)</f>
        <v>0</v>
      </c>
      <c r="R19" s="8">
        <f>COUNTIFS('세부(구축)'!$B:$B,'집계(구축)'!$B19,'세부(구축)'!$C:$C,'집계(구축)'!R$15)</f>
        <v>0</v>
      </c>
      <c r="S19" s="8">
        <f>COUNTIFS('세부(구축)'!$B:$B,'집계(구축)'!$B19,'세부(구축)'!$C:$C,'집계(구축)'!S$15)</f>
        <v>0</v>
      </c>
      <c r="T19" s="8">
        <f>COUNTIFS('세부(구축)'!$B:$B,'집계(구축)'!$B19,'세부(구축)'!$C:$C,'집계(구축)'!T$15)</f>
        <v>0</v>
      </c>
      <c r="V19" s="17"/>
    </row>
    <row r="20" spans="1:22" ht="20.100000000000001" customHeight="1" x14ac:dyDescent="0.15">
      <c r="A20" s="3">
        <f t="shared" si="1"/>
        <v>5</v>
      </c>
      <c r="B20" s="31" t="s">
        <v>48</v>
      </c>
      <c r="C20" s="59">
        <f t="shared" si="0"/>
        <v>0</v>
      </c>
      <c r="D20" s="60">
        <f>COUNTIFS('세부(구축)'!B:B,'집계(구축)'!B20,'세부(구축)'!G:G,"완료")+H20</f>
        <v>0</v>
      </c>
      <c r="E20" s="8">
        <f>SUM(COUNTIFS('세부(구축)'!B:B,'집계(구축)'!B20,'세부(구축)'!G:G,"작성중"),COUNTIFS('세부(구축)'!B:B,'집계(구축)'!B20,'세부(구축)'!G:G,"접수대기"))</f>
        <v>0</v>
      </c>
      <c r="F20" s="8">
        <f>COUNTIFS('세부(구축)'!J:J,"발행",'세부(구축)'!B:B,'집계(구축)'!B20)</f>
        <v>0</v>
      </c>
      <c r="G20" s="8">
        <f>COUNTIFS('세부(구축)'!K:K,"수령",'세부(구축)'!$B:$B,'집계(구축)'!$B20)</f>
        <v>0</v>
      </c>
      <c r="H20" s="37">
        <f>COUNTIFS('세부(구축)'!$B:$B,'집계(구축)'!B20,'세부(구축)'!$G:$G,"취소")</f>
        <v>0</v>
      </c>
      <c r="I20" s="8">
        <f>COUNTIFS('세부(구축)'!B:B,'집계(구축)'!B20,'세부(구축)'!C:C,'집계(구축)'!$I$15)</f>
        <v>0</v>
      </c>
      <c r="J20" s="8">
        <f>COUNTIFS('세부(구축)'!$B:$B,'집계(구축)'!$B20,'세부(구축)'!$C:$C,'집계(구축)'!J$15)</f>
        <v>0</v>
      </c>
      <c r="K20" s="8">
        <f>COUNTIFS('세부(구축)'!$B:$B,'집계(구축)'!$B20,'세부(구축)'!$C:$C,'집계(구축)'!K$15)</f>
        <v>0</v>
      </c>
      <c r="L20" s="8">
        <f>COUNTIFS('세부(구축)'!$B:$B,'집계(구축)'!$B20,'세부(구축)'!$C:$C,'집계(구축)'!L$15)</f>
        <v>0</v>
      </c>
      <c r="M20" s="8">
        <f>COUNTIFS('세부(구축)'!$B:$B,'집계(구축)'!$B20,'세부(구축)'!$C:$C,'집계(구축)'!M$15)</f>
        <v>0</v>
      </c>
      <c r="N20" s="8">
        <f>COUNTIFS('세부(구축)'!$B:$B,'집계(구축)'!$B20,'세부(구축)'!$C:$C,'집계(구축)'!N$15)</f>
        <v>0</v>
      </c>
      <c r="O20" s="8">
        <f>COUNTIFS('세부(구축)'!$B:$B,'집계(구축)'!$B20,'세부(구축)'!$C:$C,'집계(구축)'!O$15)</f>
        <v>0</v>
      </c>
      <c r="P20" s="8">
        <f>COUNTIFS('세부(구축)'!$B:$B,'집계(구축)'!$B20,'세부(구축)'!$C:$C,'집계(구축)'!P$15)</f>
        <v>0</v>
      </c>
      <c r="Q20" s="8">
        <f>COUNTIFS('세부(구축)'!$B:$B,'집계(구축)'!$B20,'세부(구축)'!$C:$C,'집계(구축)'!Q$15)</f>
        <v>0</v>
      </c>
      <c r="R20" s="8">
        <f>COUNTIFS('세부(구축)'!$B:$B,'집계(구축)'!$B20,'세부(구축)'!$C:$C,'집계(구축)'!R$15)</f>
        <v>0</v>
      </c>
      <c r="S20" s="8">
        <f>COUNTIFS('세부(구축)'!$B:$B,'집계(구축)'!$B20,'세부(구축)'!$C:$C,'집계(구축)'!S$15)</f>
        <v>0</v>
      </c>
      <c r="T20" s="8">
        <f>COUNTIFS('세부(구축)'!$B:$B,'집계(구축)'!$B20,'세부(구축)'!$C:$C,'집계(구축)'!T$15)</f>
        <v>0</v>
      </c>
    </row>
    <row r="21" spans="1:22" ht="20.100000000000001" customHeight="1" x14ac:dyDescent="0.15">
      <c r="A21" s="3">
        <f t="shared" si="1"/>
        <v>6</v>
      </c>
      <c r="B21" s="31" t="s">
        <v>50</v>
      </c>
      <c r="C21" s="59">
        <f t="shared" si="0"/>
        <v>0</v>
      </c>
      <c r="D21" s="60">
        <f>COUNTIFS('세부(구축)'!B:B,'집계(구축)'!B21,'세부(구축)'!G:G,"완료")+H21</f>
        <v>0</v>
      </c>
      <c r="E21" s="8">
        <f>SUM(COUNTIFS('세부(구축)'!B:B,'집계(구축)'!B21,'세부(구축)'!G:G,"작성중"),COUNTIFS('세부(구축)'!B:B,'집계(구축)'!B21,'세부(구축)'!G:G,"접수대기"))</f>
        <v>0</v>
      </c>
      <c r="F21" s="8">
        <f>COUNTIFS('세부(구축)'!J:J,"발행",'세부(구축)'!B:B,'집계(구축)'!B21)</f>
        <v>0</v>
      </c>
      <c r="G21" s="8">
        <f>COUNTIFS('세부(구축)'!K:K,"수령",'세부(구축)'!$B:$B,'집계(구축)'!$B21)</f>
        <v>0</v>
      </c>
      <c r="H21" s="37">
        <f>COUNTIFS('세부(구축)'!$B:$B,'집계(구축)'!B21,'세부(구축)'!$G:$G,"취소")</f>
        <v>0</v>
      </c>
      <c r="I21" s="8">
        <f>COUNTIFS('세부(구축)'!B:B,'집계(구축)'!B21,'세부(구축)'!C:C,'집계(구축)'!$I$15)</f>
        <v>0</v>
      </c>
      <c r="J21" s="8">
        <f>COUNTIFS('세부(구축)'!$B:$B,'집계(구축)'!$B21,'세부(구축)'!$C:$C,'집계(구축)'!J$15)</f>
        <v>0</v>
      </c>
      <c r="K21" s="8">
        <f>COUNTIFS('세부(구축)'!$B:$B,'집계(구축)'!$B21,'세부(구축)'!$C:$C,'집계(구축)'!K$15)</f>
        <v>0</v>
      </c>
      <c r="L21" s="8">
        <f>COUNTIFS('세부(구축)'!$B:$B,'집계(구축)'!$B21,'세부(구축)'!$C:$C,'집계(구축)'!L$15)</f>
        <v>0</v>
      </c>
      <c r="M21" s="8">
        <f>COUNTIFS('세부(구축)'!$B:$B,'집계(구축)'!$B21,'세부(구축)'!$C:$C,'집계(구축)'!M$15)</f>
        <v>0</v>
      </c>
      <c r="N21" s="8">
        <f>COUNTIFS('세부(구축)'!$B:$B,'집계(구축)'!$B21,'세부(구축)'!$C:$C,'집계(구축)'!N$15)</f>
        <v>0</v>
      </c>
      <c r="O21" s="8">
        <f>COUNTIFS('세부(구축)'!$B:$B,'집계(구축)'!$B21,'세부(구축)'!$C:$C,'집계(구축)'!O$15)</f>
        <v>0</v>
      </c>
      <c r="P21" s="8">
        <f>COUNTIFS('세부(구축)'!$B:$B,'집계(구축)'!$B21,'세부(구축)'!$C:$C,'집계(구축)'!P$15)</f>
        <v>0</v>
      </c>
      <c r="Q21" s="8">
        <f>COUNTIFS('세부(구축)'!$B:$B,'집계(구축)'!$B21,'세부(구축)'!$C:$C,'집계(구축)'!Q$15)</f>
        <v>0</v>
      </c>
      <c r="R21" s="8">
        <f>COUNTIFS('세부(구축)'!$B:$B,'집계(구축)'!$B21,'세부(구축)'!$C:$C,'집계(구축)'!R$15)</f>
        <v>0</v>
      </c>
      <c r="S21" s="8">
        <f>COUNTIFS('세부(구축)'!$B:$B,'집계(구축)'!$B21,'세부(구축)'!$C:$C,'집계(구축)'!S$15)</f>
        <v>0</v>
      </c>
      <c r="T21" s="8">
        <f>COUNTIFS('세부(구축)'!$B:$B,'집계(구축)'!$B21,'세부(구축)'!$C:$C,'집계(구축)'!T$15)</f>
        <v>0</v>
      </c>
    </row>
    <row r="22" spans="1:22" ht="20.100000000000001" customHeight="1" x14ac:dyDescent="0.15">
      <c r="A22" s="3">
        <f t="shared" si="1"/>
        <v>7</v>
      </c>
      <c r="B22" s="31" t="s">
        <v>28</v>
      </c>
      <c r="C22" s="59">
        <f t="shared" si="0"/>
        <v>0</v>
      </c>
      <c r="D22" s="60">
        <f>COUNTIFS('세부(구축)'!B:B,'집계(구축)'!B22,'세부(구축)'!G:G,"완료")+H22</f>
        <v>0</v>
      </c>
      <c r="E22" s="8">
        <f>SUM(COUNTIFS('세부(구축)'!B:B,'집계(구축)'!B22,'세부(구축)'!G:G,"작성중"),COUNTIFS('세부(구축)'!B:B,'집계(구축)'!B22,'세부(구축)'!G:G,"접수대기"))</f>
        <v>0</v>
      </c>
      <c r="F22" s="8">
        <f>COUNTIFS('세부(구축)'!J:J,"발행",'세부(구축)'!B:B,'집계(구축)'!B22)</f>
        <v>0</v>
      </c>
      <c r="G22" s="8">
        <f>COUNTIFS('세부(구축)'!K:K,"수령",'세부(구축)'!$B:$B,'집계(구축)'!$B22)</f>
        <v>0</v>
      </c>
      <c r="H22" s="37">
        <f>COUNTIFS('세부(구축)'!$B:$B,'집계(구축)'!B22,'세부(구축)'!$G:$G,"취소")</f>
        <v>0</v>
      </c>
      <c r="I22" s="8">
        <f>COUNTIFS('세부(구축)'!B:B,'집계(구축)'!B22,'세부(구축)'!C:C,'집계(구축)'!$I$15)</f>
        <v>0</v>
      </c>
      <c r="J22" s="8">
        <f>COUNTIFS('세부(구축)'!$B:$B,'집계(구축)'!$B22,'세부(구축)'!$C:$C,'집계(구축)'!J$15)</f>
        <v>0</v>
      </c>
      <c r="K22" s="8">
        <f>COUNTIFS('세부(구축)'!$B:$B,'집계(구축)'!$B22,'세부(구축)'!$C:$C,'집계(구축)'!K$15)</f>
        <v>0</v>
      </c>
      <c r="L22" s="8">
        <f>COUNTIFS('세부(구축)'!$B:$B,'집계(구축)'!$B22,'세부(구축)'!$C:$C,'집계(구축)'!L$15)</f>
        <v>0</v>
      </c>
      <c r="M22" s="8">
        <f>COUNTIFS('세부(구축)'!$B:$B,'집계(구축)'!$B22,'세부(구축)'!$C:$C,'집계(구축)'!M$15)</f>
        <v>0</v>
      </c>
      <c r="N22" s="8">
        <f>COUNTIFS('세부(구축)'!$B:$B,'집계(구축)'!$B22,'세부(구축)'!$C:$C,'집계(구축)'!N$15)</f>
        <v>0</v>
      </c>
      <c r="O22" s="8">
        <f>COUNTIFS('세부(구축)'!$B:$B,'집계(구축)'!$B22,'세부(구축)'!$C:$C,'집계(구축)'!O$15)</f>
        <v>0</v>
      </c>
      <c r="P22" s="8">
        <f>COUNTIFS('세부(구축)'!$B:$B,'집계(구축)'!$B22,'세부(구축)'!$C:$C,'집계(구축)'!P$15)</f>
        <v>0</v>
      </c>
      <c r="Q22" s="8">
        <f>COUNTIFS('세부(구축)'!$B:$B,'집계(구축)'!$B22,'세부(구축)'!$C:$C,'집계(구축)'!Q$15)</f>
        <v>0</v>
      </c>
      <c r="R22" s="8">
        <f>COUNTIFS('세부(구축)'!$B:$B,'집계(구축)'!$B22,'세부(구축)'!$C:$C,'집계(구축)'!R$15)</f>
        <v>0</v>
      </c>
      <c r="S22" s="8">
        <f>COUNTIFS('세부(구축)'!$B:$B,'집계(구축)'!$B22,'세부(구축)'!$C:$C,'집계(구축)'!S$15)</f>
        <v>0</v>
      </c>
      <c r="T22" s="8">
        <f>COUNTIFS('세부(구축)'!$B:$B,'집계(구축)'!$B22,'세부(구축)'!$C:$C,'집계(구축)'!T$15)</f>
        <v>0</v>
      </c>
    </row>
    <row r="23" spans="1:22" ht="20.100000000000001" customHeight="1" x14ac:dyDescent="0.15">
      <c r="A23" s="3">
        <f t="shared" si="1"/>
        <v>8</v>
      </c>
      <c r="B23" s="31" t="s">
        <v>34</v>
      </c>
      <c r="C23" s="59">
        <f t="shared" si="0"/>
        <v>0</v>
      </c>
      <c r="D23" s="60">
        <f>COUNTIFS('세부(구축)'!B:B,'집계(구축)'!B23,'세부(구축)'!G:G,"완료")+H23</f>
        <v>0</v>
      </c>
      <c r="E23" s="8">
        <f>SUM(COUNTIFS('세부(구축)'!B:B,'집계(구축)'!B23,'세부(구축)'!G:G,"작성중"),COUNTIFS('세부(구축)'!B:B,'집계(구축)'!B23,'세부(구축)'!G:G,"접수대기"))</f>
        <v>0</v>
      </c>
      <c r="F23" s="8">
        <f>COUNTIFS('세부(구축)'!J:J,"발행",'세부(구축)'!B:B,'집계(구축)'!B23)</f>
        <v>0</v>
      </c>
      <c r="G23" s="8">
        <f>COUNTIFS('세부(구축)'!K:K,"수령",'세부(구축)'!$B:$B,'집계(구축)'!$B23)</f>
        <v>0</v>
      </c>
      <c r="H23" s="37">
        <f>COUNTIFS('세부(구축)'!$B:$B,'집계(구축)'!B23,'세부(구축)'!$G:$G,"취소")</f>
        <v>0</v>
      </c>
      <c r="I23" s="8">
        <f>COUNTIFS('세부(구축)'!B:B,'집계(구축)'!B23,'세부(구축)'!C:C,'집계(구축)'!$I$15)</f>
        <v>0</v>
      </c>
      <c r="J23" s="8">
        <f>COUNTIFS('세부(구축)'!$B:$B,'집계(구축)'!$B23,'세부(구축)'!$C:$C,'집계(구축)'!J$15)</f>
        <v>0</v>
      </c>
      <c r="K23" s="8">
        <f>COUNTIFS('세부(구축)'!$B:$B,'집계(구축)'!$B23,'세부(구축)'!$C:$C,'집계(구축)'!K$15)</f>
        <v>0</v>
      </c>
      <c r="L23" s="8">
        <f>COUNTIFS('세부(구축)'!$B:$B,'집계(구축)'!$B23,'세부(구축)'!$C:$C,'집계(구축)'!L$15)</f>
        <v>0</v>
      </c>
      <c r="M23" s="8">
        <f>COUNTIFS('세부(구축)'!$B:$B,'집계(구축)'!$B23,'세부(구축)'!$C:$C,'집계(구축)'!M$15)</f>
        <v>0</v>
      </c>
      <c r="N23" s="8">
        <f>COUNTIFS('세부(구축)'!$B:$B,'집계(구축)'!$B23,'세부(구축)'!$C:$C,'집계(구축)'!N$15)</f>
        <v>0</v>
      </c>
      <c r="O23" s="8">
        <f>COUNTIFS('세부(구축)'!$B:$B,'집계(구축)'!$B23,'세부(구축)'!$C:$C,'집계(구축)'!O$15)</f>
        <v>0</v>
      </c>
      <c r="P23" s="8">
        <f>COUNTIFS('세부(구축)'!$B:$B,'집계(구축)'!$B23,'세부(구축)'!$C:$C,'집계(구축)'!P$15)</f>
        <v>0</v>
      </c>
      <c r="Q23" s="8">
        <f>COUNTIFS('세부(구축)'!$B:$B,'집계(구축)'!$B23,'세부(구축)'!$C:$C,'집계(구축)'!Q$15)</f>
        <v>0</v>
      </c>
      <c r="R23" s="8">
        <f>COUNTIFS('세부(구축)'!$B:$B,'집계(구축)'!$B23,'세부(구축)'!$C:$C,'집계(구축)'!R$15)</f>
        <v>0</v>
      </c>
      <c r="S23" s="8">
        <f>COUNTIFS('세부(구축)'!$B:$B,'집계(구축)'!$B23,'세부(구축)'!$C:$C,'집계(구축)'!S$15)</f>
        <v>0</v>
      </c>
      <c r="T23" s="8">
        <f>COUNTIFS('세부(구축)'!$B:$B,'집계(구축)'!$B23,'세부(구축)'!$C:$C,'집계(구축)'!T$15)</f>
        <v>0</v>
      </c>
    </row>
    <row r="24" spans="1:22" ht="20.100000000000001" customHeight="1" x14ac:dyDescent="0.15">
      <c r="A24" s="3">
        <f t="shared" si="1"/>
        <v>9</v>
      </c>
      <c r="B24" s="31" t="s">
        <v>154</v>
      </c>
      <c r="C24" s="59">
        <f t="shared" si="0"/>
        <v>13</v>
      </c>
      <c r="D24" s="60">
        <f>COUNTIFS('세부(구축)'!B:B,'집계(구축)'!B24,'세부(구축)'!G:G,"완료")+H24</f>
        <v>0</v>
      </c>
      <c r="E24" s="8">
        <f>SUM(COUNTIFS('세부(구축)'!B:B,'집계(구축)'!B24,'세부(구축)'!G:G,"작성중"),COUNTIFS('세부(구축)'!B:B,'집계(구축)'!B24,'세부(구축)'!G:G,"접수대기"))</f>
        <v>13</v>
      </c>
      <c r="F24" s="8">
        <f>COUNTIFS('세부(구축)'!J:J,"발행",'세부(구축)'!B:B,'집계(구축)'!B24)</f>
        <v>0</v>
      </c>
      <c r="G24" s="8">
        <f>COUNTIFS('세부(구축)'!K:K,"수령",'세부(구축)'!$B:$B,'집계(구축)'!$B24)</f>
        <v>0</v>
      </c>
      <c r="H24" s="37">
        <f>COUNTIFS('세부(구축)'!$B:$B,'집계(구축)'!B24,'세부(구축)'!$G:$G,"취소")</f>
        <v>0</v>
      </c>
      <c r="I24" s="8">
        <f>COUNTIFS('세부(구축)'!B:B,'집계(구축)'!B24,'세부(구축)'!C:C,'집계(구축)'!$I$15)</f>
        <v>0</v>
      </c>
      <c r="J24" s="8">
        <f>COUNTIFS('세부(구축)'!$B:$B,'집계(구축)'!$B24,'세부(구축)'!$C:$C,'집계(구축)'!J$15)</f>
        <v>0</v>
      </c>
      <c r="K24" s="8">
        <f>COUNTIFS('세부(구축)'!$B:$B,'집계(구축)'!$B24,'세부(구축)'!$C:$C,'집계(구축)'!K$15)</f>
        <v>0</v>
      </c>
      <c r="L24" s="8">
        <f>COUNTIFS('세부(구축)'!$B:$B,'집계(구축)'!$B24,'세부(구축)'!$C:$C,'집계(구축)'!L$15)</f>
        <v>0</v>
      </c>
      <c r="M24" s="8">
        <f>COUNTIFS('세부(구축)'!$B:$B,'집계(구축)'!$B24,'세부(구축)'!$C:$C,'집계(구축)'!M$15)</f>
        <v>0</v>
      </c>
      <c r="N24" s="8">
        <f>COUNTIFS('세부(구축)'!$B:$B,'집계(구축)'!$B24,'세부(구축)'!$C:$C,'집계(구축)'!N$15)</f>
        <v>0</v>
      </c>
      <c r="O24" s="8">
        <f>COUNTIFS('세부(구축)'!$B:$B,'집계(구축)'!$B24,'세부(구축)'!$C:$C,'집계(구축)'!O$15)</f>
        <v>0</v>
      </c>
      <c r="P24" s="8">
        <f>COUNTIFS('세부(구축)'!$B:$B,'집계(구축)'!$B24,'세부(구축)'!$C:$C,'집계(구축)'!P$15)</f>
        <v>0</v>
      </c>
      <c r="Q24" s="8">
        <f>COUNTIFS('세부(구축)'!$B:$B,'집계(구축)'!$B24,'세부(구축)'!$C:$C,'집계(구축)'!Q$15)</f>
        <v>0</v>
      </c>
      <c r="R24" s="8">
        <f>COUNTIFS('세부(구축)'!$B:$B,'집계(구축)'!$B24,'세부(구축)'!$C:$C,'집계(구축)'!R$15)</f>
        <v>0</v>
      </c>
      <c r="S24" s="8">
        <f>COUNTIFS('세부(구축)'!$B:$B,'집계(구축)'!$B24,'세부(구축)'!$C:$C,'집계(구축)'!S$15)</f>
        <v>0</v>
      </c>
      <c r="T24" s="8">
        <f>COUNTIFS('세부(구축)'!$B:$B,'집계(구축)'!$B24,'세부(구축)'!$C:$C,'집계(구축)'!T$15)</f>
        <v>0</v>
      </c>
    </row>
    <row r="25" spans="1:22" ht="20.100000000000001" customHeight="1" x14ac:dyDescent="0.15">
      <c r="A25" s="3">
        <f t="shared" si="1"/>
        <v>10</v>
      </c>
      <c r="B25" s="31" t="s">
        <v>155</v>
      </c>
      <c r="C25" s="59">
        <f t="shared" si="0"/>
        <v>1</v>
      </c>
      <c r="D25" s="60">
        <f>COUNTIFS('세부(구축)'!B:B,'집계(구축)'!B25,'세부(구축)'!G:G,"완료")+H25</f>
        <v>0</v>
      </c>
      <c r="E25" s="8">
        <f>SUM(COUNTIFS('세부(구축)'!B:B,'집계(구축)'!B25,'세부(구축)'!G:G,"작성중"),COUNTIFS('세부(구축)'!B:B,'집계(구축)'!B25,'세부(구축)'!G:G,"접수대기"))</f>
        <v>1</v>
      </c>
      <c r="F25" s="8">
        <f>COUNTIFS('세부(구축)'!J:J,"발행",'세부(구축)'!B:B,'집계(구축)'!B25)</f>
        <v>0</v>
      </c>
      <c r="G25" s="8">
        <f>COUNTIFS('세부(구축)'!K:K,"수령",'세부(구축)'!$B:$B,'집계(구축)'!$B25)</f>
        <v>0</v>
      </c>
      <c r="H25" s="37">
        <f>COUNTIFS('세부(구축)'!$B:$B,'집계(구축)'!B25,'세부(구축)'!$G:$G,"취소")</f>
        <v>0</v>
      </c>
      <c r="I25" s="8">
        <f>COUNTIFS('세부(구축)'!B:B,'집계(구축)'!B25,'세부(구축)'!C:C,'집계(구축)'!$I$15)</f>
        <v>0</v>
      </c>
      <c r="J25" s="8">
        <f>COUNTIFS('세부(구축)'!$B:$B,'집계(구축)'!$B25,'세부(구축)'!$C:$C,'집계(구축)'!J$15)</f>
        <v>0</v>
      </c>
      <c r="K25" s="8">
        <f>COUNTIFS('세부(구축)'!$B:$B,'집계(구축)'!$B25,'세부(구축)'!$C:$C,'집계(구축)'!K$15)</f>
        <v>0</v>
      </c>
      <c r="L25" s="8">
        <f>COUNTIFS('세부(구축)'!$B:$B,'집계(구축)'!$B25,'세부(구축)'!$C:$C,'집계(구축)'!L$15)</f>
        <v>0</v>
      </c>
      <c r="M25" s="8">
        <f>COUNTIFS('세부(구축)'!$B:$B,'집계(구축)'!$B25,'세부(구축)'!$C:$C,'집계(구축)'!M$15)</f>
        <v>0</v>
      </c>
      <c r="N25" s="8">
        <f>COUNTIFS('세부(구축)'!$B:$B,'집계(구축)'!$B25,'세부(구축)'!$C:$C,'집계(구축)'!N$15)</f>
        <v>0</v>
      </c>
      <c r="O25" s="8">
        <f>COUNTIFS('세부(구축)'!$B:$B,'집계(구축)'!$B25,'세부(구축)'!$C:$C,'집계(구축)'!O$15)</f>
        <v>0</v>
      </c>
      <c r="P25" s="8">
        <f>COUNTIFS('세부(구축)'!$B:$B,'집계(구축)'!$B25,'세부(구축)'!$C:$C,'집계(구축)'!P$15)</f>
        <v>0</v>
      </c>
      <c r="Q25" s="8">
        <f>COUNTIFS('세부(구축)'!$B:$B,'집계(구축)'!$B25,'세부(구축)'!$C:$C,'집계(구축)'!Q$15)</f>
        <v>4</v>
      </c>
      <c r="R25" s="8">
        <f>COUNTIFS('세부(구축)'!$B:$B,'집계(구축)'!$B25,'세부(구축)'!$C:$C,'집계(구축)'!R$15)</f>
        <v>0</v>
      </c>
      <c r="S25" s="8">
        <f>COUNTIFS('세부(구축)'!$B:$B,'집계(구축)'!$B25,'세부(구축)'!$C:$C,'집계(구축)'!S$15)</f>
        <v>0</v>
      </c>
      <c r="T25" s="8">
        <f>COUNTIFS('세부(구축)'!$B:$B,'집계(구축)'!$B25,'세부(구축)'!$C:$C,'집계(구축)'!T$15)</f>
        <v>0</v>
      </c>
    </row>
    <row r="26" spans="1:22" ht="20.100000000000001" customHeight="1" x14ac:dyDescent="0.15">
      <c r="A26" s="3">
        <f t="shared" si="1"/>
        <v>11</v>
      </c>
      <c r="B26" s="31" t="s">
        <v>21</v>
      </c>
      <c r="C26" s="59">
        <f t="shared" si="0"/>
        <v>0</v>
      </c>
      <c r="D26" s="60">
        <f>COUNTIFS('세부(구축)'!B:B,'집계(구축)'!B26,'세부(구축)'!G:G,"완료")+H26</f>
        <v>0</v>
      </c>
      <c r="E26" s="8">
        <f>SUM(COUNTIFS('세부(구축)'!B:B,'집계(구축)'!B26,'세부(구축)'!G:G,"작성중"),COUNTIFS('세부(구축)'!B:B,'집계(구축)'!B26,'세부(구축)'!G:G,"접수대기"))</f>
        <v>0</v>
      </c>
      <c r="F26" s="8">
        <f>COUNTIFS('세부(구축)'!J:J,"발행",'세부(구축)'!B:B,'집계(구축)'!B26)</f>
        <v>0</v>
      </c>
      <c r="G26" s="8">
        <f>COUNTIFS('세부(구축)'!K:K,"수령",'세부(구축)'!$B:$B,'집계(구축)'!$B26)</f>
        <v>0</v>
      </c>
      <c r="H26" s="37">
        <f>COUNTIFS('세부(구축)'!$B:$B,'집계(구축)'!B26,'세부(구축)'!$G:$G,"취소")</f>
        <v>0</v>
      </c>
      <c r="I26" s="8">
        <f>COUNTIFS('세부(구축)'!B:B,'집계(구축)'!B26,'세부(구축)'!C:C,'집계(구축)'!$I$15)</f>
        <v>0</v>
      </c>
      <c r="J26" s="8">
        <f>COUNTIFS('세부(구축)'!$B:$B,'집계(구축)'!$B26,'세부(구축)'!$C:$C,'집계(구축)'!J$15)</f>
        <v>0</v>
      </c>
      <c r="K26" s="8">
        <f>COUNTIFS('세부(구축)'!$B:$B,'집계(구축)'!$B26,'세부(구축)'!$C:$C,'집계(구축)'!K$15)</f>
        <v>0</v>
      </c>
      <c r="L26" s="8">
        <f>COUNTIFS('세부(구축)'!$B:$B,'집계(구축)'!$B26,'세부(구축)'!$C:$C,'집계(구축)'!L$15)</f>
        <v>0</v>
      </c>
      <c r="M26" s="8">
        <f>COUNTIFS('세부(구축)'!$B:$B,'집계(구축)'!$B26,'세부(구축)'!$C:$C,'집계(구축)'!M$15)</f>
        <v>0</v>
      </c>
      <c r="N26" s="8">
        <f>COUNTIFS('세부(구축)'!$B:$B,'집계(구축)'!$B26,'세부(구축)'!$C:$C,'집계(구축)'!N$15)</f>
        <v>0</v>
      </c>
      <c r="O26" s="8">
        <f>COUNTIFS('세부(구축)'!$B:$B,'집계(구축)'!$B26,'세부(구축)'!$C:$C,'집계(구축)'!O$15)</f>
        <v>0</v>
      </c>
      <c r="P26" s="8">
        <f>COUNTIFS('세부(구축)'!$B:$B,'집계(구축)'!$B26,'세부(구축)'!$C:$C,'집계(구축)'!P$15)</f>
        <v>0</v>
      </c>
      <c r="Q26" s="8">
        <f>COUNTIFS('세부(구축)'!$B:$B,'집계(구축)'!$B26,'세부(구축)'!$C:$C,'집계(구축)'!Q$15)</f>
        <v>0</v>
      </c>
      <c r="R26" s="8">
        <f>COUNTIFS('세부(구축)'!$B:$B,'집계(구축)'!$B26,'세부(구축)'!$C:$C,'집계(구축)'!R$15)</f>
        <v>0</v>
      </c>
      <c r="S26" s="8">
        <f>COUNTIFS('세부(구축)'!$B:$B,'집계(구축)'!$B26,'세부(구축)'!$C:$C,'집계(구축)'!S$15)</f>
        <v>0</v>
      </c>
      <c r="T26" s="8">
        <f>COUNTIFS('세부(구축)'!$B:$B,'집계(구축)'!$B26,'세부(구축)'!$C:$C,'집계(구축)'!T$15)</f>
        <v>0</v>
      </c>
    </row>
    <row r="27" spans="1:22" ht="20.100000000000001" customHeight="1" x14ac:dyDescent="0.15">
      <c r="A27" s="3">
        <f t="shared" si="1"/>
        <v>12</v>
      </c>
      <c r="B27" s="31" t="s">
        <v>47</v>
      </c>
      <c r="C27" s="59">
        <f t="shared" si="0"/>
        <v>0</v>
      </c>
      <c r="D27" s="60">
        <f>COUNTIFS('세부(구축)'!B:B,'집계(구축)'!B27,'세부(구축)'!G:G,"완료")+H27</f>
        <v>0</v>
      </c>
      <c r="E27" s="8">
        <f>SUM(COUNTIFS('세부(구축)'!B:B,'집계(구축)'!B27,'세부(구축)'!G:G,"작성중"),COUNTIFS('세부(구축)'!B:B,'집계(구축)'!B27,'세부(구축)'!G:G,"접수대기"))</f>
        <v>0</v>
      </c>
      <c r="F27" s="8">
        <f>COUNTIFS('세부(구축)'!J:J,"발행",'세부(구축)'!B:B,'집계(구축)'!B27)</f>
        <v>0</v>
      </c>
      <c r="G27" s="8">
        <f>COUNTIFS('세부(구축)'!K:K,"수령",'세부(구축)'!$B:$B,'집계(구축)'!$B27)</f>
        <v>0</v>
      </c>
      <c r="H27" s="37">
        <f>COUNTIFS('세부(구축)'!$B:$B,'집계(구축)'!B27,'세부(구축)'!$G:$G,"취소")</f>
        <v>0</v>
      </c>
      <c r="I27" s="8">
        <f>COUNTIFS('세부(구축)'!B:B,'집계(구축)'!B27,'세부(구축)'!C:C,'집계(구축)'!$I$15)</f>
        <v>0</v>
      </c>
      <c r="J27" s="8">
        <f>COUNTIFS('세부(구축)'!$B:$B,'집계(구축)'!$B27,'세부(구축)'!$C:$C,'집계(구축)'!J$15)</f>
        <v>0</v>
      </c>
      <c r="K27" s="8">
        <f>COUNTIFS('세부(구축)'!$B:$B,'집계(구축)'!$B27,'세부(구축)'!$C:$C,'집계(구축)'!K$15)</f>
        <v>0</v>
      </c>
      <c r="L27" s="8">
        <f>COUNTIFS('세부(구축)'!$B:$B,'집계(구축)'!$B27,'세부(구축)'!$C:$C,'집계(구축)'!L$15)</f>
        <v>0</v>
      </c>
      <c r="M27" s="8">
        <f>COUNTIFS('세부(구축)'!$B:$B,'집계(구축)'!$B27,'세부(구축)'!$C:$C,'집계(구축)'!M$15)</f>
        <v>0</v>
      </c>
      <c r="N27" s="8">
        <f>COUNTIFS('세부(구축)'!$B:$B,'집계(구축)'!$B27,'세부(구축)'!$C:$C,'집계(구축)'!N$15)</f>
        <v>0</v>
      </c>
      <c r="O27" s="8">
        <f>COUNTIFS('세부(구축)'!$B:$B,'집계(구축)'!$B27,'세부(구축)'!$C:$C,'집계(구축)'!O$15)</f>
        <v>0</v>
      </c>
      <c r="P27" s="8">
        <f>COUNTIFS('세부(구축)'!$B:$B,'집계(구축)'!$B27,'세부(구축)'!$C:$C,'집계(구축)'!P$15)</f>
        <v>0</v>
      </c>
      <c r="Q27" s="8">
        <f>COUNTIFS('세부(구축)'!$B:$B,'집계(구축)'!$B27,'세부(구축)'!$C:$C,'집계(구축)'!Q$15)</f>
        <v>0</v>
      </c>
      <c r="R27" s="8">
        <f>COUNTIFS('세부(구축)'!$B:$B,'집계(구축)'!$B27,'세부(구축)'!$C:$C,'집계(구축)'!R$15)</f>
        <v>0</v>
      </c>
      <c r="S27" s="8">
        <f>COUNTIFS('세부(구축)'!$B:$B,'집계(구축)'!$B27,'세부(구축)'!$C:$C,'집계(구축)'!S$15)</f>
        <v>0</v>
      </c>
      <c r="T27" s="8">
        <f>COUNTIFS('세부(구축)'!$B:$B,'집계(구축)'!$B27,'세부(구축)'!$C:$C,'집계(구축)'!T$15)</f>
        <v>0</v>
      </c>
    </row>
    <row r="28" spans="1:22" ht="20.100000000000001" customHeight="1" x14ac:dyDescent="0.15">
      <c r="A28" s="3">
        <f t="shared" si="1"/>
        <v>13</v>
      </c>
      <c r="B28" s="31" t="s">
        <v>24</v>
      </c>
      <c r="C28" s="59">
        <f t="shared" si="0"/>
        <v>1</v>
      </c>
      <c r="D28" s="60">
        <f>COUNTIFS('세부(구축)'!B:B,'집계(구축)'!B28,'세부(구축)'!G:G,"완료")+H28</f>
        <v>0</v>
      </c>
      <c r="E28" s="8">
        <f>SUM(COUNTIFS('세부(구축)'!B:B,'집계(구축)'!B28,'세부(구축)'!G:G,"작성중"),COUNTIFS('세부(구축)'!B:B,'집계(구축)'!B28,'세부(구축)'!G:G,"접수대기"))</f>
        <v>1</v>
      </c>
      <c r="F28" s="8">
        <f>COUNTIFS('세부(구축)'!J:J,"발행",'세부(구축)'!B:B,'집계(구축)'!B28)</f>
        <v>0</v>
      </c>
      <c r="G28" s="8">
        <f>COUNTIFS('세부(구축)'!K:K,"수령",'세부(구축)'!$B:$B,'집계(구축)'!$B28)</f>
        <v>0</v>
      </c>
      <c r="H28" s="37">
        <f>COUNTIFS('세부(구축)'!$B:$B,'집계(구축)'!B28,'세부(구축)'!$G:$G,"취소")</f>
        <v>0</v>
      </c>
      <c r="I28" s="8">
        <f>COUNTIFS('세부(구축)'!B:B,'집계(구축)'!B28,'세부(구축)'!C:C,'집계(구축)'!$I$15)</f>
        <v>0</v>
      </c>
      <c r="J28" s="8">
        <f>COUNTIFS('세부(구축)'!$B:$B,'집계(구축)'!$B28,'세부(구축)'!$C:$C,'집계(구축)'!J$15)</f>
        <v>0</v>
      </c>
      <c r="K28" s="8">
        <f>COUNTIFS('세부(구축)'!$B:$B,'집계(구축)'!$B28,'세부(구축)'!$C:$C,'집계(구축)'!K$15)</f>
        <v>0</v>
      </c>
      <c r="L28" s="8">
        <f>COUNTIFS('세부(구축)'!$B:$B,'집계(구축)'!$B28,'세부(구축)'!$C:$C,'집계(구축)'!L$15)</f>
        <v>0</v>
      </c>
      <c r="M28" s="8">
        <f>COUNTIFS('세부(구축)'!$B:$B,'집계(구축)'!$B28,'세부(구축)'!$C:$C,'집계(구축)'!M$15)</f>
        <v>0</v>
      </c>
      <c r="N28" s="8">
        <f>COUNTIFS('세부(구축)'!$B:$B,'집계(구축)'!$B28,'세부(구축)'!$C:$C,'집계(구축)'!N$15)</f>
        <v>0</v>
      </c>
      <c r="O28" s="8">
        <f>COUNTIFS('세부(구축)'!$B:$B,'집계(구축)'!$B28,'세부(구축)'!$C:$C,'집계(구축)'!O$15)</f>
        <v>0</v>
      </c>
      <c r="P28" s="8">
        <f>COUNTIFS('세부(구축)'!$B:$B,'집계(구축)'!$B28,'세부(구축)'!$C:$C,'집계(구축)'!P$15)</f>
        <v>0</v>
      </c>
      <c r="Q28" s="8">
        <f>COUNTIFS('세부(구축)'!$B:$B,'집계(구축)'!$B28,'세부(구축)'!$C:$C,'집계(구축)'!Q$15)</f>
        <v>2</v>
      </c>
      <c r="R28" s="8">
        <f>COUNTIFS('세부(구축)'!$B:$B,'집계(구축)'!$B28,'세부(구축)'!$C:$C,'집계(구축)'!R$15)</f>
        <v>0</v>
      </c>
      <c r="S28" s="8">
        <f>COUNTIFS('세부(구축)'!$B:$B,'집계(구축)'!$B28,'세부(구축)'!$C:$C,'집계(구축)'!S$15)</f>
        <v>0</v>
      </c>
      <c r="T28" s="8">
        <f>COUNTIFS('세부(구축)'!$B:$B,'집계(구축)'!$B28,'세부(구축)'!$C:$C,'집계(구축)'!T$15)</f>
        <v>0</v>
      </c>
    </row>
    <row r="29" spans="1:22" ht="20.100000000000001" customHeight="1" x14ac:dyDescent="0.15">
      <c r="A29" s="3">
        <f t="shared" si="1"/>
        <v>14</v>
      </c>
      <c r="B29" s="31" t="s">
        <v>199</v>
      </c>
      <c r="C29" s="59">
        <f t="shared" si="0"/>
        <v>0</v>
      </c>
      <c r="D29" s="60">
        <f>COUNTIFS('세부(구축)'!B:B,'집계(구축)'!B29,'세부(구축)'!G:G,"완료")+H29</f>
        <v>0</v>
      </c>
      <c r="E29" s="8">
        <f>SUM(COUNTIFS('세부(구축)'!B:B,'집계(구축)'!B29,'세부(구축)'!G:G,"작성중"),COUNTIFS('세부(구축)'!B:B,'집계(구축)'!B29,'세부(구축)'!G:G,"접수대기"))</f>
        <v>0</v>
      </c>
      <c r="F29" s="8">
        <f>COUNTIFS('세부(구축)'!J:J,"발행",'세부(구축)'!B:B,'집계(구축)'!B29)</f>
        <v>0</v>
      </c>
      <c r="G29" s="8">
        <f>COUNTIFS('세부(구축)'!K:K,"수령",'세부(구축)'!$B:$B,'집계(구축)'!$B29)</f>
        <v>0</v>
      </c>
      <c r="H29" s="37">
        <f>COUNTIFS('세부(구축)'!$B:$B,'집계(구축)'!B29,'세부(구축)'!$G:$G,"취소")</f>
        <v>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2" ht="20.100000000000001" customHeight="1" x14ac:dyDescent="0.15">
      <c r="A30" s="3">
        <f t="shared" si="1"/>
        <v>15</v>
      </c>
      <c r="B30" s="31" t="s">
        <v>200</v>
      </c>
      <c r="C30" s="59">
        <f t="shared" si="0"/>
        <v>13</v>
      </c>
      <c r="D30" s="60">
        <f>COUNTIFS('세부(구축)'!B:B,'집계(구축)'!B30,'세부(구축)'!G:G,"완료")+H30</f>
        <v>0</v>
      </c>
      <c r="E30" s="8">
        <f>SUM(COUNTIFS('세부(구축)'!B:B,'집계(구축)'!B30,'세부(구축)'!G:G,"작성중"),COUNTIFS('세부(구축)'!B:B,'집계(구축)'!B30,'세부(구축)'!G:G,"접수대기"))</f>
        <v>13</v>
      </c>
      <c r="F30" s="8">
        <f>COUNTIFS('세부(구축)'!J:J,"발행",'세부(구축)'!B:B,'집계(구축)'!B30)</f>
        <v>0</v>
      </c>
      <c r="G30" s="8">
        <f>COUNTIFS('세부(구축)'!K:K,"수령",'세부(구축)'!$B:$B,'집계(구축)'!$B30)</f>
        <v>0</v>
      </c>
      <c r="H30" s="37">
        <f>COUNTIFS('세부(구축)'!$B:$B,'집계(구축)'!B30,'세부(구축)'!$G:$G,"취소")</f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2" ht="20.100000000000001" customHeight="1" x14ac:dyDescent="0.15">
      <c r="A31" s="3">
        <f t="shared" si="1"/>
        <v>16</v>
      </c>
      <c r="B31" s="31" t="s">
        <v>204</v>
      </c>
      <c r="C31" s="59">
        <f t="shared" si="0"/>
        <v>0</v>
      </c>
      <c r="D31" s="60">
        <f>COUNTIFS('세부(구축)'!B:B,'집계(구축)'!B31,'세부(구축)'!G:G,"완료")+H31</f>
        <v>0</v>
      </c>
      <c r="E31" s="8">
        <f>SUM(COUNTIFS('세부(구축)'!B:B,'집계(구축)'!B31,'세부(구축)'!G:G,"작성중"),COUNTIFS('세부(구축)'!B:B,'집계(구축)'!B31,'세부(구축)'!G:G,"접수대기"))</f>
        <v>0</v>
      </c>
      <c r="F31" s="8">
        <f>COUNTIFS('세부(구축)'!J:J,"발행",'세부(구축)'!B:B,'집계(구축)'!B31)</f>
        <v>0</v>
      </c>
      <c r="G31" s="8">
        <f>COUNTIFS('세부(구축)'!K:K,"수령",'세부(구축)'!$B:$B,'집계(구축)'!$B31)</f>
        <v>0</v>
      </c>
      <c r="H31" s="37">
        <f>COUNTIFS('세부(구축)'!$B:$B,'집계(구축)'!B31,'세부(구축)'!$G:$G,"취소")</f>
        <v>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2" ht="20.100000000000001" customHeight="1" x14ac:dyDescent="0.15">
      <c r="A32" s="3">
        <f t="shared" si="1"/>
        <v>17</v>
      </c>
      <c r="B32" s="31" t="s">
        <v>264</v>
      </c>
      <c r="C32" s="59">
        <f t="shared" ref="C32:C38" si="2">SUM(D32:E32)</f>
        <v>0</v>
      </c>
      <c r="D32" s="60">
        <f>COUNTIFS('세부(구축)'!B:B,'집계(구축)'!B32,'세부(구축)'!G:G,"완료")+H32</f>
        <v>0</v>
      </c>
      <c r="E32" s="8">
        <f>SUM(COUNTIFS('세부(구축)'!B:B,'집계(구축)'!B32,'세부(구축)'!G:G,"작성중"),COUNTIFS('세부(구축)'!B:B,'집계(구축)'!B32,'세부(구축)'!G:G,"접수대기"))</f>
        <v>0</v>
      </c>
      <c r="F32" s="8">
        <f>COUNTIFS('세부(구축)'!J:J,"발행",'세부(구축)'!B:B,'집계(구축)'!B32)</f>
        <v>0</v>
      </c>
      <c r="G32" s="8">
        <f>COUNTIFS('세부(구축)'!K:K,"수령",'세부(구축)'!$B:$B,'집계(구축)'!$B32)</f>
        <v>0</v>
      </c>
      <c r="H32" s="37">
        <f>COUNTIFS('세부(구축)'!$B:$B,'집계(구축)'!B32,'세부(구축)'!$G:$G,"취소")</f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2" ht="20.100000000000001" customHeight="1" x14ac:dyDescent="0.15">
      <c r="A33" s="3">
        <f t="shared" si="1"/>
        <v>18</v>
      </c>
      <c r="B33" s="31" t="s">
        <v>262</v>
      </c>
      <c r="C33" s="59">
        <f t="shared" si="2"/>
        <v>0</v>
      </c>
      <c r="D33" s="60">
        <f>COUNTIFS('세부(구축)'!B:B,'집계(구축)'!B33,'세부(구축)'!G:G,"완료")+H33</f>
        <v>0</v>
      </c>
      <c r="E33" s="8">
        <f>SUM(COUNTIFS('세부(구축)'!B:B,'집계(구축)'!B33,'세부(구축)'!G:G,"작성중"),COUNTIFS('세부(구축)'!B:B,'집계(구축)'!B33,'세부(구축)'!G:G,"접수대기"))</f>
        <v>0</v>
      </c>
      <c r="F33" s="8">
        <f>COUNTIFS('세부(구축)'!J:J,"발행",'세부(구축)'!B:B,'집계(구축)'!B33)</f>
        <v>0</v>
      </c>
      <c r="G33" s="8">
        <f>COUNTIFS('세부(구축)'!K:K,"수령",'세부(구축)'!$B:$B,'집계(구축)'!$B33)</f>
        <v>0</v>
      </c>
      <c r="H33" s="37">
        <f>COUNTIFS('세부(구축)'!$B:$B,'집계(구축)'!B33,'세부(구축)'!$G:$G,"취소")</f>
        <v>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2" ht="20.100000000000001" customHeight="1" x14ac:dyDescent="0.15">
      <c r="A34" s="3">
        <f t="shared" si="1"/>
        <v>19</v>
      </c>
      <c r="B34" s="31" t="s">
        <v>263</v>
      </c>
      <c r="C34" s="59">
        <f t="shared" si="2"/>
        <v>0</v>
      </c>
      <c r="D34" s="60">
        <f>COUNTIFS('세부(구축)'!B:B,'집계(구축)'!B34,'세부(구축)'!G:G,"완료")+H34</f>
        <v>0</v>
      </c>
      <c r="E34" s="8">
        <f>SUM(COUNTIFS('세부(구축)'!B:B,'집계(구축)'!B34,'세부(구축)'!G:G,"작성중"),COUNTIFS('세부(구축)'!B:B,'집계(구축)'!B34,'세부(구축)'!G:G,"접수대기"))</f>
        <v>0</v>
      </c>
      <c r="F34" s="8">
        <f>COUNTIFS('세부(구축)'!J:J,"발행",'세부(구축)'!B:B,'집계(구축)'!B34)</f>
        <v>0</v>
      </c>
      <c r="G34" s="8">
        <f>COUNTIFS('세부(구축)'!K:K,"수령",'세부(구축)'!$B:$B,'집계(구축)'!$B34)</f>
        <v>0</v>
      </c>
      <c r="H34" s="37">
        <f>COUNTIFS('세부(구축)'!$B:$B,'집계(구축)'!B34,'세부(구축)'!$G:$G,"취소")</f>
        <v>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2" ht="20.100000000000001" customHeight="1" x14ac:dyDescent="0.15">
      <c r="A35" s="3">
        <f t="shared" si="1"/>
        <v>20</v>
      </c>
      <c r="B35" s="31" t="s">
        <v>290</v>
      </c>
      <c r="C35" s="59">
        <f t="shared" si="2"/>
        <v>0</v>
      </c>
      <c r="D35" s="60">
        <f>COUNTIFS('세부(구축)'!B:B,'집계(구축)'!B35,'세부(구축)'!G:G,"완료")+H35</f>
        <v>0</v>
      </c>
      <c r="E35" s="8">
        <f>SUM(COUNTIFS('세부(구축)'!B:B,'집계(구축)'!B35,'세부(구축)'!G:G,"작성중"),COUNTIFS('세부(구축)'!B:B,'집계(구축)'!B35,'세부(구축)'!G:G,"접수대기"))</f>
        <v>0</v>
      </c>
      <c r="F35" s="8">
        <f>COUNTIFS('세부(구축)'!J:J,"발행",'세부(구축)'!B:B,'집계(구축)'!B35)</f>
        <v>0</v>
      </c>
      <c r="G35" s="8">
        <f>COUNTIFS('세부(구축)'!K:K,"수령",'세부(구축)'!$B:$B,'집계(구축)'!$B35)</f>
        <v>0</v>
      </c>
      <c r="H35" s="37">
        <f>COUNTIFS('세부(구축)'!$B:$B,'집계(구축)'!B35,'세부(구축)'!$G:$G,"취소")</f>
        <v>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2" ht="20.100000000000001" customHeight="1" x14ac:dyDescent="0.15">
      <c r="A36" s="3">
        <f t="shared" si="1"/>
        <v>21</v>
      </c>
      <c r="B36" s="31" t="s">
        <v>261</v>
      </c>
      <c r="C36" s="59">
        <f t="shared" ref="C36" si="3">SUM(D36:E36)</f>
        <v>1</v>
      </c>
      <c r="D36" s="60">
        <f>COUNTIFS('세부(구축)'!B:B,'집계(구축)'!B36,'세부(구축)'!G:G,"완료")+H36</f>
        <v>0</v>
      </c>
      <c r="E36" s="8">
        <f>SUM(COUNTIFS('세부(구축)'!B:B,'집계(구축)'!B36,'세부(구축)'!G:G,"작성중"),COUNTIFS('세부(구축)'!B:B,'집계(구축)'!B36,'세부(구축)'!G:G,"접수대기"))</f>
        <v>1</v>
      </c>
      <c r="F36" s="8">
        <f>COUNTIFS('세부(구축)'!J:J,"발행",'세부(구축)'!B:B,'집계(구축)'!B36)</f>
        <v>0</v>
      </c>
      <c r="G36" s="8">
        <f>COUNTIFS('세부(구축)'!K:K,"수령",'세부(구축)'!$B:$B,'집계(구축)'!$B36)</f>
        <v>0</v>
      </c>
      <c r="H36" s="37">
        <f>COUNTIFS('세부(구축)'!$B:$B,'집계(구축)'!B36,'세부(구축)'!$G:$G,"취소")</f>
        <v>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2" ht="20.100000000000001" customHeight="1" x14ac:dyDescent="0.15">
      <c r="A37" s="3">
        <f t="shared" si="1"/>
        <v>22</v>
      </c>
      <c r="B37" s="31" t="s">
        <v>293</v>
      </c>
      <c r="C37" s="59">
        <f t="shared" si="2"/>
        <v>0</v>
      </c>
      <c r="D37" s="60">
        <f>COUNTIFS('세부(구축)'!B:B,'집계(구축)'!B37,'세부(구축)'!G:G,"완료")+H37</f>
        <v>0</v>
      </c>
      <c r="E37" s="8">
        <f>SUM(COUNTIFS('세부(구축)'!B:B,'집계(구축)'!B37,'세부(구축)'!G:G,"작성중"),COUNTIFS('세부(구축)'!B:B,'집계(구축)'!B37,'세부(구축)'!G:G,"접수대기"))</f>
        <v>0</v>
      </c>
      <c r="F37" s="8">
        <f>COUNTIFS('세부(구축)'!J:J,"발행",'세부(구축)'!B:B,'집계(구축)'!B37)</f>
        <v>0</v>
      </c>
      <c r="G37" s="8">
        <f>COUNTIFS('세부(구축)'!K:K,"수령",'세부(구축)'!$B:$B,'집계(구축)'!$B37)</f>
        <v>0</v>
      </c>
      <c r="H37" s="37">
        <f>COUNTIFS('세부(구축)'!$B:$B,'집계(구축)'!B37,'세부(구축)'!$G:$G,"취소")</f>
        <v>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2" ht="20.100000000000001" customHeight="1" x14ac:dyDescent="0.15">
      <c r="A38" s="326" t="s">
        <v>173</v>
      </c>
      <c r="B38" s="326"/>
      <c r="C38" s="60">
        <f t="shared" si="2"/>
        <v>29</v>
      </c>
      <c r="D38" s="60">
        <f>SUM(D16:D37)</f>
        <v>0</v>
      </c>
      <c r="E38" s="8">
        <f>SUM(E16:E37)</f>
        <v>29</v>
      </c>
      <c r="F38" s="8">
        <f>SUM(F16:F37)</f>
        <v>0</v>
      </c>
      <c r="G38" s="8">
        <f>SUM(G16:G37)</f>
        <v>0</v>
      </c>
      <c r="H38" s="8">
        <f>SUM(H16:H37)</f>
        <v>0</v>
      </c>
      <c r="I38" s="8">
        <f t="shared" ref="I38:T38" si="4">SUM(I16:I28)</f>
        <v>0</v>
      </c>
      <c r="J38" s="8">
        <f t="shared" si="4"/>
        <v>0</v>
      </c>
      <c r="K38" s="8">
        <f t="shared" si="4"/>
        <v>0</v>
      </c>
      <c r="L38" s="8">
        <f t="shared" si="4"/>
        <v>0</v>
      </c>
      <c r="M38" s="8">
        <f t="shared" si="4"/>
        <v>0</v>
      </c>
      <c r="N38" s="8">
        <f t="shared" si="4"/>
        <v>0</v>
      </c>
      <c r="O38" s="8">
        <f t="shared" si="4"/>
        <v>0</v>
      </c>
      <c r="P38" s="8">
        <f t="shared" si="4"/>
        <v>0</v>
      </c>
      <c r="Q38" s="8">
        <f t="shared" si="4"/>
        <v>6</v>
      </c>
      <c r="R38" s="8">
        <f t="shared" si="4"/>
        <v>0</v>
      </c>
      <c r="S38" s="8">
        <f t="shared" si="4"/>
        <v>0</v>
      </c>
      <c r="T38" s="8">
        <f t="shared" si="4"/>
        <v>0</v>
      </c>
    </row>
    <row r="39" spans="1:22" ht="20.100000000000001" customHeight="1" x14ac:dyDescent="0.15"/>
    <row r="40" spans="1:22" ht="20.100000000000001" customHeight="1" thickBot="1" x14ac:dyDescent="0.2">
      <c r="A40" s="17" t="s">
        <v>178</v>
      </c>
      <c r="D40" s="17"/>
      <c r="E40" s="17"/>
      <c r="F40" s="17"/>
      <c r="G40" s="17"/>
      <c r="H40" s="17"/>
    </row>
    <row r="41" spans="1:22" ht="24.95" customHeight="1" thickBot="1" x14ac:dyDescent="0.2">
      <c r="A41" s="321" t="s">
        <v>6</v>
      </c>
      <c r="B41" s="321" t="s">
        <v>174</v>
      </c>
      <c r="C41" s="316" t="s">
        <v>283</v>
      </c>
      <c r="D41" s="317"/>
      <c r="E41" s="318"/>
      <c r="F41" s="316" t="s">
        <v>284</v>
      </c>
      <c r="G41" s="319"/>
      <c r="H41" s="329" t="s">
        <v>177</v>
      </c>
      <c r="I41" s="324" t="s">
        <v>151</v>
      </c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</row>
    <row r="42" spans="1:22" ht="24.95" customHeight="1" thickBot="1" x14ac:dyDescent="0.2">
      <c r="A42" s="321"/>
      <c r="B42" s="321"/>
      <c r="C42" s="29" t="s">
        <v>280</v>
      </c>
      <c r="D42" s="4" t="s">
        <v>281</v>
      </c>
      <c r="E42" s="4" t="s">
        <v>282</v>
      </c>
      <c r="F42" s="4" t="s">
        <v>285</v>
      </c>
      <c r="G42" s="4" t="s">
        <v>286</v>
      </c>
      <c r="H42" s="330"/>
      <c r="I42" s="29" t="s">
        <v>156</v>
      </c>
      <c r="J42" s="4" t="s">
        <v>157</v>
      </c>
      <c r="K42" s="24" t="s">
        <v>158</v>
      </c>
      <c r="L42" s="26" t="s">
        <v>159</v>
      </c>
      <c r="M42" s="26" t="s">
        <v>160</v>
      </c>
      <c r="N42" s="26" t="s">
        <v>161</v>
      </c>
      <c r="O42" s="26" t="s">
        <v>162</v>
      </c>
      <c r="P42" s="26" t="s">
        <v>163</v>
      </c>
      <c r="Q42" s="26" t="s">
        <v>164</v>
      </c>
      <c r="R42" s="26" t="s">
        <v>165</v>
      </c>
      <c r="S42" s="26" t="s">
        <v>166</v>
      </c>
      <c r="T42" s="26" t="s">
        <v>167</v>
      </c>
    </row>
    <row r="43" spans="1:22" ht="20.100000000000001" customHeight="1" x14ac:dyDescent="0.15">
      <c r="A43" s="3">
        <v>1</v>
      </c>
      <c r="B43" s="61" t="s">
        <v>175</v>
      </c>
      <c r="C43" s="59">
        <f>SUM(D43:E43)</f>
        <v>0</v>
      </c>
      <c r="D43" s="8">
        <f>COUNTIFS('세부(구축)'!C:C,'집계(구축)'!B43,'세부(구축)'!G:G,"완료")+H43</f>
        <v>0</v>
      </c>
      <c r="E43" s="8">
        <f>SUM(COUNTIFS('세부(구축)'!C:C,'집계(구축)'!B43,'세부(구축)'!G:G,"작성중"),COUNTIFS('세부(구축)'!C:C,'집계(구축)'!B43,'세부(구축)'!G:G,"접수대기"))</f>
        <v>0</v>
      </c>
      <c r="F43" s="8">
        <f>COUNTIFS('세부(구축)'!J:J,"발행",'세부(구축)'!$C:$C,'집계(구축)'!$B43)</f>
        <v>0</v>
      </c>
      <c r="G43" s="8">
        <f>COUNTIFS('세부(구축)'!K:K,"수령",'세부(구축)'!$C:$C,'집계(구축)'!$B43)</f>
        <v>0</v>
      </c>
      <c r="H43" s="37">
        <f>COUNTIFS('세부(구축)'!$C:$C,'집계(구축)'!B43,'세부(구축)'!$G:$G,"취소")</f>
        <v>0</v>
      </c>
      <c r="I43" s="8">
        <f>COUNTIFS('세부(구축)'!B:B,'집계(구축)'!B$16,'세부(구축)'!C:C,'집계(구축)'!$I$15)</f>
        <v>0</v>
      </c>
      <c r="J43" s="8">
        <f>COUNTIFS('세부(구축)'!$B:$B,'집계(구축)'!$B$16,'세부(구축)'!$C:$C,'집계(구축)'!J$15)</f>
        <v>0</v>
      </c>
      <c r="K43" s="8">
        <f>COUNTIFS('세부(구축)'!$B:$B,'집계(구축)'!$B$16,'세부(구축)'!$C:$C,'집계(구축)'!K$15)</f>
        <v>0</v>
      </c>
      <c r="L43" s="8">
        <f>COUNTIFS('세부(구축)'!$B:$B,'집계(구축)'!$B$16,'세부(구축)'!$C:$C,'집계(구축)'!L$15)</f>
        <v>0</v>
      </c>
      <c r="M43" s="8">
        <f>COUNTIFS('세부(구축)'!$B:$B,'집계(구축)'!$B$16,'세부(구축)'!$C:$C,'집계(구축)'!M$15)</f>
        <v>0</v>
      </c>
      <c r="N43" s="8">
        <f>COUNTIFS('세부(구축)'!$B:$B,'집계(구축)'!$B$16,'세부(구축)'!$C:$C,'집계(구축)'!N$15)</f>
        <v>0</v>
      </c>
      <c r="O43" s="8">
        <f>COUNTIFS('세부(구축)'!$B:$B,'집계(구축)'!$B$16,'세부(구축)'!$C:$C,'집계(구축)'!O$15)</f>
        <v>0</v>
      </c>
      <c r="P43" s="8">
        <f>COUNTIFS('세부(구축)'!$B:$B,'집계(구축)'!$B$16,'세부(구축)'!$C:$C,'집계(구축)'!P$15)</f>
        <v>0</v>
      </c>
      <c r="Q43" s="8">
        <f>COUNTIFS('세부(구축)'!$B:$B,'집계(구축)'!$B$16,'세부(구축)'!$C:$C,'집계(구축)'!Q$15)</f>
        <v>0</v>
      </c>
      <c r="R43" s="8">
        <f>COUNTIFS('세부(구축)'!$B:$B,'집계(구축)'!$B$16,'세부(구축)'!$C:$C,'집계(구축)'!R$15)</f>
        <v>0</v>
      </c>
      <c r="S43" s="8">
        <f>COUNTIFS('세부(구축)'!$B:$B,'집계(구축)'!$B$16,'세부(구축)'!$C:$C,'집계(구축)'!S$15)</f>
        <v>0</v>
      </c>
      <c r="T43" s="8">
        <f>COUNTIFS('세부(구축)'!$B:$B,'집계(구축)'!$B$16,'세부(구축)'!$C:$C,'집계(구축)'!T$15)</f>
        <v>0</v>
      </c>
      <c r="V43" s="17"/>
    </row>
    <row r="44" spans="1:22" ht="20.100000000000001" customHeight="1" x14ac:dyDescent="0.15">
      <c r="A44" s="3">
        <f>A43+1</f>
        <v>2</v>
      </c>
      <c r="B44" s="61" t="s">
        <v>157</v>
      </c>
      <c r="C44" s="59">
        <f t="shared" ref="C44:C56" si="5">SUM(D44:E44)</f>
        <v>0</v>
      </c>
      <c r="D44" s="8">
        <f>COUNTIFS('세부(구축)'!C:C,'집계(구축)'!B44,'세부(구축)'!G:G,"완료")+H44</f>
        <v>0</v>
      </c>
      <c r="E44" s="8">
        <f>SUM(COUNTIFS('세부(구축)'!C:C,'집계(구축)'!B44,'세부(구축)'!G:G,"작성중"),COUNTIFS('세부(구축)'!C:C,'집계(구축)'!B44,'세부(구축)'!G:G,"접수대기"))</f>
        <v>0</v>
      </c>
      <c r="F44" s="8">
        <f>COUNTIFS('세부(구축)'!J:J,"발행",'세부(구축)'!$C:$C,'집계(구축)'!$B44)</f>
        <v>0</v>
      </c>
      <c r="G44" s="8">
        <f>COUNTIFS('세부(구축)'!K:K,"수령",'세부(구축)'!$C:$C,'집계(구축)'!$B44)</f>
        <v>0</v>
      </c>
      <c r="H44" s="37">
        <f>COUNTIFS('세부(구축)'!$C:$C,'집계(구축)'!B44,'세부(구축)'!$G:$G,"취소")</f>
        <v>0</v>
      </c>
      <c r="I44" s="8">
        <f>COUNTIFS('세부(구축)'!$B:$B,'집계(구축)'!$B$17,'세부(구축)'!$C:$C,'집계(구축)'!I$15)</f>
        <v>0</v>
      </c>
      <c r="J44" s="8">
        <f>COUNTIFS('세부(구축)'!$B:$B,'집계(구축)'!$B$17,'세부(구축)'!$C:$C,'집계(구축)'!J$15)</f>
        <v>0</v>
      </c>
      <c r="K44" s="8">
        <f>COUNTIFS('세부(구축)'!$B:$B,'집계(구축)'!$B$17,'세부(구축)'!$C:$C,'집계(구축)'!K$15)</f>
        <v>0</v>
      </c>
      <c r="L44" s="8">
        <f>COUNTIFS('세부(구축)'!$B:$B,'집계(구축)'!$B$17,'세부(구축)'!$C:$C,'집계(구축)'!L$15)</f>
        <v>0</v>
      </c>
      <c r="M44" s="8">
        <f>COUNTIFS('세부(구축)'!$B:$B,'집계(구축)'!$B$17,'세부(구축)'!$C:$C,'집계(구축)'!M$15)</f>
        <v>0</v>
      </c>
      <c r="N44" s="8">
        <f>COUNTIFS('세부(구축)'!$B:$B,'집계(구축)'!$B$17,'세부(구축)'!$C:$C,'집계(구축)'!N$15)</f>
        <v>0</v>
      </c>
      <c r="O44" s="8">
        <f>COUNTIFS('세부(구축)'!$B:$B,'집계(구축)'!$B$17,'세부(구축)'!$C:$C,'집계(구축)'!O$15)</f>
        <v>0</v>
      </c>
      <c r="P44" s="8">
        <f>COUNTIFS('세부(구축)'!$B:$B,'집계(구축)'!$B$17,'세부(구축)'!$C:$C,'집계(구축)'!P$15)</f>
        <v>0</v>
      </c>
      <c r="Q44" s="8">
        <f>COUNTIFS('세부(구축)'!$B:$B,'집계(구축)'!$B$17,'세부(구축)'!$C:$C,'집계(구축)'!Q$15)</f>
        <v>0</v>
      </c>
      <c r="R44" s="8">
        <f>COUNTIFS('세부(구축)'!$B:$B,'집계(구축)'!$B$17,'세부(구축)'!$C:$C,'집계(구축)'!R$15)</f>
        <v>0</v>
      </c>
      <c r="S44" s="8">
        <f>COUNTIFS('세부(구축)'!$B:$B,'집계(구축)'!$B$17,'세부(구축)'!$C:$C,'집계(구축)'!S$15)</f>
        <v>0</v>
      </c>
      <c r="T44" s="8">
        <f>COUNTIFS('세부(구축)'!$B:$B,'집계(구축)'!$B$17,'세부(구축)'!$C:$C,'집계(구축)'!T$15)</f>
        <v>0</v>
      </c>
      <c r="V44" s="17"/>
    </row>
    <row r="45" spans="1:22" ht="20.100000000000001" customHeight="1" x14ac:dyDescent="0.15">
      <c r="A45" s="3">
        <f t="shared" ref="A45:A64" si="6">A44+1</f>
        <v>3</v>
      </c>
      <c r="B45" s="61" t="s">
        <v>158</v>
      </c>
      <c r="C45" s="59">
        <f t="shared" si="5"/>
        <v>0</v>
      </c>
      <c r="D45" s="8">
        <f>COUNTIFS('세부(구축)'!C:C,'집계(구축)'!B45,'세부(구축)'!G:G,"완료")+H45</f>
        <v>0</v>
      </c>
      <c r="E45" s="8">
        <f>SUM(COUNTIFS('세부(구축)'!C:C,'집계(구축)'!B45,'세부(구축)'!G:G,"작성중"),COUNTIFS('세부(구축)'!C:C,'집계(구축)'!B45,'세부(구축)'!G:G,"접수대기"))</f>
        <v>0</v>
      </c>
      <c r="F45" s="8">
        <f>COUNTIFS('세부(구축)'!J:J,"발행",'세부(구축)'!$C:$C,'집계(구축)'!$B45)</f>
        <v>0</v>
      </c>
      <c r="G45" s="8">
        <f>COUNTIFS('세부(구축)'!K:K,"수령",'세부(구축)'!$C:$C,'집계(구축)'!$B45)</f>
        <v>0</v>
      </c>
      <c r="H45" s="37">
        <f>COUNTIFS('세부(구축)'!$C:$C,'집계(구축)'!B45,'세부(구축)'!$G:$G,"취소")</f>
        <v>0</v>
      </c>
      <c r="I45" s="8">
        <f>COUNTIFS('세부(구축)'!B:B,'집계(구축)'!B45,'세부(구축)'!C:C,'집계(구축)'!$I$15)</f>
        <v>0</v>
      </c>
      <c r="J45" s="8">
        <f>COUNTIFS('세부(구축)'!$B:$B,'집계(구축)'!$B45,'세부(구축)'!$C:$C,'집계(구축)'!J$15)</f>
        <v>0</v>
      </c>
      <c r="K45" s="8">
        <f>COUNTIFS('세부(구축)'!$B:$B,'집계(구축)'!$B45,'세부(구축)'!$C:$C,'집계(구축)'!K$15)</f>
        <v>0</v>
      </c>
      <c r="L45" s="8">
        <f>COUNTIFS('세부(구축)'!$B:$B,'집계(구축)'!$B45,'세부(구축)'!$C:$C,'집계(구축)'!L$15)</f>
        <v>0</v>
      </c>
      <c r="M45" s="8">
        <f>COUNTIFS('세부(구축)'!$B:$B,'집계(구축)'!$B45,'세부(구축)'!$C:$C,'집계(구축)'!M$15)</f>
        <v>0</v>
      </c>
      <c r="N45" s="8">
        <f>COUNTIFS('세부(구축)'!$B:$B,'집계(구축)'!$B45,'세부(구축)'!$C:$C,'집계(구축)'!N$15)</f>
        <v>0</v>
      </c>
      <c r="O45" s="8">
        <f>COUNTIFS('세부(구축)'!$B:$B,'집계(구축)'!$B45,'세부(구축)'!$C:$C,'집계(구축)'!O$15)</f>
        <v>0</v>
      </c>
      <c r="P45" s="8">
        <f>COUNTIFS('세부(구축)'!$B:$B,'집계(구축)'!$B45,'세부(구축)'!$C:$C,'집계(구축)'!P$15)</f>
        <v>0</v>
      </c>
      <c r="Q45" s="8">
        <f>COUNTIFS('세부(구축)'!$B:$B,'집계(구축)'!$B45,'세부(구축)'!$C:$C,'집계(구축)'!Q$15)</f>
        <v>0</v>
      </c>
      <c r="R45" s="8">
        <f>COUNTIFS('세부(구축)'!$B:$B,'집계(구축)'!$B45,'세부(구축)'!$C:$C,'집계(구축)'!R$15)</f>
        <v>0</v>
      </c>
      <c r="S45" s="8">
        <f>COUNTIFS('세부(구축)'!$B:$B,'집계(구축)'!$B45,'세부(구축)'!$C:$C,'집계(구축)'!S$15)</f>
        <v>0</v>
      </c>
      <c r="T45" s="8">
        <f>COUNTIFS('세부(구축)'!$B:$B,'집계(구축)'!$B45,'세부(구축)'!$C:$C,'집계(구축)'!T$15)</f>
        <v>0</v>
      </c>
      <c r="V45" s="17"/>
    </row>
    <row r="46" spans="1:22" ht="20.100000000000001" customHeight="1" x14ac:dyDescent="0.15">
      <c r="A46" s="3">
        <f t="shared" si="6"/>
        <v>4</v>
      </c>
      <c r="B46" s="61" t="s">
        <v>159</v>
      </c>
      <c r="C46" s="59">
        <f t="shared" si="5"/>
        <v>0</v>
      </c>
      <c r="D46" s="8">
        <f>COUNTIFS('세부(구축)'!C:C,'집계(구축)'!B46,'세부(구축)'!G:G,"완료")+H46</f>
        <v>0</v>
      </c>
      <c r="E46" s="8">
        <f>SUM(COUNTIFS('세부(구축)'!C:C,'집계(구축)'!B46,'세부(구축)'!G:G,"작성중"),COUNTIFS('세부(구축)'!C:C,'집계(구축)'!B46,'세부(구축)'!G:G,"접수대기"))</f>
        <v>0</v>
      </c>
      <c r="F46" s="8">
        <f>COUNTIFS('세부(구축)'!J:J,"발행",'세부(구축)'!$C:$C,'집계(구축)'!$B46)</f>
        <v>0</v>
      </c>
      <c r="G46" s="8">
        <f>COUNTIFS('세부(구축)'!K:K,"수령",'세부(구축)'!$C:$C,'집계(구축)'!$B46)</f>
        <v>0</v>
      </c>
      <c r="H46" s="37">
        <f>COUNTIFS('세부(구축)'!$C:$C,'집계(구축)'!B46,'세부(구축)'!$G:$G,"취소")</f>
        <v>0</v>
      </c>
      <c r="I46" s="8">
        <f>COUNTIFS('세부(구축)'!B:B,'집계(구축)'!B46,'세부(구축)'!C:C,'집계(구축)'!$I$15)</f>
        <v>0</v>
      </c>
      <c r="J46" s="8">
        <f>COUNTIFS('세부(구축)'!$B:$B,'집계(구축)'!$B46,'세부(구축)'!$C:$C,'집계(구축)'!J$15)</f>
        <v>0</v>
      </c>
      <c r="K46" s="8">
        <f>COUNTIFS('세부(구축)'!$B:$B,'집계(구축)'!$B46,'세부(구축)'!$C:$C,'집계(구축)'!K$15)</f>
        <v>0</v>
      </c>
      <c r="L46" s="8">
        <f>COUNTIFS('세부(구축)'!$B:$B,'집계(구축)'!$B46,'세부(구축)'!$C:$C,'집계(구축)'!L$15)</f>
        <v>0</v>
      </c>
      <c r="M46" s="8">
        <f>COUNTIFS('세부(구축)'!$B:$B,'집계(구축)'!$B46,'세부(구축)'!$C:$C,'집계(구축)'!M$15)</f>
        <v>0</v>
      </c>
      <c r="N46" s="8">
        <f>COUNTIFS('세부(구축)'!$B:$B,'집계(구축)'!$B46,'세부(구축)'!$C:$C,'집계(구축)'!N$15)</f>
        <v>0</v>
      </c>
      <c r="O46" s="8">
        <f>COUNTIFS('세부(구축)'!$B:$B,'집계(구축)'!$B46,'세부(구축)'!$C:$C,'집계(구축)'!O$15)</f>
        <v>0</v>
      </c>
      <c r="P46" s="8">
        <f>COUNTIFS('세부(구축)'!$B:$B,'집계(구축)'!$B46,'세부(구축)'!$C:$C,'집계(구축)'!P$15)</f>
        <v>0</v>
      </c>
      <c r="Q46" s="8">
        <f>COUNTIFS('세부(구축)'!$B:$B,'집계(구축)'!$B46,'세부(구축)'!$C:$C,'집계(구축)'!Q$15)</f>
        <v>0</v>
      </c>
      <c r="R46" s="8">
        <f>COUNTIFS('세부(구축)'!$B:$B,'집계(구축)'!$B46,'세부(구축)'!$C:$C,'집계(구축)'!R$15)</f>
        <v>0</v>
      </c>
      <c r="S46" s="8">
        <f>COUNTIFS('세부(구축)'!$B:$B,'집계(구축)'!$B46,'세부(구축)'!$C:$C,'집계(구축)'!S$15)</f>
        <v>0</v>
      </c>
      <c r="T46" s="8">
        <f>COUNTIFS('세부(구축)'!$B:$B,'집계(구축)'!$B46,'세부(구축)'!$C:$C,'집계(구축)'!T$15)</f>
        <v>0</v>
      </c>
      <c r="V46" s="17"/>
    </row>
    <row r="47" spans="1:22" ht="20.100000000000001" customHeight="1" x14ac:dyDescent="0.15">
      <c r="A47" s="3">
        <f t="shared" si="6"/>
        <v>5</v>
      </c>
      <c r="B47" s="61" t="s">
        <v>160</v>
      </c>
      <c r="C47" s="59">
        <f t="shared" si="5"/>
        <v>0</v>
      </c>
      <c r="D47" s="8">
        <f>COUNTIFS('세부(구축)'!C:C,'집계(구축)'!B47,'세부(구축)'!G:G,"완료")+H47</f>
        <v>0</v>
      </c>
      <c r="E47" s="8">
        <f>SUM(COUNTIFS('세부(구축)'!C:C,'집계(구축)'!B47,'세부(구축)'!G:G,"작성중"),COUNTIFS('세부(구축)'!C:C,'집계(구축)'!B47,'세부(구축)'!G:G,"접수대기"))</f>
        <v>0</v>
      </c>
      <c r="F47" s="8">
        <f>COUNTIFS('세부(구축)'!J:J,"발행",'세부(구축)'!$C:$C,'집계(구축)'!$B47)</f>
        <v>0</v>
      </c>
      <c r="G47" s="8">
        <f>COUNTIFS('세부(구축)'!K:K,"수령",'세부(구축)'!$C:$C,'집계(구축)'!$B47)</f>
        <v>0</v>
      </c>
      <c r="H47" s="37">
        <f>COUNTIFS('세부(구축)'!$C:$C,'집계(구축)'!B47,'세부(구축)'!$G:$G,"취소")</f>
        <v>0</v>
      </c>
      <c r="I47" s="8">
        <f>COUNTIFS('세부(구축)'!B:B,'집계(구축)'!B47,'세부(구축)'!C:C,'집계(구축)'!$I$15)</f>
        <v>0</v>
      </c>
      <c r="J47" s="8">
        <f>COUNTIFS('세부(구축)'!$B:$B,'집계(구축)'!$B47,'세부(구축)'!$C:$C,'집계(구축)'!J$15)</f>
        <v>0</v>
      </c>
      <c r="K47" s="8">
        <f>COUNTIFS('세부(구축)'!$B:$B,'집계(구축)'!$B47,'세부(구축)'!$C:$C,'집계(구축)'!K$15)</f>
        <v>0</v>
      </c>
      <c r="L47" s="8">
        <f>COUNTIFS('세부(구축)'!$B:$B,'집계(구축)'!$B47,'세부(구축)'!$C:$C,'집계(구축)'!L$15)</f>
        <v>0</v>
      </c>
      <c r="M47" s="8">
        <f>COUNTIFS('세부(구축)'!$B:$B,'집계(구축)'!$B47,'세부(구축)'!$C:$C,'집계(구축)'!M$15)</f>
        <v>0</v>
      </c>
      <c r="N47" s="8">
        <f>COUNTIFS('세부(구축)'!$B:$B,'집계(구축)'!$B47,'세부(구축)'!$C:$C,'집계(구축)'!N$15)</f>
        <v>0</v>
      </c>
      <c r="O47" s="8">
        <f>COUNTIFS('세부(구축)'!$B:$B,'집계(구축)'!$B47,'세부(구축)'!$C:$C,'집계(구축)'!O$15)</f>
        <v>0</v>
      </c>
      <c r="P47" s="8">
        <f>COUNTIFS('세부(구축)'!$B:$B,'집계(구축)'!$B47,'세부(구축)'!$C:$C,'집계(구축)'!P$15)</f>
        <v>0</v>
      </c>
      <c r="Q47" s="8">
        <f>COUNTIFS('세부(구축)'!$B:$B,'집계(구축)'!$B47,'세부(구축)'!$C:$C,'집계(구축)'!Q$15)</f>
        <v>0</v>
      </c>
      <c r="R47" s="8">
        <f>COUNTIFS('세부(구축)'!$B:$B,'집계(구축)'!$B47,'세부(구축)'!$C:$C,'집계(구축)'!R$15)</f>
        <v>0</v>
      </c>
      <c r="S47" s="8">
        <f>COUNTIFS('세부(구축)'!$B:$B,'집계(구축)'!$B47,'세부(구축)'!$C:$C,'집계(구축)'!S$15)</f>
        <v>0</v>
      </c>
      <c r="T47" s="8">
        <f>COUNTIFS('세부(구축)'!$B:$B,'집계(구축)'!$B47,'세부(구축)'!$C:$C,'집계(구축)'!T$15)</f>
        <v>0</v>
      </c>
    </row>
    <row r="48" spans="1:22" ht="20.100000000000001" customHeight="1" x14ac:dyDescent="0.15">
      <c r="A48" s="3">
        <f t="shared" si="6"/>
        <v>6</v>
      </c>
      <c r="B48" s="61" t="s">
        <v>161</v>
      </c>
      <c r="C48" s="59">
        <f t="shared" si="5"/>
        <v>0</v>
      </c>
      <c r="D48" s="8">
        <f>COUNTIFS('세부(구축)'!C:C,'집계(구축)'!B48,'세부(구축)'!G:G,"완료")+H48</f>
        <v>0</v>
      </c>
      <c r="E48" s="8">
        <f>SUM(COUNTIFS('세부(구축)'!C:C,'집계(구축)'!B48,'세부(구축)'!G:G,"작성중"),COUNTIFS('세부(구축)'!C:C,'집계(구축)'!B48,'세부(구축)'!G:G,"접수대기"))</f>
        <v>0</v>
      </c>
      <c r="F48" s="8">
        <f>COUNTIFS('세부(구축)'!J:J,"발행",'세부(구축)'!$C:$C,'집계(구축)'!$B48)</f>
        <v>0</v>
      </c>
      <c r="G48" s="8">
        <f>COUNTIFS('세부(구축)'!K:K,"수령",'세부(구축)'!$C:$C,'집계(구축)'!$B48)</f>
        <v>0</v>
      </c>
      <c r="H48" s="37">
        <f>COUNTIFS('세부(구축)'!$C:$C,'집계(구축)'!B48,'세부(구축)'!$G:$G,"취소")</f>
        <v>0</v>
      </c>
      <c r="I48" s="8">
        <f>COUNTIFS('세부(구축)'!B:B,'집계(구축)'!B48,'세부(구축)'!C:C,'집계(구축)'!$I$15)</f>
        <v>0</v>
      </c>
      <c r="J48" s="8">
        <f>COUNTIFS('세부(구축)'!$B:$B,'집계(구축)'!$B48,'세부(구축)'!$C:$C,'집계(구축)'!J$15)</f>
        <v>0</v>
      </c>
      <c r="K48" s="8">
        <f>COUNTIFS('세부(구축)'!$B:$B,'집계(구축)'!$B48,'세부(구축)'!$C:$C,'집계(구축)'!K$15)</f>
        <v>0</v>
      </c>
      <c r="L48" s="8">
        <f>COUNTIFS('세부(구축)'!$B:$B,'집계(구축)'!$B48,'세부(구축)'!$C:$C,'집계(구축)'!L$15)</f>
        <v>0</v>
      </c>
      <c r="M48" s="8">
        <f>COUNTIFS('세부(구축)'!$B:$B,'집계(구축)'!$B48,'세부(구축)'!$C:$C,'집계(구축)'!M$15)</f>
        <v>0</v>
      </c>
      <c r="N48" s="8">
        <f>COUNTIFS('세부(구축)'!$B:$B,'집계(구축)'!$B48,'세부(구축)'!$C:$C,'집계(구축)'!N$15)</f>
        <v>0</v>
      </c>
      <c r="O48" s="8">
        <f>COUNTIFS('세부(구축)'!$B:$B,'집계(구축)'!$B48,'세부(구축)'!$C:$C,'집계(구축)'!O$15)</f>
        <v>0</v>
      </c>
      <c r="P48" s="8">
        <f>COUNTIFS('세부(구축)'!$B:$B,'집계(구축)'!$B48,'세부(구축)'!$C:$C,'집계(구축)'!P$15)</f>
        <v>0</v>
      </c>
      <c r="Q48" s="8">
        <f>COUNTIFS('세부(구축)'!$B:$B,'집계(구축)'!$B48,'세부(구축)'!$C:$C,'집계(구축)'!Q$15)</f>
        <v>0</v>
      </c>
      <c r="R48" s="8">
        <f>COUNTIFS('세부(구축)'!$B:$B,'집계(구축)'!$B48,'세부(구축)'!$C:$C,'집계(구축)'!R$15)</f>
        <v>0</v>
      </c>
      <c r="S48" s="8">
        <f>COUNTIFS('세부(구축)'!$B:$B,'집계(구축)'!$B48,'세부(구축)'!$C:$C,'집계(구축)'!S$15)</f>
        <v>0</v>
      </c>
      <c r="T48" s="8">
        <f>COUNTIFS('세부(구축)'!$B:$B,'집계(구축)'!$B48,'세부(구축)'!$C:$C,'집계(구축)'!T$15)</f>
        <v>0</v>
      </c>
    </row>
    <row r="49" spans="1:20" ht="20.100000000000001" customHeight="1" x14ac:dyDescent="0.15">
      <c r="A49" s="3">
        <f t="shared" si="6"/>
        <v>7</v>
      </c>
      <c r="B49" s="61" t="s">
        <v>162</v>
      </c>
      <c r="C49" s="59">
        <f t="shared" si="5"/>
        <v>0</v>
      </c>
      <c r="D49" s="8">
        <f>COUNTIFS('세부(구축)'!C:C,'집계(구축)'!B49,'세부(구축)'!G:G,"완료")+H49</f>
        <v>0</v>
      </c>
      <c r="E49" s="8">
        <f>SUM(COUNTIFS('세부(구축)'!C:C,'집계(구축)'!B49,'세부(구축)'!G:G,"작성중"),COUNTIFS('세부(구축)'!C:C,'집계(구축)'!B49,'세부(구축)'!G:G,"접수대기"))</f>
        <v>0</v>
      </c>
      <c r="F49" s="8">
        <f>COUNTIFS('세부(구축)'!J:J,"발행",'세부(구축)'!$C:$C,'집계(구축)'!$B49)</f>
        <v>0</v>
      </c>
      <c r="G49" s="8">
        <f>COUNTIFS('세부(구축)'!K:K,"수령",'세부(구축)'!$C:$C,'집계(구축)'!$B49)</f>
        <v>0</v>
      </c>
      <c r="H49" s="37">
        <f>COUNTIFS('세부(구축)'!$C:$C,'집계(구축)'!B49,'세부(구축)'!$G:$G,"취소")</f>
        <v>0</v>
      </c>
      <c r="I49" s="8">
        <f>COUNTIFS('세부(구축)'!B:B,'집계(구축)'!B49,'세부(구축)'!C:C,'집계(구축)'!$I$15)</f>
        <v>0</v>
      </c>
      <c r="J49" s="8">
        <f>COUNTIFS('세부(구축)'!$B:$B,'집계(구축)'!$B49,'세부(구축)'!$C:$C,'집계(구축)'!J$15)</f>
        <v>0</v>
      </c>
      <c r="K49" s="8">
        <f>COUNTIFS('세부(구축)'!$B:$B,'집계(구축)'!$B49,'세부(구축)'!$C:$C,'집계(구축)'!K$15)</f>
        <v>0</v>
      </c>
      <c r="L49" s="8">
        <f>COUNTIFS('세부(구축)'!$B:$B,'집계(구축)'!$B49,'세부(구축)'!$C:$C,'집계(구축)'!L$15)</f>
        <v>0</v>
      </c>
      <c r="M49" s="8">
        <f>COUNTIFS('세부(구축)'!$B:$B,'집계(구축)'!$B49,'세부(구축)'!$C:$C,'집계(구축)'!M$15)</f>
        <v>0</v>
      </c>
      <c r="N49" s="8">
        <f>COUNTIFS('세부(구축)'!$B:$B,'집계(구축)'!$B49,'세부(구축)'!$C:$C,'집계(구축)'!N$15)</f>
        <v>0</v>
      </c>
      <c r="O49" s="8">
        <f>COUNTIFS('세부(구축)'!$B:$B,'집계(구축)'!$B49,'세부(구축)'!$C:$C,'집계(구축)'!O$15)</f>
        <v>0</v>
      </c>
      <c r="P49" s="8">
        <f>COUNTIFS('세부(구축)'!$B:$B,'집계(구축)'!$B49,'세부(구축)'!$C:$C,'집계(구축)'!P$15)</f>
        <v>0</v>
      </c>
      <c r="Q49" s="8">
        <f>COUNTIFS('세부(구축)'!$B:$B,'집계(구축)'!$B49,'세부(구축)'!$C:$C,'집계(구축)'!Q$15)</f>
        <v>0</v>
      </c>
      <c r="R49" s="8">
        <f>COUNTIFS('세부(구축)'!$B:$B,'집계(구축)'!$B49,'세부(구축)'!$C:$C,'집계(구축)'!R$15)</f>
        <v>0</v>
      </c>
      <c r="S49" s="8">
        <f>COUNTIFS('세부(구축)'!$B:$B,'집계(구축)'!$B49,'세부(구축)'!$C:$C,'집계(구축)'!S$15)</f>
        <v>0</v>
      </c>
      <c r="T49" s="8">
        <f>COUNTIFS('세부(구축)'!$B:$B,'집계(구축)'!$B49,'세부(구축)'!$C:$C,'집계(구축)'!T$15)</f>
        <v>0</v>
      </c>
    </row>
    <row r="50" spans="1:20" ht="20.100000000000001" customHeight="1" x14ac:dyDescent="0.15">
      <c r="A50" s="3">
        <f t="shared" si="6"/>
        <v>8</v>
      </c>
      <c r="B50" s="61" t="s">
        <v>163</v>
      </c>
      <c r="C50" s="59">
        <f t="shared" si="5"/>
        <v>0</v>
      </c>
      <c r="D50" s="8">
        <f>COUNTIFS('세부(구축)'!C:C,'집계(구축)'!B50,'세부(구축)'!G:G,"완료")+H50</f>
        <v>0</v>
      </c>
      <c r="E50" s="8">
        <f>SUM(COUNTIFS('세부(구축)'!C:C,'집계(구축)'!B50,'세부(구축)'!G:G,"작성중"),COUNTIFS('세부(구축)'!C:C,'집계(구축)'!B50,'세부(구축)'!G:G,"접수대기"))</f>
        <v>0</v>
      </c>
      <c r="F50" s="8">
        <f>COUNTIFS('세부(구축)'!J:J,"발행",'세부(구축)'!$C:$C,'집계(구축)'!$B50)</f>
        <v>0</v>
      </c>
      <c r="G50" s="8">
        <f>COUNTIFS('세부(구축)'!K:K,"수령",'세부(구축)'!$C:$C,'집계(구축)'!$B50)</f>
        <v>0</v>
      </c>
      <c r="H50" s="37">
        <f>COUNTIFS('세부(구축)'!$C:$C,'집계(구축)'!B50,'세부(구축)'!$G:$G,"취소")</f>
        <v>0</v>
      </c>
      <c r="I50" s="8">
        <f>COUNTIFS('세부(구축)'!B:B,'집계(구축)'!B50,'세부(구축)'!C:C,'집계(구축)'!$I$15)</f>
        <v>0</v>
      </c>
      <c r="J50" s="8">
        <f>COUNTIFS('세부(구축)'!$B:$B,'집계(구축)'!$B50,'세부(구축)'!$C:$C,'집계(구축)'!J$15)</f>
        <v>0</v>
      </c>
      <c r="K50" s="8">
        <f>COUNTIFS('세부(구축)'!$B:$B,'집계(구축)'!$B50,'세부(구축)'!$C:$C,'집계(구축)'!K$15)</f>
        <v>0</v>
      </c>
      <c r="L50" s="8">
        <f>COUNTIFS('세부(구축)'!$B:$B,'집계(구축)'!$B50,'세부(구축)'!$C:$C,'집계(구축)'!L$15)</f>
        <v>0</v>
      </c>
      <c r="M50" s="8">
        <f>COUNTIFS('세부(구축)'!$B:$B,'집계(구축)'!$B50,'세부(구축)'!$C:$C,'집계(구축)'!M$15)</f>
        <v>0</v>
      </c>
      <c r="N50" s="8">
        <f>COUNTIFS('세부(구축)'!$B:$B,'집계(구축)'!$B50,'세부(구축)'!$C:$C,'집계(구축)'!N$15)</f>
        <v>0</v>
      </c>
      <c r="O50" s="8">
        <f>COUNTIFS('세부(구축)'!$B:$B,'집계(구축)'!$B50,'세부(구축)'!$C:$C,'집계(구축)'!O$15)</f>
        <v>0</v>
      </c>
      <c r="P50" s="8">
        <f>COUNTIFS('세부(구축)'!$B:$B,'집계(구축)'!$B50,'세부(구축)'!$C:$C,'집계(구축)'!P$15)</f>
        <v>0</v>
      </c>
      <c r="Q50" s="8">
        <f>COUNTIFS('세부(구축)'!$B:$B,'집계(구축)'!$B50,'세부(구축)'!$C:$C,'집계(구축)'!Q$15)</f>
        <v>0</v>
      </c>
      <c r="R50" s="8">
        <f>COUNTIFS('세부(구축)'!$B:$B,'집계(구축)'!$B50,'세부(구축)'!$C:$C,'집계(구축)'!R$15)</f>
        <v>0</v>
      </c>
      <c r="S50" s="8">
        <f>COUNTIFS('세부(구축)'!$B:$B,'집계(구축)'!$B50,'세부(구축)'!$C:$C,'집계(구축)'!S$15)</f>
        <v>0</v>
      </c>
      <c r="T50" s="8">
        <f>COUNTIFS('세부(구축)'!$B:$B,'집계(구축)'!$B50,'세부(구축)'!$C:$C,'집계(구축)'!T$15)</f>
        <v>0</v>
      </c>
    </row>
    <row r="51" spans="1:20" ht="20.100000000000001" customHeight="1" x14ac:dyDescent="0.15">
      <c r="A51" s="3">
        <f t="shared" si="6"/>
        <v>9</v>
      </c>
      <c r="B51" s="61" t="s">
        <v>176</v>
      </c>
      <c r="C51" s="59">
        <f>SUM(D51:E51)</f>
        <v>2</v>
      </c>
      <c r="D51" s="8">
        <f>COUNTIFS('세부(구축)'!C:C,'집계(구축)'!B51,'세부(구축)'!G:G,"완료")+H51</f>
        <v>0</v>
      </c>
      <c r="E51" s="8">
        <f>SUM(COUNTIFS('세부(구축)'!C:C,'집계(구축)'!B51,'세부(구축)'!G:G,"작성중"),COUNTIFS('세부(구축)'!C:C,'집계(구축)'!B51,'세부(구축)'!G:G,"접수대기"))</f>
        <v>2</v>
      </c>
      <c r="F51" s="8">
        <f>COUNTIFS('세부(구축)'!J:J,"발행",'세부(구축)'!$C:$C,'집계(구축)'!$B51)</f>
        <v>0</v>
      </c>
      <c r="G51" s="8">
        <f>COUNTIFS('세부(구축)'!K:K,"수령",'세부(구축)'!$C:$C,'집계(구축)'!$B51)</f>
        <v>0</v>
      </c>
      <c r="H51" s="37">
        <f>COUNTIFS('세부(구축)'!$C:$C,'집계(구축)'!B51,'세부(구축)'!$G:$G,"취소")</f>
        <v>0</v>
      </c>
      <c r="I51" s="8">
        <f>COUNTIFS('세부(구축)'!B:B,'집계(구축)'!B51,'세부(구축)'!C:C,'집계(구축)'!$I$15)</f>
        <v>0</v>
      </c>
      <c r="J51" s="8">
        <f>COUNTIFS('세부(구축)'!$B:$B,'집계(구축)'!$B51,'세부(구축)'!$C:$C,'집계(구축)'!J$15)</f>
        <v>0</v>
      </c>
      <c r="K51" s="8">
        <f>COUNTIFS('세부(구축)'!$B:$B,'집계(구축)'!$B51,'세부(구축)'!$C:$C,'집계(구축)'!K$15)</f>
        <v>0</v>
      </c>
      <c r="L51" s="8">
        <f>COUNTIFS('세부(구축)'!$B:$B,'집계(구축)'!$B51,'세부(구축)'!$C:$C,'집계(구축)'!L$15)</f>
        <v>0</v>
      </c>
      <c r="M51" s="8">
        <f>COUNTIFS('세부(구축)'!$B:$B,'집계(구축)'!$B51,'세부(구축)'!$C:$C,'집계(구축)'!M$15)</f>
        <v>0</v>
      </c>
      <c r="N51" s="8">
        <f>COUNTIFS('세부(구축)'!$B:$B,'집계(구축)'!$B51,'세부(구축)'!$C:$C,'집계(구축)'!N$15)</f>
        <v>0</v>
      </c>
      <c r="O51" s="8">
        <f>COUNTIFS('세부(구축)'!$B:$B,'집계(구축)'!$B51,'세부(구축)'!$C:$C,'집계(구축)'!O$15)</f>
        <v>0</v>
      </c>
      <c r="P51" s="8">
        <f>COUNTIFS('세부(구축)'!$B:$B,'집계(구축)'!$B51,'세부(구축)'!$C:$C,'집계(구축)'!P$15)</f>
        <v>0</v>
      </c>
      <c r="Q51" s="8">
        <f>COUNTIFS('세부(구축)'!$B:$B,'집계(구축)'!$B51,'세부(구축)'!$C:$C,'집계(구축)'!Q$15)</f>
        <v>0</v>
      </c>
      <c r="R51" s="8">
        <f>COUNTIFS('세부(구축)'!$B:$B,'집계(구축)'!$B51,'세부(구축)'!$C:$C,'집계(구축)'!R$15)</f>
        <v>0</v>
      </c>
      <c r="S51" s="8">
        <f>COUNTIFS('세부(구축)'!$B:$B,'집계(구축)'!$B51,'세부(구축)'!$C:$C,'집계(구축)'!S$15)</f>
        <v>0</v>
      </c>
      <c r="T51" s="8">
        <f>COUNTIFS('세부(구축)'!$B:$B,'집계(구축)'!$B51,'세부(구축)'!$C:$C,'집계(구축)'!T$15)</f>
        <v>0</v>
      </c>
    </row>
    <row r="52" spans="1:20" ht="20.100000000000001" customHeight="1" x14ac:dyDescent="0.15">
      <c r="A52" s="3">
        <f t="shared" si="6"/>
        <v>10</v>
      </c>
      <c r="B52" s="61" t="s">
        <v>165</v>
      </c>
      <c r="C52" s="59">
        <f t="shared" si="5"/>
        <v>0</v>
      </c>
      <c r="D52" s="8">
        <f>COUNTIFS('세부(구축)'!C:C,'집계(구축)'!B52,'세부(구축)'!G:G,"완료")+H52</f>
        <v>0</v>
      </c>
      <c r="E52" s="8">
        <f>SUM(COUNTIFS('세부(구축)'!C:C,'집계(구축)'!B52,'세부(구축)'!G:G,"작성중"),COUNTIFS('세부(구축)'!C:C,'집계(구축)'!B52,'세부(구축)'!G:G,"접수대기"))</f>
        <v>0</v>
      </c>
      <c r="F52" s="8">
        <f>COUNTIFS('세부(구축)'!J:J,"발행",'세부(구축)'!$C:$C,'집계(구축)'!$B52)</f>
        <v>0</v>
      </c>
      <c r="G52" s="8">
        <f>COUNTIFS('세부(구축)'!K:K,"수령",'세부(구축)'!$C:$C,'집계(구축)'!$B52)</f>
        <v>0</v>
      </c>
      <c r="H52" s="37">
        <f>COUNTIFS('세부(구축)'!$C:$C,'집계(구축)'!B52,'세부(구축)'!$G:$G,"취소")</f>
        <v>0</v>
      </c>
      <c r="I52" s="8">
        <f>COUNTIFS('세부(구축)'!B:B,'집계(구축)'!B52,'세부(구축)'!C:C,'집계(구축)'!$I$15)</f>
        <v>0</v>
      </c>
      <c r="J52" s="8">
        <f>COUNTIFS('세부(구축)'!$B:$B,'집계(구축)'!$B52,'세부(구축)'!$C:$C,'집계(구축)'!J$15)</f>
        <v>0</v>
      </c>
      <c r="K52" s="8">
        <f>COUNTIFS('세부(구축)'!$B:$B,'집계(구축)'!$B52,'세부(구축)'!$C:$C,'집계(구축)'!K$15)</f>
        <v>0</v>
      </c>
      <c r="L52" s="8">
        <f>COUNTIFS('세부(구축)'!$B:$B,'집계(구축)'!$B52,'세부(구축)'!$C:$C,'집계(구축)'!L$15)</f>
        <v>0</v>
      </c>
      <c r="M52" s="8">
        <f>COUNTIFS('세부(구축)'!$B:$B,'집계(구축)'!$B52,'세부(구축)'!$C:$C,'집계(구축)'!M$15)</f>
        <v>0</v>
      </c>
      <c r="N52" s="8">
        <f>COUNTIFS('세부(구축)'!$B:$B,'집계(구축)'!$B52,'세부(구축)'!$C:$C,'집계(구축)'!N$15)</f>
        <v>0</v>
      </c>
      <c r="O52" s="8">
        <f>COUNTIFS('세부(구축)'!$B:$B,'집계(구축)'!$B52,'세부(구축)'!$C:$C,'집계(구축)'!O$15)</f>
        <v>0</v>
      </c>
      <c r="P52" s="8">
        <f>COUNTIFS('세부(구축)'!$B:$B,'집계(구축)'!$B52,'세부(구축)'!$C:$C,'집계(구축)'!P$15)</f>
        <v>0</v>
      </c>
      <c r="Q52" s="8">
        <f>COUNTIFS('세부(구축)'!$B:$B,'집계(구축)'!$B52,'세부(구축)'!$C:$C,'집계(구축)'!Q$15)</f>
        <v>0</v>
      </c>
      <c r="R52" s="8">
        <f>COUNTIFS('세부(구축)'!$B:$B,'집계(구축)'!$B52,'세부(구축)'!$C:$C,'집계(구축)'!R$15)</f>
        <v>0</v>
      </c>
      <c r="S52" s="8">
        <f>COUNTIFS('세부(구축)'!$B:$B,'집계(구축)'!$B52,'세부(구축)'!$C:$C,'집계(구축)'!S$15)</f>
        <v>0</v>
      </c>
      <c r="T52" s="8">
        <f>COUNTIFS('세부(구축)'!$B:$B,'집계(구축)'!$B52,'세부(구축)'!$C:$C,'집계(구축)'!T$15)</f>
        <v>0</v>
      </c>
    </row>
    <row r="53" spans="1:20" ht="20.100000000000001" customHeight="1" x14ac:dyDescent="0.15">
      <c r="A53" s="3">
        <f t="shared" si="6"/>
        <v>11</v>
      </c>
      <c r="B53" s="61" t="s">
        <v>166</v>
      </c>
      <c r="C53" s="59">
        <f t="shared" si="5"/>
        <v>0</v>
      </c>
      <c r="D53" s="8">
        <f>COUNTIFS('세부(구축)'!C:C,'집계(구축)'!B53,'세부(구축)'!G:G,"완료")+H53</f>
        <v>0</v>
      </c>
      <c r="E53" s="8">
        <f>SUM(COUNTIFS('세부(구축)'!C:C,'집계(구축)'!B53,'세부(구축)'!G:G,"작성중"),COUNTIFS('세부(구축)'!C:C,'집계(구축)'!B53,'세부(구축)'!G:G,"접수대기"))</f>
        <v>0</v>
      </c>
      <c r="F53" s="8">
        <f>COUNTIFS('세부(구축)'!J:J,"발행",'세부(구축)'!$C:$C,'집계(구축)'!$B53)</f>
        <v>0</v>
      </c>
      <c r="G53" s="8">
        <f>COUNTIFS('세부(구축)'!K:K,"수령",'세부(구축)'!$C:$C,'집계(구축)'!$B53)</f>
        <v>0</v>
      </c>
      <c r="H53" s="37">
        <f>COUNTIFS('세부(구축)'!$C:$C,'집계(구축)'!B53,'세부(구축)'!$G:$G,"취소")</f>
        <v>0</v>
      </c>
      <c r="I53" s="8">
        <f>COUNTIFS('세부(구축)'!B:B,'집계(구축)'!B53,'세부(구축)'!C:C,'집계(구축)'!$I$15)</f>
        <v>0</v>
      </c>
      <c r="J53" s="8">
        <f>COUNTIFS('세부(구축)'!$B:$B,'집계(구축)'!$B53,'세부(구축)'!$C:$C,'집계(구축)'!J$15)</f>
        <v>0</v>
      </c>
      <c r="K53" s="8">
        <f>COUNTIFS('세부(구축)'!$B:$B,'집계(구축)'!$B53,'세부(구축)'!$C:$C,'집계(구축)'!K$15)</f>
        <v>0</v>
      </c>
      <c r="L53" s="8">
        <f>COUNTIFS('세부(구축)'!$B:$B,'집계(구축)'!$B53,'세부(구축)'!$C:$C,'집계(구축)'!L$15)</f>
        <v>0</v>
      </c>
      <c r="M53" s="8">
        <f>COUNTIFS('세부(구축)'!$B:$B,'집계(구축)'!$B53,'세부(구축)'!$C:$C,'집계(구축)'!M$15)</f>
        <v>0</v>
      </c>
      <c r="N53" s="8">
        <f>COUNTIFS('세부(구축)'!$B:$B,'집계(구축)'!$B53,'세부(구축)'!$C:$C,'집계(구축)'!N$15)</f>
        <v>0</v>
      </c>
      <c r="O53" s="8">
        <f>COUNTIFS('세부(구축)'!$B:$B,'집계(구축)'!$B53,'세부(구축)'!$C:$C,'집계(구축)'!O$15)</f>
        <v>0</v>
      </c>
      <c r="P53" s="8">
        <f>COUNTIFS('세부(구축)'!$B:$B,'집계(구축)'!$B53,'세부(구축)'!$C:$C,'집계(구축)'!P$15)</f>
        <v>0</v>
      </c>
      <c r="Q53" s="8">
        <f>COUNTIFS('세부(구축)'!$B:$B,'집계(구축)'!$B53,'세부(구축)'!$C:$C,'집계(구축)'!Q$15)</f>
        <v>0</v>
      </c>
      <c r="R53" s="8">
        <f>COUNTIFS('세부(구축)'!$B:$B,'집계(구축)'!$B53,'세부(구축)'!$C:$C,'집계(구축)'!R$15)</f>
        <v>0</v>
      </c>
      <c r="S53" s="8">
        <f>COUNTIFS('세부(구축)'!$B:$B,'집계(구축)'!$B53,'세부(구축)'!$C:$C,'집계(구축)'!S$15)</f>
        <v>0</v>
      </c>
      <c r="T53" s="8">
        <f>COUNTIFS('세부(구축)'!$B:$B,'집계(구축)'!$B53,'세부(구축)'!$C:$C,'집계(구축)'!T$15)</f>
        <v>0</v>
      </c>
    </row>
    <row r="54" spans="1:20" ht="20.100000000000001" customHeight="1" x14ac:dyDescent="0.15">
      <c r="A54" s="3">
        <f t="shared" si="6"/>
        <v>12</v>
      </c>
      <c r="B54" s="61" t="s">
        <v>167</v>
      </c>
      <c r="C54" s="59">
        <f t="shared" si="5"/>
        <v>0</v>
      </c>
      <c r="D54" s="8">
        <f>COUNTIFS('세부(구축)'!C:C,'집계(구축)'!B54,'세부(구축)'!G:G,"완료")+H54</f>
        <v>0</v>
      </c>
      <c r="E54" s="8">
        <f>SUM(COUNTIFS('세부(구축)'!C:C,'집계(구축)'!B54,'세부(구축)'!G:G,"작성중"),COUNTIFS('세부(구축)'!C:C,'집계(구축)'!B54,'세부(구축)'!G:G,"접수대기"))</f>
        <v>0</v>
      </c>
      <c r="F54" s="8">
        <f>COUNTIFS('세부(구축)'!J:J,"발행",'세부(구축)'!$C:$C,'집계(구축)'!$B54)</f>
        <v>0</v>
      </c>
      <c r="G54" s="8">
        <f>COUNTIFS('세부(구축)'!K:K,"수령",'세부(구축)'!$C:$C,'집계(구축)'!$B54)</f>
        <v>0</v>
      </c>
      <c r="H54" s="37">
        <f>COUNTIFS('세부(구축)'!$C:$C,'집계(구축)'!B54,'세부(구축)'!$G:$G,"취소")</f>
        <v>0</v>
      </c>
      <c r="I54" s="8">
        <f>COUNTIFS('세부(구축)'!B:B,'집계(구축)'!B54,'세부(구축)'!C:C,'집계(구축)'!$I$15)</f>
        <v>0</v>
      </c>
      <c r="J54" s="8">
        <f>COUNTIFS('세부(구축)'!$B:$B,'집계(구축)'!$B54,'세부(구축)'!$C:$C,'집계(구축)'!J$15)</f>
        <v>0</v>
      </c>
      <c r="K54" s="8">
        <f>COUNTIFS('세부(구축)'!$B:$B,'집계(구축)'!$B54,'세부(구축)'!$C:$C,'집계(구축)'!K$15)</f>
        <v>0</v>
      </c>
      <c r="L54" s="8">
        <f>COUNTIFS('세부(구축)'!$B:$B,'집계(구축)'!$B54,'세부(구축)'!$C:$C,'집계(구축)'!L$15)</f>
        <v>0</v>
      </c>
      <c r="M54" s="8">
        <f>COUNTIFS('세부(구축)'!$B:$B,'집계(구축)'!$B54,'세부(구축)'!$C:$C,'집계(구축)'!M$15)</f>
        <v>0</v>
      </c>
      <c r="N54" s="8">
        <f>COUNTIFS('세부(구축)'!$B:$B,'집계(구축)'!$B54,'세부(구축)'!$C:$C,'집계(구축)'!N$15)</f>
        <v>0</v>
      </c>
      <c r="O54" s="8">
        <f>COUNTIFS('세부(구축)'!$B:$B,'집계(구축)'!$B54,'세부(구축)'!$C:$C,'집계(구축)'!O$15)</f>
        <v>0</v>
      </c>
      <c r="P54" s="8">
        <f>COUNTIFS('세부(구축)'!$B:$B,'집계(구축)'!$B54,'세부(구축)'!$C:$C,'집계(구축)'!P$15)</f>
        <v>0</v>
      </c>
      <c r="Q54" s="8">
        <f>COUNTIFS('세부(구축)'!$B:$B,'집계(구축)'!$B54,'세부(구축)'!$C:$C,'집계(구축)'!Q$15)</f>
        <v>0</v>
      </c>
      <c r="R54" s="8">
        <f>COUNTIFS('세부(구축)'!$B:$B,'집계(구축)'!$B54,'세부(구축)'!$C:$C,'집계(구축)'!R$15)</f>
        <v>0</v>
      </c>
      <c r="S54" s="8">
        <f>COUNTIFS('세부(구축)'!$B:$B,'집계(구축)'!$B54,'세부(구축)'!$C:$C,'집계(구축)'!S$15)</f>
        <v>0</v>
      </c>
      <c r="T54" s="8">
        <f>COUNTIFS('세부(구축)'!$B:$B,'집계(구축)'!$B54,'세부(구축)'!$C:$C,'집계(구축)'!T$15)</f>
        <v>0</v>
      </c>
    </row>
    <row r="55" spans="1:20" ht="20.100000000000001" customHeight="1" x14ac:dyDescent="0.15">
      <c r="A55" s="3">
        <f t="shared" si="6"/>
        <v>13</v>
      </c>
      <c r="B55" s="61" t="s">
        <v>201</v>
      </c>
      <c r="C55" s="59">
        <f t="shared" si="5"/>
        <v>0</v>
      </c>
      <c r="D55" s="8">
        <f>COUNTIFS('세부(구축)'!C:C,'집계(구축)'!B55,'세부(구축)'!G:G,"완료")+H55</f>
        <v>0</v>
      </c>
      <c r="E55" s="8">
        <f>SUM(COUNTIFS('세부(구축)'!C:C,'집계(구축)'!B55,'세부(구축)'!G:G,"작성중"),COUNTIFS('세부(구축)'!C:C,'집계(구축)'!B55,'세부(구축)'!G:G,"접수대기"))</f>
        <v>0</v>
      </c>
      <c r="F55" s="8">
        <f>COUNTIFS('세부(구축)'!J:J,"발행",'세부(구축)'!$C:$C,'집계(구축)'!$B55)</f>
        <v>0</v>
      </c>
      <c r="G55" s="8">
        <f>COUNTIFS('세부(구축)'!K:K,"수령",'세부(구축)'!$C:$C,'집계(구축)'!$B55)</f>
        <v>0</v>
      </c>
      <c r="H55" s="37">
        <f>COUNTIFS('세부(구축)'!$C:$C,'집계(구축)'!B55,'세부(구축)'!$G:$G,"취소")</f>
        <v>0</v>
      </c>
      <c r="I55" s="8">
        <f>COUNTIFS('세부(구축)'!B:B,'집계(구축)'!B55,'세부(구축)'!C:C,'집계(구축)'!$I$15)</f>
        <v>0</v>
      </c>
      <c r="J55" s="8">
        <f>COUNTIFS('세부(구축)'!$B:$B,'집계(구축)'!$B55,'세부(구축)'!$C:$C,'집계(구축)'!J$15)</f>
        <v>0</v>
      </c>
      <c r="K55" s="8">
        <f>COUNTIFS('세부(구축)'!$B:$B,'집계(구축)'!$B55,'세부(구축)'!$C:$C,'집계(구축)'!K$15)</f>
        <v>0</v>
      </c>
      <c r="L55" s="8">
        <f>COUNTIFS('세부(구축)'!$B:$B,'집계(구축)'!$B55,'세부(구축)'!$C:$C,'집계(구축)'!L$15)</f>
        <v>0</v>
      </c>
      <c r="M55" s="8">
        <f>COUNTIFS('세부(구축)'!$B:$B,'집계(구축)'!$B55,'세부(구축)'!$C:$C,'집계(구축)'!M$15)</f>
        <v>0</v>
      </c>
      <c r="N55" s="8">
        <f>COUNTIFS('세부(구축)'!$B:$B,'집계(구축)'!$B55,'세부(구축)'!$C:$C,'집계(구축)'!N$15)</f>
        <v>0</v>
      </c>
      <c r="O55" s="8">
        <f>COUNTIFS('세부(구축)'!$B:$B,'집계(구축)'!$B55,'세부(구축)'!$C:$C,'집계(구축)'!O$15)</f>
        <v>0</v>
      </c>
      <c r="P55" s="8">
        <f>COUNTIFS('세부(구축)'!$B:$B,'집계(구축)'!$B55,'세부(구축)'!$C:$C,'집계(구축)'!P$15)</f>
        <v>0</v>
      </c>
      <c r="Q55" s="8">
        <f>COUNTIFS('세부(구축)'!$B:$B,'집계(구축)'!$B55,'세부(구축)'!$C:$C,'집계(구축)'!Q$15)</f>
        <v>0</v>
      </c>
      <c r="R55" s="8">
        <f>COUNTIFS('세부(구축)'!$B:$B,'집계(구축)'!$B55,'세부(구축)'!$C:$C,'집계(구축)'!R$15)</f>
        <v>0</v>
      </c>
      <c r="S55" s="8">
        <f>COUNTIFS('세부(구축)'!$B:$B,'집계(구축)'!$B55,'세부(구축)'!$C:$C,'집계(구축)'!S$15)</f>
        <v>0</v>
      </c>
      <c r="T55" s="8">
        <f>COUNTIFS('세부(구축)'!$B:$B,'집계(구축)'!$B55,'세부(구축)'!$C:$C,'집계(구축)'!T$15)</f>
        <v>0</v>
      </c>
    </row>
    <row r="56" spans="1:20" ht="20.100000000000001" customHeight="1" x14ac:dyDescent="0.15">
      <c r="A56" s="3">
        <f t="shared" si="6"/>
        <v>14</v>
      </c>
      <c r="B56" s="61" t="s">
        <v>270</v>
      </c>
      <c r="C56" s="59">
        <f t="shared" si="5"/>
        <v>0</v>
      </c>
      <c r="D56" s="8">
        <f>COUNTIFS('세부(구축)'!C:C,'집계(구축)'!B56,'세부(구축)'!G:G,"완료")+H56</f>
        <v>0</v>
      </c>
      <c r="E56" s="8">
        <f>SUM(COUNTIFS('세부(구축)'!C:C,'집계(구축)'!B56,'세부(구축)'!G:G,"작성중"),COUNTIFS('세부(구축)'!C:C,'집계(구축)'!B56,'세부(구축)'!G:G,"접수대기"))</f>
        <v>0</v>
      </c>
      <c r="F56" s="8">
        <f>COUNTIFS('세부(구축)'!J:J,"발행",'세부(구축)'!$C:$C,'집계(구축)'!$B56)</f>
        <v>0</v>
      </c>
      <c r="G56" s="8">
        <f>COUNTIFS('세부(구축)'!K:K,"수령",'세부(구축)'!$C:$C,'집계(구축)'!$B56)</f>
        <v>0</v>
      </c>
      <c r="H56" s="37">
        <f>COUNTIFS('세부(구축)'!$C:$C,'집계(구축)'!B56,'세부(구축)'!$G:$G,"취소")</f>
        <v>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20.100000000000001" customHeight="1" x14ac:dyDescent="0.15">
      <c r="A57" s="3">
        <f t="shared" si="6"/>
        <v>15</v>
      </c>
      <c r="B57" s="61" t="s">
        <v>279</v>
      </c>
      <c r="C57" s="59">
        <f t="shared" ref="C57:C60" si="7">SUM(D57:E57)</f>
        <v>0</v>
      </c>
      <c r="D57" s="8">
        <f>COUNTIFS('세부(구축)'!C:C,'집계(구축)'!B57,'세부(구축)'!G:G,"완료")+H57</f>
        <v>0</v>
      </c>
      <c r="E57" s="8">
        <f>SUM(COUNTIFS('세부(구축)'!C:C,'집계(구축)'!B57,'세부(구축)'!G:G,"작성중"),COUNTIFS('세부(구축)'!C:C,'집계(구축)'!B57,'세부(구축)'!G:G,"접수대기"))</f>
        <v>0</v>
      </c>
      <c r="F57" s="8">
        <f>COUNTIFS('세부(구축)'!J:J,"발행",'세부(구축)'!$C:$C,'집계(구축)'!$B57)</f>
        <v>0</v>
      </c>
      <c r="G57" s="8">
        <f>COUNTIFS('세부(구축)'!K:K,"수령",'세부(구축)'!$C:$C,'집계(구축)'!$B57)</f>
        <v>0</v>
      </c>
      <c r="H57" s="37">
        <f>COUNTIFS('세부(구축)'!$C:$C,'집계(구축)'!B57,'세부(구축)'!$G:$G,"취소")</f>
        <v>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20.100000000000001" customHeight="1" x14ac:dyDescent="0.15">
      <c r="A58" s="3">
        <f t="shared" si="6"/>
        <v>16</v>
      </c>
      <c r="B58" s="61" t="s">
        <v>273</v>
      </c>
      <c r="C58" s="59">
        <f t="shared" si="7"/>
        <v>0</v>
      </c>
      <c r="D58" s="8">
        <f>COUNTIFS('세부(구축)'!C:C,'집계(구축)'!B58,'세부(구축)'!G:G,"완료")+H58</f>
        <v>0</v>
      </c>
      <c r="E58" s="8">
        <f>SUM(COUNTIFS('세부(구축)'!C:C,'집계(구축)'!B58,'세부(구축)'!G:G,"작성중"),COUNTIFS('세부(구축)'!C:C,'집계(구축)'!B58,'세부(구축)'!G:G,"접수대기"))</f>
        <v>0</v>
      </c>
      <c r="F58" s="8">
        <f>COUNTIFS('세부(구축)'!J:J,"발행",'세부(구축)'!$C:$C,'집계(구축)'!$B58)</f>
        <v>0</v>
      </c>
      <c r="G58" s="8">
        <f>COUNTIFS('세부(구축)'!K:K,"수령",'세부(구축)'!$C:$C,'집계(구축)'!$B58)</f>
        <v>0</v>
      </c>
      <c r="H58" s="37">
        <f>COUNTIFS('세부(구축)'!$C:$C,'집계(구축)'!B58,'세부(구축)'!$G:$G,"취소")</f>
        <v>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20.100000000000001" customHeight="1" x14ac:dyDescent="0.15">
      <c r="A59" s="3">
        <f t="shared" si="6"/>
        <v>17</v>
      </c>
      <c r="B59" s="61" t="s">
        <v>277</v>
      </c>
      <c r="C59" s="59">
        <f t="shared" si="7"/>
        <v>0</v>
      </c>
      <c r="D59" s="8">
        <f>COUNTIFS('세부(구축)'!C:C,'집계(구축)'!B59,'세부(구축)'!G:G,"완료")+H59</f>
        <v>0</v>
      </c>
      <c r="E59" s="8">
        <f>SUM(COUNTIFS('세부(구축)'!C:C,'집계(구축)'!B59,'세부(구축)'!G:G,"작성중"),COUNTIFS('세부(구축)'!C:C,'집계(구축)'!B59,'세부(구축)'!G:G,"접수대기"))</f>
        <v>0</v>
      </c>
      <c r="F59" s="8">
        <f>COUNTIFS('세부(구축)'!J:J,"발행",'세부(구축)'!$C:$C,'집계(구축)'!$B59)</f>
        <v>0</v>
      </c>
      <c r="G59" s="8">
        <f>COUNTIFS('세부(구축)'!K:K,"수령",'세부(구축)'!$C:$C,'집계(구축)'!$B59)</f>
        <v>0</v>
      </c>
      <c r="H59" s="37">
        <f>COUNTIFS('세부(구축)'!$C:$C,'집계(구축)'!B59,'세부(구축)'!$G:$G,"취소")</f>
        <v>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20.100000000000001" customHeight="1" x14ac:dyDescent="0.15">
      <c r="A60" s="3">
        <f t="shared" si="6"/>
        <v>18</v>
      </c>
      <c r="B60" s="61" t="s">
        <v>275</v>
      </c>
      <c r="C60" s="59">
        <f t="shared" si="7"/>
        <v>0</v>
      </c>
      <c r="D60" s="8">
        <f>COUNTIFS('세부(구축)'!C:C,'집계(구축)'!B60,'세부(구축)'!G:G,"완료")+H60</f>
        <v>0</v>
      </c>
      <c r="E60" s="8">
        <f>SUM(COUNTIFS('세부(구축)'!C:C,'집계(구축)'!B60,'세부(구축)'!G:G,"작성중"),COUNTIFS('세부(구축)'!C:C,'집계(구축)'!B60,'세부(구축)'!G:G,"접수대기"))</f>
        <v>0</v>
      </c>
      <c r="F60" s="8">
        <f>COUNTIFS('세부(구축)'!J:J,"발행",'세부(구축)'!$C:$C,'집계(구축)'!$B60)</f>
        <v>0</v>
      </c>
      <c r="G60" s="8">
        <f>COUNTIFS('세부(구축)'!K:K,"수령",'세부(구축)'!$C:$C,'집계(구축)'!$B60)</f>
        <v>0</v>
      </c>
      <c r="H60" s="37">
        <f>COUNTIFS('세부(구축)'!$C:$C,'집계(구축)'!B60,'세부(구축)'!$G:$G,"취소")</f>
        <v>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20.100000000000001" customHeight="1" x14ac:dyDescent="0.15">
      <c r="A61" s="3">
        <f t="shared" si="6"/>
        <v>19</v>
      </c>
      <c r="B61" s="61" t="s">
        <v>274</v>
      </c>
      <c r="C61" s="59">
        <f t="shared" ref="C61:C62" si="8">SUM(D61:E61)</f>
        <v>0</v>
      </c>
      <c r="D61" s="8">
        <f>COUNTIFS('세부(구축)'!C:C,'집계(구축)'!B61,'세부(구축)'!G:G,"완료")+H61</f>
        <v>0</v>
      </c>
      <c r="E61" s="8">
        <f>SUM(COUNTIFS('세부(구축)'!C:C,'집계(구축)'!B61,'세부(구축)'!G:G,"작성중"),COUNTIFS('세부(구축)'!C:C,'집계(구축)'!B61,'세부(구축)'!G:G,"접수대기"))</f>
        <v>0</v>
      </c>
      <c r="F61" s="8">
        <f>COUNTIFS('세부(구축)'!J:J,"발행",'세부(구축)'!$C:$C,'집계(구축)'!$B61)</f>
        <v>0</v>
      </c>
      <c r="G61" s="8">
        <f>COUNTIFS('세부(구축)'!K:K,"수령",'세부(구축)'!$C:$C,'집계(구축)'!$B61)</f>
        <v>0</v>
      </c>
      <c r="H61" s="37">
        <f>COUNTIFS('세부(구축)'!$C:$C,'집계(구축)'!B61,'세부(구축)'!$G:$G,"취소")</f>
        <v>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20.100000000000001" customHeight="1" x14ac:dyDescent="0.15">
      <c r="A62" s="3">
        <f t="shared" si="6"/>
        <v>20</v>
      </c>
      <c r="B62" s="61" t="s">
        <v>291</v>
      </c>
      <c r="C62" s="59">
        <f t="shared" si="8"/>
        <v>0</v>
      </c>
      <c r="D62" s="8">
        <f>COUNTIFS('세부(구축)'!C:C,'집계(구축)'!B62,'세부(구축)'!G:G,"완료")+H62</f>
        <v>0</v>
      </c>
      <c r="E62" s="8">
        <f>SUM(COUNTIFS('세부(구축)'!C:C,'집계(구축)'!B62,'세부(구축)'!G:G,"작성중"),COUNTIFS('세부(구축)'!C:C,'집계(구축)'!B62,'세부(구축)'!G:G,"접수대기"))</f>
        <v>0</v>
      </c>
      <c r="F62" s="8">
        <f>COUNTIFS('세부(구축)'!J:J,"발행",'세부(구축)'!$C:$C,'집계(구축)'!$B62)</f>
        <v>0</v>
      </c>
      <c r="G62" s="8">
        <f>COUNTIFS('세부(구축)'!K:K,"수령",'세부(구축)'!$C:$C,'집계(구축)'!$B62)</f>
        <v>0</v>
      </c>
      <c r="H62" s="37">
        <f>COUNTIFS('세부(구축)'!$C:$C,'집계(구축)'!B62,'세부(구축)'!$G:$G,"취소")</f>
        <v>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20.100000000000001" customHeight="1" x14ac:dyDescent="0.15">
      <c r="A63" s="3">
        <f t="shared" si="6"/>
        <v>21</v>
      </c>
      <c r="B63" s="61" t="s">
        <v>292</v>
      </c>
      <c r="C63" s="59">
        <f>SUM(D63:E63)</f>
        <v>0</v>
      </c>
      <c r="D63" s="8">
        <f>COUNTIFS('세부(구축)'!C:C,'집계(구축)'!B63,'세부(구축)'!G:G,"완료")+H63</f>
        <v>0</v>
      </c>
      <c r="E63" s="8">
        <f>SUM(COUNTIFS('세부(구축)'!C:C,'집계(구축)'!B63,'세부(구축)'!G:G,"작성중"),COUNTIFS('세부(구축)'!C:C,'집계(구축)'!B63,'세부(구축)'!G:G,"접수대기"))</f>
        <v>0</v>
      </c>
      <c r="F63" s="8">
        <f>COUNTIFS('세부(구축)'!J:J,"발행",'세부(구축)'!$C:$C,'집계(구축)'!$B63)</f>
        <v>0</v>
      </c>
      <c r="G63" s="8">
        <f>COUNTIFS('세부(구축)'!K:K,"수령",'세부(구축)'!$C:$C,'집계(구축)'!$B63)</f>
        <v>0</v>
      </c>
      <c r="H63" s="37">
        <f>COUNTIFS('세부(구축)'!$C:$C,'집계(구축)'!B63,'세부(구축)'!$G:$G,"취소")</f>
        <v>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20.100000000000001" customHeight="1" x14ac:dyDescent="0.15">
      <c r="A64" s="3">
        <f t="shared" si="6"/>
        <v>22</v>
      </c>
      <c r="B64" s="10" t="s">
        <v>295</v>
      </c>
      <c r="C64" s="59">
        <f>SUM(D64:E64)</f>
        <v>0</v>
      </c>
      <c r="D64" s="8">
        <f>COUNTIFS('세부(구축)'!C:C,'집계(구축)'!B64,'세부(구축)'!G:G,"완료")+H64</f>
        <v>0</v>
      </c>
      <c r="E64" s="8">
        <f>SUM(COUNTIFS('세부(구축)'!C:C,'집계(구축)'!B64,'세부(구축)'!G:G,"작성중"),COUNTIFS('세부(구축)'!C:C,'집계(구축)'!B64,'세부(구축)'!G:G,"접수대기"))</f>
        <v>0</v>
      </c>
      <c r="F64" s="8">
        <f>COUNTIFS('세부(구축)'!J:J,"발행",'세부(구축)'!$C:$C,'집계(구축)'!$B64)</f>
        <v>0</v>
      </c>
      <c r="G64" s="8">
        <f>COUNTIFS('세부(구축)'!K:K,"수령",'세부(구축)'!$C:$C,'집계(구축)'!$B64)</f>
        <v>0</v>
      </c>
      <c r="H64" s="37">
        <f>COUNTIFS('세부(구축)'!$C:$C,'집계(구축)'!B64,'세부(구축)'!$G:$G,"취소")</f>
        <v>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20.100000000000001" customHeight="1" x14ac:dyDescent="0.15">
      <c r="A65" s="326" t="s">
        <v>173</v>
      </c>
      <c r="B65" s="326"/>
      <c r="C65" s="8">
        <f>SUM(D65:E65)</f>
        <v>2</v>
      </c>
      <c r="D65" s="8">
        <f>SUM(D43:D63)</f>
        <v>0</v>
      </c>
      <c r="E65" s="8">
        <f>SUM(E43:E63)</f>
        <v>2</v>
      </c>
      <c r="F65" s="8">
        <f>SUM(F43:F63)</f>
        <v>0</v>
      </c>
      <c r="G65" s="8">
        <f>SUM(G43:G63)</f>
        <v>0</v>
      </c>
      <c r="H65" s="8">
        <f>SUM(H43:H63)</f>
        <v>0</v>
      </c>
      <c r="I65" s="8">
        <f t="shared" ref="I65:T65" si="9">SUM(I43:I55)</f>
        <v>0</v>
      </c>
      <c r="J65" s="8">
        <f t="shared" si="9"/>
        <v>0</v>
      </c>
      <c r="K65" s="8">
        <f t="shared" si="9"/>
        <v>0</v>
      </c>
      <c r="L65" s="8">
        <f t="shared" si="9"/>
        <v>0</v>
      </c>
      <c r="M65" s="8">
        <f t="shared" si="9"/>
        <v>0</v>
      </c>
      <c r="N65" s="8">
        <f t="shared" si="9"/>
        <v>0</v>
      </c>
      <c r="O65" s="8">
        <f t="shared" si="9"/>
        <v>0</v>
      </c>
      <c r="P65" s="8">
        <f t="shared" si="9"/>
        <v>0</v>
      </c>
      <c r="Q65" s="8">
        <f t="shared" si="9"/>
        <v>0</v>
      </c>
      <c r="R65" s="8">
        <f t="shared" si="9"/>
        <v>0</v>
      </c>
      <c r="S65" s="8">
        <f t="shared" si="9"/>
        <v>0</v>
      </c>
      <c r="T65" s="8">
        <f t="shared" si="9"/>
        <v>0</v>
      </c>
    </row>
    <row r="66" spans="1:20" ht="20.100000000000001" customHeight="1" x14ac:dyDescent="0.15">
      <c r="A66" s="2" t="s">
        <v>7</v>
      </c>
    </row>
    <row r="67" spans="1:20" ht="24.95" customHeight="1" x14ac:dyDescent="0.15">
      <c r="A67" s="20" t="s">
        <v>14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ht="24.95" customHeight="1" x14ac:dyDescent="0.15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</sheetData>
  <mergeCells count="26">
    <mergeCell ref="A1:H1"/>
    <mergeCell ref="I41:T41"/>
    <mergeCell ref="A65:B65"/>
    <mergeCell ref="H14:H15"/>
    <mergeCell ref="H41:H42"/>
    <mergeCell ref="A38:B38"/>
    <mergeCell ref="A41:A42"/>
    <mergeCell ref="B41:B42"/>
    <mergeCell ref="J10:K10"/>
    <mergeCell ref="A4:B4"/>
    <mergeCell ref="A5:B5"/>
    <mergeCell ref="I14:T14"/>
    <mergeCell ref="C5:G5"/>
    <mergeCell ref="C4:G4"/>
    <mergeCell ref="A10:B10"/>
    <mergeCell ref="A14:A15"/>
    <mergeCell ref="B14:B15"/>
    <mergeCell ref="A8:B9"/>
    <mergeCell ref="C8:E8"/>
    <mergeCell ref="F14:G14"/>
    <mergeCell ref="C14:E14"/>
    <mergeCell ref="C41:E41"/>
    <mergeCell ref="F41:G41"/>
    <mergeCell ref="K3:T3"/>
    <mergeCell ref="J9:K9"/>
    <mergeCell ref="F8:G8"/>
  </mergeCells>
  <phoneticPr fontId="4" type="noConversion"/>
  <conditionalFormatting sqref="B1:B7 B10:B63 B65:B1048576">
    <cfRule type="duplicateValues" dxfId="47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rowBreaks count="1" manualBreakCount="1">
    <brk id="39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D4F1-E4B9-4600-BCDE-64BC035304EB}">
  <dimension ref="A1:E10"/>
  <sheetViews>
    <sheetView topLeftCell="A2" workbookViewId="0">
      <selection activeCell="C4" sqref="C4"/>
    </sheetView>
  </sheetViews>
  <sheetFormatPr defaultRowHeight="15.75" x14ac:dyDescent="0.15"/>
  <cols>
    <col min="1" max="1" width="6.77734375" style="39" customWidth="1"/>
    <col min="2" max="2" width="12.77734375" style="39" customWidth="1"/>
    <col min="3" max="4" width="15.77734375" style="39" customWidth="1"/>
    <col min="5" max="16384" width="8.88671875" style="39"/>
  </cols>
  <sheetData>
    <row r="1" spans="1:5" ht="30" customHeight="1" x14ac:dyDescent="0.15">
      <c r="A1" s="40" t="s">
        <v>189</v>
      </c>
    </row>
    <row r="2" spans="1:5" ht="20.100000000000001" customHeight="1" x14ac:dyDescent="0.15"/>
    <row r="3" spans="1:5" ht="20.100000000000001" customHeight="1" x14ac:dyDescent="0.15">
      <c r="A3" s="41" t="s">
        <v>0</v>
      </c>
      <c r="B3" s="41" t="s">
        <v>187</v>
      </c>
      <c r="C3" s="41" t="s">
        <v>191</v>
      </c>
      <c r="D3" s="41" t="s">
        <v>190</v>
      </c>
      <c r="E3" s="41" t="s">
        <v>1</v>
      </c>
    </row>
    <row r="4" spans="1:5" ht="20.100000000000001" customHeight="1" x14ac:dyDescent="0.15">
      <c r="A4" s="42">
        <v>1</v>
      </c>
      <c r="B4" s="42" t="s">
        <v>183</v>
      </c>
      <c r="C4" s="44">
        <f>COUNTIFS('세부(구축)'!$G:$G,"완료",'세부(구축)'!$L:$L,수행!B4)</f>
        <v>0</v>
      </c>
      <c r="D4" s="50">
        <f>C4*300000</f>
        <v>0</v>
      </c>
      <c r="E4" s="42"/>
    </row>
    <row r="5" spans="1:5" ht="20.100000000000001" customHeight="1" x14ac:dyDescent="0.15">
      <c r="A5" s="42">
        <v>2</v>
      </c>
      <c r="B5" s="42" t="s">
        <v>185</v>
      </c>
      <c r="C5" s="44">
        <f>COUNTIFS('세부(구축)'!$G:$G,"완료",'세부(구축)'!$L:$L,수행!B5)</f>
        <v>0</v>
      </c>
      <c r="D5" s="50">
        <f>C5*300000</f>
        <v>0</v>
      </c>
      <c r="E5" s="42"/>
    </row>
    <row r="6" spans="1:5" ht="20.100000000000001" customHeight="1" x14ac:dyDescent="0.15">
      <c r="A6" s="42">
        <v>3</v>
      </c>
      <c r="B6" s="42" t="s">
        <v>184</v>
      </c>
      <c r="C6" s="44">
        <f>COUNTIFS('세부(구축)'!$G:$G,"완료",'세부(구축)'!$L:$L,수행!B6)</f>
        <v>0</v>
      </c>
      <c r="D6" s="50">
        <f>C6*300000</f>
        <v>0</v>
      </c>
      <c r="E6" s="42"/>
    </row>
    <row r="7" spans="1:5" ht="20.100000000000001" customHeight="1" x14ac:dyDescent="0.15">
      <c r="A7" s="42">
        <v>4</v>
      </c>
      <c r="B7" s="42" t="s">
        <v>186</v>
      </c>
      <c r="C7" s="44">
        <f>COUNTIFS('세부(구축)'!$G:$G,"완료",'세부(구축)'!$L:$L,수행!B7)</f>
        <v>0</v>
      </c>
      <c r="D7" s="50">
        <f>C7*300000</f>
        <v>0</v>
      </c>
      <c r="E7" s="43"/>
    </row>
    <row r="8" spans="1:5" ht="20.100000000000001" customHeight="1" x14ac:dyDescent="0.15">
      <c r="A8" s="42">
        <v>5</v>
      </c>
      <c r="B8" s="42" t="s">
        <v>298</v>
      </c>
      <c r="C8" s="44">
        <f>COUNTIFS('세부(구축)'!$G:$G,"완료",'세부(구축)'!$L:$L,수행!B8)</f>
        <v>0</v>
      </c>
      <c r="D8" s="50">
        <f>C8*300000</f>
        <v>0</v>
      </c>
      <c r="E8" s="43"/>
    </row>
    <row r="9" spans="1:5" ht="20.100000000000001" customHeight="1" x14ac:dyDescent="0.15">
      <c r="A9" s="42"/>
      <c r="B9" s="42" t="s">
        <v>188</v>
      </c>
      <c r="C9" s="45">
        <f>SUM(C4:C8)</f>
        <v>0</v>
      </c>
      <c r="D9" s="45">
        <f>SUM(D4:D8)</f>
        <v>0</v>
      </c>
      <c r="E9" s="43"/>
    </row>
    <row r="10" spans="1:5" ht="20.100000000000001" customHeight="1" x14ac:dyDescent="0.15">
      <c r="A10" s="51" t="s">
        <v>210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CFAA-513E-401D-B1C2-26A9EA0CBDE8}">
  <sheetPr codeName="Sheet1">
    <pageSetUpPr fitToPage="1"/>
  </sheetPr>
  <dimension ref="A1:AF128"/>
  <sheetViews>
    <sheetView showGridLines="0" view="pageBreakPreview" zoomScale="70" zoomScaleNormal="55" zoomScaleSheetLayoutView="70" workbookViewId="0">
      <pane ySplit="10" topLeftCell="A21" activePane="bottomLeft" state="frozen"/>
      <selection pane="bottomLeft" activeCell="AB11" sqref="AB11"/>
    </sheetView>
  </sheetViews>
  <sheetFormatPr defaultRowHeight="14.1" customHeight="1" outlineLevelCol="1" x14ac:dyDescent="0.15"/>
  <cols>
    <col min="1" max="1" width="9.88671875" style="74" customWidth="1"/>
    <col min="2" max="2" width="15" style="74" customWidth="1"/>
    <col min="3" max="3" width="33.109375" style="74" customWidth="1"/>
    <col min="4" max="5" width="7.77734375" style="74" customWidth="1" outlineLevel="1"/>
    <col min="6" max="6" width="8" style="74" customWidth="1" outlineLevel="1"/>
    <col min="7" max="7" width="8" style="74" bestFit="1" customWidth="1" outlineLevel="1"/>
    <col min="8" max="8" width="7.77734375" style="74" customWidth="1" outlineLevel="1"/>
    <col min="9" max="9" width="15.5546875" style="74" customWidth="1"/>
    <col min="10" max="14" width="7.77734375" style="74" customWidth="1"/>
    <col min="15" max="15" width="8.77734375" style="74" customWidth="1"/>
    <col min="16" max="17" width="7.6640625" style="74" hidden="1" customWidth="1"/>
    <col min="18" max="18" width="0.33203125" style="74" hidden="1" customWidth="1"/>
    <col min="19" max="19" width="8.6640625" style="74" hidden="1" customWidth="1"/>
    <col min="20" max="21" width="7.6640625" style="74" hidden="1" customWidth="1"/>
    <col min="22" max="22" width="9.77734375" style="74" hidden="1" customWidth="1"/>
    <col min="23" max="23" width="8.77734375" style="74" customWidth="1"/>
    <col min="24" max="24" width="6.109375" style="74" hidden="1" customWidth="1"/>
    <col min="25" max="25" width="13.44140625" style="74" hidden="1" customWidth="1"/>
    <col min="26" max="26" width="8.77734375" style="108" customWidth="1"/>
    <col min="27" max="27" width="13" style="109" customWidth="1"/>
    <col min="28" max="28" width="11.33203125" style="109" customWidth="1"/>
    <col min="29" max="29" width="24.21875" style="109" customWidth="1"/>
    <col min="30" max="30" width="13" style="74" customWidth="1"/>
    <col min="31" max="31" width="10.77734375" style="74" customWidth="1"/>
    <col min="32" max="16384" width="8.88671875" style="74"/>
  </cols>
  <sheetData>
    <row r="1" spans="1:32" ht="125.1" customHeight="1" x14ac:dyDescent="0.15">
      <c r="Z1" s="74"/>
      <c r="AA1" s="154"/>
      <c r="AB1" s="154"/>
      <c r="AC1" s="154"/>
    </row>
    <row r="2" spans="1:32" ht="50.1" customHeight="1" x14ac:dyDescent="0.15">
      <c r="A2" s="123" t="s">
        <v>313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73"/>
      <c r="AB2" s="73"/>
      <c r="AC2" s="73"/>
      <c r="AD2" s="73"/>
      <c r="AE2" s="73"/>
    </row>
    <row r="3" spans="1:32" ht="20.100000000000001" customHeight="1" x14ac:dyDescent="0.15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75"/>
      <c r="AB3" s="75"/>
      <c r="AC3" s="75"/>
      <c r="AD3" s="75"/>
      <c r="AE3" s="75"/>
    </row>
    <row r="4" spans="1:32" ht="27.95" customHeight="1" x14ac:dyDescent="0.15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75"/>
      <c r="AB4" s="336"/>
      <c r="AC4" s="336"/>
      <c r="AD4" s="75"/>
      <c r="AE4" s="75"/>
    </row>
    <row r="5" spans="1:32" ht="20.100000000000001" customHeight="1" x14ac:dyDescent="0.15">
      <c r="A5" s="124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336"/>
      <c r="AB5" s="336"/>
      <c r="AC5" s="336"/>
      <c r="AD5" s="336"/>
      <c r="AE5" s="75"/>
    </row>
    <row r="6" spans="1:32" ht="20.100000000000001" customHeight="1" x14ac:dyDescent="0.15">
      <c r="A6" s="124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336"/>
      <c r="AB6" s="336"/>
      <c r="AC6" s="336"/>
      <c r="AD6" s="336"/>
      <c r="AE6" s="75"/>
    </row>
    <row r="7" spans="1:32" ht="9.9499999999999993" customHeight="1" x14ac:dyDescent="0.1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337"/>
      <c r="X7" s="337"/>
      <c r="Y7" s="337"/>
      <c r="Z7" s="337"/>
      <c r="AA7" s="155"/>
      <c r="AB7" s="337"/>
      <c r="AC7" s="337"/>
      <c r="AD7" s="156"/>
      <c r="AE7" s="75"/>
    </row>
    <row r="8" spans="1:32" ht="20.100000000000001" customHeight="1" x14ac:dyDescent="0.15">
      <c r="A8" s="79" t="s">
        <v>211</v>
      </c>
      <c r="B8" s="347">
        <f ca="1">TODAY()</f>
        <v>46189</v>
      </c>
      <c r="C8" s="347"/>
      <c r="D8" s="52"/>
      <c r="E8" s="52"/>
      <c r="F8" s="52"/>
      <c r="G8" s="52"/>
      <c r="H8" s="52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3" t="s">
        <v>301</v>
      </c>
      <c r="Z8" s="74"/>
      <c r="AA8" s="154"/>
      <c r="AB8" s="154"/>
      <c r="AC8" s="154"/>
    </row>
    <row r="9" spans="1:32" s="78" customFormat="1" ht="41.1" customHeight="1" x14ac:dyDescent="0.15">
      <c r="A9" s="354" t="s">
        <v>212</v>
      </c>
      <c r="B9" s="352" t="s">
        <v>308</v>
      </c>
      <c r="C9" s="354" t="s">
        <v>213</v>
      </c>
      <c r="D9" s="263" t="s">
        <v>309</v>
      </c>
      <c r="E9" s="264"/>
      <c r="F9" s="264"/>
      <c r="G9" s="264"/>
      <c r="H9" s="264"/>
      <c r="I9" s="363"/>
      <c r="J9" s="263" t="s">
        <v>310</v>
      </c>
      <c r="K9" s="264"/>
      <c r="L9" s="264"/>
      <c r="M9" s="264"/>
      <c r="N9" s="363"/>
      <c r="O9" s="356" t="s">
        <v>303</v>
      </c>
      <c r="P9" s="356"/>
      <c r="Q9" s="356"/>
      <c r="R9" s="356"/>
      <c r="S9" s="356"/>
      <c r="T9" s="356"/>
      <c r="U9" s="356"/>
      <c r="V9" s="356"/>
      <c r="W9" s="356"/>
      <c r="X9" s="364" t="s">
        <v>214</v>
      </c>
      <c r="Y9" s="365"/>
      <c r="Z9" s="368" t="s">
        <v>288</v>
      </c>
      <c r="AA9" s="368"/>
      <c r="AB9" s="368"/>
      <c r="AC9" s="368"/>
      <c r="AD9" s="369" t="s">
        <v>289</v>
      </c>
      <c r="AE9" s="371" t="s">
        <v>215</v>
      </c>
    </row>
    <row r="10" spans="1:32" s="78" customFormat="1" ht="41.1" customHeight="1" thickBot="1" x14ac:dyDescent="0.2">
      <c r="A10" s="355"/>
      <c r="B10" s="353"/>
      <c r="C10" s="355"/>
      <c r="D10" s="152">
        <v>2020</v>
      </c>
      <c r="E10" s="152">
        <v>2021</v>
      </c>
      <c r="F10" s="158" t="s">
        <v>315</v>
      </c>
      <c r="G10" s="157" t="s">
        <v>314</v>
      </c>
      <c r="H10" s="152">
        <v>2023</v>
      </c>
      <c r="I10" s="144">
        <v>2024</v>
      </c>
      <c r="J10" s="144" t="s">
        <v>216</v>
      </c>
      <c r="K10" s="144" t="s">
        <v>218</v>
      </c>
      <c r="L10" s="144" t="s">
        <v>302</v>
      </c>
      <c r="M10" s="144" t="s">
        <v>296</v>
      </c>
      <c r="N10" s="145" t="s">
        <v>219</v>
      </c>
      <c r="O10" s="147" t="s">
        <v>304</v>
      </c>
      <c r="P10" s="144" t="s">
        <v>220</v>
      </c>
      <c r="Q10" s="144" t="s">
        <v>221</v>
      </c>
      <c r="R10" s="144" t="s">
        <v>222</v>
      </c>
      <c r="S10" s="144"/>
      <c r="T10" s="144" t="s">
        <v>217</v>
      </c>
      <c r="U10" s="144" t="s">
        <v>223</v>
      </c>
      <c r="V10" s="146" t="s">
        <v>224</v>
      </c>
      <c r="W10" s="146" t="s">
        <v>225</v>
      </c>
      <c r="X10" s="366"/>
      <c r="Y10" s="367"/>
      <c r="Z10" s="80" t="s">
        <v>226</v>
      </c>
      <c r="AA10" s="80" t="s">
        <v>227</v>
      </c>
      <c r="AB10" s="80" t="s">
        <v>228</v>
      </c>
      <c r="AC10" s="80" t="s">
        <v>229</v>
      </c>
      <c r="AD10" s="370"/>
      <c r="AE10" s="372"/>
      <c r="AF10" s="78" t="s">
        <v>311</v>
      </c>
    </row>
    <row r="11" spans="1:32" s="76" customFormat="1" ht="41.1" customHeight="1" thickTop="1" x14ac:dyDescent="0.15">
      <c r="A11" s="359" t="s">
        <v>305</v>
      </c>
      <c r="B11" s="90">
        <v>1</v>
      </c>
      <c r="C11" s="91" t="s">
        <v>204</v>
      </c>
      <c r="D11" s="148">
        <v>65</v>
      </c>
      <c r="E11" s="148">
        <v>23</v>
      </c>
      <c r="F11" s="148">
        <v>16</v>
      </c>
      <c r="G11" s="148">
        <v>14</v>
      </c>
      <c r="H11" s="148"/>
      <c r="I11" s="98">
        <v>4</v>
      </c>
      <c r="J11" s="97">
        <f>COUNTIF('세부(구축)'!$B:$B,'일별현황(구)'!C11)</f>
        <v>0</v>
      </c>
      <c r="K11" s="97">
        <f ca="1">COUNTIFS('세부(구축)'!$B:$B,'일별현황(구)'!C11,'세부(구축)'!$H:$H,TODAY())</f>
        <v>0</v>
      </c>
      <c r="L11" s="98">
        <f>COUNTIFS('세부(구축)'!$B:$B,B56,'세부(구축)'!$G:$G,"미완료")</f>
        <v>0</v>
      </c>
      <c r="M11" s="98">
        <f>COUNTIFS('세부(구축)'!$B:$B,'일별현황(구)'!$C11,'세부(구축)'!$G:$G,"완료")</f>
        <v>0</v>
      </c>
      <c r="N11" s="98">
        <f>COUNTIFS('세부(구축)'!$B:$B,'일별현황(구)'!$C11,'세부(구축)'!$G:$G,"취소")</f>
        <v>0</v>
      </c>
      <c r="O11" s="99">
        <f ca="1">COUNTIFS('세부(구축)'!$I:$I,$B$8,'세부(구축)'!$B:$B,$C11)</f>
        <v>0</v>
      </c>
      <c r="P11" s="98" t="e">
        <f>COUNTIFS([1]상세자료!$C$1:$C$3805,'일별현황(구)'!$C11,[1]상세자료!$K$1:$K$3805,"="&amp;$C$8)</f>
        <v>#VALUE!</v>
      </c>
      <c r="Q11" s="98" t="e">
        <f>COUNTIFS([1]상세자료!$C$1:$C$3805,'일별현황(구)'!$C11,[1]상세자료!$Q$1:$Q$3805,"="&amp;$C$8)</f>
        <v>#VALUE!</v>
      </c>
      <c r="R11" s="98" t="e">
        <f>COUNTIFS([1]상세자료!$C$1:$C$3805,'일별현황(구)'!$C11,[1]상세자료!$S$1:$S$3805,"="&amp;$C$8)</f>
        <v>#VALUE!</v>
      </c>
      <c r="S11" s="98" t="e">
        <f>COUNTIFS([1]상세자료!$C$1:$C$3805,'일별현황(구)'!$C11,[1]상세자료!$T$1:$T$3805,"="&amp;$C$8)</f>
        <v>#VALUE!</v>
      </c>
      <c r="T11" s="97" t="e">
        <f t="shared" ref="T11:T38" si="0">M11+S11</f>
        <v>#VALUE!</v>
      </c>
      <c r="U11" s="97"/>
      <c r="V11" s="100" t="e">
        <f>COUNTIFS([1]상세자료!$C$4:$C$973,'일별현황(구)'!$C11,[1]상세자료!$H$4:$H$973,"미제출")</f>
        <v>#VALUE!</v>
      </c>
      <c r="W11" s="97">
        <f>COUNTIFS('세부(구축)'!$B:$B,'일별현황(구)'!$C11,'세부(구축)'!$G:$G,"반려")</f>
        <v>0</v>
      </c>
      <c r="X11" s="100"/>
      <c r="Y11" s="100"/>
      <c r="Z11" s="97">
        <f>COUNTIFS('세부(구축)'!$B:$B,'일별현황(구)'!$C11,'세부(구축)'!$J:$J,"발행")</f>
        <v>0</v>
      </c>
      <c r="AA11" s="110">
        <v>45755</v>
      </c>
      <c r="AB11" s="111">
        <f t="shared" ref="AB11:AB41" si="1">J11-Z11</f>
        <v>0</v>
      </c>
      <c r="AC11" s="112"/>
      <c r="AD11" s="81"/>
      <c r="AE11" s="82"/>
      <c r="AF11" s="76">
        <f ca="1">IF(OR(AND(ISNUMBER(K11), K11&lt;&gt;0), AND(ISNUMBER(L11), L11&lt;&gt;0), AND(ISNUMBER(O11), O11&lt;&gt;0)), 1, 0)</f>
        <v>0</v>
      </c>
    </row>
    <row r="12" spans="1:32" s="76" customFormat="1" ht="41.1" customHeight="1" x14ac:dyDescent="0.15">
      <c r="A12" s="359"/>
      <c r="B12" s="92">
        <v>2</v>
      </c>
      <c r="C12" s="93" t="s">
        <v>22</v>
      </c>
      <c r="D12" s="149">
        <v>60</v>
      </c>
      <c r="E12" s="149">
        <v>101</v>
      </c>
      <c r="F12" s="149">
        <v>21</v>
      </c>
      <c r="G12" s="149">
        <v>20</v>
      </c>
      <c r="H12" s="149">
        <v>1</v>
      </c>
      <c r="I12" s="102">
        <v>44</v>
      </c>
      <c r="J12" s="101">
        <f>COUNTIF('세부(구축)'!$B:$B,'일별현황(구)'!C12)</f>
        <v>0</v>
      </c>
      <c r="K12" s="101">
        <f ca="1">COUNTIFS('세부(구축)'!$B:$B,'일별현황(구)'!C12,'세부(구축)'!$H:$H,TODAY())</f>
        <v>0</v>
      </c>
      <c r="L12" s="102">
        <f>COUNTIFS('세부(구축)'!$B:$B,'일별현황(구)'!$C12,'세부(구축)'!$G:$G,"작성중")</f>
        <v>0</v>
      </c>
      <c r="M12" s="102">
        <f>COUNTIFS('세부(구축)'!$B:$B,'일별현황(구)'!$C12,'세부(구축)'!$G:$G,"완료")</f>
        <v>0</v>
      </c>
      <c r="N12" s="102">
        <f>COUNTIFS('세부(구축)'!$B:$B,'일별현황(구)'!$C12,'세부(구축)'!$G:$G,"취소")</f>
        <v>0</v>
      </c>
      <c r="O12" s="103">
        <f ca="1">COUNTIFS('세부(구축)'!$I:$I,$B$8,'세부(구축)'!$B:$B,$C12)</f>
        <v>0</v>
      </c>
      <c r="P12" s="102" t="e">
        <f>COUNTIFS([1]상세자료!$C$1:$C$3805,'일별현황(구)'!$C12,[1]상세자료!$K$1:$K$3805,"="&amp;$C$8)</f>
        <v>#VALUE!</v>
      </c>
      <c r="Q12" s="102" t="e">
        <f>COUNTIFS([1]상세자료!$C$1:$C$3805,'일별현황(구)'!$C12,[1]상세자료!$Q$1:$Q$3805,"="&amp;$C$8)</f>
        <v>#VALUE!</v>
      </c>
      <c r="R12" s="102" t="e">
        <f>COUNTIFS([1]상세자료!$C$1:$C$3805,'일별현황(구)'!$C12,[1]상세자료!$S$1:$S$3805,"="&amp;$C$8)</f>
        <v>#VALUE!</v>
      </c>
      <c r="S12" s="102" t="e">
        <f>COUNTIFS([1]상세자료!$C$1:$C$3805,'일별현황(구)'!$C12,[1]상세자료!$T$1:$T$3805,"="&amp;$C$8)</f>
        <v>#VALUE!</v>
      </c>
      <c r="T12" s="101" t="e">
        <f t="shared" si="0"/>
        <v>#VALUE!</v>
      </c>
      <c r="U12" s="101"/>
      <c r="V12" s="104" t="e">
        <f>COUNTIFS([1]상세자료!$C$4:$C$973,'일별현황(구)'!$C12,[1]상세자료!$H$4:$H$973,"미제출")</f>
        <v>#VALUE!</v>
      </c>
      <c r="W12" s="101">
        <f>COUNTIFS('세부(구축)'!$B:$B,'일별현황(구)'!$C12,'세부(구축)'!$G:$G,"반려")</f>
        <v>0</v>
      </c>
      <c r="X12" s="104"/>
      <c r="Y12" s="104"/>
      <c r="Z12" s="101">
        <f>COUNTIFS('세부(구축)'!$B:$B,'일별현황(구)'!$C12,'세부(구축)'!$J:$J,"발행")</f>
        <v>0</v>
      </c>
      <c r="AA12" s="113"/>
      <c r="AB12" s="114">
        <f t="shared" si="1"/>
        <v>0</v>
      </c>
      <c r="AC12" s="115"/>
      <c r="AD12" s="83"/>
      <c r="AE12" s="84"/>
      <c r="AF12" s="76">
        <f t="shared" ref="AF12:AF41" ca="1" si="2">IF(OR(AND(ISNUMBER(K12), K12&lt;&gt;0), AND(ISNUMBER(L12), L12&lt;&gt;0), AND(ISNUMBER(O12), O12&lt;&gt;0)), 1, 0)</f>
        <v>0</v>
      </c>
    </row>
    <row r="13" spans="1:32" s="76" customFormat="1" ht="41.1" customHeight="1" x14ac:dyDescent="0.15">
      <c r="A13" s="359"/>
      <c r="B13" s="92">
        <v>3</v>
      </c>
      <c r="C13" s="93" t="s">
        <v>23</v>
      </c>
      <c r="D13" s="149">
        <v>129</v>
      </c>
      <c r="E13" s="149">
        <v>111</v>
      </c>
      <c r="F13" s="149">
        <v>92</v>
      </c>
      <c r="G13" s="149">
        <v>84</v>
      </c>
      <c r="H13" s="149">
        <v>0</v>
      </c>
      <c r="I13" s="102">
        <v>33</v>
      </c>
      <c r="J13" s="101">
        <f>COUNTIF('세부(구축)'!$B:$B,'일별현황(구)'!C13)</f>
        <v>0</v>
      </c>
      <c r="K13" s="101">
        <f ca="1">COUNTIFS('세부(구축)'!$B:$B,'일별현황(구)'!C13,'세부(구축)'!$H:$H,TODAY())</f>
        <v>0</v>
      </c>
      <c r="L13" s="102">
        <f>COUNTIFS('세부(구축)'!$B:$B,'일별현황(구)'!$C13,'세부(구축)'!$G:$G,"작성중")</f>
        <v>0</v>
      </c>
      <c r="M13" s="102">
        <f>COUNTIFS('세부(구축)'!$B:$B,'일별현황(구)'!$C13,'세부(구축)'!$G:$G,"완료")</f>
        <v>0</v>
      </c>
      <c r="N13" s="102">
        <f>COUNTIFS('세부(구축)'!$B:$B,'일별현황(구)'!$C13,'세부(구축)'!$G:$G,"취소")</f>
        <v>0</v>
      </c>
      <c r="O13" s="103">
        <f ca="1">COUNTIFS('세부(구축)'!$I:$I,$B$8,'세부(구축)'!$B:$B,$C13)</f>
        <v>0</v>
      </c>
      <c r="P13" s="102" t="e">
        <f>COUNTIFS([1]상세자료!$C$1:$C$3805,'일별현황(구)'!$C13,[1]상세자료!$K$1:$K$3805,"="&amp;$C$8)</f>
        <v>#VALUE!</v>
      </c>
      <c r="Q13" s="102" t="e">
        <f>COUNTIFS([1]상세자료!$C$1:$C$3805,'일별현황(구)'!$C13,[1]상세자료!$Q$1:$Q$3805,"="&amp;$C$8)</f>
        <v>#VALUE!</v>
      </c>
      <c r="R13" s="102" t="e">
        <f>COUNTIFS([1]상세자료!$C$1:$C$3805,'일별현황(구)'!$C13,[1]상세자료!$S$1:$S$3805,"="&amp;$C$8)</f>
        <v>#VALUE!</v>
      </c>
      <c r="S13" s="102" t="e">
        <f>COUNTIFS([1]상세자료!$C$1:$C$3805,'일별현황(구)'!$C13,[1]상세자료!$T$1:$T$3805,"="&amp;$C$8)</f>
        <v>#VALUE!</v>
      </c>
      <c r="T13" s="101" t="e">
        <f t="shared" si="0"/>
        <v>#VALUE!</v>
      </c>
      <c r="U13" s="101"/>
      <c r="V13" s="104" t="e">
        <f>COUNTIFS([1]상세자료!$C$4:$C$973,'일별현황(구)'!$C13,[1]상세자료!$H$4:$H$973,"미제출")</f>
        <v>#VALUE!</v>
      </c>
      <c r="W13" s="101">
        <f>COUNTIFS('세부(구축)'!$B:$B,'일별현황(구)'!$C13,'세부(구축)'!$G:$G,"반려")</f>
        <v>0</v>
      </c>
      <c r="X13" s="104"/>
      <c r="Y13" s="104"/>
      <c r="Z13" s="101">
        <f>COUNTIFS('세부(구축)'!$B:$B,'일별현황(구)'!$C13,'세부(구축)'!$J:$J,"발행")</f>
        <v>0</v>
      </c>
      <c r="AA13" s="113"/>
      <c r="AB13" s="114">
        <f t="shared" si="1"/>
        <v>0</v>
      </c>
      <c r="AC13" s="115"/>
      <c r="AD13" s="83"/>
      <c r="AE13" s="84"/>
      <c r="AF13" s="76">
        <f t="shared" ca="1" si="2"/>
        <v>0</v>
      </c>
    </row>
    <row r="14" spans="1:32" s="76" customFormat="1" ht="41.1" customHeight="1" x14ac:dyDescent="0.15">
      <c r="A14" s="359"/>
      <c r="B14" s="92">
        <v>4</v>
      </c>
      <c r="C14" s="93" t="s">
        <v>261</v>
      </c>
      <c r="D14" s="149"/>
      <c r="E14" s="149"/>
      <c r="F14" s="149">
        <v>0</v>
      </c>
      <c r="G14" s="149"/>
      <c r="H14" s="149">
        <v>0</v>
      </c>
      <c r="I14" s="102">
        <v>0</v>
      </c>
      <c r="J14" s="101">
        <f>COUNTIF('세부(구축)'!$B:$B,'일별현황(구)'!C14)</f>
        <v>13</v>
      </c>
      <c r="K14" s="101">
        <f ca="1">COUNTIFS('세부(구축)'!$B:$B,'일별현황(구)'!C14,'세부(구축)'!$H:$H,TODAY())</f>
        <v>0</v>
      </c>
      <c r="L14" s="102">
        <f>COUNTIFS('세부(구축)'!$B:$B,'일별현황(구)'!$C14,'세부(구축)'!$G:$G,"작성중")</f>
        <v>1</v>
      </c>
      <c r="M14" s="102">
        <f>COUNTIFS('세부(구축)'!$B:$B,'일별현황(구)'!$C14,'세부(구축)'!$G:$G,"완료")</f>
        <v>0</v>
      </c>
      <c r="N14" s="102">
        <f>COUNTIFS('세부(구축)'!$B:$B,'일별현황(구)'!$C14,'세부(구축)'!$G:$G,"취소")</f>
        <v>0</v>
      </c>
      <c r="O14" s="103">
        <f ca="1">COUNTIFS('세부(구축)'!$I:$I,$B$8,'세부(구축)'!$B:$B,$C14)</f>
        <v>0</v>
      </c>
      <c r="P14" s="102" t="e">
        <f>COUNTIFS([1]상세자료!$C$1:$C$3805,'일별현황(구)'!$C14,[1]상세자료!$K$1:$K$3805,"="&amp;$C$8)</f>
        <v>#VALUE!</v>
      </c>
      <c r="Q14" s="102" t="e">
        <f>COUNTIFS([1]상세자료!$C$1:$C$3805,'일별현황(구)'!$C14,[1]상세자료!$Q$1:$Q$3805,"="&amp;$C$8)</f>
        <v>#VALUE!</v>
      </c>
      <c r="R14" s="102" t="e">
        <f>COUNTIFS([1]상세자료!$C$1:$C$3805,'일별현황(구)'!$C14,[1]상세자료!$S$1:$S$3805,"="&amp;$C$8)</f>
        <v>#VALUE!</v>
      </c>
      <c r="S14" s="102" t="e">
        <f>COUNTIFS([1]상세자료!$C$1:$C$3805,'일별현황(구)'!$C14,[1]상세자료!$T$1:$T$3805,"="&amp;$C$8)</f>
        <v>#VALUE!</v>
      </c>
      <c r="T14" s="101" t="e">
        <f t="shared" si="0"/>
        <v>#VALUE!</v>
      </c>
      <c r="U14" s="101"/>
      <c r="V14" s="104" t="e">
        <f>COUNTIFS([1]상세자료!$C$4:$C$973,'일별현황(구)'!$C14,[1]상세자료!$H$4:$H$973,"미제출")</f>
        <v>#VALUE!</v>
      </c>
      <c r="W14" s="101">
        <f>COUNTIFS('세부(구축)'!$B:$B,'일별현황(구)'!$C14,'세부(구축)'!$G:$G,"반려")</f>
        <v>0</v>
      </c>
      <c r="X14" s="104"/>
      <c r="Y14" s="104"/>
      <c r="Z14" s="101">
        <f>COUNTIFS('세부(구축)'!$B:$B,'일별현황(구)'!$C14,'세부(구축)'!$J:$J,"발행")</f>
        <v>0</v>
      </c>
      <c r="AA14" s="113">
        <v>45831</v>
      </c>
      <c r="AB14" s="114">
        <f t="shared" si="1"/>
        <v>13</v>
      </c>
      <c r="AC14" s="115"/>
      <c r="AD14" s="83"/>
      <c r="AE14" s="84"/>
      <c r="AF14" s="76">
        <f t="shared" ca="1" si="2"/>
        <v>1</v>
      </c>
    </row>
    <row r="15" spans="1:32" s="76" customFormat="1" ht="41.1" customHeight="1" x14ac:dyDescent="0.15">
      <c r="A15" s="359"/>
      <c r="B15" s="92">
        <v>5</v>
      </c>
      <c r="C15" s="93" t="s">
        <v>152</v>
      </c>
      <c r="D15" s="149">
        <v>7</v>
      </c>
      <c r="E15" s="149">
        <v>25</v>
      </c>
      <c r="F15" s="149">
        <v>0</v>
      </c>
      <c r="G15" s="149"/>
      <c r="H15" s="149">
        <v>0</v>
      </c>
      <c r="I15" s="102">
        <v>100</v>
      </c>
      <c r="J15" s="101">
        <f>COUNTIF('세부(구축)'!$B:$B,'일별현황(구)'!C15)</f>
        <v>27</v>
      </c>
      <c r="K15" s="101">
        <f ca="1">COUNTIFS('세부(구축)'!$B:$B,'일별현황(구)'!C15,'세부(구축)'!$H:$H,TODAY())</f>
        <v>0</v>
      </c>
      <c r="L15" s="102">
        <f>COUNTIFS('세부(구축)'!$B:$B,'일별현황(구)'!$C15,'세부(구축)'!$G:$G,"작성중")</f>
        <v>0</v>
      </c>
      <c r="M15" s="102">
        <f>COUNTIFS('세부(구축)'!$B:$B,'일별현황(구)'!$C15,'세부(구축)'!$G:$G,"완료")</f>
        <v>0</v>
      </c>
      <c r="N15" s="102">
        <f>COUNTIFS('세부(구축)'!$B:$B,'일별현황(구)'!$C15,'세부(구축)'!$G:$G,"취소")</f>
        <v>0</v>
      </c>
      <c r="O15" s="103">
        <f ca="1">COUNTIFS('세부(구축)'!$I:$I,$B$8,'세부(구축)'!$B:$B,$C15)</f>
        <v>0</v>
      </c>
      <c r="P15" s="102" t="e">
        <f>COUNTIFS([1]상세자료!$C$1:$C$3805,'일별현황(구)'!$C15,[1]상세자료!$K$1:$K$3805,"="&amp;$C$8)</f>
        <v>#VALUE!</v>
      </c>
      <c r="Q15" s="102" t="e">
        <f>COUNTIFS([1]상세자료!$C$1:$C$3805,'일별현황(구)'!$C15,[1]상세자료!$Q$1:$Q$3805,"="&amp;$C$8)</f>
        <v>#VALUE!</v>
      </c>
      <c r="R15" s="102" t="e">
        <f>COUNTIFS([1]상세자료!$C$1:$C$3805,'일별현황(구)'!$C15,[1]상세자료!$S$1:$S$3805,"="&amp;$C$8)</f>
        <v>#VALUE!</v>
      </c>
      <c r="S15" s="102" t="e">
        <f>COUNTIFS([1]상세자료!$C$1:$C$3805,'일별현황(구)'!$C15,[1]상세자료!$T$1:$T$3805,"="&amp;$C$8)</f>
        <v>#VALUE!</v>
      </c>
      <c r="T15" s="101" t="e">
        <f t="shared" si="0"/>
        <v>#VALUE!</v>
      </c>
      <c r="U15" s="101"/>
      <c r="V15" s="104" t="e">
        <f>COUNTIFS([1]상세자료!$C$4:$C$973,'일별현황(구)'!$C15,[1]상세자료!$H$4:$H$973,"미제출")</f>
        <v>#VALUE!</v>
      </c>
      <c r="W15" s="101">
        <f>COUNTIFS('세부(구축)'!$B:$B,'일별현황(구)'!$C15,'세부(구축)'!$G:$G,"반려")</f>
        <v>0</v>
      </c>
      <c r="X15" s="104"/>
      <c r="Y15" s="104"/>
      <c r="Z15" s="101">
        <f>COUNTIFS('세부(구축)'!$B:$B,'일별현황(구)'!$C15,'세부(구축)'!$J:$J,"발행")</f>
        <v>0</v>
      </c>
      <c r="AA15" s="113"/>
      <c r="AB15" s="114">
        <f t="shared" si="1"/>
        <v>27</v>
      </c>
      <c r="AC15" s="115"/>
      <c r="AD15" s="83"/>
      <c r="AE15" s="84"/>
      <c r="AF15" s="76">
        <f t="shared" ca="1" si="2"/>
        <v>0</v>
      </c>
    </row>
    <row r="16" spans="1:32" s="76" customFormat="1" ht="41.1" customHeight="1" x14ac:dyDescent="0.15">
      <c r="A16" s="359"/>
      <c r="B16" s="92">
        <v>6</v>
      </c>
      <c r="C16" s="93" t="s">
        <v>200</v>
      </c>
      <c r="D16" s="149">
        <v>28</v>
      </c>
      <c r="E16" s="149">
        <v>64</v>
      </c>
      <c r="F16" s="149">
        <v>24</v>
      </c>
      <c r="G16" s="149">
        <v>23</v>
      </c>
      <c r="H16" s="149">
        <v>0</v>
      </c>
      <c r="I16" s="102">
        <v>5</v>
      </c>
      <c r="J16" s="101">
        <f>COUNTIF('세부(구축)'!$B:$B,'일별현황(구)'!C16)</f>
        <v>13</v>
      </c>
      <c r="K16" s="101">
        <f ca="1">COUNTIFS('세부(구축)'!$B:$B,'일별현황(구)'!C16,'세부(구축)'!$H:$H,TODAY())</f>
        <v>0</v>
      </c>
      <c r="L16" s="102">
        <f>COUNTIFS('세부(구축)'!$B:$B,'일별현황(구)'!$C16,'세부(구축)'!$G:$G,"작성중")</f>
        <v>13</v>
      </c>
      <c r="M16" s="102">
        <f>COUNTIFS('세부(구축)'!$B:$B,'일별현황(구)'!$C16,'세부(구축)'!$G:$G,"완료")</f>
        <v>0</v>
      </c>
      <c r="N16" s="102">
        <f>COUNTIFS('세부(구축)'!$B:$B,'일별현황(구)'!$C16,'세부(구축)'!$G:$G,"취소")</f>
        <v>0</v>
      </c>
      <c r="O16" s="103">
        <f ca="1">COUNTIFS('세부(구축)'!$I:$I,$B$8,'세부(구축)'!$B:$B,$C16)</f>
        <v>0</v>
      </c>
      <c r="P16" s="102" t="e">
        <f>COUNTIFS([1]상세자료!$C$1:$C$3805,'일별현황(구)'!$C16,[1]상세자료!$K$1:$K$3805,"="&amp;$C$8)</f>
        <v>#VALUE!</v>
      </c>
      <c r="Q16" s="102" t="e">
        <f>COUNTIFS([1]상세자료!$C$1:$C$3805,'일별현황(구)'!$C16,[1]상세자료!$Q$1:$Q$3805,"="&amp;$C$8)</f>
        <v>#VALUE!</v>
      </c>
      <c r="R16" s="102" t="e">
        <f>COUNTIFS([1]상세자료!$C$1:$C$3805,'일별현황(구)'!$C16,[1]상세자료!$S$1:$S$3805,"="&amp;$C$8)</f>
        <v>#VALUE!</v>
      </c>
      <c r="S16" s="102" t="e">
        <f>COUNTIFS([1]상세자료!$C$1:$C$3805,'일별현황(구)'!$C16,[1]상세자료!$T$1:$T$3805,"="&amp;$C$8)</f>
        <v>#VALUE!</v>
      </c>
      <c r="T16" s="101" t="e">
        <f t="shared" si="0"/>
        <v>#VALUE!</v>
      </c>
      <c r="U16" s="101"/>
      <c r="V16" s="104" t="e">
        <f>COUNTIFS([1]상세자료!$C$4:$C$973,'일별현황(구)'!$C16,[1]상세자료!$H$4:$H$973,"미제출")</f>
        <v>#VALUE!</v>
      </c>
      <c r="W16" s="101">
        <f>COUNTIFS('세부(구축)'!$B:$B,'일별현황(구)'!$C16,'세부(구축)'!$G:$G,"반려")</f>
        <v>0</v>
      </c>
      <c r="X16" s="104"/>
      <c r="Y16" s="104"/>
      <c r="Z16" s="101">
        <f>COUNTIFS('세부(구축)'!$B:$B,'일별현황(구)'!$C16,'세부(구축)'!$J:$J,"발행")</f>
        <v>0</v>
      </c>
      <c r="AA16" s="113"/>
      <c r="AB16" s="114">
        <f t="shared" si="1"/>
        <v>13</v>
      </c>
      <c r="AC16" s="115"/>
      <c r="AD16" s="83"/>
      <c r="AE16" s="84"/>
      <c r="AF16" s="76">
        <f t="shared" ca="1" si="2"/>
        <v>1</v>
      </c>
    </row>
    <row r="17" spans="1:32" s="76" customFormat="1" ht="41.1" customHeight="1" x14ac:dyDescent="0.15">
      <c r="A17" s="359"/>
      <c r="B17" s="92">
        <v>7</v>
      </c>
      <c r="C17" s="93" t="s">
        <v>262</v>
      </c>
      <c r="D17" s="149">
        <v>20</v>
      </c>
      <c r="E17" s="149">
        <v>14</v>
      </c>
      <c r="F17" s="149">
        <v>9</v>
      </c>
      <c r="G17" s="149">
        <v>9</v>
      </c>
      <c r="H17" s="149">
        <v>0</v>
      </c>
      <c r="I17" s="102">
        <v>1</v>
      </c>
      <c r="J17" s="101">
        <f>COUNTIF('세부(구축)'!$B:$B,'일별현황(구)'!C17)</f>
        <v>7</v>
      </c>
      <c r="K17" s="101">
        <f ca="1">COUNTIFS('세부(구축)'!$B:$B,'일별현황(구)'!C17,'세부(구축)'!$H:$H,TODAY())</f>
        <v>0</v>
      </c>
      <c r="L17" s="102">
        <f>COUNTIFS('세부(구축)'!$B:$B,'일별현황(구)'!$C17,'세부(구축)'!$G:$G,"작성중")</f>
        <v>0</v>
      </c>
      <c r="M17" s="102">
        <f>COUNTIFS('세부(구축)'!$B:$B,'일별현황(구)'!$C17,'세부(구축)'!$G:$G,"완료")</f>
        <v>0</v>
      </c>
      <c r="N17" s="102">
        <f>COUNTIFS('세부(구축)'!$B:$B,'일별현황(구)'!$C17,'세부(구축)'!$G:$G,"취소")</f>
        <v>0</v>
      </c>
      <c r="O17" s="103">
        <f ca="1">COUNTIFS('세부(구축)'!$I:$I,$B$8,'세부(구축)'!$B:$B,$C17)</f>
        <v>0</v>
      </c>
      <c r="P17" s="102" t="e">
        <f>COUNTIFS([1]상세자료!$C$1:$C$3805,'일별현황(구)'!$C17,[1]상세자료!$K$1:$K$3805,"="&amp;$C$8)</f>
        <v>#VALUE!</v>
      </c>
      <c r="Q17" s="102" t="e">
        <f>COUNTIFS([1]상세자료!$C$1:$C$3805,'일별현황(구)'!$C17,[1]상세자료!$Q$1:$Q$3805,"="&amp;$C$8)</f>
        <v>#VALUE!</v>
      </c>
      <c r="R17" s="102" t="e">
        <f>COUNTIFS([1]상세자료!$C$1:$C$3805,'일별현황(구)'!$C17,[1]상세자료!$S$1:$S$3805,"="&amp;$C$8)</f>
        <v>#VALUE!</v>
      </c>
      <c r="S17" s="102" t="e">
        <f>COUNTIFS([1]상세자료!$C$1:$C$3805,'일별현황(구)'!$C17,[1]상세자료!$T$1:$T$3805,"="&amp;$C$8)</f>
        <v>#VALUE!</v>
      </c>
      <c r="T17" s="101" t="e">
        <f t="shared" si="0"/>
        <v>#VALUE!</v>
      </c>
      <c r="U17" s="101"/>
      <c r="V17" s="104" t="e">
        <f>COUNTIFS([1]상세자료!$C$4:$C$973,'일별현황(구)'!$C17,[1]상세자료!$H$4:$H$973,"미제출")</f>
        <v>#VALUE!</v>
      </c>
      <c r="W17" s="101">
        <f>COUNTIFS('세부(구축)'!$B:$B,'일별현황(구)'!$C17,'세부(구축)'!$G:$G,"반려")</f>
        <v>0</v>
      </c>
      <c r="X17" s="104"/>
      <c r="Y17" s="104"/>
      <c r="Z17" s="101">
        <f>COUNTIFS('세부(구축)'!$B:$B,'일별현황(구)'!$C17,'세부(구축)'!$J:$J,"발행")</f>
        <v>0</v>
      </c>
      <c r="AA17" s="116" t="s">
        <v>297</v>
      </c>
      <c r="AB17" s="114">
        <f t="shared" si="1"/>
        <v>7</v>
      </c>
      <c r="AC17" s="115"/>
      <c r="AD17" s="83"/>
      <c r="AE17" s="84"/>
      <c r="AF17" s="76">
        <f t="shared" ca="1" si="2"/>
        <v>0</v>
      </c>
    </row>
    <row r="18" spans="1:32" s="76" customFormat="1" ht="41.1" customHeight="1" x14ac:dyDescent="0.15">
      <c r="A18" s="359"/>
      <c r="B18" s="92">
        <v>8</v>
      </c>
      <c r="C18" s="93" t="s">
        <v>153</v>
      </c>
      <c r="D18" s="149">
        <v>4</v>
      </c>
      <c r="E18" s="149">
        <v>57</v>
      </c>
      <c r="F18" s="149">
        <v>10</v>
      </c>
      <c r="G18" s="149">
        <v>10</v>
      </c>
      <c r="H18" s="149">
        <v>0</v>
      </c>
      <c r="I18" s="102">
        <v>9</v>
      </c>
      <c r="J18" s="101">
        <f>COUNTIF('세부(구축)'!$B:$B,'일별현황(구)'!C18)</f>
        <v>0</v>
      </c>
      <c r="K18" s="101">
        <f ca="1">COUNTIFS('세부(구축)'!$B:$B,'일별현황(구)'!C18,'세부(구축)'!$H:$H,TODAY())</f>
        <v>0</v>
      </c>
      <c r="L18" s="102">
        <f>COUNTIFS('세부(구축)'!$B:$B,'일별현황(구)'!$C18,'세부(구축)'!$G:$G,"작성중")</f>
        <v>0</v>
      </c>
      <c r="M18" s="102">
        <f>COUNTIFS('세부(구축)'!$B:$B,'일별현황(구)'!$C18,'세부(구축)'!$G:$G,"완료")</f>
        <v>0</v>
      </c>
      <c r="N18" s="102">
        <f>COUNTIFS('세부(구축)'!$B:$B,'일별현황(구)'!$C18,'세부(구축)'!$G:$G,"취소")</f>
        <v>0</v>
      </c>
      <c r="O18" s="103">
        <f ca="1">COUNTIFS('세부(구축)'!$I:$I,$B$8,'세부(구축)'!$B:$B,$C18)</f>
        <v>0</v>
      </c>
      <c r="P18" s="102" t="e">
        <f>COUNTIFS([1]상세자료!$C$1:$C$3805,'일별현황(구)'!$C18,[1]상세자료!$K$1:$K$3805,"="&amp;$C$8)</f>
        <v>#VALUE!</v>
      </c>
      <c r="Q18" s="102" t="e">
        <f>COUNTIFS([1]상세자료!$C$1:$C$3805,'일별현황(구)'!$C18,[1]상세자료!$Q$1:$Q$3805,"="&amp;$C$8)</f>
        <v>#VALUE!</v>
      </c>
      <c r="R18" s="102" t="e">
        <f>COUNTIFS([1]상세자료!$C$1:$C$3805,'일별현황(구)'!$C18,[1]상세자료!$S$1:$S$3805,"="&amp;$C$8)</f>
        <v>#VALUE!</v>
      </c>
      <c r="S18" s="102" t="e">
        <f>COUNTIFS([1]상세자료!$C$1:$C$3805,'일별현황(구)'!$C18,[1]상세자료!$T$1:$T$3805,"="&amp;$C$8)</f>
        <v>#VALUE!</v>
      </c>
      <c r="T18" s="101" t="e">
        <f t="shared" si="0"/>
        <v>#VALUE!</v>
      </c>
      <c r="U18" s="101"/>
      <c r="V18" s="104" t="e">
        <f>COUNTIFS([1]상세자료!$C$4:$C$973,'일별현황(구)'!$C18,[1]상세자료!$H$4:$H$973,"미제출")</f>
        <v>#VALUE!</v>
      </c>
      <c r="W18" s="101">
        <f>COUNTIFS('세부(구축)'!$B:$B,'일별현황(구)'!$C18,'세부(구축)'!$G:$G,"반려")</f>
        <v>0</v>
      </c>
      <c r="X18" s="104"/>
      <c r="Y18" s="104"/>
      <c r="Z18" s="101">
        <f>COUNTIFS('세부(구축)'!$B:$B,'일별현황(구)'!$C18,'세부(구축)'!$J:$J,"발행")</f>
        <v>0</v>
      </c>
      <c r="AA18" s="113"/>
      <c r="AB18" s="114">
        <f t="shared" si="1"/>
        <v>0</v>
      </c>
      <c r="AC18" s="115"/>
      <c r="AD18" s="83"/>
      <c r="AE18" s="84"/>
      <c r="AF18" s="76">
        <f t="shared" ca="1" si="2"/>
        <v>0</v>
      </c>
    </row>
    <row r="19" spans="1:32" s="76" customFormat="1" ht="41.1" customHeight="1" x14ac:dyDescent="0.15">
      <c r="A19" s="359"/>
      <c r="B19" s="92">
        <v>9</v>
      </c>
      <c r="C19" s="93" t="s">
        <v>48</v>
      </c>
      <c r="D19" s="149">
        <v>12</v>
      </c>
      <c r="E19" s="149">
        <v>10</v>
      </c>
      <c r="F19" s="149">
        <v>4</v>
      </c>
      <c r="G19" s="149">
        <v>4</v>
      </c>
      <c r="H19" s="149">
        <v>0</v>
      </c>
      <c r="I19" s="102">
        <v>1</v>
      </c>
      <c r="J19" s="101">
        <f>COUNTIF('세부(구축)'!$B:$B,'일별현황(구)'!C19)</f>
        <v>0</v>
      </c>
      <c r="K19" s="101">
        <f ca="1">COUNTIFS('세부(구축)'!$B:$B,'일별현황(구)'!C19,'세부(구축)'!$H:$H,TODAY())</f>
        <v>0</v>
      </c>
      <c r="L19" s="102">
        <f>COUNTIFS('세부(구축)'!$B:$B,'일별현황(구)'!$C19,'세부(구축)'!$G:$G,"작성중")</f>
        <v>0</v>
      </c>
      <c r="M19" s="102">
        <f>COUNTIFS('세부(구축)'!$B:$B,'일별현황(구)'!$C19,'세부(구축)'!$G:$G,"완료")</f>
        <v>0</v>
      </c>
      <c r="N19" s="102">
        <f>COUNTIFS('세부(구축)'!$B:$B,'일별현황(구)'!$C19,'세부(구축)'!$G:$G,"취소")</f>
        <v>0</v>
      </c>
      <c r="O19" s="103">
        <f ca="1">COUNTIFS('세부(구축)'!$I:$I,$B$8,'세부(구축)'!$B:$B,$C19)</f>
        <v>0</v>
      </c>
      <c r="P19" s="102" t="e">
        <f>COUNTIFS([1]상세자료!$C$1:$C$3805,'일별현황(구)'!$C19,[1]상세자료!$K$1:$K$3805,"="&amp;$C$8)</f>
        <v>#VALUE!</v>
      </c>
      <c r="Q19" s="102" t="e">
        <f>COUNTIFS([1]상세자료!$C$1:$C$3805,'일별현황(구)'!$C19,[1]상세자료!$Q$1:$Q$3805,"="&amp;$C$8)</f>
        <v>#VALUE!</v>
      </c>
      <c r="R19" s="102" t="e">
        <f>COUNTIFS([1]상세자료!$C$1:$C$3805,'일별현황(구)'!$C19,[1]상세자료!$S$1:$S$3805,"="&amp;$C$8)</f>
        <v>#VALUE!</v>
      </c>
      <c r="S19" s="102" t="e">
        <f>COUNTIFS([1]상세자료!$C$1:$C$3805,'일별현황(구)'!$C19,[1]상세자료!$T$1:$T$3805,"="&amp;$C$8)</f>
        <v>#VALUE!</v>
      </c>
      <c r="T19" s="102" t="e">
        <f t="shared" si="0"/>
        <v>#VALUE!</v>
      </c>
      <c r="U19" s="102"/>
      <c r="V19" s="104" t="e">
        <f>COUNTIFS([1]상세자료!$C$4:$C$973,'일별현황(구)'!$C19,[1]상세자료!$H$4:$H$973,"미제출")</f>
        <v>#VALUE!</v>
      </c>
      <c r="W19" s="101">
        <f>COUNTIFS('세부(구축)'!$B:$B,'일별현황(구)'!$C19,'세부(구축)'!$G:$G,"반려")</f>
        <v>0</v>
      </c>
      <c r="X19" s="104"/>
      <c r="Y19" s="104"/>
      <c r="Z19" s="101">
        <f>COUNTIFS('세부(구축)'!$B:$B,'일별현황(구)'!$C19,'세부(구축)'!$J:$J,"발행")</f>
        <v>0</v>
      </c>
      <c r="AA19" s="113"/>
      <c r="AB19" s="114">
        <f t="shared" si="1"/>
        <v>0</v>
      </c>
      <c r="AC19" s="115"/>
      <c r="AD19" s="83"/>
      <c r="AE19" s="84"/>
      <c r="AF19" s="76">
        <f t="shared" ca="1" si="2"/>
        <v>0</v>
      </c>
    </row>
    <row r="20" spans="1:32" s="76" customFormat="1" ht="41.1" customHeight="1" x14ac:dyDescent="0.15">
      <c r="A20" s="359"/>
      <c r="B20" s="92">
        <v>10</v>
      </c>
      <c r="C20" s="93" t="s">
        <v>50</v>
      </c>
      <c r="D20" s="149">
        <v>7</v>
      </c>
      <c r="E20" s="149">
        <v>40</v>
      </c>
      <c r="F20" s="149">
        <v>0</v>
      </c>
      <c r="G20" s="149"/>
      <c r="H20" s="149">
        <v>0</v>
      </c>
      <c r="I20" s="102">
        <v>8</v>
      </c>
      <c r="J20" s="101">
        <f>COUNTIF('세부(구축)'!$B:$B,'일별현황(구)'!C20)</f>
        <v>0</v>
      </c>
      <c r="K20" s="101">
        <f ca="1">COUNTIFS('세부(구축)'!$B:$B,'일별현황(구)'!C20,'세부(구축)'!$H:$H,TODAY())</f>
        <v>0</v>
      </c>
      <c r="L20" s="102">
        <f>COUNTIFS('세부(구축)'!$B:$B,'일별현황(구)'!$C20,'세부(구축)'!$G:$G,"작성중")</f>
        <v>0</v>
      </c>
      <c r="M20" s="102">
        <f>COUNTIFS('세부(구축)'!$B:$B,'일별현황(구)'!$C20,'세부(구축)'!$G:$G,"완료")</f>
        <v>0</v>
      </c>
      <c r="N20" s="102">
        <f>COUNTIFS('세부(구축)'!$B:$B,'일별현황(구)'!$C20,'세부(구축)'!$G:$G,"취소")</f>
        <v>0</v>
      </c>
      <c r="O20" s="103">
        <f ca="1">COUNTIFS('세부(구축)'!$I:$I,$B$8,'세부(구축)'!$B:$B,$C20)</f>
        <v>0</v>
      </c>
      <c r="P20" s="102" t="e">
        <f>COUNTIFS([1]상세자료!$C$1:$C$3805,'일별현황(구)'!$C20,[1]상세자료!$K$1:$K$3805,"="&amp;$C$8)</f>
        <v>#VALUE!</v>
      </c>
      <c r="Q20" s="102" t="e">
        <f>COUNTIFS([1]상세자료!$C$1:$C$3805,'일별현황(구)'!$C20,[1]상세자료!$Q$1:$Q$3805,"="&amp;$C$8)</f>
        <v>#VALUE!</v>
      </c>
      <c r="R20" s="102" t="e">
        <f>COUNTIFS([1]상세자료!$C$1:$C$3805,'일별현황(구)'!$C20,[1]상세자료!$S$1:$S$3805,"="&amp;$C$8)</f>
        <v>#VALUE!</v>
      </c>
      <c r="S20" s="102" t="e">
        <f>COUNTIFS([1]상세자료!$C$1:$C$3805,'일별현황(구)'!$C20,[1]상세자료!$T$1:$T$3805,"="&amp;$C$8)</f>
        <v>#VALUE!</v>
      </c>
      <c r="T20" s="101" t="e">
        <f t="shared" si="0"/>
        <v>#VALUE!</v>
      </c>
      <c r="U20" s="101"/>
      <c r="V20" s="104" t="e">
        <f>COUNTIFS([1]상세자료!$C$4:$C$973,'일별현황(구)'!$C20,[1]상세자료!$H$4:$H$973,"미제출")</f>
        <v>#VALUE!</v>
      </c>
      <c r="W20" s="101">
        <f>COUNTIFS('세부(구축)'!$B:$B,'일별현황(구)'!$C20,'세부(구축)'!$G:$G,"반려")</f>
        <v>0</v>
      </c>
      <c r="X20" s="104"/>
      <c r="Y20" s="104"/>
      <c r="Z20" s="101">
        <f>COUNTIFS('세부(구축)'!$B:$B,'일별현황(구)'!$C20,'세부(구축)'!$J:$J,"발행")</f>
        <v>0</v>
      </c>
      <c r="AA20" s="113"/>
      <c r="AB20" s="114">
        <f t="shared" si="1"/>
        <v>0</v>
      </c>
      <c r="AC20" s="115"/>
      <c r="AD20" s="83"/>
      <c r="AE20" s="84"/>
      <c r="AF20" s="76">
        <f t="shared" ca="1" si="2"/>
        <v>0</v>
      </c>
    </row>
    <row r="21" spans="1:32" s="76" customFormat="1" ht="41.1" customHeight="1" x14ac:dyDescent="0.15">
      <c r="A21" s="359"/>
      <c r="B21" s="92">
        <v>11</v>
      </c>
      <c r="C21" s="93" t="s">
        <v>263</v>
      </c>
      <c r="D21" s="149">
        <v>46</v>
      </c>
      <c r="E21" s="149">
        <v>19</v>
      </c>
      <c r="F21" s="149">
        <v>10</v>
      </c>
      <c r="G21" s="149">
        <v>8</v>
      </c>
      <c r="H21" s="149">
        <v>0</v>
      </c>
      <c r="I21" s="102">
        <v>1</v>
      </c>
      <c r="J21" s="101">
        <f>COUNTIF('세부(구축)'!$B:$B,'일별현황(구)'!C21)</f>
        <v>0</v>
      </c>
      <c r="K21" s="101">
        <f ca="1">COUNTIFS('세부(구축)'!$B:$B,'일별현황(구)'!C21,'세부(구축)'!$H:$H,TODAY())</f>
        <v>0</v>
      </c>
      <c r="L21" s="102">
        <f>COUNTIFS('세부(구축)'!$B:$B,'일별현황(구)'!$C21,'세부(구축)'!$G:$G,"작성중")</f>
        <v>0</v>
      </c>
      <c r="M21" s="102">
        <f>COUNTIFS('세부(구축)'!$B:$B,'일별현황(구)'!$C21,'세부(구축)'!$G:$G,"완료")</f>
        <v>0</v>
      </c>
      <c r="N21" s="102">
        <f>COUNTIFS('세부(구축)'!$B:$B,'일별현황(구)'!$C21,'세부(구축)'!$G:$G,"취소")</f>
        <v>0</v>
      </c>
      <c r="O21" s="103">
        <f ca="1">COUNTIFS('세부(구축)'!$I:$I,$B$8,'세부(구축)'!$B:$B,$C21)</f>
        <v>0</v>
      </c>
      <c r="P21" s="102" t="e">
        <f>COUNTIFS([1]상세자료!$C$1:$C$3805,'일별현황(구)'!$C21,[1]상세자료!$K$1:$K$3805,"="&amp;$C$8)</f>
        <v>#VALUE!</v>
      </c>
      <c r="Q21" s="102" t="e">
        <f>COUNTIFS([1]상세자료!$C$1:$C$3805,'일별현황(구)'!$C21,[1]상세자료!$Q$1:$Q$3805,"="&amp;$C$8)</f>
        <v>#VALUE!</v>
      </c>
      <c r="R21" s="102" t="e">
        <f>COUNTIFS([1]상세자료!$C$1:$C$3805,'일별현황(구)'!$C21,[1]상세자료!$S$1:$S$3805,"="&amp;$C$8)</f>
        <v>#VALUE!</v>
      </c>
      <c r="S21" s="102" t="e">
        <f>COUNTIFS([1]상세자료!$C$1:$C$3805,'일별현황(구)'!$C21,[1]상세자료!$T$1:$T$3805,"="&amp;$C$8)</f>
        <v>#VALUE!</v>
      </c>
      <c r="T21" s="101" t="e">
        <f t="shared" si="0"/>
        <v>#VALUE!</v>
      </c>
      <c r="U21" s="101"/>
      <c r="V21" s="104" t="e">
        <f>COUNTIFS([1]상세자료!$C$4:$C$973,'일별현황(구)'!$C21,[1]상세자료!$H$4:$H$973,"미제출")</f>
        <v>#VALUE!</v>
      </c>
      <c r="W21" s="101">
        <f>COUNTIFS('세부(구축)'!$B:$B,'일별현황(구)'!$C21,'세부(구축)'!$G:$G,"반려")</f>
        <v>0</v>
      </c>
      <c r="X21" s="104"/>
      <c r="Y21" s="104"/>
      <c r="Z21" s="101">
        <f>COUNTIFS('세부(구축)'!$B:$B,'일별현황(구)'!$C21,'세부(구축)'!$J:$J,"발행")</f>
        <v>0</v>
      </c>
      <c r="AA21" s="113"/>
      <c r="AB21" s="114">
        <f t="shared" si="1"/>
        <v>0</v>
      </c>
      <c r="AC21" s="115"/>
      <c r="AD21" s="83"/>
      <c r="AE21" s="84"/>
      <c r="AF21" s="76">
        <f t="shared" ca="1" si="2"/>
        <v>0</v>
      </c>
    </row>
    <row r="22" spans="1:32" s="76" customFormat="1" ht="41.1" customHeight="1" x14ac:dyDescent="0.15">
      <c r="A22" s="359"/>
      <c r="B22" s="92">
        <v>12</v>
      </c>
      <c r="C22" s="93" t="s">
        <v>28</v>
      </c>
      <c r="D22" s="149">
        <v>7</v>
      </c>
      <c r="E22" s="149"/>
      <c r="F22" s="149">
        <v>7</v>
      </c>
      <c r="G22" s="149">
        <v>6</v>
      </c>
      <c r="H22" s="149">
        <v>0</v>
      </c>
      <c r="I22" s="102">
        <v>4</v>
      </c>
      <c r="J22" s="101">
        <f>COUNTIF('세부(구축)'!$B:$B,'일별현황(구)'!C22)</f>
        <v>0</v>
      </c>
      <c r="K22" s="101">
        <f ca="1">COUNTIFS('세부(구축)'!$B:$B,'일별현황(구)'!C22,'세부(구축)'!$H:$H,TODAY())</f>
        <v>0</v>
      </c>
      <c r="L22" s="102">
        <f>COUNTIFS('세부(구축)'!$B:$B,'일별현황(구)'!$C22,'세부(구축)'!$G:$G,"작성중")</f>
        <v>0</v>
      </c>
      <c r="M22" s="102">
        <f>COUNTIFS('세부(구축)'!$B:$B,'일별현황(구)'!$C22,'세부(구축)'!$G:$G,"완료")</f>
        <v>0</v>
      </c>
      <c r="N22" s="102">
        <f>COUNTIFS('세부(구축)'!$B:$B,'일별현황(구)'!$C22,'세부(구축)'!$G:$G,"취소")</f>
        <v>0</v>
      </c>
      <c r="O22" s="103">
        <f ca="1">COUNTIFS('세부(구축)'!$I:$I,$B$8,'세부(구축)'!$B:$B,$C22)</f>
        <v>0</v>
      </c>
      <c r="P22" s="102" t="e">
        <f>COUNTIFS([1]상세자료!$C$1:$C$3805,'일별현황(구)'!$C22,[1]상세자료!$K$1:$K$3805,"="&amp;$C$8)</f>
        <v>#VALUE!</v>
      </c>
      <c r="Q22" s="102" t="e">
        <f>COUNTIFS([1]상세자료!$C$1:$C$3805,'일별현황(구)'!$C22,[1]상세자료!$Q$1:$Q$3805,"="&amp;$C$8)</f>
        <v>#VALUE!</v>
      </c>
      <c r="R22" s="102" t="e">
        <f>COUNTIFS([1]상세자료!$C$1:$C$3805,'일별현황(구)'!$C22,[1]상세자료!$S$1:$S$3805,"="&amp;$C$8)</f>
        <v>#VALUE!</v>
      </c>
      <c r="S22" s="102" t="e">
        <f>COUNTIFS([1]상세자료!$C$1:$C$3805,'일별현황(구)'!$C22,[1]상세자료!$T$1:$T$3805,"="&amp;$C$8)</f>
        <v>#VALUE!</v>
      </c>
      <c r="T22" s="101" t="e">
        <f t="shared" si="0"/>
        <v>#VALUE!</v>
      </c>
      <c r="U22" s="101"/>
      <c r="V22" s="104" t="e">
        <f>COUNTIFS([1]상세자료!$C$4:$C$973,'일별현황(구)'!$C22,[1]상세자료!$H$4:$H$973,"미제출")</f>
        <v>#VALUE!</v>
      </c>
      <c r="W22" s="101">
        <f>COUNTIFS('세부(구축)'!$B:$B,'일별현황(구)'!$C22,'세부(구축)'!$G:$G,"반려")</f>
        <v>0</v>
      </c>
      <c r="X22" s="104"/>
      <c r="Y22" s="104"/>
      <c r="Z22" s="101">
        <f>COUNTIFS('세부(구축)'!$B:$B,'일별현황(구)'!$C22,'세부(구축)'!$J:$J,"발행")</f>
        <v>0</v>
      </c>
      <c r="AA22" s="113">
        <v>45791</v>
      </c>
      <c r="AB22" s="114">
        <f t="shared" si="1"/>
        <v>0</v>
      </c>
      <c r="AC22" s="117"/>
      <c r="AD22" s="83"/>
      <c r="AE22" s="85"/>
      <c r="AF22" s="76">
        <f t="shared" ca="1" si="2"/>
        <v>0</v>
      </c>
    </row>
    <row r="23" spans="1:32" s="76" customFormat="1" ht="41.1" customHeight="1" x14ac:dyDescent="0.15">
      <c r="A23" s="359"/>
      <c r="B23" s="92">
        <v>13</v>
      </c>
      <c r="C23" s="93" t="s">
        <v>34</v>
      </c>
      <c r="D23" s="149">
        <v>37</v>
      </c>
      <c r="E23" s="149">
        <v>14</v>
      </c>
      <c r="F23" s="149">
        <v>6</v>
      </c>
      <c r="G23" s="149">
        <v>6</v>
      </c>
      <c r="H23" s="149">
        <v>0</v>
      </c>
      <c r="I23" s="102">
        <v>2</v>
      </c>
      <c r="J23" s="101">
        <f>COUNTIF('세부(구축)'!$B:$B,'일별현황(구)'!C23)</f>
        <v>0</v>
      </c>
      <c r="K23" s="101">
        <f ca="1">COUNTIFS('세부(구축)'!$B:$B,'일별현황(구)'!C23,'세부(구축)'!$H:$H,TODAY())</f>
        <v>0</v>
      </c>
      <c r="L23" s="102">
        <f>COUNTIFS('세부(구축)'!$B:$B,'일별현황(구)'!$C23,'세부(구축)'!$G:$G,"작성중")</f>
        <v>0</v>
      </c>
      <c r="M23" s="102">
        <f>COUNTIFS('세부(구축)'!$B:$B,'일별현황(구)'!$C23,'세부(구축)'!$G:$G,"완료")</f>
        <v>0</v>
      </c>
      <c r="N23" s="102">
        <f>COUNTIFS('세부(구축)'!$B:$B,'일별현황(구)'!$C23,'세부(구축)'!$G:$G,"취소")</f>
        <v>0</v>
      </c>
      <c r="O23" s="103">
        <f ca="1">COUNTIFS('세부(구축)'!$I:$I,$B$8,'세부(구축)'!$B:$B,$C23)</f>
        <v>0</v>
      </c>
      <c r="P23" s="102" t="e">
        <f>COUNTIFS([1]상세자료!$C$1:$C$3805,'일별현황(구)'!$C23,[1]상세자료!$K$1:$K$3805,"="&amp;$C$8)</f>
        <v>#VALUE!</v>
      </c>
      <c r="Q23" s="102" t="e">
        <f>COUNTIFS([1]상세자료!$C$1:$C$3805,'일별현황(구)'!$C23,[1]상세자료!$Q$1:$Q$3805,"="&amp;$C$8)</f>
        <v>#VALUE!</v>
      </c>
      <c r="R23" s="102" t="e">
        <f>COUNTIFS([1]상세자료!$C$1:$C$3805,'일별현황(구)'!$C23,[1]상세자료!$S$1:$S$3805,"="&amp;$C$8)</f>
        <v>#VALUE!</v>
      </c>
      <c r="S23" s="102" t="e">
        <f>COUNTIFS([1]상세자료!$C$1:$C$3805,'일별현황(구)'!$C23,[1]상세자료!$T$1:$T$3805,"="&amp;$C$8)</f>
        <v>#VALUE!</v>
      </c>
      <c r="T23" s="101" t="e">
        <f t="shared" si="0"/>
        <v>#VALUE!</v>
      </c>
      <c r="U23" s="101"/>
      <c r="V23" s="104" t="e">
        <f>COUNTIFS([1]상세자료!$C$4:$C$973,'일별현황(구)'!$C23,[1]상세자료!$H$4:$H$973,"미제출")</f>
        <v>#VALUE!</v>
      </c>
      <c r="W23" s="101">
        <f>COUNTIFS('세부(구축)'!$B:$B,'일별현황(구)'!$C23,'세부(구축)'!$G:$G,"반려")</f>
        <v>0</v>
      </c>
      <c r="X23" s="104"/>
      <c r="Y23" s="104"/>
      <c r="Z23" s="101">
        <f>COUNTIFS('세부(구축)'!$B:$B,'일별현황(구)'!$C23,'세부(구축)'!$J:$J,"발행")</f>
        <v>0</v>
      </c>
      <c r="AA23" s="113"/>
      <c r="AB23" s="114">
        <f t="shared" si="1"/>
        <v>0</v>
      </c>
      <c r="AC23" s="115"/>
      <c r="AD23" s="83"/>
      <c r="AE23" s="84"/>
      <c r="AF23" s="76">
        <f t="shared" ca="1" si="2"/>
        <v>0</v>
      </c>
    </row>
    <row r="24" spans="1:32" s="76" customFormat="1" ht="41.1" customHeight="1" x14ac:dyDescent="0.15">
      <c r="A24" s="359"/>
      <c r="B24" s="92">
        <v>14</v>
      </c>
      <c r="C24" s="93" t="s">
        <v>154</v>
      </c>
      <c r="D24" s="149">
        <v>85</v>
      </c>
      <c r="E24" s="149">
        <v>65</v>
      </c>
      <c r="F24" s="149">
        <v>37</v>
      </c>
      <c r="G24" s="149">
        <v>23</v>
      </c>
      <c r="H24" s="149">
        <v>0</v>
      </c>
      <c r="I24" s="102">
        <v>18</v>
      </c>
      <c r="J24" s="101">
        <f>COUNTIF('세부(구축)'!$B:$B,'일별현황(구)'!C24)</f>
        <v>13</v>
      </c>
      <c r="K24" s="101">
        <f ca="1">COUNTIFS('세부(구축)'!$B:$B,'일별현황(구)'!C24,'세부(구축)'!$H:$H,TODAY())</f>
        <v>0</v>
      </c>
      <c r="L24" s="102">
        <f>COUNTIFS('세부(구축)'!$B:$B,'일별현황(구)'!$C24,'세부(구축)'!$G:$G,"작성중")</f>
        <v>13</v>
      </c>
      <c r="M24" s="102">
        <f>COUNTIFS('세부(구축)'!$B:$B,'일별현황(구)'!$C24,'세부(구축)'!$G:$G,"완료")</f>
        <v>0</v>
      </c>
      <c r="N24" s="102">
        <f>COUNTIFS('세부(구축)'!$B:$B,'일별현황(구)'!$C24,'세부(구축)'!$G:$G,"취소")</f>
        <v>0</v>
      </c>
      <c r="O24" s="103">
        <f ca="1">COUNTIFS('세부(구축)'!$I:$I,$B$8,'세부(구축)'!$B:$B,$C24)</f>
        <v>0</v>
      </c>
      <c r="P24" s="102" t="e">
        <f>COUNTIFS([1]상세자료!$C$1:$C$3805,'일별현황(구)'!$C24,[1]상세자료!$K$1:$K$3805,"="&amp;$C$8)</f>
        <v>#VALUE!</v>
      </c>
      <c r="Q24" s="102" t="e">
        <f>COUNTIFS([1]상세자료!$C$1:$C$3805,'일별현황(구)'!$C24,[1]상세자료!$Q$1:$Q$3805,"="&amp;$C$8)</f>
        <v>#VALUE!</v>
      </c>
      <c r="R24" s="102" t="e">
        <f>COUNTIFS([1]상세자료!$C$1:$C$3805,'일별현황(구)'!$C24,[1]상세자료!$S$1:$S$3805,"="&amp;$C$8)</f>
        <v>#VALUE!</v>
      </c>
      <c r="S24" s="102" t="e">
        <f>COUNTIFS([1]상세자료!$C$1:$C$3805,'일별현황(구)'!$C24,[1]상세자료!$T$1:$T$3805,"="&amp;$C$8)</f>
        <v>#VALUE!</v>
      </c>
      <c r="T24" s="101" t="e">
        <f t="shared" si="0"/>
        <v>#VALUE!</v>
      </c>
      <c r="U24" s="101"/>
      <c r="V24" s="104" t="e">
        <f>COUNTIFS([1]상세자료!$C$4:$C$973,'일별현황(구)'!$C24,[1]상세자료!$H$4:$H$973,"미제출")</f>
        <v>#VALUE!</v>
      </c>
      <c r="W24" s="101">
        <f>COUNTIFS('세부(구축)'!$B:$B,'일별현황(구)'!$C24,'세부(구축)'!$G:$G,"반려")</f>
        <v>0</v>
      </c>
      <c r="X24" s="104"/>
      <c r="Y24" s="104"/>
      <c r="Z24" s="101">
        <f>COUNTIFS('세부(구축)'!$B:$B,'일별현황(구)'!$C24,'세부(구축)'!$J:$J,"발행")</f>
        <v>0</v>
      </c>
      <c r="AA24" s="118" t="s">
        <v>299</v>
      </c>
      <c r="AB24" s="114">
        <f t="shared" si="1"/>
        <v>13</v>
      </c>
      <c r="AC24" s="115"/>
      <c r="AD24" s="86"/>
      <c r="AE24" s="84"/>
      <c r="AF24" s="76">
        <f t="shared" ca="1" si="2"/>
        <v>1</v>
      </c>
    </row>
    <row r="25" spans="1:32" s="76" customFormat="1" ht="41.1" customHeight="1" x14ac:dyDescent="0.15">
      <c r="A25" s="359"/>
      <c r="B25" s="92">
        <v>15</v>
      </c>
      <c r="C25" s="93" t="s">
        <v>155</v>
      </c>
      <c r="D25" s="149">
        <v>36</v>
      </c>
      <c r="E25" s="149">
        <v>38</v>
      </c>
      <c r="F25" s="149">
        <v>16</v>
      </c>
      <c r="G25" s="149">
        <v>15</v>
      </c>
      <c r="H25" s="149">
        <v>0</v>
      </c>
      <c r="I25" s="102">
        <v>7</v>
      </c>
      <c r="J25" s="101">
        <f>COUNTIF('세부(구축)'!$B:$B,'일별현황(구)'!C25)</f>
        <v>4</v>
      </c>
      <c r="K25" s="101">
        <f ca="1">COUNTIFS('세부(구축)'!$B:$B,'일별현황(구)'!C25,'세부(구축)'!$H:$H,TODAY())</f>
        <v>0</v>
      </c>
      <c r="L25" s="102">
        <f>COUNTIFS('세부(구축)'!$B:$B,'일별현황(구)'!$C25,'세부(구축)'!$G:$G,"작성중")</f>
        <v>1</v>
      </c>
      <c r="M25" s="102">
        <f>COUNTIFS('세부(구축)'!$B:$B,'일별현황(구)'!$C25,'세부(구축)'!$G:$G,"완료")</f>
        <v>0</v>
      </c>
      <c r="N25" s="102">
        <f>COUNTIFS('세부(구축)'!$B:$B,'일별현황(구)'!$C25,'세부(구축)'!$G:$G,"취소")</f>
        <v>0</v>
      </c>
      <c r="O25" s="103">
        <f ca="1">COUNTIFS('세부(구축)'!$I:$I,$B$8,'세부(구축)'!$B:$B,$C25)</f>
        <v>0</v>
      </c>
      <c r="P25" s="102" t="e">
        <f>COUNTIFS([1]상세자료!$C$1:$C$3805,'일별현황(구)'!$C25,[1]상세자료!$K$1:$K$3805,"="&amp;$C$8)</f>
        <v>#VALUE!</v>
      </c>
      <c r="Q25" s="102" t="e">
        <f>COUNTIFS([1]상세자료!$C$1:$C$3805,'일별현황(구)'!$C25,[1]상세자료!$Q$1:$Q$3805,"="&amp;$C$8)</f>
        <v>#VALUE!</v>
      </c>
      <c r="R25" s="102" t="e">
        <f>COUNTIFS([1]상세자료!$C$1:$C$3805,'일별현황(구)'!$C25,[1]상세자료!$S$1:$S$3805,"="&amp;$C$8)</f>
        <v>#VALUE!</v>
      </c>
      <c r="S25" s="102" t="e">
        <f>COUNTIFS([1]상세자료!$C$1:$C$3805,'일별현황(구)'!$C25,[1]상세자료!$T$1:$T$3805,"="&amp;$C$8)</f>
        <v>#VALUE!</v>
      </c>
      <c r="T25" s="101" t="e">
        <f t="shared" si="0"/>
        <v>#VALUE!</v>
      </c>
      <c r="U25" s="101"/>
      <c r="V25" s="104" t="e">
        <f>COUNTIFS([1]상세자료!$C$4:$C$973,'일별현황(구)'!$C25,[1]상세자료!$H$4:$H$973,"미제출")</f>
        <v>#VALUE!</v>
      </c>
      <c r="W25" s="101">
        <f>COUNTIFS('세부(구축)'!$B:$B,'일별현황(구)'!$C25,'세부(구축)'!$G:$G,"반려")</f>
        <v>0</v>
      </c>
      <c r="X25" s="104"/>
      <c r="Y25" s="104"/>
      <c r="Z25" s="101">
        <f>COUNTIFS('세부(구축)'!$B:$B,'일별현황(구)'!$C25,'세부(구축)'!$J:$J,"발행")</f>
        <v>0</v>
      </c>
      <c r="AA25" s="113"/>
      <c r="AB25" s="114">
        <f t="shared" si="1"/>
        <v>4</v>
      </c>
      <c r="AC25" s="115"/>
      <c r="AD25" s="83"/>
      <c r="AE25" s="84"/>
      <c r="AF25" s="76">
        <f t="shared" ca="1" si="2"/>
        <v>1</v>
      </c>
    </row>
    <row r="26" spans="1:32" s="76" customFormat="1" ht="41.1" customHeight="1" x14ac:dyDescent="0.15">
      <c r="A26" s="359"/>
      <c r="B26" s="92">
        <v>16</v>
      </c>
      <c r="C26" s="93" t="s">
        <v>21</v>
      </c>
      <c r="D26" s="149">
        <v>24</v>
      </c>
      <c r="E26" s="149">
        <v>14</v>
      </c>
      <c r="F26" s="149">
        <v>22</v>
      </c>
      <c r="G26" s="149">
        <v>19</v>
      </c>
      <c r="H26" s="149">
        <v>0</v>
      </c>
      <c r="I26" s="102">
        <v>19</v>
      </c>
      <c r="J26" s="101">
        <f>COUNTIF('세부(구축)'!$B:$B,'일별현황(구)'!C26)</f>
        <v>4</v>
      </c>
      <c r="K26" s="101">
        <f ca="1">COUNTIFS('세부(구축)'!$B:$B,'일별현황(구)'!C26,'세부(구축)'!$H:$H,TODAY())</f>
        <v>0</v>
      </c>
      <c r="L26" s="102">
        <f>COUNTIFS('세부(구축)'!$B:$B,'일별현황(구)'!$C26,'세부(구축)'!$G:$G,"작성중")</f>
        <v>0</v>
      </c>
      <c r="M26" s="102">
        <f>COUNTIFS('세부(구축)'!$B:$B,'일별현황(구)'!$C26,'세부(구축)'!$G:$G,"완료")</f>
        <v>0</v>
      </c>
      <c r="N26" s="102">
        <f>COUNTIFS('세부(구축)'!$B:$B,'일별현황(구)'!$C26,'세부(구축)'!$G:$G,"취소")</f>
        <v>0</v>
      </c>
      <c r="O26" s="103">
        <f ca="1">COUNTIFS('세부(구축)'!$I:$I,$B$8,'세부(구축)'!$B:$B,$C26)</f>
        <v>0</v>
      </c>
      <c r="P26" s="102" t="e">
        <f>COUNTIFS([1]상세자료!$C$1:$C$3805,'일별현황(구)'!$C26,[1]상세자료!$K$1:$K$3805,"="&amp;$C$8)</f>
        <v>#VALUE!</v>
      </c>
      <c r="Q26" s="102" t="e">
        <f>COUNTIFS([1]상세자료!$C$1:$C$3805,'일별현황(구)'!$C26,[1]상세자료!$Q$1:$Q$3805,"="&amp;$C$8)</f>
        <v>#VALUE!</v>
      </c>
      <c r="R26" s="102" t="e">
        <f>COUNTIFS([1]상세자료!$C$1:$C$3805,'일별현황(구)'!$C26,[1]상세자료!$S$1:$S$3805,"="&amp;$C$8)</f>
        <v>#VALUE!</v>
      </c>
      <c r="S26" s="102" t="e">
        <f>COUNTIFS([1]상세자료!$C$1:$C$3805,'일별현황(구)'!$C26,[1]상세자료!$T$1:$T$3805,"="&amp;$C$8)</f>
        <v>#VALUE!</v>
      </c>
      <c r="T26" s="101" t="e">
        <f t="shared" si="0"/>
        <v>#VALUE!</v>
      </c>
      <c r="U26" s="101"/>
      <c r="V26" s="104" t="e">
        <f>COUNTIFS([1]상세자료!$C$4:$C$973,'일별현황(구)'!$C26,[1]상세자료!$H$4:$H$973,"미제출")</f>
        <v>#VALUE!</v>
      </c>
      <c r="W26" s="101">
        <f>COUNTIFS('세부(구축)'!$B:$B,'일별현황(구)'!$C26,'세부(구축)'!$G:$G,"반려")</f>
        <v>0</v>
      </c>
      <c r="X26" s="104"/>
      <c r="Y26" s="104"/>
      <c r="Z26" s="101">
        <f>COUNTIFS('세부(구축)'!$B:$B,'일별현황(구)'!$C26,'세부(구축)'!$J:$J,"발행")</f>
        <v>0</v>
      </c>
      <c r="AA26" s="113">
        <v>45775</v>
      </c>
      <c r="AB26" s="114">
        <f t="shared" si="1"/>
        <v>4</v>
      </c>
      <c r="AC26" s="117"/>
      <c r="AD26" s="83"/>
      <c r="AE26" s="85"/>
      <c r="AF26" s="76">
        <f t="shared" ca="1" si="2"/>
        <v>0</v>
      </c>
    </row>
    <row r="27" spans="1:32" s="76" customFormat="1" ht="41.1" customHeight="1" x14ac:dyDescent="0.15">
      <c r="A27" s="359"/>
      <c r="B27" s="92">
        <v>17</v>
      </c>
      <c r="C27" s="93" t="s">
        <v>199</v>
      </c>
      <c r="D27" s="149">
        <v>2</v>
      </c>
      <c r="E27" s="149"/>
      <c r="F27" s="149">
        <v>11</v>
      </c>
      <c r="G27" s="149">
        <v>11</v>
      </c>
      <c r="H27" s="149">
        <v>0</v>
      </c>
      <c r="I27" s="102">
        <v>1</v>
      </c>
      <c r="J27" s="101">
        <f>COUNTIF('세부(구축)'!$B:$B,'일별현황(구)'!C27)</f>
        <v>0</v>
      </c>
      <c r="K27" s="101">
        <f ca="1">COUNTIFS('세부(구축)'!$B:$B,'일별현황(구)'!C27,'세부(구축)'!$H:$H,TODAY())</f>
        <v>0</v>
      </c>
      <c r="L27" s="102">
        <f>COUNTIFS('세부(구축)'!$B:$B,'일별현황(구)'!$C27,'세부(구축)'!$G:$G,"작성중")</f>
        <v>0</v>
      </c>
      <c r="M27" s="102">
        <f>COUNTIFS('세부(구축)'!$B:$B,'일별현황(구)'!$C27,'세부(구축)'!$G:$G,"완료")</f>
        <v>0</v>
      </c>
      <c r="N27" s="102">
        <f>COUNTIFS('세부(구축)'!$B:$B,'일별현황(구)'!$C27,'세부(구축)'!$G:$G,"취소")</f>
        <v>0</v>
      </c>
      <c r="O27" s="103">
        <f ca="1">COUNTIFS('세부(구축)'!$I:$I,$B$8,'세부(구축)'!$B:$B,$C27)</f>
        <v>0</v>
      </c>
      <c r="P27" s="102" t="e">
        <f>COUNTIFS([1]상세자료!$C$1:$C$3805,'일별현황(구)'!$C27,[1]상세자료!$K$1:$K$3805,"="&amp;$C$8)</f>
        <v>#VALUE!</v>
      </c>
      <c r="Q27" s="102" t="e">
        <f>COUNTIFS([1]상세자료!$C$1:$C$3805,'일별현황(구)'!$C27,[1]상세자료!$Q$1:$Q$3805,"="&amp;$C$8)</f>
        <v>#VALUE!</v>
      </c>
      <c r="R27" s="102" t="e">
        <f>COUNTIFS([1]상세자료!$C$1:$C$3805,'일별현황(구)'!$C27,[1]상세자료!$S$1:$S$3805,"="&amp;$C$8)</f>
        <v>#VALUE!</v>
      </c>
      <c r="S27" s="102" t="e">
        <f>COUNTIFS([1]상세자료!$C$1:$C$3805,'일별현황(구)'!$C27,[1]상세자료!$T$1:$T$3805,"="&amp;$C$8)</f>
        <v>#VALUE!</v>
      </c>
      <c r="T27" s="101" t="e">
        <f t="shared" si="0"/>
        <v>#VALUE!</v>
      </c>
      <c r="U27" s="101"/>
      <c r="V27" s="104" t="e">
        <f>COUNTIFS([1]상세자료!$C$4:$C$973,'일별현황(구)'!$C27,[1]상세자료!$H$4:$H$973,"미제출")</f>
        <v>#VALUE!</v>
      </c>
      <c r="W27" s="101">
        <f>COUNTIFS('세부(구축)'!$B:$B,'일별현황(구)'!$C27,'세부(구축)'!$G:$G,"반려")</f>
        <v>0</v>
      </c>
      <c r="X27" s="104"/>
      <c r="Y27" s="104"/>
      <c r="Z27" s="101">
        <f>COUNTIFS('세부(구축)'!$B:$B,'일별현황(구)'!$C27,'세부(구축)'!$J:$J,"발행")</f>
        <v>0</v>
      </c>
      <c r="AA27" s="113"/>
      <c r="AB27" s="114">
        <f t="shared" si="1"/>
        <v>0</v>
      </c>
      <c r="AC27" s="115"/>
      <c r="AD27" s="83"/>
      <c r="AE27" s="84"/>
      <c r="AF27" s="76">
        <f t="shared" ca="1" si="2"/>
        <v>0</v>
      </c>
    </row>
    <row r="28" spans="1:32" s="76" customFormat="1" ht="41.1" customHeight="1" x14ac:dyDescent="0.15">
      <c r="A28" s="359"/>
      <c r="B28" s="92">
        <v>18</v>
      </c>
      <c r="C28" s="93" t="s">
        <v>47</v>
      </c>
      <c r="D28" s="149">
        <v>41</v>
      </c>
      <c r="E28" s="149">
        <v>34</v>
      </c>
      <c r="F28" s="149">
        <v>13</v>
      </c>
      <c r="G28" s="149">
        <v>13</v>
      </c>
      <c r="H28" s="149">
        <v>0</v>
      </c>
      <c r="I28" s="102">
        <v>15</v>
      </c>
      <c r="J28" s="101">
        <f>COUNTIF('세부(구축)'!$B:$B,'일별현황(구)'!C28)</f>
        <v>0</v>
      </c>
      <c r="K28" s="101">
        <f ca="1">COUNTIFS('세부(구축)'!$B:$B,'일별현황(구)'!C28,'세부(구축)'!$H:$H,TODAY())</f>
        <v>0</v>
      </c>
      <c r="L28" s="102">
        <f>COUNTIFS('세부(구축)'!$B:$B,'일별현황(구)'!$C28,'세부(구축)'!$G:$G,"작성중")</f>
        <v>0</v>
      </c>
      <c r="M28" s="102">
        <f>COUNTIFS('세부(구축)'!$B:$B,'일별현황(구)'!$C28,'세부(구축)'!$G:$G,"완료")</f>
        <v>0</v>
      </c>
      <c r="N28" s="102">
        <f>COUNTIFS('세부(구축)'!$B:$B,'일별현황(구)'!$C28,'세부(구축)'!$G:$G,"취소")</f>
        <v>0</v>
      </c>
      <c r="O28" s="103">
        <f ca="1">COUNTIFS('세부(구축)'!$I:$I,$B$8,'세부(구축)'!$B:$B,$C28)</f>
        <v>0</v>
      </c>
      <c r="P28" s="102" t="e">
        <f>COUNTIFS([1]상세자료!$C$1:$C$3805,'일별현황(구)'!$C28,[1]상세자료!$K$1:$K$3805,"="&amp;$C$8)</f>
        <v>#VALUE!</v>
      </c>
      <c r="Q28" s="102" t="e">
        <f>COUNTIFS([1]상세자료!$C$1:$C$3805,'일별현황(구)'!$C28,[1]상세자료!$Q$1:$Q$3805,"="&amp;$C$8)</f>
        <v>#VALUE!</v>
      </c>
      <c r="R28" s="102" t="e">
        <f>COUNTIFS([1]상세자료!$C$1:$C$3805,'일별현황(구)'!$C28,[1]상세자료!$S$1:$S$3805,"="&amp;$C$8)</f>
        <v>#VALUE!</v>
      </c>
      <c r="S28" s="102" t="e">
        <f>COUNTIFS([1]상세자료!$C$1:$C$3805,'일별현황(구)'!$C28,[1]상세자료!$T$1:$T$3805,"="&amp;$C$8)</f>
        <v>#VALUE!</v>
      </c>
      <c r="T28" s="101" t="e">
        <f t="shared" si="0"/>
        <v>#VALUE!</v>
      </c>
      <c r="U28" s="101"/>
      <c r="V28" s="104" t="e">
        <f>COUNTIFS([1]상세자료!$C$4:$C$973,'일별현황(구)'!$C28,[1]상세자료!$H$4:$H$973,"미제출")</f>
        <v>#VALUE!</v>
      </c>
      <c r="W28" s="101">
        <f>COUNTIFS('세부(구축)'!$B:$B,'일별현황(구)'!$C28,'세부(구축)'!$G:$G,"반려")</f>
        <v>0</v>
      </c>
      <c r="X28" s="104"/>
      <c r="Y28" s="104"/>
      <c r="Z28" s="101">
        <f>COUNTIFS('세부(구축)'!$B:$B,'일별현황(구)'!$C28,'세부(구축)'!$J:$J,"발행")</f>
        <v>0</v>
      </c>
      <c r="AA28" s="113"/>
      <c r="AB28" s="114">
        <f t="shared" si="1"/>
        <v>0</v>
      </c>
      <c r="AC28" s="115"/>
      <c r="AD28" s="83"/>
      <c r="AE28" s="84"/>
      <c r="AF28" s="76">
        <f t="shared" ca="1" si="2"/>
        <v>0</v>
      </c>
    </row>
    <row r="29" spans="1:32" s="76" customFormat="1" ht="41.1" customHeight="1" x14ac:dyDescent="0.15">
      <c r="A29" s="359"/>
      <c r="B29" s="92">
        <v>19</v>
      </c>
      <c r="C29" s="93" t="s">
        <v>24</v>
      </c>
      <c r="D29" s="149">
        <v>33</v>
      </c>
      <c r="E29" s="149">
        <v>26</v>
      </c>
      <c r="F29" s="149">
        <v>14</v>
      </c>
      <c r="G29" s="149">
        <v>13</v>
      </c>
      <c r="H29" s="149">
        <v>0</v>
      </c>
      <c r="I29" s="102">
        <v>16</v>
      </c>
      <c r="J29" s="101">
        <f>COUNTIF('세부(구축)'!$B:$B,'일별현황(구)'!C29)</f>
        <v>5</v>
      </c>
      <c r="K29" s="101">
        <f ca="1">COUNTIFS('세부(구축)'!$B:$B,'일별현황(구)'!C29,'세부(구축)'!$H:$H,TODAY())</f>
        <v>0</v>
      </c>
      <c r="L29" s="102">
        <f>COUNTIFS('세부(구축)'!$B:$B,'일별현황(구)'!$C29,'세부(구축)'!$G:$G,"작성중")</f>
        <v>1</v>
      </c>
      <c r="M29" s="102">
        <f>COUNTIFS('세부(구축)'!$B:$B,'일별현황(구)'!$C29,'세부(구축)'!$G:$G,"완료")</f>
        <v>0</v>
      </c>
      <c r="N29" s="102">
        <f>COUNTIFS('세부(구축)'!$B:$B,'일별현황(구)'!$C29,'세부(구축)'!$G:$G,"취소")</f>
        <v>0</v>
      </c>
      <c r="O29" s="103">
        <f ca="1">COUNTIFS('세부(구축)'!$I:$I,$B$8,'세부(구축)'!$B:$B,$C29)</f>
        <v>0</v>
      </c>
      <c r="P29" s="102" t="e">
        <f>COUNTIFS([1]상세자료!$C$1:$C$3805,'일별현황(구)'!$C29,[1]상세자료!$K$1:$K$3805,"="&amp;$C$8)</f>
        <v>#VALUE!</v>
      </c>
      <c r="Q29" s="102" t="e">
        <f>COUNTIFS([1]상세자료!$C$1:$C$3805,'일별현황(구)'!$C29,[1]상세자료!$Q$1:$Q$3805,"="&amp;$C$8)</f>
        <v>#VALUE!</v>
      </c>
      <c r="R29" s="102" t="e">
        <f>COUNTIFS([1]상세자료!$C$1:$C$3805,'일별현황(구)'!$C29,[1]상세자료!$S$1:$S$3805,"="&amp;$C$8)</f>
        <v>#VALUE!</v>
      </c>
      <c r="S29" s="102" t="e">
        <f>COUNTIFS([1]상세자료!$C$1:$C$3805,'일별현황(구)'!$C29,[1]상세자료!$T$1:$T$3805,"="&amp;$C$8)</f>
        <v>#VALUE!</v>
      </c>
      <c r="T29" s="101" t="e">
        <f t="shared" si="0"/>
        <v>#VALUE!</v>
      </c>
      <c r="U29" s="101"/>
      <c r="V29" s="104" t="e">
        <f>COUNTIFS([1]상세자료!$C$4:$C$973,'일별현황(구)'!$C29,[1]상세자료!$H$4:$H$973,"미제출")</f>
        <v>#VALUE!</v>
      </c>
      <c r="W29" s="101">
        <f>COUNTIFS('세부(구축)'!$B:$B,'일별현황(구)'!$C29,'세부(구축)'!$G:$G,"반려")</f>
        <v>0</v>
      </c>
      <c r="X29" s="104"/>
      <c r="Y29" s="104"/>
      <c r="Z29" s="101">
        <f>COUNTIFS('세부(구축)'!$B:$B,'일별현황(구)'!$C29,'세부(구축)'!$J:$J,"발행")</f>
        <v>0</v>
      </c>
      <c r="AA29" s="113">
        <v>45771</v>
      </c>
      <c r="AB29" s="114">
        <f t="shared" si="1"/>
        <v>5</v>
      </c>
      <c r="AC29" s="115"/>
      <c r="AD29" s="83"/>
      <c r="AE29" s="84"/>
      <c r="AF29" s="76">
        <f t="shared" ca="1" si="2"/>
        <v>1</v>
      </c>
    </row>
    <row r="30" spans="1:32" s="76" customFormat="1" ht="41.1" customHeight="1" x14ac:dyDescent="0.15">
      <c r="A30" s="359"/>
      <c r="B30" s="92">
        <v>20</v>
      </c>
      <c r="C30" s="93" t="s">
        <v>264</v>
      </c>
      <c r="D30" s="149">
        <v>7</v>
      </c>
      <c r="E30" s="149">
        <v>9</v>
      </c>
      <c r="F30" s="149">
        <v>0</v>
      </c>
      <c r="G30" s="149"/>
      <c r="H30" s="149">
        <v>0</v>
      </c>
      <c r="I30" s="102">
        <v>1</v>
      </c>
      <c r="J30" s="101">
        <f>COUNTIF('세부(구축)'!$B:$B,'일별현황(구)'!C30)</f>
        <v>0</v>
      </c>
      <c r="K30" s="101">
        <f ca="1">COUNTIFS('세부(구축)'!$B:$B,'일별현황(구)'!C30,'세부(구축)'!$H:$H,TODAY())</f>
        <v>0</v>
      </c>
      <c r="L30" s="102">
        <f>COUNTIFS('세부(구축)'!$B:$B,'일별현황(구)'!$C30,'세부(구축)'!$G:$G,"작성중")</f>
        <v>0</v>
      </c>
      <c r="M30" s="102">
        <f>COUNTIFS('세부(구축)'!$B:$B,'일별현황(구)'!$C30,'세부(구축)'!$G:$G,"완료")</f>
        <v>0</v>
      </c>
      <c r="N30" s="102">
        <f>COUNTIFS('세부(구축)'!$B:$B,'일별현황(구)'!$C30,'세부(구축)'!$G:$G,"취소")</f>
        <v>0</v>
      </c>
      <c r="O30" s="103">
        <f ca="1">COUNTIFS('세부(구축)'!$I:$I,$B$8,'세부(구축)'!$B:$B,$C30)</f>
        <v>0</v>
      </c>
      <c r="P30" s="102" t="e">
        <f>COUNTIFS([1]상세자료!$C$1:$C$3805,'일별현황(구)'!$C30,[1]상세자료!$K$1:$K$3805,"="&amp;$C$8)</f>
        <v>#VALUE!</v>
      </c>
      <c r="Q30" s="102" t="e">
        <f>COUNTIFS([1]상세자료!$C$1:$C$3805,'일별현황(구)'!$C30,[1]상세자료!$Q$1:$Q$3805,"="&amp;$C$8)</f>
        <v>#VALUE!</v>
      </c>
      <c r="R30" s="102" t="e">
        <f>COUNTIFS([1]상세자료!$C$1:$C$3805,'일별현황(구)'!$C30,[1]상세자료!$S$1:$S$3805,"="&amp;$C$8)</f>
        <v>#VALUE!</v>
      </c>
      <c r="S30" s="102" t="e">
        <f>COUNTIFS([1]상세자료!$C$1:$C$3805,'일별현황(구)'!$C30,[1]상세자료!$T$1:$T$3805,"="&amp;$C$8)</f>
        <v>#VALUE!</v>
      </c>
      <c r="T30" s="101" t="e">
        <f t="shared" si="0"/>
        <v>#VALUE!</v>
      </c>
      <c r="U30" s="101"/>
      <c r="V30" s="104" t="e">
        <f>COUNTIFS([1]상세자료!$C$4:$C$973,'일별현황(구)'!$C30,[1]상세자료!$H$4:$H$973,"미제출")</f>
        <v>#VALUE!</v>
      </c>
      <c r="W30" s="101">
        <f>COUNTIFS('세부(구축)'!$B:$B,'일별현황(구)'!$C30,'세부(구축)'!$G:$G,"반려")</f>
        <v>0</v>
      </c>
      <c r="X30" s="104"/>
      <c r="Y30" s="104"/>
      <c r="Z30" s="101">
        <f>COUNTIFS('세부(구축)'!$B:$B,'일별현황(구)'!$C30,'세부(구축)'!$J:$J,"발행")</f>
        <v>0</v>
      </c>
      <c r="AA30" s="113"/>
      <c r="AB30" s="114">
        <f t="shared" si="1"/>
        <v>0</v>
      </c>
      <c r="AC30" s="115"/>
      <c r="AD30" s="83"/>
      <c r="AE30" s="84"/>
      <c r="AF30" s="76">
        <f t="shared" ca="1" si="2"/>
        <v>0</v>
      </c>
    </row>
    <row r="31" spans="1:32" s="76" customFormat="1" ht="41.1" customHeight="1" x14ac:dyDescent="0.15">
      <c r="A31" s="359"/>
      <c r="B31" s="92">
        <v>21</v>
      </c>
      <c r="C31" s="94" t="s">
        <v>230</v>
      </c>
      <c r="D31" s="149">
        <v>32</v>
      </c>
      <c r="E31" s="149">
        <v>17</v>
      </c>
      <c r="F31" s="149">
        <v>25</v>
      </c>
      <c r="G31" s="149">
        <v>25</v>
      </c>
      <c r="H31" s="149">
        <v>0</v>
      </c>
      <c r="I31" s="102">
        <v>0</v>
      </c>
      <c r="J31" s="101">
        <f>COUNTIF('세부(구축)'!$B:$B,'일별현황(구)'!C31)</f>
        <v>0</v>
      </c>
      <c r="K31" s="101">
        <f ca="1">COUNTIFS('세부(구축)'!$B:$B,'일별현황(구)'!C31,'세부(구축)'!$H:$H,TODAY())</f>
        <v>0</v>
      </c>
      <c r="L31" s="102">
        <f>COUNTIFS('세부(구축)'!$B:$B,'일별현황(구)'!$C31,'세부(구축)'!$G:$G,"작성중")</f>
        <v>0</v>
      </c>
      <c r="M31" s="102">
        <f>COUNTIFS('세부(구축)'!$B:$B,'일별현황(구)'!$C31,'세부(구축)'!$G:$G,"완료")</f>
        <v>0</v>
      </c>
      <c r="N31" s="102">
        <f>COUNTIFS('세부(구축)'!$B:$B,'일별현황(구)'!$C31,'세부(구축)'!$G:$G,"취소")</f>
        <v>0</v>
      </c>
      <c r="O31" s="103">
        <f ca="1">COUNTIFS('세부(구축)'!$I:$I,$B$8,'세부(구축)'!$B:$B,$C31)</f>
        <v>0</v>
      </c>
      <c r="P31" s="102" t="e">
        <f>COUNTIFS([1]상세자료!$C$1:$C$3805,'일별현황(구)'!$C31,[1]상세자료!$K$1:$K$3805,"="&amp;$C$8)</f>
        <v>#VALUE!</v>
      </c>
      <c r="Q31" s="102" t="e">
        <f>COUNTIFS([1]상세자료!$C$1:$C$3805,'일별현황(구)'!$C31,[1]상세자료!$Q$1:$Q$3805,"="&amp;$C$8)</f>
        <v>#VALUE!</v>
      </c>
      <c r="R31" s="102" t="e">
        <f>COUNTIFS([1]상세자료!$C$1:$C$3805,'일별현황(구)'!$C31,[1]상세자료!$S$1:$S$3805,"="&amp;$C$8)</f>
        <v>#VALUE!</v>
      </c>
      <c r="S31" s="102" t="e">
        <f>COUNTIFS([1]상세자료!$C$1:$C$3805,'일별현황(구)'!$C31,[1]상세자료!$T$1:$T$3805,"="&amp;$C$8)</f>
        <v>#VALUE!</v>
      </c>
      <c r="T31" s="102" t="e">
        <f t="shared" si="0"/>
        <v>#VALUE!</v>
      </c>
      <c r="U31" s="102"/>
      <c r="V31" s="104" t="e">
        <f>COUNTIFS([1]상세자료!$C$4:$C$973,'일별현황(구)'!$C31,[1]상세자료!$H$4:$H$973,"미제출")</f>
        <v>#VALUE!</v>
      </c>
      <c r="W31" s="101">
        <f>COUNTIFS('세부(구축)'!$B:$B,'일별현황(구)'!$C31,'세부(구축)'!$G:$G,"반려")</f>
        <v>0</v>
      </c>
      <c r="X31" s="104"/>
      <c r="Y31" s="104"/>
      <c r="Z31" s="101">
        <f>COUNTIFS('세부(구축)'!$B:$B,'일별현황(구)'!$C31,'세부(구축)'!$J:$J,"발행")</f>
        <v>0</v>
      </c>
      <c r="AA31" s="113"/>
      <c r="AB31" s="114">
        <f t="shared" si="1"/>
        <v>0</v>
      </c>
      <c r="AC31" s="115"/>
      <c r="AD31" s="83"/>
      <c r="AE31" s="84"/>
      <c r="AF31" s="76">
        <f t="shared" ca="1" si="2"/>
        <v>0</v>
      </c>
    </row>
    <row r="32" spans="1:32" s="76" customFormat="1" ht="41.1" customHeight="1" x14ac:dyDescent="0.15">
      <c r="A32" s="359"/>
      <c r="B32" s="92">
        <v>22</v>
      </c>
      <c r="C32" s="94" t="s">
        <v>231</v>
      </c>
      <c r="D32" s="149">
        <v>25</v>
      </c>
      <c r="E32" s="149">
        <v>14</v>
      </c>
      <c r="F32" s="149">
        <v>0</v>
      </c>
      <c r="G32" s="149"/>
      <c r="H32" s="149">
        <v>0</v>
      </c>
      <c r="I32" s="102">
        <v>0</v>
      </c>
      <c r="J32" s="101">
        <f>COUNTIF('세부(구축)'!$B:$B,'일별현황(구)'!C32)</f>
        <v>0</v>
      </c>
      <c r="K32" s="101">
        <f ca="1">COUNTIFS('세부(구축)'!$B:$B,'일별현황(구)'!C32,'세부(구축)'!$H:$H,TODAY())</f>
        <v>0</v>
      </c>
      <c r="L32" s="102">
        <f>COUNTIFS('세부(구축)'!$B:$B,'일별현황(구)'!$C32,'세부(구축)'!$G:$G,"작성중")</f>
        <v>0</v>
      </c>
      <c r="M32" s="102">
        <f>COUNTIFS('세부(구축)'!$B:$B,'일별현황(구)'!$C32,'세부(구축)'!$G:$G,"완료")</f>
        <v>0</v>
      </c>
      <c r="N32" s="102">
        <f>COUNTIFS('세부(구축)'!$B:$B,'일별현황(구)'!$C32,'세부(구축)'!$G:$G,"취소")</f>
        <v>0</v>
      </c>
      <c r="O32" s="103">
        <f ca="1">COUNTIFS('세부(구축)'!$I:$I,$B$8,'세부(구축)'!$B:$B,$C32)</f>
        <v>0</v>
      </c>
      <c r="P32" s="102" t="e">
        <f>COUNTIFS([1]상세자료!$C$1:$C$3805,'일별현황(구)'!$C32,[1]상세자료!$K$1:$K$3805,"="&amp;$C$8)</f>
        <v>#VALUE!</v>
      </c>
      <c r="Q32" s="102" t="e">
        <f>COUNTIFS([1]상세자료!$C$1:$C$3805,'일별현황(구)'!$C32,[1]상세자료!$Q$1:$Q$3805,"="&amp;$C$8)</f>
        <v>#VALUE!</v>
      </c>
      <c r="R32" s="102" t="e">
        <f>COUNTIFS([1]상세자료!$C$1:$C$3805,'일별현황(구)'!$C32,[1]상세자료!$S$1:$S$3805,"="&amp;$C$8)</f>
        <v>#VALUE!</v>
      </c>
      <c r="S32" s="102" t="e">
        <f>COUNTIFS([1]상세자료!$C$1:$C$3805,'일별현황(구)'!$C32,[1]상세자료!$T$1:$T$3805,"="&amp;$C$8)</f>
        <v>#VALUE!</v>
      </c>
      <c r="T32" s="101" t="e">
        <f t="shared" si="0"/>
        <v>#VALUE!</v>
      </c>
      <c r="U32" s="101"/>
      <c r="V32" s="104" t="e">
        <f>COUNTIFS([1]상세자료!$C$4:$C$973,'일별현황(구)'!$C32,[1]상세자료!$H$4:$H$973,"미제출")</f>
        <v>#VALUE!</v>
      </c>
      <c r="W32" s="101">
        <f>COUNTIFS('세부(구축)'!$B:$B,'일별현황(구)'!$C32,'세부(구축)'!$G:$G,"반려")</f>
        <v>0</v>
      </c>
      <c r="X32" s="104"/>
      <c r="Y32" s="104"/>
      <c r="Z32" s="101">
        <f>COUNTIFS('세부(구축)'!$B:$B,'일별현황(구)'!$C32,'세부(구축)'!$J:$J,"발행")</f>
        <v>0</v>
      </c>
      <c r="AA32" s="113"/>
      <c r="AB32" s="114">
        <f t="shared" si="1"/>
        <v>0</v>
      </c>
      <c r="AC32" s="115"/>
      <c r="AD32" s="83"/>
      <c r="AE32" s="84"/>
      <c r="AF32" s="76">
        <f t="shared" ca="1" si="2"/>
        <v>0</v>
      </c>
    </row>
    <row r="33" spans="1:32" s="76" customFormat="1" ht="41.1" customHeight="1" x14ac:dyDescent="0.15">
      <c r="A33" s="359"/>
      <c r="B33" s="92">
        <v>23</v>
      </c>
      <c r="C33" s="94" t="s">
        <v>232</v>
      </c>
      <c r="D33" s="149"/>
      <c r="E33" s="149"/>
      <c r="F33" s="149">
        <v>0</v>
      </c>
      <c r="G33" s="149"/>
      <c r="H33" s="149">
        <v>0</v>
      </c>
      <c r="I33" s="102">
        <v>0</v>
      </c>
      <c r="J33" s="101">
        <f>COUNTIF('세부(구축)'!$B:$B,'일별현황(구)'!C33)</f>
        <v>0</v>
      </c>
      <c r="K33" s="101">
        <f ca="1">COUNTIFS('세부(구축)'!$B:$B,'일별현황(구)'!C33,'세부(구축)'!$H:$H,TODAY())</f>
        <v>0</v>
      </c>
      <c r="L33" s="102">
        <f>COUNTIFS('세부(구축)'!$B:$B,'일별현황(구)'!$C33,'세부(구축)'!$G:$G,"작성중")</f>
        <v>0</v>
      </c>
      <c r="M33" s="102">
        <f>COUNTIFS('세부(구축)'!$B:$B,'일별현황(구)'!$C33,'세부(구축)'!$G:$G,"완료")</f>
        <v>0</v>
      </c>
      <c r="N33" s="102">
        <f>COUNTIFS('세부(구축)'!$B:$B,'일별현황(구)'!$C33,'세부(구축)'!$G:$G,"취소")</f>
        <v>0</v>
      </c>
      <c r="O33" s="103">
        <f ca="1">COUNTIFS('세부(구축)'!$I:$I,$B$8,'세부(구축)'!$B:$B,$C33)</f>
        <v>0</v>
      </c>
      <c r="P33" s="102" t="e">
        <f>COUNTIFS([1]상세자료!$C$1:$C$3805,'일별현황(구)'!$C33,[1]상세자료!$K$1:$K$3805,"="&amp;$C$8)</f>
        <v>#VALUE!</v>
      </c>
      <c r="Q33" s="102" t="e">
        <f>COUNTIFS([1]상세자료!$C$1:$C$3805,'일별현황(구)'!$C33,[1]상세자료!$Q$1:$Q$3805,"="&amp;$C$8)</f>
        <v>#VALUE!</v>
      </c>
      <c r="R33" s="102" t="e">
        <f>COUNTIFS([1]상세자료!$C$1:$C$3805,'일별현황(구)'!$C33,[1]상세자료!$S$1:$S$3805,"="&amp;$C$8)</f>
        <v>#VALUE!</v>
      </c>
      <c r="S33" s="102" t="e">
        <f>COUNTIFS([1]상세자료!$C$1:$C$3805,'일별현황(구)'!$C33,[1]상세자료!$T$1:$T$3805,"="&amp;$C$8)</f>
        <v>#VALUE!</v>
      </c>
      <c r="T33" s="101" t="e">
        <f t="shared" si="0"/>
        <v>#VALUE!</v>
      </c>
      <c r="U33" s="101"/>
      <c r="V33" s="104" t="e">
        <f>COUNTIFS([1]상세자료!$C$4:$C$973,'일별현황(구)'!$C33,[1]상세자료!$H$4:$H$973,"미제출")</f>
        <v>#VALUE!</v>
      </c>
      <c r="W33" s="101">
        <f>COUNTIFS('세부(구축)'!$B:$B,'일별현황(구)'!$C33,'세부(구축)'!$G:$G,"반려")</f>
        <v>0</v>
      </c>
      <c r="X33" s="104"/>
      <c r="Y33" s="104"/>
      <c r="Z33" s="101">
        <f>COUNTIFS('세부(구축)'!$B:$B,'일별현황(구)'!$C33,'세부(구축)'!$J:$J,"발행")</f>
        <v>0</v>
      </c>
      <c r="AA33" s="113"/>
      <c r="AB33" s="114">
        <f t="shared" si="1"/>
        <v>0</v>
      </c>
      <c r="AC33" s="115"/>
      <c r="AD33" s="83"/>
      <c r="AE33" s="84"/>
      <c r="AF33" s="76">
        <f t="shared" ca="1" si="2"/>
        <v>0</v>
      </c>
    </row>
    <row r="34" spans="1:32" s="77" customFormat="1" ht="41.1" customHeight="1" x14ac:dyDescent="0.15">
      <c r="A34" s="359"/>
      <c r="B34" s="92">
        <v>24</v>
      </c>
      <c r="C34" s="95" t="s">
        <v>233</v>
      </c>
      <c r="D34" s="150">
        <v>24</v>
      </c>
      <c r="E34" s="150">
        <v>8</v>
      </c>
      <c r="F34" s="149">
        <v>40</v>
      </c>
      <c r="G34" s="149">
        <v>40</v>
      </c>
      <c r="H34" s="150">
        <v>12</v>
      </c>
      <c r="I34" s="105">
        <v>0</v>
      </c>
      <c r="J34" s="101">
        <f>COUNTIF('세부(구축)'!$B:$B,'일별현황(구)'!C34)</f>
        <v>13</v>
      </c>
      <c r="K34" s="101">
        <f ca="1">COUNTIFS('세부(구축)'!$B:$B,'일별현황(구)'!C34,'세부(구축)'!$H:$H,TODAY())</f>
        <v>0</v>
      </c>
      <c r="L34" s="105">
        <f>COUNTIFS('세부(구축)'!$B:$B,'일별현황(구)'!$C34,'세부(구축)'!$G:$G,"작성중")</f>
        <v>0</v>
      </c>
      <c r="M34" s="105">
        <f>COUNTIFS('세부(구축)'!$B:$B,'일별현황(구)'!$C34,'세부(구축)'!$G:$G,"완료")</f>
        <v>0</v>
      </c>
      <c r="N34" s="105">
        <f>COUNTIFS('세부(구축)'!$B:$B,'일별현황(구)'!$C34,'세부(구축)'!$G:$G,"취소")</f>
        <v>0</v>
      </c>
      <c r="O34" s="106">
        <f ca="1">COUNTIFS('세부(구축)'!$I:$I,$B$8,'세부(구축)'!$B:$B,$C34)</f>
        <v>0</v>
      </c>
      <c r="P34" s="105" t="e">
        <f>COUNTIFS([1]상세자료!$C$1:$C$3805,'일별현황(구)'!$C34,[1]상세자료!$K$1:$K$3805,"="&amp;$C$8)</f>
        <v>#VALUE!</v>
      </c>
      <c r="Q34" s="105" t="e">
        <f>COUNTIFS([1]상세자료!$C$1:$C$3805,'일별현황(구)'!$C34,[1]상세자료!$Q$1:$Q$3805,"="&amp;$C$8)</f>
        <v>#VALUE!</v>
      </c>
      <c r="R34" s="105" t="e">
        <f>COUNTIFS([1]상세자료!$C$1:$C$3805,'일별현황(구)'!$C34,[1]상세자료!$S$1:$S$3805,"="&amp;$C$8)</f>
        <v>#VALUE!</v>
      </c>
      <c r="S34" s="105" t="e">
        <f>COUNTIFS([1]상세자료!$C$1:$C$3805,'일별현황(구)'!$C34,[1]상세자료!$T$1:$T$3805,"="&amp;$C$8)</f>
        <v>#VALUE!</v>
      </c>
      <c r="T34" s="105" t="e">
        <f t="shared" si="0"/>
        <v>#VALUE!</v>
      </c>
      <c r="U34" s="105"/>
      <c r="V34" s="105" t="e">
        <f>COUNTIFS([1]상세자료!$C$4:$C$973,'일별현황(구)'!$C34,[1]상세자료!$H$4:$H$973,"미제출")</f>
        <v>#VALUE!</v>
      </c>
      <c r="W34" s="101">
        <f>COUNTIFS('세부(구축)'!$B:$B,'일별현황(구)'!$C34,'세부(구축)'!$G:$G,"반려")</f>
        <v>0</v>
      </c>
      <c r="X34" s="105"/>
      <c r="Y34" s="105"/>
      <c r="Z34" s="101">
        <f>COUNTIFS('세부(구축)'!$B:$B,'일별현황(구)'!$C34,'세부(구축)'!$J:$J,"발행")</f>
        <v>0</v>
      </c>
      <c r="AA34" s="113"/>
      <c r="AB34" s="114">
        <f t="shared" si="1"/>
        <v>13</v>
      </c>
      <c r="AC34" s="115"/>
      <c r="AD34" s="83"/>
      <c r="AE34" s="87"/>
      <c r="AF34" s="76">
        <f t="shared" ca="1" si="2"/>
        <v>0</v>
      </c>
    </row>
    <row r="35" spans="1:32" s="76" customFormat="1" ht="41.1" customHeight="1" x14ac:dyDescent="0.15">
      <c r="A35" s="359"/>
      <c r="B35" s="92">
        <v>25</v>
      </c>
      <c r="C35" s="94" t="s">
        <v>234</v>
      </c>
      <c r="D35" s="149"/>
      <c r="E35" s="149">
        <v>58</v>
      </c>
      <c r="F35" s="149">
        <v>0</v>
      </c>
      <c r="G35" s="149"/>
      <c r="H35" s="149">
        <v>0</v>
      </c>
      <c r="I35" s="102">
        <v>0</v>
      </c>
      <c r="J35" s="101">
        <f>COUNTIF('세부(구축)'!$B:$B,'일별현황(구)'!C35)</f>
        <v>0</v>
      </c>
      <c r="K35" s="101">
        <f ca="1">COUNTIFS('세부(구축)'!$B:$B,'일별현황(구)'!C35,'세부(구축)'!$H:$H,TODAY())</f>
        <v>0</v>
      </c>
      <c r="L35" s="102">
        <f>COUNTIFS('세부(구축)'!$B:$B,'일별현황(구)'!$C35,'세부(구축)'!$G:$G,"작성중")</f>
        <v>0</v>
      </c>
      <c r="M35" s="102">
        <f>COUNTIFS('세부(구축)'!$B:$B,'일별현황(구)'!$C35,'세부(구축)'!$G:$G,"완료")</f>
        <v>0</v>
      </c>
      <c r="N35" s="102">
        <f>COUNTIFS('세부(구축)'!$B:$B,'일별현황(구)'!$C35,'세부(구축)'!$G:$G,"취소")</f>
        <v>0</v>
      </c>
      <c r="O35" s="103">
        <f ca="1">COUNTIFS('세부(구축)'!$I:$I,$B$8,'세부(구축)'!$B:$B,$C35)</f>
        <v>0</v>
      </c>
      <c r="P35" s="102" t="e">
        <f>COUNTIFS([1]상세자료!$C$1:$C$3805,'일별현황(구)'!$C35,[1]상세자료!$K$1:$K$3805,"="&amp;$C$8)</f>
        <v>#VALUE!</v>
      </c>
      <c r="Q35" s="102" t="e">
        <f>COUNTIFS([1]상세자료!$C$1:$C$3805,'일별현황(구)'!$C35,[1]상세자료!$Q$1:$Q$3805,"="&amp;$C$8)</f>
        <v>#VALUE!</v>
      </c>
      <c r="R35" s="102" t="e">
        <f>COUNTIFS([1]상세자료!$C$1:$C$3805,'일별현황(구)'!$C35,[1]상세자료!$S$1:$S$3805,"="&amp;$C$8)</f>
        <v>#VALUE!</v>
      </c>
      <c r="S35" s="102" t="e">
        <f>COUNTIFS([1]상세자료!$C$1:$C$3805,'일별현황(구)'!$C35,[1]상세자료!$T$1:$T$3805,"="&amp;$C$8)</f>
        <v>#VALUE!</v>
      </c>
      <c r="T35" s="101" t="e">
        <f t="shared" si="0"/>
        <v>#VALUE!</v>
      </c>
      <c r="U35" s="101"/>
      <c r="V35" s="104" t="e">
        <f>COUNTIFS([1]상세자료!$C$4:$C$973,'일별현황(구)'!$C35,[1]상세자료!$H$4:$H$973,"미제출")</f>
        <v>#VALUE!</v>
      </c>
      <c r="W35" s="101">
        <f>COUNTIFS('세부(구축)'!$B:$B,'일별현황(구)'!$C35,'세부(구축)'!$G:$G,"반려")</f>
        <v>0</v>
      </c>
      <c r="X35" s="104"/>
      <c r="Y35" s="104"/>
      <c r="Z35" s="101">
        <f>COUNTIFS('세부(구축)'!$B:$B,'일별현황(구)'!$C35,'세부(구축)'!$J:$J,"발행")</f>
        <v>0</v>
      </c>
      <c r="AA35" s="113"/>
      <c r="AB35" s="114">
        <f t="shared" si="1"/>
        <v>0</v>
      </c>
      <c r="AC35" s="115"/>
      <c r="AD35" s="83"/>
      <c r="AE35" s="84"/>
      <c r="AF35" s="76">
        <f t="shared" ca="1" si="2"/>
        <v>0</v>
      </c>
    </row>
    <row r="36" spans="1:32" s="76" customFormat="1" ht="41.1" customHeight="1" x14ac:dyDescent="0.15">
      <c r="A36" s="359"/>
      <c r="B36" s="92">
        <v>26</v>
      </c>
      <c r="C36" s="94" t="s">
        <v>235</v>
      </c>
      <c r="D36" s="149">
        <v>10</v>
      </c>
      <c r="E36" s="149">
        <v>2</v>
      </c>
      <c r="F36" s="149">
        <v>17</v>
      </c>
      <c r="G36" s="149">
        <v>17</v>
      </c>
      <c r="H36" s="149">
        <v>0</v>
      </c>
      <c r="I36" s="102">
        <v>0</v>
      </c>
      <c r="J36" s="101">
        <f>COUNTIF('세부(구축)'!$B:$B,'일별현황(구)'!C36)</f>
        <v>0</v>
      </c>
      <c r="K36" s="101"/>
      <c r="L36" s="102"/>
      <c r="M36" s="102">
        <f>COUNTIFS('세부(구축)'!$B:$B,'일별현황(구)'!$C36,'세부(구축)'!$G:$G,"완료")</f>
        <v>0</v>
      </c>
      <c r="N36" s="102">
        <f>COUNTIFS('세부(구축)'!$B:$B,'일별현황(구)'!$C36,'세부(구축)'!$G:$G,"취소")</f>
        <v>0</v>
      </c>
      <c r="O36" s="103"/>
      <c r="P36" s="102" t="e">
        <f>COUNTIFS([1]상세자료!$C$1:$C$3805,'일별현황(구)'!$C36,[1]상세자료!$K$1:$K$3805,"="&amp;$C$8)</f>
        <v>#VALUE!</v>
      </c>
      <c r="Q36" s="102" t="e">
        <f>COUNTIFS([1]상세자료!$C$1:$C$3805,'일별현황(구)'!$C36,[1]상세자료!$Q$1:$Q$3805,"="&amp;$C$8)</f>
        <v>#VALUE!</v>
      </c>
      <c r="R36" s="102" t="e">
        <f>COUNTIFS([1]상세자료!$C$1:$C$3805,'일별현황(구)'!$C36,[1]상세자료!$S$1:$S$3805,"="&amp;$C$8)</f>
        <v>#VALUE!</v>
      </c>
      <c r="S36" s="102" t="e">
        <f>COUNTIFS([1]상세자료!$C$1:$C$3805,'일별현황(구)'!$C36,[1]상세자료!$T$1:$T$3805,"="&amp;$C$8)</f>
        <v>#VALUE!</v>
      </c>
      <c r="T36" s="101" t="e">
        <f t="shared" si="0"/>
        <v>#VALUE!</v>
      </c>
      <c r="U36" s="101"/>
      <c r="V36" s="104" t="e">
        <f>COUNTIFS([1]상세자료!$C$4:$C$973,'일별현황(구)'!$C36,[1]상세자료!$H$4:$H$973,"미제출")</f>
        <v>#VALUE!</v>
      </c>
      <c r="W36" s="101">
        <f>COUNTIFS('세부(구축)'!$B:$B,'일별현황(구)'!$C36,'세부(구축)'!$G:$G,"반려")</f>
        <v>0</v>
      </c>
      <c r="X36" s="104"/>
      <c r="Y36" s="104"/>
      <c r="Z36" s="101">
        <f>COUNTIFS('세부(구축)'!$B:$B,'일별현황(구)'!$C36,'세부(구축)'!$J:$J,"발행")</f>
        <v>0</v>
      </c>
      <c r="AA36" s="113"/>
      <c r="AB36" s="114">
        <f t="shared" si="1"/>
        <v>0</v>
      </c>
      <c r="AC36" s="115"/>
      <c r="AD36" s="83"/>
      <c r="AE36" s="84"/>
      <c r="AF36" s="76">
        <f t="shared" si="2"/>
        <v>0</v>
      </c>
    </row>
    <row r="37" spans="1:32" s="76" customFormat="1" ht="41.1" customHeight="1" x14ac:dyDescent="0.15">
      <c r="A37" s="359"/>
      <c r="B37" s="92">
        <v>27</v>
      </c>
      <c r="C37" s="94" t="s">
        <v>236</v>
      </c>
      <c r="D37" s="149">
        <v>87</v>
      </c>
      <c r="E37" s="149">
        <v>62</v>
      </c>
      <c r="F37" s="149">
        <v>45</v>
      </c>
      <c r="G37" s="149">
        <v>45</v>
      </c>
      <c r="H37" s="149">
        <v>29</v>
      </c>
      <c r="I37" s="102">
        <v>0</v>
      </c>
      <c r="J37" s="101">
        <f>COUNTIF('세부(구축)'!$B:$B,'일별현황(구)'!C37)</f>
        <v>0</v>
      </c>
      <c r="K37" s="101">
        <f ca="1">COUNTIFS('세부(구축)'!$B:$B,'일별현황(구)'!C37,'세부(구축)'!$H:$H,TODAY())</f>
        <v>0</v>
      </c>
      <c r="L37" s="102">
        <f>COUNTIFS('세부(구축)'!$B:$B,'일별현황(구)'!$C37,'세부(구축)'!$G:$G,"작성중")</f>
        <v>0</v>
      </c>
      <c r="M37" s="102">
        <f>COUNTIFS('세부(구축)'!$B:$B,'일별현황(구)'!$C37,'세부(구축)'!$G:$G,"완료")</f>
        <v>0</v>
      </c>
      <c r="N37" s="102">
        <f>COUNTIFS('세부(구축)'!$B:$B,'일별현황(구)'!$C37,'세부(구축)'!$G:$G,"취소")</f>
        <v>0</v>
      </c>
      <c r="O37" s="103"/>
      <c r="P37" s="102" t="e">
        <f>COUNTIFS([1]상세자료!$C$1:$C$3805,'일별현황(구)'!$C37,[1]상세자료!$K$1:$K$3805,"="&amp;$C$8)</f>
        <v>#VALUE!</v>
      </c>
      <c r="Q37" s="102" t="e">
        <f>COUNTIFS([1]상세자료!$C$1:$C$3805,'일별현황(구)'!$C37,[1]상세자료!$Q$1:$Q$3805,"="&amp;$C$8)</f>
        <v>#VALUE!</v>
      </c>
      <c r="R37" s="102" t="e">
        <f>COUNTIFS([1]상세자료!$C$1:$C$3805,'일별현황(구)'!$C37,[1]상세자료!$S$1:$S$3805,"="&amp;$C$8)</f>
        <v>#VALUE!</v>
      </c>
      <c r="S37" s="102" t="e">
        <f>COUNTIFS([1]상세자료!$C$1:$C$3805,'일별현황(구)'!$C37,[1]상세자료!$T$1:$T$3805,"="&amp;$C$8)</f>
        <v>#VALUE!</v>
      </c>
      <c r="T37" s="101" t="e">
        <f t="shared" si="0"/>
        <v>#VALUE!</v>
      </c>
      <c r="U37" s="101"/>
      <c r="V37" s="104" t="e">
        <f>COUNTIFS([1]상세자료!$C$4:$C$973,'일별현황(구)'!$C37,[1]상세자료!$H$4:$H$973,"미제출")</f>
        <v>#VALUE!</v>
      </c>
      <c r="W37" s="101">
        <f>COUNTIFS('세부(구축)'!$B:$B,'일별현황(구)'!$C37,'세부(구축)'!$G:$G,"반려")</f>
        <v>0</v>
      </c>
      <c r="X37" s="104"/>
      <c r="Y37" s="104"/>
      <c r="Z37" s="101">
        <f>COUNTIFS('세부(구축)'!$B:$B,'일별현황(구)'!$C37,'세부(구축)'!$J:$J,"발행")</f>
        <v>0</v>
      </c>
      <c r="AA37" s="113"/>
      <c r="AB37" s="114">
        <f t="shared" si="1"/>
        <v>0</v>
      </c>
      <c r="AC37" s="115"/>
      <c r="AD37" s="83"/>
      <c r="AE37" s="84"/>
      <c r="AF37" s="76">
        <f t="shared" ca="1" si="2"/>
        <v>0</v>
      </c>
    </row>
    <row r="38" spans="1:32" s="76" customFormat="1" ht="41.1" customHeight="1" x14ac:dyDescent="0.15">
      <c r="A38" s="359"/>
      <c r="B38" s="92">
        <v>28</v>
      </c>
      <c r="C38" s="94" t="s">
        <v>237</v>
      </c>
      <c r="D38" s="149"/>
      <c r="E38" s="149"/>
      <c r="F38" s="149">
        <v>0</v>
      </c>
      <c r="G38" s="149"/>
      <c r="H38" s="149">
        <v>0</v>
      </c>
      <c r="I38" s="102">
        <v>0</v>
      </c>
      <c r="J38" s="101">
        <f>COUNTIF('세부(구축)'!$B:$B,'일별현황(구)'!C38)</f>
        <v>0</v>
      </c>
      <c r="K38" s="101">
        <f ca="1">COUNTIFS('세부(구축)'!$B:$B,'일별현황(구)'!C38,'세부(구축)'!$H:$H,TODAY())</f>
        <v>0</v>
      </c>
      <c r="L38" s="102">
        <f>COUNTIFS('세부(구축)'!$B:$B,'일별현황(구)'!$C38,'세부(구축)'!$G:$G,"작성중")</f>
        <v>0</v>
      </c>
      <c r="M38" s="102">
        <f>COUNTIFS('세부(구축)'!$B:$B,'일별현황(구)'!$C38,'세부(구축)'!$G:$G,"완료")</f>
        <v>0</v>
      </c>
      <c r="N38" s="102">
        <f>COUNTIFS('세부(구축)'!$B:$B,'일별현황(구)'!$C38,'세부(구축)'!$G:$G,"취소")</f>
        <v>0</v>
      </c>
      <c r="O38" s="103">
        <f ca="1">COUNTIFS('세부(구축)'!$I:$I,$B$8,'세부(구축)'!$B:$B,$C38)</f>
        <v>0</v>
      </c>
      <c r="P38" s="102" t="e">
        <f>COUNTIFS([1]상세자료!$C$1:$C$3805,'일별현황(구)'!$C38,[1]상세자료!$K$1:$K$3805,"="&amp;$C$8)</f>
        <v>#VALUE!</v>
      </c>
      <c r="Q38" s="102" t="e">
        <f>COUNTIFS([1]상세자료!$C$1:$C$3805,'일별현황(구)'!$C38,[1]상세자료!$Q$1:$Q$3805,"="&amp;$C$8)</f>
        <v>#VALUE!</v>
      </c>
      <c r="R38" s="102" t="e">
        <f>COUNTIFS([1]상세자료!$C$1:$C$3805,'일별현황(구)'!$C38,[1]상세자료!$S$1:$S$3805,"="&amp;$C$8)</f>
        <v>#VALUE!</v>
      </c>
      <c r="S38" s="102" t="e">
        <f>COUNTIFS([1]상세자료!$C$1:$C$3805,'일별현황(구)'!$C38,[1]상세자료!$T$1:$T$3805,"="&amp;$C$8)</f>
        <v>#VALUE!</v>
      </c>
      <c r="T38" s="101" t="e">
        <f t="shared" si="0"/>
        <v>#VALUE!</v>
      </c>
      <c r="U38" s="101"/>
      <c r="V38" s="104" t="e">
        <f>COUNTIFS([1]상세자료!$C$4:$C$973,'일별현황(구)'!$C38,[1]상세자료!$H$4:$H$973,"미제출")</f>
        <v>#VALUE!</v>
      </c>
      <c r="W38" s="101">
        <f>COUNTIFS('세부(구축)'!$B:$B,'일별현황(구)'!$C38,'세부(구축)'!$G:$G,"반려")</f>
        <v>0</v>
      </c>
      <c r="X38" s="104"/>
      <c r="Y38" s="104"/>
      <c r="Z38" s="101">
        <f>COUNTIFS('세부(구축)'!$B:$B,'일별현황(구)'!$C38,'세부(구축)'!$J:$J,"발행")</f>
        <v>0</v>
      </c>
      <c r="AA38" s="113"/>
      <c r="AB38" s="114">
        <f t="shared" si="1"/>
        <v>0</v>
      </c>
      <c r="AC38" s="115"/>
      <c r="AD38" s="83"/>
      <c r="AE38" s="84"/>
      <c r="AF38" s="76">
        <f t="shared" ca="1" si="2"/>
        <v>0</v>
      </c>
    </row>
    <row r="39" spans="1:32" s="76" customFormat="1" ht="41.1" customHeight="1" x14ac:dyDescent="0.15">
      <c r="A39" s="359"/>
      <c r="B39" s="92">
        <v>29</v>
      </c>
      <c r="C39" s="94" t="s">
        <v>238</v>
      </c>
      <c r="D39" s="149"/>
      <c r="E39" s="149">
        <v>23</v>
      </c>
      <c r="F39" s="149">
        <v>34</v>
      </c>
      <c r="G39" s="149">
        <v>33</v>
      </c>
      <c r="H39" s="149">
        <v>16</v>
      </c>
      <c r="I39" s="102">
        <v>0</v>
      </c>
      <c r="J39" s="101">
        <f>COUNTIF('세부(구축)'!$B:$B,'일별현황(구)'!C39)</f>
        <v>0</v>
      </c>
      <c r="K39" s="101">
        <f ca="1">COUNTIFS('세부(구축)'!$B:$B,'일별현황(구)'!C39,'세부(구축)'!$H:$H,TODAY())</f>
        <v>0</v>
      </c>
      <c r="L39" s="102">
        <f>COUNTIFS('세부(구축)'!$B:$B,'일별현황(구)'!$C39,'세부(구축)'!$G:$G,"작성중")</f>
        <v>0</v>
      </c>
      <c r="M39" s="102">
        <f>COUNTIFS('세부(구축)'!$B:$B,'일별현황(구)'!$C39,'세부(구축)'!$G:$G,"완료")</f>
        <v>0</v>
      </c>
      <c r="N39" s="102">
        <f>COUNTIFS('세부(구축)'!$B:$B,'일별현황(구)'!$C39,'세부(구축)'!$G:$G,"취소")</f>
        <v>0</v>
      </c>
      <c r="O39" s="103">
        <f ca="1">COUNTIFS('세부(구축)'!$I:$I,$B$8,'세부(구축)'!$B:$B,$C39)</f>
        <v>0</v>
      </c>
      <c r="P39" s="102"/>
      <c r="Q39" s="102"/>
      <c r="R39" s="102"/>
      <c r="S39" s="102"/>
      <c r="T39" s="101"/>
      <c r="U39" s="101"/>
      <c r="V39" s="104" t="e">
        <f>COUNTIFS([1]상세자료!$C$4:$C$973,'일별현황(구)'!$C39,[1]상세자료!$H$4:$H$973,"미제출")</f>
        <v>#VALUE!</v>
      </c>
      <c r="W39" s="101">
        <f>COUNTIFS('세부(구축)'!$B:$B,'일별현황(구)'!$C39,'세부(구축)'!$G:$G,"반려")</f>
        <v>0</v>
      </c>
      <c r="X39" s="104">
        <v>16</v>
      </c>
      <c r="Y39" s="107" t="s">
        <v>239</v>
      </c>
      <c r="Z39" s="101">
        <f>COUNTIFS('세부(구축)'!$B:$B,'일별현황(구)'!$C39,'세부(구축)'!$J:$J,"발행")</f>
        <v>0</v>
      </c>
      <c r="AA39" s="113"/>
      <c r="AB39" s="114">
        <f t="shared" si="1"/>
        <v>0</v>
      </c>
      <c r="AC39" s="115"/>
      <c r="AD39" s="83"/>
      <c r="AE39" s="84"/>
      <c r="AF39" s="76">
        <f t="shared" ca="1" si="2"/>
        <v>0</v>
      </c>
    </row>
    <row r="40" spans="1:32" s="76" customFormat="1" ht="41.1" customHeight="1" x14ac:dyDescent="0.15">
      <c r="A40" s="359"/>
      <c r="B40" s="92">
        <v>30</v>
      </c>
      <c r="C40" s="94" t="s">
        <v>240</v>
      </c>
      <c r="D40" s="149">
        <v>104</v>
      </c>
      <c r="E40" s="149">
        <v>11</v>
      </c>
      <c r="F40" s="149">
        <v>0</v>
      </c>
      <c r="G40" s="149"/>
      <c r="H40" s="149">
        <v>0</v>
      </c>
      <c r="I40" s="102">
        <v>0</v>
      </c>
      <c r="J40" s="101">
        <f>COUNTIF('세부(구축)'!$B:$B,'일별현황(구)'!C40)</f>
        <v>0</v>
      </c>
      <c r="K40" s="101">
        <f ca="1">COUNTIFS('세부(구축)'!$B:$B,'일별현황(구)'!C40,'세부(구축)'!$H:$H,TODAY())</f>
        <v>0</v>
      </c>
      <c r="L40" s="102">
        <f>COUNTIFS('세부(구축)'!$B:$B,'일별현황(구)'!$C40,'세부(구축)'!$G:$G,"작성중")</f>
        <v>0</v>
      </c>
      <c r="M40" s="102">
        <f>COUNTIFS('세부(구축)'!$B:$B,'일별현황(구)'!$C40,'세부(구축)'!$G:$G,"완료")</f>
        <v>0</v>
      </c>
      <c r="N40" s="102">
        <f>COUNTIFS('세부(구축)'!$B:$B,'일별현황(구)'!$C40,'세부(구축)'!$G:$G,"취소")</f>
        <v>0</v>
      </c>
      <c r="O40" s="103">
        <f ca="1">COUNTIFS('세부(구축)'!$I:$I,$B$8,'세부(구축)'!$B:$B,$C40)</f>
        <v>0</v>
      </c>
      <c r="P40" s="102" t="e">
        <f>COUNTIFS([1]상세자료!$C$1:$C$3805,'일별현황(구)'!$C40,[1]상세자료!$K$1:$K$3805,"="&amp;$C$8)</f>
        <v>#VALUE!</v>
      </c>
      <c r="Q40" s="102" t="e">
        <f>COUNTIFS([1]상세자료!$C$1:$C$3805,'일별현황(구)'!$C40,[1]상세자료!$Q$1:$Q$3805,"="&amp;$C$8)</f>
        <v>#VALUE!</v>
      </c>
      <c r="R40" s="102" t="e">
        <f>COUNTIFS([1]상세자료!$C$1:$C$3805,'일별현황(구)'!$C40,[1]상세자료!$S$1:$S$3805,"="&amp;$C$8)</f>
        <v>#VALUE!</v>
      </c>
      <c r="S40" s="102" t="e">
        <f>COUNTIFS([1]상세자료!$C$1:$C$3805,'일별현황(구)'!$C40,[1]상세자료!$T$1:$T$3805,"="&amp;$C$8)</f>
        <v>#VALUE!</v>
      </c>
      <c r="T40" s="101" t="e">
        <f t="shared" ref="T40:T45" si="3">M40+S40</f>
        <v>#VALUE!</v>
      </c>
      <c r="U40" s="101"/>
      <c r="V40" s="104" t="e">
        <f>COUNTIFS([1]상세자료!$C$4:$C$973,'일별현황(구)'!$C40,[1]상세자료!$H$4:$H$973,"미제출")</f>
        <v>#VALUE!</v>
      </c>
      <c r="W40" s="101">
        <f>COUNTIFS('세부(구축)'!$B:$B,'일별현황(구)'!$C40,'세부(구축)'!$G:$G,"반려")</f>
        <v>0</v>
      </c>
      <c r="X40" s="104"/>
      <c r="Y40" s="104"/>
      <c r="Z40" s="101">
        <f>COUNTIFS('세부(구축)'!$B:$B,'일별현황(구)'!$C40,'세부(구축)'!$J:$J,"발행")</f>
        <v>0</v>
      </c>
      <c r="AA40" s="113"/>
      <c r="AB40" s="114">
        <f t="shared" si="1"/>
        <v>0</v>
      </c>
      <c r="AC40" s="115"/>
      <c r="AD40" s="83"/>
      <c r="AE40" s="84"/>
      <c r="AF40" s="76">
        <f t="shared" ca="1" si="2"/>
        <v>0</v>
      </c>
    </row>
    <row r="41" spans="1:32" s="76" customFormat="1" ht="41.1" customHeight="1" x14ac:dyDescent="0.15">
      <c r="A41" s="359"/>
      <c r="B41" s="92">
        <v>31</v>
      </c>
      <c r="C41" s="94" t="s">
        <v>312</v>
      </c>
      <c r="D41" s="149"/>
      <c r="E41" s="149">
        <v>6</v>
      </c>
      <c r="F41" s="149">
        <v>51</v>
      </c>
      <c r="G41" s="149">
        <v>45</v>
      </c>
      <c r="H41" s="149">
        <v>18</v>
      </c>
      <c r="I41" s="102">
        <v>0</v>
      </c>
      <c r="J41" s="101">
        <f>COUNTIF('세부(구축)'!$B:$B,'일별현황(구)'!C41)</f>
        <v>0</v>
      </c>
      <c r="K41" s="101">
        <f ca="1">COUNTIFS('세부(구축)'!$B:$B,'일별현황(구)'!C41,'세부(구축)'!$H:$H,TODAY())</f>
        <v>0</v>
      </c>
      <c r="L41" s="102">
        <f>COUNTIFS('세부(구축)'!$B:$B,'일별현황(구)'!$C41,'세부(구축)'!$G:$G,"작성중")</f>
        <v>0</v>
      </c>
      <c r="M41" s="102">
        <f>COUNTIFS('세부(구축)'!$B:$B,'일별현황(구)'!$C41,'세부(구축)'!$G:$G,"완료")</f>
        <v>0</v>
      </c>
      <c r="N41" s="102">
        <f>COUNTIFS('세부(구축)'!$B:$B,'일별현황(구)'!$C41,'세부(구축)'!$G:$G,"취소")</f>
        <v>0</v>
      </c>
      <c r="O41" s="103">
        <f ca="1">COUNTIFS('세부(구축)'!$I:$I,$B$8,'세부(구축)'!$B:$B,$C41)</f>
        <v>0</v>
      </c>
      <c r="P41" s="102" t="e">
        <f>COUNTIFS([1]상세자료!$C$1:$C$3805,'일별현황(구)'!$C41,[1]상세자료!$K$1:$K$3805,"="&amp;$C$8)</f>
        <v>#VALUE!</v>
      </c>
      <c r="Q41" s="102" t="e">
        <f>COUNTIFS([1]상세자료!$C$1:$C$3805,'일별현황(구)'!$C41,[1]상세자료!$Q$1:$Q$3805,"="&amp;$C$8)</f>
        <v>#VALUE!</v>
      </c>
      <c r="R41" s="102" t="e">
        <f>COUNTIFS([1]상세자료!$C$1:$C$3805,'일별현황(구)'!$C41,[1]상세자료!$S$1:$S$3805,"="&amp;$C$8)</f>
        <v>#VALUE!</v>
      </c>
      <c r="S41" s="102" t="e">
        <f>COUNTIFS([1]상세자료!$C$1:$C$3805,'일별현황(구)'!$C41,[1]상세자료!$T$1:$T$3805,"="&amp;$C$8)</f>
        <v>#VALUE!</v>
      </c>
      <c r="T41" s="101" t="e">
        <f t="shared" si="3"/>
        <v>#VALUE!</v>
      </c>
      <c r="U41" s="101"/>
      <c r="V41" s="104" t="e">
        <f>COUNTIFS([1]상세자료!$C$4:$C$973,'일별현황(구)'!$C41,[1]상세자료!$H$4:$H$973,"미제출")</f>
        <v>#VALUE!</v>
      </c>
      <c r="W41" s="101">
        <f>COUNTIFS('세부(구축)'!$B:$B,'일별현황(구)'!$C41,'세부(구축)'!$G:$G,"반려")</f>
        <v>0</v>
      </c>
      <c r="X41" s="104">
        <v>18</v>
      </c>
      <c r="Y41" s="104" t="s">
        <v>241</v>
      </c>
      <c r="Z41" s="101">
        <f>COUNTIFS('세부(구축)'!$B:$B,'일별현황(구)'!$C41,'세부(구축)'!$J:$J,"발행")</f>
        <v>0</v>
      </c>
      <c r="AA41" s="119"/>
      <c r="AB41" s="114">
        <f t="shared" si="1"/>
        <v>0</v>
      </c>
      <c r="AC41" s="115"/>
      <c r="AD41" s="83"/>
      <c r="AE41" s="84"/>
      <c r="AF41" s="76">
        <f t="shared" ca="1" si="2"/>
        <v>0</v>
      </c>
    </row>
    <row r="42" spans="1:32" s="76" customFormat="1" ht="41.1" customHeight="1" x14ac:dyDescent="0.15">
      <c r="A42" s="359"/>
      <c r="B42" s="92">
        <v>32</v>
      </c>
      <c r="C42" s="94" t="s">
        <v>242</v>
      </c>
      <c r="D42" s="149">
        <v>13</v>
      </c>
      <c r="E42" s="149"/>
      <c r="F42" s="149">
        <v>0</v>
      </c>
      <c r="G42" s="149"/>
      <c r="H42" s="149">
        <v>0</v>
      </c>
      <c r="I42" s="102">
        <v>0</v>
      </c>
      <c r="J42" s="101">
        <f>COUNTIF('세부(구축)'!$B:$B,'일별현황(구)'!C42)</f>
        <v>0</v>
      </c>
      <c r="K42" s="101">
        <f ca="1">COUNTIFS('세부(구축)'!$B:$B,'일별현황(구)'!C42,'세부(구축)'!$H:$H,TODAY())</f>
        <v>0</v>
      </c>
      <c r="L42" s="102">
        <f>COUNTIFS('세부(구축)'!$B:$B,'일별현황(구)'!$C42,'세부(구축)'!$G:$G,"작성중")</f>
        <v>0</v>
      </c>
      <c r="M42" s="102">
        <f>COUNTIFS('세부(구축)'!$B:$B,'일별현황(구)'!$C42,'세부(구축)'!$G:$G,"완료")</f>
        <v>0</v>
      </c>
      <c r="N42" s="102">
        <f>COUNTIFS('세부(구축)'!$B:$B,'일별현황(구)'!$C42,'세부(구축)'!$G:$G,"취소")</f>
        <v>0</v>
      </c>
      <c r="O42" s="103">
        <f ca="1">COUNTIFS('세부(구축)'!$I:$I,$B$8,'세부(구축)'!$B:$B,$C42)</f>
        <v>0</v>
      </c>
      <c r="P42" s="102" t="e">
        <f>COUNTIFS([1]상세자료!$C$1:$C$3805,'일별현황(구)'!$C42,[1]상세자료!$K$1:$K$3805,"="&amp;$C$8)</f>
        <v>#VALUE!</v>
      </c>
      <c r="Q42" s="102" t="e">
        <f>COUNTIFS([1]상세자료!$C$1:$C$3805,'일별현황(구)'!$C42,[1]상세자료!$Q$1:$Q$3805,"="&amp;$C$8)</f>
        <v>#VALUE!</v>
      </c>
      <c r="R42" s="102" t="e">
        <f>COUNTIFS([1]상세자료!$C$1:$C$3805,'일별현황(구)'!$C42,[1]상세자료!$S$1:$S$3805,"="&amp;$C$8)</f>
        <v>#VALUE!</v>
      </c>
      <c r="S42" s="102" t="e">
        <f>COUNTIFS([1]상세자료!$C$1:$C$3805,'일별현황(구)'!$C42,[1]상세자료!$T$1:$T$3805,"="&amp;$C$8)</f>
        <v>#VALUE!</v>
      </c>
      <c r="T42" s="101" t="e">
        <f t="shared" si="3"/>
        <v>#VALUE!</v>
      </c>
      <c r="U42" s="101"/>
      <c r="V42" s="104" t="e">
        <f>COUNTIFS([1]상세자료!$C$4:$C$973,'일별현황(구)'!$C42,[1]상세자료!$H$4:$H$973,"미제출")</f>
        <v>#VALUE!</v>
      </c>
      <c r="W42" s="101">
        <f>COUNTIFS('세부(구축)'!$B:$B,'일별현황(구)'!$C42,'세부(구축)'!$G:$G,"반려")</f>
        <v>0</v>
      </c>
      <c r="X42" s="104"/>
      <c r="Y42" s="104"/>
      <c r="Z42" s="101">
        <f>COUNTIFS('세부(구축)'!$B:$B,'일별현황(구)'!$C42,'세부(구축)'!$J:$J,"발행")</f>
        <v>0</v>
      </c>
      <c r="AA42" s="113"/>
      <c r="AB42" s="114">
        <f t="shared" ref="AB42:AB52" si="4">J42-Z42</f>
        <v>0</v>
      </c>
      <c r="AC42" s="115"/>
      <c r="AD42" s="83"/>
      <c r="AE42" s="84"/>
      <c r="AF42" s="76">
        <f t="shared" ref="AF42:AF51" ca="1" si="5">IF(OR(AND(ISNUMBER(K42), K42&lt;&gt;0), AND(ISNUMBER(L42), L42&lt;&gt;0), AND(ISNUMBER(O42), O42&lt;&gt;0)), 1, 0)</f>
        <v>0</v>
      </c>
    </row>
    <row r="43" spans="1:32" s="76" customFormat="1" ht="41.1" customHeight="1" x14ac:dyDescent="0.15">
      <c r="A43" s="359"/>
      <c r="B43" s="92">
        <v>33</v>
      </c>
      <c r="C43" s="94" t="s">
        <v>243</v>
      </c>
      <c r="D43" s="149"/>
      <c r="E43" s="149">
        <v>12</v>
      </c>
      <c r="F43" s="149">
        <v>23</v>
      </c>
      <c r="G43" s="149">
        <v>20</v>
      </c>
      <c r="H43" s="149">
        <v>0</v>
      </c>
      <c r="I43" s="102">
        <v>0</v>
      </c>
      <c r="J43" s="101">
        <f>COUNTIF('세부(구축)'!$B:$B,'일별현황(구)'!C43)</f>
        <v>0</v>
      </c>
      <c r="K43" s="101">
        <f ca="1">COUNTIFS('세부(구축)'!$B:$B,'일별현황(구)'!C43,'세부(구축)'!$H:$H,TODAY())</f>
        <v>0</v>
      </c>
      <c r="L43" s="102">
        <f>COUNTIFS('세부(구축)'!$B:$B,'일별현황(구)'!$C43,'세부(구축)'!$G:$G,"작성중")</f>
        <v>0</v>
      </c>
      <c r="M43" s="102">
        <f>COUNTIFS('세부(구축)'!$B:$B,'일별현황(구)'!$C43,'세부(구축)'!$G:$G,"완료")</f>
        <v>0</v>
      </c>
      <c r="N43" s="102">
        <f>COUNTIFS('세부(구축)'!$B:$B,'일별현황(구)'!$C43,'세부(구축)'!$G:$G,"취소")</f>
        <v>0</v>
      </c>
      <c r="O43" s="103">
        <f ca="1">COUNTIFS('세부(구축)'!$I:$I,$B$8,'세부(구축)'!$B:$B,$C43)</f>
        <v>0</v>
      </c>
      <c r="P43" s="102" t="e">
        <f>COUNTIFS([1]상세자료!$C$1:$C$3805,'일별현황(구)'!$C43,[1]상세자료!$K$1:$K$3805,"="&amp;$C$8)</f>
        <v>#VALUE!</v>
      </c>
      <c r="Q43" s="102" t="e">
        <f>COUNTIFS([1]상세자료!$C$1:$C$3805,'일별현황(구)'!$C43,[1]상세자료!$Q$1:$Q$3805,"="&amp;$C$8)</f>
        <v>#VALUE!</v>
      </c>
      <c r="R43" s="102" t="e">
        <f>COUNTIFS([1]상세자료!$C$1:$C$3805,'일별현황(구)'!$C43,[1]상세자료!$S$1:$S$3805,"="&amp;$C$8)</f>
        <v>#VALUE!</v>
      </c>
      <c r="S43" s="102" t="e">
        <f>COUNTIFS([1]상세자료!$C$1:$C$3805,'일별현황(구)'!$C43,[1]상세자료!$T$1:$T$3805,"="&amp;$C$8)</f>
        <v>#VALUE!</v>
      </c>
      <c r="T43" s="101" t="e">
        <f t="shared" si="3"/>
        <v>#VALUE!</v>
      </c>
      <c r="U43" s="101"/>
      <c r="V43" s="104" t="e">
        <f>COUNTIFS([1]상세자료!$C$4:$C$973,'일별현황(구)'!$C43,[1]상세자료!$H$4:$H$973,"미제출")</f>
        <v>#VALUE!</v>
      </c>
      <c r="W43" s="101">
        <f>COUNTIFS('세부(구축)'!$B:$B,'일별현황(구)'!$C43,'세부(구축)'!$G:$G,"반려")</f>
        <v>0</v>
      </c>
      <c r="X43" s="104"/>
      <c r="Y43" s="104"/>
      <c r="Z43" s="101">
        <f>COUNTIFS('세부(구축)'!$B:$B,'일별현황(구)'!$C43,'세부(구축)'!$J:$J,"발행")</f>
        <v>0</v>
      </c>
      <c r="AA43" s="113"/>
      <c r="AB43" s="114">
        <f t="shared" si="4"/>
        <v>0</v>
      </c>
      <c r="AC43" s="115"/>
      <c r="AD43" s="83"/>
      <c r="AE43" s="84"/>
      <c r="AF43" s="76">
        <f t="shared" ca="1" si="5"/>
        <v>0</v>
      </c>
    </row>
    <row r="44" spans="1:32" s="76" customFormat="1" ht="41.1" customHeight="1" x14ac:dyDescent="0.15">
      <c r="A44" s="359"/>
      <c r="B44" s="92">
        <v>34</v>
      </c>
      <c r="C44" s="94" t="s">
        <v>244</v>
      </c>
      <c r="D44" s="149"/>
      <c r="E44" s="149">
        <v>19</v>
      </c>
      <c r="F44" s="149">
        <v>0</v>
      </c>
      <c r="G44" s="149"/>
      <c r="H44" s="149">
        <v>0</v>
      </c>
      <c r="I44" s="102">
        <v>0</v>
      </c>
      <c r="J44" s="101">
        <f>COUNTIF('세부(구축)'!$B:$B,'일별현황(구)'!C44)</f>
        <v>10</v>
      </c>
      <c r="K44" s="101">
        <f ca="1">COUNTIFS('세부(구축)'!$B:$B,'일별현황(구)'!C44,'세부(구축)'!$H:$H,TODAY())</f>
        <v>0</v>
      </c>
      <c r="L44" s="102">
        <f>COUNTIFS('세부(구축)'!$B:$B,'일별현황(구)'!$C44,'세부(구축)'!$G:$G,"작성중")</f>
        <v>0</v>
      </c>
      <c r="M44" s="102">
        <f>COUNTIFS('세부(구축)'!$B:$B,'일별현황(구)'!$C44,'세부(구축)'!$G:$G,"완료")</f>
        <v>0</v>
      </c>
      <c r="N44" s="102">
        <f>COUNTIFS('세부(구축)'!$B:$B,'일별현황(구)'!$C44,'세부(구축)'!$G:$G,"취소")</f>
        <v>0</v>
      </c>
      <c r="O44" s="103">
        <f ca="1">COUNTIFS('세부(구축)'!$I:$I,$B$8,'세부(구축)'!$B:$B,$C44)</f>
        <v>0</v>
      </c>
      <c r="P44" s="102" t="e">
        <f>COUNTIFS([1]상세자료!$C$1:$C$3805,'일별현황(구)'!$C44,[1]상세자료!$K$1:$K$3805,"="&amp;$C$8)</f>
        <v>#VALUE!</v>
      </c>
      <c r="Q44" s="102" t="e">
        <f>COUNTIFS([1]상세자료!$C$1:$C$3805,'일별현황(구)'!$C44,[1]상세자료!$Q$1:$Q$3805,"="&amp;$C$8)</f>
        <v>#VALUE!</v>
      </c>
      <c r="R44" s="102" t="e">
        <f>COUNTIFS([1]상세자료!$C$1:$C$3805,'일별현황(구)'!$C44,[1]상세자료!$S$1:$S$3805,"="&amp;$C$8)</f>
        <v>#VALUE!</v>
      </c>
      <c r="S44" s="102" t="e">
        <f>COUNTIFS([1]상세자료!$C$1:$C$3805,'일별현황(구)'!$C44,[1]상세자료!$T$1:$T$3805,"="&amp;$C$8)</f>
        <v>#VALUE!</v>
      </c>
      <c r="T44" s="101" t="e">
        <f t="shared" si="3"/>
        <v>#VALUE!</v>
      </c>
      <c r="U44" s="101"/>
      <c r="V44" s="104" t="e">
        <f>COUNTIFS([1]상세자료!$C$4:$C$973,'일별현황(구)'!$C44,[1]상세자료!$H$4:$H$973,"미제출")</f>
        <v>#VALUE!</v>
      </c>
      <c r="W44" s="101">
        <f>COUNTIFS('세부(구축)'!$B:$B,'일별현황(구)'!$C44,'세부(구축)'!$G:$G,"반려")</f>
        <v>0</v>
      </c>
      <c r="X44" s="104"/>
      <c r="Y44" s="104"/>
      <c r="Z44" s="101">
        <f>COUNTIFS('세부(구축)'!$B:$B,'일별현황(구)'!$C44,'세부(구축)'!$J:$J,"발행")</f>
        <v>0</v>
      </c>
      <c r="AA44" s="113"/>
      <c r="AB44" s="114">
        <f t="shared" si="4"/>
        <v>10</v>
      </c>
      <c r="AC44" s="115"/>
      <c r="AD44" s="83"/>
      <c r="AE44" s="84"/>
      <c r="AF44" s="76">
        <f t="shared" ca="1" si="5"/>
        <v>0</v>
      </c>
    </row>
    <row r="45" spans="1:32" s="76" customFormat="1" ht="41.1" customHeight="1" x14ac:dyDescent="0.15">
      <c r="A45" s="359"/>
      <c r="B45" s="92">
        <v>35</v>
      </c>
      <c r="C45" s="94" t="s">
        <v>245</v>
      </c>
      <c r="D45" s="149">
        <v>20</v>
      </c>
      <c r="E45" s="149">
        <v>3</v>
      </c>
      <c r="F45" s="149">
        <v>4</v>
      </c>
      <c r="G45" s="149">
        <v>4</v>
      </c>
      <c r="H45" s="149">
        <v>0</v>
      </c>
      <c r="I45" s="102">
        <v>0</v>
      </c>
      <c r="J45" s="101">
        <f>COUNTIF('세부(구축)'!$B:$B,'일별현황(구)'!C45)</f>
        <v>0</v>
      </c>
      <c r="K45" s="101">
        <f ca="1">COUNTIFS('세부(구축)'!$B:$B,'일별현황(구)'!C45,'세부(구축)'!$H:$H,TODAY())</f>
        <v>0</v>
      </c>
      <c r="L45" s="102">
        <f>COUNTIFS('세부(구축)'!$B:$B,'일별현황(구)'!$C45,'세부(구축)'!$G:$G,"작성중")</f>
        <v>0</v>
      </c>
      <c r="M45" s="102">
        <f>COUNTIFS('세부(구축)'!$B:$B,'일별현황(구)'!$C45,'세부(구축)'!$G:$G,"완료")</f>
        <v>0</v>
      </c>
      <c r="N45" s="102">
        <f>COUNTIFS('세부(구축)'!$B:$B,'일별현황(구)'!$C45,'세부(구축)'!$G:$G,"취소")</f>
        <v>0</v>
      </c>
      <c r="O45" s="103">
        <f ca="1">COUNTIFS('세부(구축)'!$I:$I,$B$8,'세부(구축)'!$B:$B,$C45)</f>
        <v>0</v>
      </c>
      <c r="P45" s="102" t="e">
        <f>COUNTIFS([1]상세자료!$C$1:$C$3805,'일별현황(구)'!$C45,[1]상세자료!$K$1:$K$3805,"="&amp;$C$8)</f>
        <v>#VALUE!</v>
      </c>
      <c r="Q45" s="102" t="e">
        <f>COUNTIFS([1]상세자료!$C$1:$C$3805,'일별현황(구)'!$C45,[1]상세자료!$Q$1:$Q$3805,"="&amp;$C$8)</f>
        <v>#VALUE!</v>
      </c>
      <c r="R45" s="102" t="e">
        <f>COUNTIFS([1]상세자료!$C$1:$C$3805,'일별현황(구)'!$C45,[1]상세자료!$S$1:$S$3805,"="&amp;$C$8)</f>
        <v>#VALUE!</v>
      </c>
      <c r="S45" s="102" t="e">
        <f>COUNTIFS([1]상세자료!$C$1:$C$3805,'일별현황(구)'!$C45,[1]상세자료!$T$1:$T$3805,"="&amp;$C$8)</f>
        <v>#VALUE!</v>
      </c>
      <c r="T45" s="101" t="e">
        <f t="shared" si="3"/>
        <v>#VALUE!</v>
      </c>
      <c r="U45" s="101"/>
      <c r="V45" s="104" t="e">
        <f>COUNTIFS([1]상세자료!$C$4:$C$973,'일별현황(구)'!$C45,[1]상세자료!$H$4:$H$973,"미제출")</f>
        <v>#VALUE!</v>
      </c>
      <c r="W45" s="101">
        <f>COUNTIFS('세부(구축)'!$B:$B,'일별현황(구)'!$C45,'세부(구축)'!$G:$G,"반려")</f>
        <v>0</v>
      </c>
      <c r="X45" s="104"/>
      <c r="Y45" s="104"/>
      <c r="Z45" s="101">
        <f>COUNTIFS('세부(구축)'!$B:$B,'일별현황(구)'!$C45,'세부(구축)'!$J:$J,"발행")</f>
        <v>0</v>
      </c>
      <c r="AA45" s="113"/>
      <c r="AB45" s="114">
        <f t="shared" si="4"/>
        <v>0</v>
      </c>
      <c r="AC45" s="120"/>
      <c r="AD45" s="83"/>
      <c r="AE45" s="88"/>
      <c r="AF45" s="76">
        <f t="shared" ca="1" si="5"/>
        <v>0</v>
      </c>
    </row>
    <row r="46" spans="1:32" s="76" customFormat="1" ht="41.1" customHeight="1" x14ac:dyDescent="0.15">
      <c r="A46" s="359"/>
      <c r="B46" s="92">
        <v>36</v>
      </c>
      <c r="C46" s="94" t="s">
        <v>246</v>
      </c>
      <c r="D46" s="149"/>
      <c r="E46" s="149">
        <v>12</v>
      </c>
      <c r="F46" s="149">
        <v>3</v>
      </c>
      <c r="G46" s="149">
        <v>2</v>
      </c>
      <c r="H46" s="149">
        <v>0</v>
      </c>
      <c r="I46" s="102">
        <v>0</v>
      </c>
      <c r="J46" s="101">
        <f>COUNTIF('세부(구축)'!$B:$B,'일별현황(구)'!C46)</f>
        <v>0</v>
      </c>
      <c r="K46" s="101">
        <f ca="1">COUNTIFS('세부(구축)'!$B:$B,'일별현황(구)'!C46,'세부(구축)'!$H:$H,TODAY())</f>
        <v>0</v>
      </c>
      <c r="L46" s="102">
        <f>COUNTIFS('세부(구축)'!$B:$B,'일별현황(구)'!$C46,'세부(구축)'!$G:$G,"작성중")</f>
        <v>0</v>
      </c>
      <c r="M46" s="102">
        <f>COUNTIFS('세부(구축)'!$B:$B,'일별현황(구)'!$C46,'세부(구축)'!$G:$G,"완료")</f>
        <v>0</v>
      </c>
      <c r="N46" s="102">
        <f>COUNTIFS('세부(구축)'!$B:$B,'일별현황(구)'!$C46,'세부(구축)'!$G:$G,"취소")</f>
        <v>0</v>
      </c>
      <c r="O46" s="103">
        <f ca="1">COUNTIFS('세부(구축)'!$I:$I,$B$8,'세부(구축)'!$B:$B,$C46)</f>
        <v>0</v>
      </c>
      <c r="P46" s="102"/>
      <c r="Q46" s="102"/>
      <c r="R46" s="102"/>
      <c r="S46" s="102"/>
      <c r="T46" s="101"/>
      <c r="U46" s="101"/>
      <c r="V46" s="104" t="e">
        <f>COUNTIFS([1]상세자료!$C$4:$C$973,'일별현황(구)'!$C46,[1]상세자료!$H$4:$H$973,"미제출")</f>
        <v>#VALUE!</v>
      </c>
      <c r="W46" s="101">
        <f>COUNTIFS('세부(구축)'!$B:$B,'일별현황(구)'!$C46,'세부(구축)'!$G:$G,"반려")</f>
        <v>0</v>
      </c>
      <c r="X46" s="104"/>
      <c r="Y46" s="104"/>
      <c r="Z46" s="101">
        <f>COUNTIFS('세부(구축)'!$B:$B,'일별현황(구)'!$C46,'세부(구축)'!$J:$J,"발행")</f>
        <v>0</v>
      </c>
      <c r="AA46" s="113"/>
      <c r="AB46" s="114">
        <f t="shared" si="4"/>
        <v>0</v>
      </c>
      <c r="AC46" s="120"/>
      <c r="AD46" s="83"/>
      <c r="AE46" s="88"/>
      <c r="AF46" s="76">
        <f t="shared" ca="1" si="5"/>
        <v>0</v>
      </c>
    </row>
    <row r="47" spans="1:32" s="77" customFormat="1" ht="41.1" customHeight="1" x14ac:dyDescent="0.15">
      <c r="A47" s="359"/>
      <c r="B47" s="92">
        <v>37</v>
      </c>
      <c r="C47" s="95" t="s">
        <v>247</v>
      </c>
      <c r="D47" s="150"/>
      <c r="E47" s="150"/>
      <c r="F47" s="149">
        <v>43</v>
      </c>
      <c r="G47" s="149">
        <v>43</v>
      </c>
      <c r="H47" s="150">
        <v>34</v>
      </c>
      <c r="I47" s="105">
        <v>0</v>
      </c>
      <c r="J47" s="101">
        <f>COUNTIF('세부(구축)'!$B:$B,'일별현황(구)'!C47)</f>
        <v>2</v>
      </c>
      <c r="K47" s="101">
        <f ca="1">COUNTIFS('세부(구축)'!$B:$B,'일별현황(구)'!C47,'세부(구축)'!$H:$H,TODAY())</f>
        <v>0</v>
      </c>
      <c r="L47" s="105">
        <f>COUNTIFS('세부(구축)'!$B:$B,'일별현황(구)'!$C47,'세부(구축)'!$G:$G,"작성중")</f>
        <v>0</v>
      </c>
      <c r="M47" s="105">
        <f>COUNTIFS('세부(구축)'!$B:$B,'일별현황(구)'!$C47,'세부(구축)'!$G:$G,"완료")</f>
        <v>0</v>
      </c>
      <c r="N47" s="105">
        <f>COUNTIFS('세부(구축)'!$B:$B,'일별현황(구)'!$C47,'세부(구축)'!$G:$G,"취소")</f>
        <v>0</v>
      </c>
      <c r="O47" s="106">
        <f ca="1">COUNTIFS('세부(구축)'!$I:$I,$B$8,'세부(구축)'!$B:$B,$C47)</f>
        <v>0</v>
      </c>
      <c r="P47" s="105"/>
      <c r="Q47" s="105"/>
      <c r="R47" s="105"/>
      <c r="S47" s="105"/>
      <c r="T47" s="105"/>
      <c r="U47" s="105"/>
      <c r="V47" s="105" t="e">
        <f>COUNTIFS([1]상세자료!$C$4:$C$973,'일별현황(구)'!$C47,[1]상세자료!$H$4:$H$973,"미제출")</f>
        <v>#VALUE!</v>
      </c>
      <c r="W47" s="101">
        <f>COUNTIFS('세부(구축)'!$B:$B,'일별현황(구)'!$C47,'세부(구축)'!$G:$G,"반려")</f>
        <v>0</v>
      </c>
      <c r="X47" s="104"/>
      <c r="Y47" s="104"/>
      <c r="Z47" s="101">
        <f>COUNTIFS('세부(구축)'!$B:$B,'일별현황(구)'!$C47,'세부(구축)'!$J:$J,"발행")</f>
        <v>0</v>
      </c>
      <c r="AA47" s="113"/>
      <c r="AB47" s="114">
        <f t="shared" si="4"/>
        <v>2</v>
      </c>
      <c r="AC47" s="120"/>
      <c r="AD47" s="83"/>
      <c r="AE47" s="89"/>
      <c r="AF47" s="76">
        <f t="shared" ca="1" si="5"/>
        <v>0</v>
      </c>
    </row>
    <row r="48" spans="1:32" s="76" customFormat="1" ht="41.1" customHeight="1" x14ac:dyDescent="0.15">
      <c r="A48" s="359"/>
      <c r="B48" s="92">
        <v>38</v>
      </c>
      <c r="C48" s="94" t="s">
        <v>248</v>
      </c>
      <c r="D48" s="149"/>
      <c r="E48" s="149"/>
      <c r="F48" s="149">
        <v>7</v>
      </c>
      <c r="G48" s="149">
        <v>6</v>
      </c>
      <c r="H48" s="149">
        <v>0</v>
      </c>
      <c r="I48" s="102">
        <v>0</v>
      </c>
      <c r="J48" s="101">
        <f>COUNTIF('세부(구축)'!$B:$B,'일별현황(구)'!C48)</f>
        <v>0</v>
      </c>
      <c r="K48" s="101">
        <f ca="1">COUNTIFS('세부(구축)'!$B:$B,'일별현황(구)'!C48,'세부(구축)'!$H:$H,TODAY())</f>
        <v>0</v>
      </c>
      <c r="L48" s="102">
        <f>COUNTIFS('세부(구축)'!$B:$B,'일별현황(구)'!$C48,'세부(구축)'!$G:$G,"작성중")</f>
        <v>0</v>
      </c>
      <c r="M48" s="102">
        <f>COUNTIFS('세부(구축)'!$B:$B,'일별현황(구)'!$C48,'세부(구축)'!$G:$G,"완료")</f>
        <v>0</v>
      </c>
      <c r="N48" s="102">
        <f>COUNTIFS('세부(구축)'!$B:$B,'일별현황(구)'!$C48,'세부(구축)'!$G:$G,"취소")</f>
        <v>0</v>
      </c>
      <c r="O48" s="103">
        <f ca="1">COUNTIFS('세부(구축)'!$I:$I,$B$8,'세부(구축)'!$B:$B,$C48)</f>
        <v>0</v>
      </c>
      <c r="P48" s="102"/>
      <c r="Q48" s="102"/>
      <c r="R48" s="102"/>
      <c r="S48" s="102"/>
      <c r="T48" s="101"/>
      <c r="U48" s="101"/>
      <c r="V48" s="104" t="e">
        <f>COUNTIFS([1]상세자료!$C$4:$C$973,'일별현황(구)'!$C48,[1]상세자료!$H$4:$H$973,"미제출")</f>
        <v>#VALUE!</v>
      </c>
      <c r="W48" s="101">
        <f>COUNTIFS('세부(구축)'!$B:$B,'일별현황(구)'!$C48,'세부(구축)'!$G:$G,"반려")</f>
        <v>0</v>
      </c>
      <c r="X48" s="104"/>
      <c r="Y48" s="104"/>
      <c r="Z48" s="101">
        <f>COUNTIFS('세부(구축)'!$B:$B,'일별현황(구)'!$C48,'세부(구축)'!$J:$J,"발행")</f>
        <v>0</v>
      </c>
      <c r="AA48" s="113"/>
      <c r="AB48" s="114">
        <f t="shared" si="4"/>
        <v>0</v>
      </c>
      <c r="AC48" s="115"/>
      <c r="AD48" s="83"/>
      <c r="AE48" s="84"/>
      <c r="AF48" s="76">
        <f t="shared" ca="1" si="5"/>
        <v>0</v>
      </c>
    </row>
    <row r="49" spans="1:32" s="76" customFormat="1" ht="41.1" customHeight="1" x14ac:dyDescent="0.15">
      <c r="A49" s="359"/>
      <c r="B49" s="92">
        <v>39</v>
      </c>
      <c r="C49" s="96" t="s">
        <v>249</v>
      </c>
      <c r="D49" s="149"/>
      <c r="E49" s="149"/>
      <c r="F49" s="149"/>
      <c r="G49" s="149"/>
      <c r="H49" s="149">
        <v>9</v>
      </c>
      <c r="I49" s="102">
        <v>0</v>
      </c>
      <c r="J49" s="101">
        <f>COUNTIF('세부(구축)'!$B:$B,'일별현황(구)'!C49)</f>
        <v>0</v>
      </c>
      <c r="K49" s="101">
        <f ca="1">COUNTIFS('세부(구축)'!$B:$B,'일별현황(구)'!C49,'세부(구축)'!$H:$H,TODAY())</f>
        <v>0</v>
      </c>
      <c r="L49" s="102">
        <f>COUNTIFS('세부(구축)'!$B:$B,'일별현황(구)'!$C49,'세부(구축)'!$G:$G,"작성중")</f>
        <v>0</v>
      </c>
      <c r="M49" s="102">
        <f>COUNTIFS('세부(구축)'!$B:$B,'일별현황(구)'!$C49,'세부(구축)'!$G:$G,"완료")</f>
        <v>0</v>
      </c>
      <c r="N49" s="102">
        <f>COUNTIFS('세부(구축)'!$B:$B,'일별현황(구)'!$C49,'세부(구축)'!$G:$G,"취소")</f>
        <v>0</v>
      </c>
      <c r="O49" s="103">
        <f ca="1">COUNTIFS('세부(구축)'!$I:$I,$B$8,'세부(구축)'!$B:$B,$C49)</f>
        <v>0</v>
      </c>
      <c r="P49" s="102"/>
      <c r="Q49" s="102"/>
      <c r="R49" s="102"/>
      <c r="S49" s="102"/>
      <c r="T49" s="101"/>
      <c r="U49" s="101"/>
      <c r="V49" s="104" t="e">
        <f>COUNTIFS([1]상세자료!$C$4:$C$973,'일별현황(구)'!$C49,[1]상세자료!$H$4:$H$973,"미제출")</f>
        <v>#VALUE!</v>
      </c>
      <c r="W49" s="101">
        <f>COUNTIFS('세부(구축)'!$B:$B,'일별현황(구)'!$C49,'세부(구축)'!$G:$G,"반려")</f>
        <v>0</v>
      </c>
      <c r="X49" s="104"/>
      <c r="Y49" s="104"/>
      <c r="Z49" s="101">
        <f>COUNTIFS('세부(구축)'!$B:$B,'일별현황(구)'!$C49,'세부(구축)'!$J:$J,"발행")</f>
        <v>0</v>
      </c>
      <c r="AA49" s="113"/>
      <c r="AB49" s="114">
        <f t="shared" si="4"/>
        <v>0</v>
      </c>
      <c r="AC49" s="115"/>
      <c r="AD49" s="83"/>
      <c r="AE49" s="84"/>
      <c r="AF49" s="76">
        <f t="shared" ca="1" si="5"/>
        <v>0</v>
      </c>
    </row>
    <row r="50" spans="1:32" s="76" customFormat="1" ht="41.1" customHeight="1" x14ac:dyDescent="0.15">
      <c r="A50" s="359"/>
      <c r="B50" s="92">
        <v>40</v>
      </c>
      <c r="C50" s="94" t="s">
        <v>294</v>
      </c>
      <c r="D50" s="149"/>
      <c r="E50" s="149"/>
      <c r="F50" s="149"/>
      <c r="G50" s="149"/>
      <c r="H50" s="149"/>
      <c r="I50" s="102">
        <v>0</v>
      </c>
      <c r="J50" s="101">
        <f>COUNTIF('세부(구축)'!$B:$B,'일별현황(구)'!C50)</f>
        <v>0</v>
      </c>
      <c r="K50" s="101">
        <f ca="1">COUNTIFS('세부(구축)'!$B:$B,'일별현황(구)'!C50,'세부(구축)'!$H:$H,TODAY())</f>
        <v>0</v>
      </c>
      <c r="L50" s="102">
        <f>COUNTIFS('세부(구축)'!$B:$B,'일별현황(구)'!$C50,'세부(구축)'!$G:$G,"작성중")</f>
        <v>0</v>
      </c>
      <c r="M50" s="102">
        <f>COUNTIFS('세부(구축)'!$B:$B,'일별현황(구)'!$C50,'세부(구축)'!$G:$G,"완료")</f>
        <v>0</v>
      </c>
      <c r="N50" s="102">
        <f>COUNTIFS('세부(구축)'!$B:$B,'일별현황(구)'!$C50,'세부(구축)'!$G:$G,"취소")</f>
        <v>0</v>
      </c>
      <c r="O50" s="103">
        <f ca="1">COUNTIFS('세부(구축)'!$I:$I,$B$8,'세부(구축)'!$B:$B,$C50)</f>
        <v>0</v>
      </c>
      <c r="P50" s="102"/>
      <c r="Q50" s="102"/>
      <c r="R50" s="102"/>
      <c r="S50" s="102"/>
      <c r="T50" s="101"/>
      <c r="U50" s="101"/>
      <c r="V50" s="104" t="e">
        <f>COUNTIFS([1]상세자료!$C$4:$C$973,'일별현황(구)'!$C50,[1]상세자료!$H$4:$H$973,"미제출")</f>
        <v>#VALUE!</v>
      </c>
      <c r="W50" s="101">
        <f>COUNTIFS('세부(구축)'!$B:$B,'일별현황(구)'!$C50,'세부(구축)'!$G:$G,"반려")</f>
        <v>0</v>
      </c>
      <c r="X50" s="104"/>
      <c r="Y50" s="104"/>
      <c r="Z50" s="101">
        <f>COUNTIFS('세부(구축)'!$B:$B,'일별현황(구)'!$C50,'세부(구축)'!$J:$J,"발행")</f>
        <v>0</v>
      </c>
      <c r="AA50" s="113">
        <v>45754</v>
      </c>
      <c r="AB50" s="114">
        <f t="shared" si="4"/>
        <v>0</v>
      </c>
      <c r="AC50" s="115"/>
      <c r="AD50" s="83"/>
      <c r="AE50" s="84"/>
      <c r="AF50" s="76">
        <f t="shared" ca="1" si="5"/>
        <v>0</v>
      </c>
    </row>
    <row r="51" spans="1:32" s="76" customFormat="1" ht="41.1" customHeight="1" thickBot="1" x14ac:dyDescent="0.2">
      <c r="A51" s="359"/>
      <c r="B51" s="125">
        <v>41</v>
      </c>
      <c r="C51" s="126" t="s">
        <v>250</v>
      </c>
      <c r="D51" s="151"/>
      <c r="E51" s="151">
        <v>4</v>
      </c>
      <c r="F51" s="151">
        <v>0</v>
      </c>
      <c r="G51" s="151"/>
      <c r="H51" s="151">
        <v>0</v>
      </c>
      <c r="I51" s="128">
        <v>0</v>
      </c>
      <c r="J51" s="127">
        <f>COUNTIF('세부(구축)'!$B:$B,'일별현황(구)'!C51)</f>
        <v>0</v>
      </c>
      <c r="K51" s="127">
        <f ca="1">COUNTIFS('세부(구축)'!$B:$B,'일별현황(구)'!C51,'세부(구축)'!$H:$H,TODAY())</f>
        <v>0</v>
      </c>
      <c r="L51" s="128">
        <f>COUNTIFS('세부(구축)'!$B:$B,'일별현황(구)'!$C51,'세부(구축)'!$G:$G,"작성중")</f>
        <v>0</v>
      </c>
      <c r="M51" s="128">
        <f>COUNTIFS('세부(구축)'!$B:$B,'일별현황(구)'!$C51,'세부(구축)'!$G:$G,"완료")</f>
        <v>0</v>
      </c>
      <c r="N51" s="128">
        <f>COUNTIFS('세부(구축)'!$B:$B,'일별현황(구)'!$C51,'세부(구축)'!$G:$G,"취소")</f>
        <v>0</v>
      </c>
      <c r="O51" s="129">
        <f ca="1">COUNTIFS('세부(구축)'!$I:$I,$B$8,'세부(구축)'!$B:$B,$C51)</f>
        <v>0</v>
      </c>
      <c r="P51" s="128"/>
      <c r="Q51" s="128"/>
      <c r="R51" s="128"/>
      <c r="S51" s="128"/>
      <c r="T51" s="127"/>
      <c r="U51" s="127"/>
      <c r="V51" s="130" t="e">
        <f>COUNTIFS([1]상세자료!$C$4:$C$973,'일별현황(구)'!$C51,[1]상세자료!$H$4:$H$973,"미제출")</f>
        <v>#VALUE!</v>
      </c>
      <c r="W51" s="127">
        <f>COUNTIFS('세부(구축)'!$B:$B,'일별현황(구)'!$C51,'세부(구축)'!$G:$G,"반려")</f>
        <v>0</v>
      </c>
      <c r="X51" s="130"/>
      <c r="Y51" s="130"/>
      <c r="Z51" s="127">
        <f>COUNTIFS('세부(구축)'!$B:$B,'일별현황(구)'!$C51,'세부(구축)'!$J:$J,"발행")</f>
        <v>0</v>
      </c>
      <c r="AA51" s="131"/>
      <c r="AB51" s="132">
        <f t="shared" si="4"/>
        <v>0</v>
      </c>
      <c r="AC51" s="133"/>
      <c r="AD51" s="134"/>
      <c r="AE51" s="135"/>
      <c r="AF51" s="76">
        <f t="shared" ca="1" si="5"/>
        <v>0</v>
      </c>
    </row>
    <row r="52" spans="1:32" ht="41.1" customHeight="1" thickBot="1" x14ac:dyDescent="0.2">
      <c r="A52" s="345" t="s">
        <v>251</v>
      </c>
      <c r="B52" s="346"/>
      <c r="C52" s="346"/>
      <c r="D52" s="139">
        <f>SUM(D11:D51)</f>
        <v>965</v>
      </c>
      <c r="E52" s="139">
        <f>SUM(E11:E51)</f>
        <v>915</v>
      </c>
      <c r="F52" s="153">
        <f>SUM(F11:F51)</f>
        <v>604</v>
      </c>
      <c r="G52" s="153">
        <f>SUM(G11:G51)</f>
        <v>558</v>
      </c>
      <c r="H52" s="139">
        <f>SUM(H11:H51)</f>
        <v>119</v>
      </c>
      <c r="I52" s="139">
        <v>289</v>
      </c>
      <c r="J52" s="139">
        <f t="shared" ref="J52:O52" si="6">SUM(J11:J51)</f>
        <v>111</v>
      </c>
      <c r="K52" s="139">
        <f t="shared" ca="1" si="6"/>
        <v>0</v>
      </c>
      <c r="L52" s="140">
        <f t="shared" si="6"/>
        <v>29</v>
      </c>
      <c r="M52" s="140">
        <f t="shared" si="6"/>
        <v>0</v>
      </c>
      <c r="N52" s="139">
        <f t="shared" si="6"/>
        <v>0</v>
      </c>
      <c r="O52" s="139">
        <f t="shared" ca="1" si="6"/>
        <v>0</v>
      </c>
      <c r="P52" s="139" t="e">
        <f t="shared" ref="P52:U52" si="7">SUM(P11:P46)</f>
        <v>#VALUE!</v>
      </c>
      <c r="Q52" s="139" t="e">
        <f t="shared" si="7"/>
        <v>#VALUE!</v>
      </c>
      <c r="R52" s="139" t="e">
        <f t="shared" si="7"/>
        <v>#VALUE!</v>
      </c>
      <c r="S52" s="139" t="e">
        <f t="shared" si="7"/>
        <v>#VALUE!</v>
      </c>
      <c r="T52" s="139" t="e">
        <f t="shared" si="7"/>
        <v>#VALUE!</v>
      </c>
      <c r="U52" s="139">
        <f t="shared" si="7"/>
        <v>0</v>
      </c>
      <c r="V52" s="141" t="e">
        <f>SUM(V11:V51)</f>
        <v>#VALUE!</v>
      </c>
      <c r="W52" s="141">
        <f>SUM(W11:W51)</f>
        <v>0</v>
      </c>
      <c r="X52" s="141">
        <f>SUM(X11:X51)</f>
        <v>34</v>
      </c>
      <c r="Y52" s="141"/>
      <c r="Z52" s="142">
        <f>SUM(Z11:Z51)</f>
        <v>0</v>
      </c>
      <c r="AA52" s="143"/>
      <c r="AB52" s="143">
        <f t="shared" si="4"/>
        <v>111</v>
      </c>
      <c r="AC52" s="137"/>
      <c r="AD52" s="136"/>
      <c r="AE52" s="138"/>
    </row>
    <row r="53" spans="1:32" ht="41.1" customHeight="1" x14ac:dyDescent="0.15">
      <c r="A53" s="161"/>
      <c r="B53" s="161"/>
      <c r="C53" s="161"/>
      <c r="D53" s="162"/>
      <c r="E53" s="162"/>
      <c r="F53" s="163"/>
      <c r="G53" s="163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4"/>
      <c r="W53" s="164"/>
      <c r="X53" s="164"/>
      <c r="Y53" s="164"/>
      <c r="Z53" s="165"/>
      <c r="AA53" s="166"/>
      <c r="AB53" s="166"/>
      <c r="AC53" s="167"/>
      <c r="AD53" s="168"/>
      <c r="AE53" s="169"/>
    </row>
    <row r="54" spans="1:32" ht="41.1" customHeight="1" x14ac:dyDescent="0.15">
      <c r="A54" s="373" t="s">
        <v>316</v>
      </c>
      <c r="B54" s="374" t="s">
        <v>317</v>
      </c>
      <c r="C54" s="170">
        <v>2025</v>
      </c>
      <c r="D54" s="376" t="s">
        <v>318</v>
      </c>
      <c r="E54" s="376"/>
      <c r="F54" s="376"/>
      <c r="G54" s="377"/>
      <c r="H54" s="378">
        <f ca="1">TODAY()</f>
        <v>46189</v>
      </c>
      <c r="I54" s="378"/>
      <c r="J54" s="348" t="s">
        <v>319</v>
      </c>
      <c r="K54" s="350" t="s">
        <v>215</v>
      </c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4"/>
      <c r="W54" s="164"/>
      <c r="X54" s="164"/>
      <c r="Y54" s="164"/>
      <c r="Z54" s="165"/>
      <c r="AA54" s="166"/>
      <c r="AB54" s="166"/>
      <c r="AC54" s="167"/>
      <c r="AD54" s="168"/>
      <c r="AE54" s="169"/>
    </row>
    <row r="55" spans="1:32" ht="41.1" customHeight="1" x14ac:dyDescent="0.15">
      <c r="A55" s="373"/>
      <c r="B55" s="375"/>
      <c r="C55" s="171" t="s">
        <v>216</v>
      </c>
      <c r="D55" s="171" t="s">
        <v>320</v>
      </c>
      <c r="E55" s="172" t="s">
        <v>321</v>
      </c>
      <c r="F55" s="172" t="s">
        <v>322</v>
      </c>
      <c r="G55" s="171" t="s">
        <v>323</v>
      </c>
      <c r="H55" s="171" t="s">
        <v>324</v>
      </c>
      <c r="I55" s="171" t="s">
        <v>224</v>
      </c>
      <c r="J55" s="349"/>
      <c r="K55" s="350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4"/>
      <c r="W55" s="164"/>
      <c r="X55" s="164"/>
      <c r="Y55" s="164"/>
      <c r="Z55" s="165"/>
      <c r="AA55" s="166"/>
      <c r="AB55" s="166"/>
      <c r="AC55" s="167"/>
      <c r="AD55" s="168"/>
      <c r="AE55" s="169"/>
    </row>
    <row r="56" spans="1:32" ht="41.1" customHeight="1" x14ac:dyDescent="0.15">
      <c r="A56" s="260" t="s">
        <v>325</v>
      </c>
      <c r="B56" s="91" t="s">
        <v>204</v>
      </c>
      <c r="C56" s="173">
        <f>COUNTIF('세부(구축)'!$B:$B,B56)</f>
        <v>0</v>
      </c>
      <c r="D56" s="173">
        <f>COUNTIFS('세부(구축)'!$B:$B,B56,'세부(구축)'!$G:$G,"미완료")</f>
        <v>0</v>
      </c>
      <c r="E56" s="173">
        <f>COUNTIFS('세부(구축)'!$B:$B,B56,'세부(구축)'!$G:$G,"완료")</f>
        <v>0</v>
      </c>
      <c r="F56" s="173">
        <f>COUNTIFS('세부(구축)'!$B:$B,'일별현황(구)'!$B56,'세부(구축)'!$J:$J,"발행")</f>
        <v>0</v>
      </c>
      <c r="G56" s="173" t="e">
        <f>COUNTIF('[2]25년 LIST (메인비즈)'!$E$4:$E$2000, "취소")</f>
        <v>#VALUE!</v>
      </c>
      <c r="H56" s="174">
        <f ca="1">COUNTIFS('세부(구축)'!$I:$I,$B$8,'세부(구축)'!$B:$B,B56)</f>
        <v>0</v>
      </c>
      <c r="I56" s="175">
        <f ca="1">COUNTIFS('세부(구축)'!$B:$B,B56,'세부(구축)'!$H:$H,TODAY())</f>
        <v>0</v>
      </c>
      <c r="J56" s="174">
        <f ca="1">D56+I56</f>
        <v>0</v>
      </c>
      <c r="K56" s="176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4"/>
      <c r="W56" s="164"/>
      <c r="X56" s="164"/>
      <c r="Y56" s="164"/>
      <c r="Z56" s="165"/>
      <c r="AA56" s="166"/>
      <c r="AB56" s="166"/>
      <c r="AC56" s="167"/>
      <c r="AD56" s="168"/>
      <c r="AE56" s="169"/>
    </row>
    <row r="57" spans="1:32" ht="41.1" customHeight="1" x14ac:dyDescent="0.15">
      <c r="A57" s="261"/>
      <c r="B57" s="93" t="s">
        <v>22</v>
      </c>
      <c r="C57" s="173">
        <f>COUNTIF('세부(구축)'!$B:$B,B57)</f>
        <v>0</v>
      </c>
      <c r="D57" s="173">
        <f>COUNTIFS('세부(구축)'!$B:$B,B57,'세부(구축)'!$G:$G,"미완료")</f>
        <v>0</v>
      </c>
      <c r="E57" s="173">
        <f>COUNTIFS('세부(구축)'!$B:$B,B57,'세부(구축)'!$G:$G,"완료")</f>
        <v>0</v>
      </c>
      <c r="F57" s="173">
        <f>COUNTIFS('세부(구축)'!$B:$B,'일별현황(구)'!$B57,'세부(구축)'!$J:$J,"발행")</f>
        <v>0</v>
      </c>
      <c r="G57" s="173"/>
      <c r="H57" s="174">
        <f ca="1">COUNTIFS('세부(구축)'!$I:$I,$B$8,'세부(구축)'!$B:$B,B57)</f>
        <v>0</v>
      </c>
      <c r="I57" s="175">
        <f ca="1">COUNTIFS('세부(구축)'!$B:$B,B57,'세부(구축)'!$H:$H,TODAY())</f>
        <v>0</v>
      </c>
      <c r="J57" s="174">
        <f t="shared" ref="J57:J96" ca="1" si="8">D57+I57</f>
        <v>0</v>
      </c>
      <c r="K57" s="176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4"/>
      <c r="W57" s="164"/>
      <c r="X57" s="164"/>
      <c r="Y57" s="164"/>
      <c r="Z57" s="165"/>
      <c r="AA57" s="166"/>
      <c r="AB57" s="166"/>
      <c r="AC57" s="167"/>
      <c r="AD57" s="168"/>
      <c r="AE57" s="169"/>
    </row>
    <row r="58" spans="1:32" ht="41.1" customHeight="1" x14ac:dyDescent="0.15">
      <c r="A58" s="261"/>
      <c r="B58" s="93" t="s">
        <v>23</v>
      </c>
      <c r="C58" s="173">
        <f>COUNTIF('세부(구축)'!$B:$B,B58)</f>
        <v>0</v>
      </c>
      <c r="D58" s="173">
        <f>COUNTIFS('세부(구축)'!$B:$B,B58,'세부(구축)'!$G:$G,"미완료")</f>
        <v>0</v>
      </c>
      <c r="E58" s="173">
        <f>COUNTIFS('세부(구축)'!$B:$B,B58,'세부(구축)'!$G:$G,"완료")</f>
        <v>0</v>
      </c>
      <c r="F58" s="173">
        <f>COUNTIFS('세부(구축)'!$B:$B,'일별현황(구)'!$B58,'세부(구축)'!$J:$J,"발행")</f>
        <v>0</v>
      </c>
      <c r="G58" s="173"/>
      <c r="H58" s="174">
        <f ca="1">COUNTIFS('세부(구축)'!$I:$I,$B$8,'세부(구축)'!$B:$B,B58)</f>
        <v>0</v>
      </c>
      <c r="I58" s="175">
        <f ca="1">COUNTIFS('세부(구축)'!$B:$B,B58,'세부(구축)'!$H:$H,TODAY())</f>
        <v>0</v>
      </c>
      <c r="J58" s="174">
        <f t="shared" ca="1" si="8"/>
        <v>0</v>
      </c>
      <c r="K58" s="176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4"/>
      <c r="W58" s="164"/>
      <c r="X58" s="164"/>
      <c r="Y58" s="164"/>
      <c r="Z58" s="165"/>
      <c r="AA58" s="166"/>
      <c r="AB58" s="166"/>
      <c r="AC58" s="167"/>
      <c r="AD58" s="168"/>
      <c r="AE58" s="169"/>
    </row>
    <row r="59" spans="1:32" ht="41.1" customHeight="1" x14ac:dyDescent="0.15">
      <c r="A59" s="261"/>
      <c r="B59" s="93" t="s">
        <v>261</v>
      </c>
      <c r="C59" s="173">
        <f>COUNTIF('세부(구축)'!$B:$B,B59)</f>
        <v>13</v>
      </c>
      <c r="D59" s="173">
        <f>COUNTIFS('세부(구축)'!$B:$B,B59,'세부(구축)'!$G:$G,"미완료")</f>
        <v>0</v>
      </c>
      <c r="E59" s="173">
        <f>COUNTIFS('세부(구축)'!$B:$B,B59,'세부(구축)'!$G:$G,"완료")</f>
        <v>0</v>
      </c>
      <c r="F59" s="173">
        <f>COUNTIFS('세부(구축)'!$B:$B,'일별현황(구)'!$B59,'세부(구축)'!$J:$J,"발행")</f>
        <v>0</v>
      </c>
      <c r="G59" s="173"/>
      <c r="H59" s="174">
        <f ca="1">COUNTIFS('세부(구축)'!$I:$I,$B$8,'세부(구축)'!$B:$B,B59)</f>
        <v>0</v>
      </c>
      <c r="I59" s="175">
        <f ca="1">COUNTIFS('세부(구축)'!$B:$B,B59,'세부(구축)'!$H:$H,TODAY())</f>
        <v>0</v>
      </c>
      <c r="J59" s="174">
        <f t="shared" ca="1" si="8"/>
        <v>0</v>
      </c>
      <c r="K59" s="176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4"/>
      <c r="W59" s="164"/>
      <c r="X59" s="164"/>
      <c r="Y59" s="164"/>
      <c r="Z59" s="165"/>
      <c r="AA59" s="166"/>
      <c r="AB59" s="166"/>
      <c r="AC59" s="167"/>
      <c r="AD59" s="168"/>
      <c r="AE59" s="169"/>
    </row>
    <row r="60" spans="1:32" ht="41.1" customHeight="1" x14ac:dyDescent="0.15">
      <c r="A60" s="261"/>
      <c r="B60" s="93" t="s">
        <v>152</v>
      </c>
      <c r="C60" s="173">
        <f>COUNTIF('세부(구축)'!$B:$B,B60)</f>
        <v>27</v>
      </c>
      <c r="D60" s="173">
        <f>COUNTIFS('세부(구축)'!$B:$B,B60,'세부(구축)'!$G:$G,"미완료")</f>
        <v>0</v>
      </c>
      <c r="E60" s="173">
        <f>COUNTIFS('세부(구축)'!$B:$B,B60,'세부(구축)'!$G:$G,"완료")</f>
        <v>0</v>
      </c>
      <c r="F60" s="173">
        <f>COUNTIFS('세부(구축)'!$B:$B,'일별현황(구)'!$B60,'세부(구축)'!$J:$J,"발행")</f>
        <v>0</v>
      </c>
      <c r="G60" s="173"/>
      <c r="H60" s="174">
        <f ca="1">COUNTIFS('세부(구축)'!$I:$I,$B$8,'세부(구축)'!$B:$B,B60)</f>
        <v>0</v>
      </c>
      <c r="I60" s="175">
        <f ca="1">COUNTIFS('세부(구축)'!$B:$B,B60,'세부(구축)'!$H:$H,TODAY())</f>
        <v>0</v>
      </c>
      <c r="J60" s="174">
        <f t="shared" ca="1" si="8"/>
        <v>0</v>
      </c>
      <c r="K60" s="176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4"/>
      <c r="W60" s="164"/>
      <c r="X60" s="164"/>
      <c r="Y60" s="164"/>
      <c r="Z60" s="165"/>
      <c r="AA60" s="166"/>
      <c r="AB60" s="166"/>
      <c r="AC60" s="167"/>
      <c r="AD60" s="168"/>
      <c r="AE60" s="169"/>
    </row>
    <row r="61" spans="1:32" ht="41.1" customHeight="1" x14ac:dyDescent="0.15">
      <c r="A61" s="261"/>
      <c r="B61" s="93" t="s">
        <v>200</v>
      </c>
      <c r="C61" s="173">
        <f>COUNTIF('세부(구축)'!$B:$B,B61)</f>
        <v>13</v>
      </c>
      <c r="D61" s="173">
        <f>COUNTIFS('세부(구축)'!$B:$B,B61,'세부(구축)'!$G:$G,"미완료")</f>
        <v>0</v>
      </c>
      <c r="E61" s="173">
        <f>COUNTIFS('세부(구축)'!$B:$B,B61,'세부(구축)'!$G:$G,"완료")</f>
        <v>0</v>
      </c>
      <c r="F61" s="173">
        <f>COUNTIFS('세부(구축)'!$B:$B,'일별현황(구)'!$B61,'세부(구축)'!$J:$J,"발행")</f>
        <v>0</v>
      </c>
      <c r="G61" s="173"/>
      <c r="H61" s="174">
        <f ca="1">COUNTIFS('세부(구축)'!$I:$I,$B$8,'세부(구축)'!$B:$B,B61)</f>
        <v>0</v>
      </c>
      <c r="I61" s="175">
        <f ca="1">COUNTIFS('세부(구축)'!$B:$B,B61,'세부(구축)'!$H:$H,TODAY())</f>
        <v>0</v>
      </c>
      <c r="J61" s="174">
        <f t="shared" ca="1" si="8"/>
        <v>0</v>
      </c>
      <c r="K61" s="176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4"/>
      <c r="W61" s="164"/>
      <c r="X61" s="164"/>
      <c r="Y61" s="164"/>
      <c r="Z61" s="165"/>
      <c r="AA61" s="166"/>
      <c r="AB61" s="166"/>
      <c r="AC61" s="167"/>
      <c r="AD61" s="168"/>
      <c r="AE61" s="169"/>
    </row>
    <row r="62" spans="1:32" ht="41.1" customHeight="1" x14ac:dyDescent="0.15">
      <c r="A62" s="261"/>
      <c r="B62" s="93" t="s">
        <v>262</v>
      </c>
      <c r="C62" s="173">
        <f>COUNTIF('세부(구축)'!$B:$B,B62)</f>
        <v>7</v>
      </c>
      <c r="D62" s="173">
        <f>COUNTIFS('세부(구축)'!$B:$B,B62,'세부(구축)'!$G:$G,"미완료")</f>
        <v>0</v>
      </c>
      <c r="E62" s="173">
        <f>COUNTIFS('세부(구축)'!$B:$B,B62,'세부(구축)'!$G:$G,"완료")</f>
        <v>0</v>
      </c>
      <c r="F62" s="173">
        <f>COUNTIFS('세부(구축)'!$B:$B,'일별현황(구)'!$B62,'세부(구축)'!$J:$J,"발행")</f>
        <v>0</v>
      </c>
      <c r="G62" s="173"/>
      <c r="H62" s="174">
        <f ca="1">COUNTIFS('세부(구축)'!$I:$I,$B$8,'세부(구축)'!$B:$B,B62)</f>
        <v>0</v>
      </c>
      <c r="I62" s="175">
        <f ca="1">COUNTIFS('세부(구축)'!$B:$B,B62,'세부(구축)'!$H:$H,TODAY())</f>
        <v>0</v>
      </c>
      <c r="J62" s="174">
        <f t="shared" ca="1" si="8"/>
        <v>0</v>
      </c>
      <c r="K62" s="176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4"/>
      <c r="W62" s="164"/>
      <c r="X62" s="164"/>
      <c r="Y62" s="164"/>
      <c r="Z62" s="165"/>
      <c r="AA62" s="166"/>
      <c r="AB62" s="166"/>
      <c r="AC62" s="167"/>
      <c r="AD62" s="168"/>
      <c r="AE62" s="169"/>
    </row>
    <row r="63" spans="1:32" ht="41.1" customHeight="1" x14ac:dyDescent="0.15">
      <c r="A63" s="261"/>
      <c r="B63" s="93" t="s">
        <v>153</v>
      </c>
      <c r="C63" s="173">
        <f>COUNTIF('세부(구축)'!$B:$B,B63)</f>
        <v>0</v>
      </c>
      <c r="D63" s="173">
        <f>COUNTIFS('세부(구축)'!$B:$B,B63,'세부(구축)'!$G:$G,"미완료")</f>
        <v>0</v>
      </c>
      <c r="E63" s="173">
        <f>COUNTIFS('세부(구축)'!$B:$B,B63,'세부(구축)'!$G:$G,"완료")</f>
        <v>0</v>
      </c>
      <c r="F63" s="173">
        <f>COUNTIFS('세부(구축)'!$B:$B,'일별현황(구)'!$B63,'세부(구축)'!$J:$J,"발행")</f>
        <v>0</v>
      </c>
      <c r="G63" s="173"/>
      <c r="H63" s="174">
        <f ca="1">COUNTIFS('세부(구축)'!$I:$I,$B$8,'세부(구축)'!$B:$B,B63)</f>
        <v>0</v>
      </c>
      <c r="I63" s="175">
        <f ca="1">COUNTIFS('세부(구축)'!$B:$B,B63,'세부(구축)'!$H:$H,TODAY())</f>
        <v>0</v>
      </c>
      <c r="J63" s="174">
        <f t="shared" ca="1" si="8"/>
        <v>0</v>
      </c>
      <c r="K63" s="176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4"/>
      <c r="W63" s="164"/>
      <c r="X63" s="164"/>
      <c r="Y63" s="164"/>
      <c r="Z63" s="165"/>
      <c r="AA63" s="166"/>
      <c r="AB63" s="166"/>
      <c r="AC63" s="167"/>
      <c r="AD63" s="168"/>
      <c r="AE63" s="169"/>
    </row>
    <row r="64" spans="1:32" ht="41.1" customHeight="1" x14ac:dyDescent="0.15">
      <c r="A64" s="261"/>
      <c r="B64" s="93" t="s">
        <v>48</v>
      </c>
      <c r="C64" s="173">
        <f>COUNTIF('세부(구축)'!$B:$B,B64)</f>
        <v>0</v>
      </c>
      <c r="D64" s="173">
        <f>COUNTIFS('세부(구축)'!$B:$B,B64,'세부(구축)'!$G:$G,"미완료")</f>
        <v>0</v>
      </c>
      <c r="E64" s="173">
        <f>COUNTIFS('세부(구축)'!$B:$B,B64,'세부(구축)'!$G:$G,"완료")</f>
        <v>0</v>
      </c>
      <c r="F64" s="173">
        <f>COUNTIFS('세부(구축)'!$B:$B,'일별현황(구)'!$B64,'세부(구축)'!$J:$J,"발행")</f>
        <v>0</v>
      </c>
      <c r="G64" s="173"/>
      <c r="H64" s="174">
        <f ca="1">COUNTIFS('세부(구축)'!$I:$I,$B$8,'세부(구축)'!$B:$B,B64)</f>
        <v>0</v>
      </c>
      <c r="I64" s="175">
        <f ca="1">COUNTIFS('세부(구축)'!$B:$B,B64,'세부(구축)'!$H:$H,TODAY())</f>
        <v>0</v>
      </c>
      <c r="J64" s="174">
        <f t="shared" ca="1" si="8"/>
        <v>0</v>
      </c>
      <c r="K64" s="176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4"/>
      <c r="W64" s="164"/>
      <c r="X64" s="164"/>
      <c r="Y64" s="164"/>
      <c r="Z64" s="165"/>
      <c r="AA64" s="166"/>
      <c r="AB64" s="166"/>
      <c r="AC64" s="167"/>
      <c r="AD64" s="168"/>
      <c r="AE64" s="169"/>
    </row>
    <row r="65" spans="1:31" ht="41.1" customHeight="1" x14ac:dyDescent="0.15">
      <c r="A65" s="261"/>
      <c r="B65" s="93" t="s">
        <v>50</v>
      </c>
      <c r="C65" s="173">
        <f>COUNTIF('세부(구축)'!$B:$B,B65)</f>
        <v>0</v>
      </c>
      <c r="D65" s="173">
        <f>COUNTIFS('세부(구축)'!$B:$B,B65,'세부(구축)'!$G:$G,"미완료")</f>
        <v>0</v>
      </c>
      <c r="E65" s="173">
        <f>COUNTIFS('세부(구축)'!$B:$B,B65,'세부(구축)'!$G:$G,"완료")</f>
        <v>0</v>
      </c>
      <c r="F65" s="173">
        <f>COUNTIFS('세부(구축)'!$B:$B,'일별현황(구)'!$B65,'세부(구축)'!$J:$J,"발행")</f>
        <v>0</v>
      </c>
      <c r="G65" s="173"/>
      <c r="H65" s="174">
        <f ca="1">COUNTIFS('세부(구축)'!$I:$I,$B$8,'세부(구축)'!$B:$B,B65)</f>
        <v>0</v>
      </c>
      <c r="I65" s="175">
        <f ca="1">COUNTIFS('세부(구축)'!$B:$B,B65,'세부(구축)'!$H:$H,TODAY())</f>
        <v>0</v>
      </c>
      <c r="J65" s="174">
        <f t="shared" ca="1" si="8"/>
        <v>0</v>
      </c>
      <c r="K65" s="176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4"/>
      <c r="W65" s="164"/>
      <c r="X65" s="164"/>
      <c r="Y65" s="164"/>
      <c r="Z65" s="165"/>
      <c r="AA65" s="166"/>
      <c r="AB65" s="166"/>
      <c r="AC65" s="167"/>
      <c r="AD65" s="168"/>
      <c r="AE65" s="169"/>
    </row>
    <row r="66" spans="1:31" ht="41.1" customHeight="1" x14ac:dyDescent="0.15">
      <c r="A66" s="261"/>
      <c r="B66" s="93" t="s">
        <v>263</v>
      </c>
      <c r="C66" s="173">
        <f>COUNTIF('세부(구축)'!$B:$B,B66)</f>
        <v>0</v>
      </c>
      <c r="D66" s="173">
        <f>COUNTIFS('세부(구축)'!$B:$B,B66,'세부(구축)'!$G:$G,"미완료")</f>
        <v>0</v>
      </c>
      <c r="E66" s="173">
        <f>COUNTIFS('세부(구축)'!$B:$B,B66,'세부(구축)'!$G:$G,"완료")</f>
        <v>0</v>
      </c>
      <c r="F66" s="173">
        <f>COUNTIFS('세부(구축)'!$B:$B,'일별현황(구)'!$B66,'세부(구축)'!$J:$J,"발행")</f>
        <v>0</v>
      </c>
      <c r="G66" s="173"/>
      <c r="H66" s="174">
        <f ca="1">COUNTIFS('세부(구축)'!$I:$I,$B$8,'세부(구축)'!$B:$B,B66)</f>
        <v>0</v>
      </c>
      <c r="I66" s="175">
        <f ca="1">COUNTIFS('세부(구축)'!$B:$B,B66,'세부(구축)'!$H:$H,TODAY())</f>
        <v>0</v>
      </c>
      <c r="J66" s="174">
        <f t="shared" ca="1" si="8"/>
        <v>0</v>
      </c>
      <c r="K66" s="176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4"/>
      <c r="W66" s="164"/>
      <c r="X66" s="164"/>
      <c r="Y66" s="164"/>
      <c r="Z66" s="165"/>
      <c r="AA66" s="166"/>
      <c r="AB66" s="166"/>
      <c r="AC66" s="167"/>
      <c r="AD66" s="168"/>
      <c r="AE66" s="169"/>
    </row>
    <row r="67" spans="1:31" ht="41.1" customHeight="1" x14ac:dyDescent="0.15">
      <c r="A67" s="261"/>
      <c r="B67" s="93" t="s">
        <v>28</v>
      </c>
      <c r="C67" s="173">
        <f>COUNTIF('세부(구축)'!$B:$B,B67)</f>
        <v>0</v>
      </c>
      <c r="D67" s="173">
        <f>COUNTIFS('세부(구축)'!$B:$B,B67,'세부(구축)'!$G:$G,"미완료")</f>
        <v>0</v>
      </c>
      <c r="E67" s="173">
        <f>COUNTIFS('세부(구축)'!$B:$B,B67,'세부(구축)'!$G:$G,"완료")</f>
        <v>0</v>
      </c>
      <c r="F67" s="173">
        <f>COUNTIFS('세부(구축)'!$B:$B,'일별현황(구)'!$B67,'세부(구축)'!$J:$J,"발행")</f>
        <v>0</v>
      </c>
      <c r="G67" s="173"/>
      <c r="H67" s="174">
        <f ca="1">COUNTIFS('세부(구축)'!$I:$I,$B$8,'세부(구축)'!$B:$B,B67)</f>
        <v>0</v>
      </c>
      <c r="I67" s="175">
        <f ca="1">COUNTIFS('세부(구축)'!$B:$B,B67,'세부(구축)'!$H:$H,TODAY())</f>
        <v>0</v>
      </c>
      <c r="J67" s="174">
        <f t="shared" ca="1" si="8"/>
        <v>0</v>
      </c>
      <c r="K67" s="176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4"/>
      <c r="W67" s="164"/>
      <c r="X67" s="164"/>
      <c r="Y67" s="164"/>
      <c r="Z67" s="165"/>
      <c r="AA67" s="166"/>
      <c r="AB67" s="166"/>
      <c r="AC67" s="167"/>
      <c r="AD67" s="168"/>
      <c r="AE67" s="169"/>
    </row>
    <row r="68" spans="1:31" ht="41.1" customHeight="1" x14ac:dyDescent="0.15">
      <c r="A68" s="261"/>
      <c r="B68" s="93" t="s">
        <v>34</v>
      </c>
      <c r="C68" s="173">
        <f>COUNTIF('세부(구축)'!$B:$B,B68)</f>
        <v>0</v>
      </c>
      <c r="D68" s="173">
        <f>COUNTIFS('세부(구축)'!$B:$B,B68,'세부(구축)'!$G:$G,"미완료")</f>
        <v>0</v>
      </c>
      <c r="E68" s="173">
        <f>COUNTIFS('세부(구축)'!$B:$B,B68,'세부(구축)'!$G:$G,"완료")</f>
        <v>0</v>
      </c>
      <c r="F68" s="173">
        <f>COUNTIFS('세부(구축)'!$B:$B,'일별현황(구)'!$B68,'세부(구축)'!$J:$J,"발행")</f>
        <v>0</v>
      </c>
      <c r="G68" s="173"/>
      <c r="H68" s="174">
        <f ca="1">COUNTIFS('세부(구축)'!$I:$I,$B$8,'세부(구축)'!$B:$B,B68)</f>
        <v>0</v>
      </c>
      <c r="I68" s="175">
        <f ca="1">COUNTIFS('세부(구축)'!$B:$B,B68,'세부(구축)'!$H:$H,TODAY())</f>
        <v>0</v>
      </c>
      <c r="J68" s="174">
        <f t="shared" ca="1" si="8"/>
        <v>0</v>
      </c>
      <c r="K68" s="176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4"/>
      <c r="W68" s="164"/>
      <c r="X68" s="164"/>
      <c r="Y68" s="164"/>
      <c r="Z68" s="165"/>
      <c r="AA68" s="166"/>
      <c r="AB68" s="166"/>
      <c r="AC68" s="167"/>
      <c r="AD68" s="168"/>
      <c r="AE68" s="169"/>
    </row>
    <row r="69" spans="1:31" ht="41.1" customHeight="1" x14ac:dyDescent="0.15">
      <c r="A69" s="261"/>
      <c r="B69" s="93" t="s">
        <v>154</v>
      </c>
      <c r="C69" s="173">
        <f>COUNTIF('세부(구축)'!$B:$B,B69)</f>
        <v>13</v>
      </c>
      <c r="D69" s="173">
        <f>COUNTIFS('세부(구축)'!$B:$B,B69,'세부(구축)'!$G:$G,"미완료")</f>
        <v>0</v>
      </c>
      <c r="E69" s="173">
        <f>COUNTIFS('세부(구축)'!$B:$B,B69,'세부(구축)'!$G:$G,"완료")</f>
        <v>0</v>
      </c>
      <c r="F69" s="173">
        <f>COUNTIFS('세부(구축)'!$B:$B,'일별현황(구)'!$B69,'세부(구축)'!$J:$J,"발행")</f>
        <v>0</v>
      </c>
      <c r="G69" s="173"/>
      <c r="H69" s="174">
        <f ca="1">COUNTIFS('세부(구축)'!$I:$I,$B$8,'세부(구축)'!$B:$B,B69)</f>
        <v>0</v>
      </c>
      <c r="I69" s="175">
        <f ca="1">COUNTIFS('세부(구축)'!$B:$B,B69,'세부(구축)'!$H:$H,TODAY())</f>
        <v>0</v>
      </c>
      <c r="J69" s="174">
        <f t="shared" ca="1" si="8"/>
        <v>0</v>
      </c>
      <c r="K69" s="176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4"/>
      <c r="W69" s="164"/>
      <c r="X69" s="164"/>
      <c r="Y69" s="164"/>
      <c r="Z69" s="165"/>
      <c r="AA69" s="166"/>
      <c r="AB69" s="166"/>
      <c r="AC69" s="167"/>
      <c r="AD69" s="168"/>
      <c r="AE69" s="169"/>
    </row>
    <row r="70" spans="1:31" ht="41.1" customHeight="1" x14ac:dyDescent="0.15">
      <c r="A70" s="261"/>
      <c r="B70" s="93" t="s">
        <v>155</v>
      </c>
      <c r="C70" s="173">
        <f>COUNTIF('세부(구축)'!$B:$B,B70)</f>
        <v>4</v>
      </c>
      <c r="D70" s="173">
        <f>COUNTIFS('세부(구축)'!$B:$B,B70,'세부(구축)'!$G:$G,"미완료")</f>
        <v>0</v>
      </c>
      <c r="E70" s="173">
        <f>COUNTIFS('세부(구축)'!$B:$B,B70,'세부(구축)'!$G:$G,"완료")</f>
        <v>0</v>
      </c>
      <c r="F70" s="173">
        <f>COUNTIFS('세부(구축)'!$B:$B,'일별현황(구)'!$B70,'세부(구축)'!$J:$J,"발행")</f>
        <v>0</v>
      </c>
      <c r="G70" s="173"/>
      <c r="H70" s="174">
        <f ca="1">COUNTIFS('세부(구축)'!$I:$I,$B$8,'세부(구축)'!$B:$B,B70)</f>
        <v>0</v>
      </c>
      <c r="I70" s="175">
        <f ca="1">COUNTIFS('세부(구축)'!$B:$B,B70,'세부(구축)'!$H:$H,TODAY())</f>
        <v>0</v>
      </c>
      <c r="J70" s="174">
        <f t="shared" ca="1" si="8"/>
        <v>0</v>
      </c>
      <c r="K70" s="176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4"/>
      <c r="W70" s="164"/>
      <c r="X70" s="164"/>
      <c r="Y70" s="164"/>
      <c r="Z70" s="165"/>
      <c r="AA70" s="166"/>
      <c r="AB70" s="166"/>
      <c r="AC70" s="167"/>
      <c r="AD70" s="168"/>
      <c r="AE70" s="169"/>
    </row>
    <row r="71" spans="1:31" ht="41.1" customHeight="1" x14ac:dyDescent="0.15">
      <c r="A71" s="261"/>
      <c r="B71" s="93" t="s">
        <v>21</v>
      </c>
      <c r="C71" s="173">
        <f>COUNTIF('세부(구축)'!$B:$B,B71)</f>
        <v>4</v>
      </c>
      <c r="D71" s="173">
        <f>COUNTIFS('세부(구축)'!$B:$B,B71,'세부(구축)'!$G:$G,"미완료")</f>
        <v>0</v>
      </c>
      <c r="E71" s="173">
        <f>COUNTIFS('세부(구축)'!$B:$B,B71,'세부(구축)'!$G:$G,"완료")</f>
        <v>0</v>
      </c>
      <c r="F71" s="173">
        <f>COUNTIFS('세부(구축)'!$B:$B,'일별현황(구)'!$B71,'세부(구축)'!$J:$J,"발행")</f>
        <v>0</v>
      </c>
      <c r="G71" s="173"/>
      <c r="H71" s="174">
        <f ca="1">COUNTIFS('세부(구축)'!$I:$I,$B$8,'세부(구축)'!$B:$B,B71)</f>
        <v>0</v>
      </c>
      <c r="I71" s="175">
        <f ca="1">COUNTIFS('세부(구축)'!$B:$B,B71,'세부(구축)'!$H:$H,TODAY())</f>
        <v>0</v>
      </c>
      <c r="J71" s="174">
        <f t="shared" ca="1" si="8"/>
        <v>0</v>
      </c>
      <c r="K71" s="176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4"/>
      <c r="W71" s="164"/>
      <c r="X71" s="164"/>
      <c r="Y71" s="164"/>
      <c r="Z71" s="165"/>
      <c r="AA71" s="166"/>
      <c r="AB71" s="166"/>
      <c r="AC71" s="167"/>
      <c r="AD71" s="168"/>
      <c r="AE71" s="169"/>
    </row>
    <row r="72" spans="1:31" ht="41.1" customHeight="1" x14ac:dyDescent="0.15">
      <c r="A72" s="261"/>
      <c r="B72" s="93" t="s">
        <v>199</v>
      </c>
      <c r="C72" s="173">
        <f>COUNTIF('세부(구축)'!$B:$B,B72)</f>
        <v>0</v>
      </c>
      <c r="D72" s="173">
        <f>COUNTIFS('세부(구축)'!$B:$B,B72,'세부(구축)'!$G:$G,"미완료")</f>
        <v>0</v>
      </c>
      <c r="E72" s="173">
        <f>COUNTIFS('세부(구축)'!$B:$B,B72,'세부(구축)'!$G:$G,"완료")</f>
        <v>0</v>
      </c>
      <c r="F72" s="173">
        <f>COUNTIFS('세부(구축)'!$B:$B,'일별현황(구)'!$B72,'세부(구축)'!$J:$J,"발행")</f>
        <v>0</v>
      </c>
      <c r="G72" s="173"/>
      <c r="H72" s="174">
        <f ca="1">COUNTIFS('세부(구축)'!$I:$I,$B$8,'세부(구축)'!$B:$B,B72)</f>
        <v>0</v>
      </c>
      <c r="I72" s="175">
        <f ca="1">COUNTIFS('세부(구축)'!$B:$B,B72,'세부(구축)'!$H:$H,TODAY())</f>
        <v>0</v>
      </c>
      <c r="J72" s="174">
        <f t="shared" ca="1" si="8"/>
        <v>0</v>
      </c>
      <c r="K72" s="176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4"/>
      <c r="W72" s="164"/>
      <c r="X72" s="164"/>
      <c r="Y72" s="164"/>
      <c r="Z72" s="165"/>
      <c r="AA72" s="166"/>
      <c r="AB72" s="166"/>
      <c r="AC72" s="167"/>
      <c r="AD72" s="168"/>
      <c r="AE72" s="169"/>
    </row>
    <row r="73" spans="1:31" ht="41.1" customHeight="1" x14ac:dyDescent="0.15">
      <c r="A73" s="261"/>
      <c r="B73" s="93" t="s">
        <v>47</v>
      </c>
      <c r="C73" s="173">
        <f>COUNTIF('세부(구축)'!$B:$B,B73)</f>
        <v>0</v>
      </c>
      <c r="D73" s="173">
        <f>COUNTIFS('세부(구축)'!$B:$B,B73,'세부(구축)'!$G:$G,"미완료")</f>
        <v>0</v>
      </c>
      <c r="E73" s="173">
        <f>COUNTIFS('세부(구축)'!$B:$B,B73,'세부(구축)'!$G:$G,"완료")</f>
        <v>0</v>
      </c>
      <c r="F73" s="173">
        <f>COUNTIFS('세부(구축)'!$B:$B,'일별현황(구)'!$B73,'세부(구축)'!$J:$J,"발행")</f>
        <v>0</v>
      </c>
      <c r="G73" s="173"/>
      <c r="H73" s="174">
        <f ca="1">COUNTIFS('세부(구축)'!$I:$I,$B$8,'세부(구축)'!$B:$B,B73)</f>
        <v>0</v>
      </c>
      <c r="I73" s="175">
        <f ca="1">COUNTIFS('세부(구축)'!$B:$B,B73,'세부(구축)'!$H:$H,TODAY())</f>
        <v>0</v>
      </c>
      <c r="J73" s="174">
        <f t="shared" ca="1" si="8"/>
        <v>0</v>
      </c>
      <c r="K73" s="176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4"/>
      <c r="W73" s="164"/>
      <c r="X73" s="164"/>
      <c r="Y73" s="164"/>
      <c r="Z73" s="165"/>
      <c r="AA73" s="166"/>
      <c r="AB73" s="166"/>
      <c r="AC73" s="167"/>
      <c r="AD73" s="168"/>
      <c r="AE73" s="169"/>
    </row>
    <row r="74" spans="1:31" ht="41.1" customHeight="1" x14ac:dyDescent="0.15">
      <c r="A74" s="261"/>
      <c r="B74" s="93" t="s">
        <v>24</v>
      </c>
      <c r="C74" s="173">
        <f>COUNTIF('세부(구축)'!$B:$B,B74)</f>
        <v>5</v>
      </c>
      <c r="D74" s="173">
        <f>COUNTIFS('세부(구축)'!$B:$B,B74,'세부(구축)'!$G:$G,"미완료")</f>
        <v>0</v>
      </c>
      <c r="E74" s="173">
        <f>COUNTIFS('세부(구축)'!$B:$B,B74,'세부(구축)'!$G:$G,"완료")</f>
        <v>0</v>
      </c>
      <c r="F74" s="173">
        <f>COUNTIFS('세부(구축)'!$B:$B,'일별현황(구)'!$B74,'세부(구축)'!$J:$J,"발행")</f>
        <v>0</v>
      </c>
      <c r="G74" s="173"/>
      <c r="H74" s="174">
        <f ca="1">COUNTIFS('세부(구축)'!$I:$I,$B$8,'세부(구축)'!$B:$B,B74)</f>
        <v>0</v>
      </c>
      <c r="I74" s="175">
        <f ca="1">COUNTIFS('세부(구축)'!$B:$B,B74,'세부(구축)'!$H:$H,TODAY())</f>
        <v>0</v>
      </c>
      <c r="J74" s="174">
        <f t="shared" ca="1" si="8"/>
        <v>0</v>
      </c>
      <c r="K74" s="176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4"/>
      <c r="W74" s="164"/>
      <c r="X74" s="164"/>
      <c r="Y74" s="164"/>
      <c r="Z74" s="165"/>
      <c r="AA74" s="166"/>
      <c r="AB74" s="166"/>
      <c r="AC74" s="167"/>
      <c r="AD74" s="168"/>
      <c r="AE74" s="169"/>
    </row>
    <row r="75" spans="1:31" ht="41.1" customHeight="1" x14ac:dyDescent="0.15">
      <c r="A75" s="261"/>
      <c r="B75" s="93" t="s">
        <v>264</v>
      </c>
      <c r="C75" s="173">
        <f>COUNTIF('세부(구축)'!$B:$B,B75)</f>
        <v>0</v>
      </c>
      <c r="D75" s="173">
        <f>COUNTIFS('세부(구축)'!$B:$B,B75,'세부(구축)'!$G:$G,"미완료")</f>
        <v>0</v>
      </c>
      <c r="E75" s="173">
        <f>COUNTIFS('세부(구축)'!$B:$B,B75,'세부(구축)'!$G:$G,"완료")</f>
        <v>0</v>
      </c>
      <c r="F75" s="173">
        <f>COUNTIFS('세부(구축)'!$B:$B,'일별현황(구)'!$B75,'세부(구축)'!$J:$J,"발행")</f>
        <v>0</v>
      </c>
      <c r="G75" s="173"/>
      <c r="H75" s="174">
        <f ca="1">COUNTIFS('세부(구축)'!$I:$I,$B$8,'세부(구축)'!$B:$B,B75)</f>
        <v>0</v>
      </c>
      <c r="I75" s="175">
        <f ca="1">COUNTIFS('세부(구축)'!$B:$B,B75,'세부(구축)'!$H:$H,TODAY())</f>
        <v>0</v>
      </c>
      <c r="J75" s="174">
        <f t="shared" ca="1" si="8"/>
        <v>0</v>
      </c>
      <c r="K75" s="176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4"/>
      <c r="W75" s="164"/>
      <c r="X75" s="164"/>
      <c r="Y75" s="164"/>
      <c r="Z75" s="165"/>
      <c r="AA75" s="166"/>
      <c r="AB75" s="166"/>
      <c r="AC75" s="167"/>
      <c r="AD75" s="168"/>
      <c r="AE75" s="169"/>
    </row>
    <row r="76" spans="1:31" ht="41.1" customHeight="1" x14ac:dyDescent="0.15">
      <c r="A76" s="261"/>
      <c r="B76" s="94" t="s">
        <v>230</v>
      </c>
      <c r="C76" s="173">
        <f>COUNTIF('세부(구축)'!$B:$B,B76)</f>
        <v>0</v>
      </c>
      <c r="D76" s="173">
        <f>COUNTIFS('세부(구축)'!$B:$B,B76,'세부(구축)'!$G:$G,"미완료")</f>
        <v>0</v>
      </c>
      <c r="E76" s="173">
        <f>COUNTIFS('세부(구축)'!$B:$B,B76,'세부(구축)'!$G:$G,"완료")</f>
        <v>0</v>
      </c>
      <c r="F76" s="173">
        <f>COUNTIFS('세부(구축)'!$B:$B,'일별현황(구)'!$B76,'세부(구축)'!$J:$J,"발행")</f>
        <v>0</v>
      </c>
      <c r="G76" s="173"/>
      <c r="H76" s="174">
        <f ca="1">COUNTIFS('세부(구축)'!$I:$I,$B$8,'세부(구축)'!$B:$B,B76)</f>
        <v>0</v>
      </c>
      <c r="I76" s="175">
        <f ca="1">COUNTIFS('세부(구축)'!$B:$B,B76,'세부(구축)'!$H:$H,TODAY())</f>
        <v>0</v>
      </c>
      <c r="J76" s="174">
        <f t="shared" ca="1" si="8"/>
        <v>0</v>
      </c>
      <c r="K76" s="176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4"/>
      <c r="W76" s="164"/>
      <c r="X76" s="164"/>
      <c r="Y76" s="164"/>
      <c r="Z76" s="165"/>
      <c r="AA76" s="166"/>
      <c r="AB76" s="166"/>
      <c r="AC76" s="167"/>
      <c r="AD76" s="168"/>
      <c r="AE76" s="169"/>
    </row>
    <row r="77" spans="1:31" ht="41.1" customHeight="1" x14ac:dyDescent="0.15">
      <c r="A77" s="261"/>
      <c r="B77" s="94" t="s">
        <v>231</v>
      </c>
      <c r="C77" s="173">
        <f>COUNTIF('세부(구축)'!$B:$B,B77)</f>
        <v>0</v>
      </c>
      <c r="D77" s="173">
        <f>COUNTIFS('세부(구축)'!$B:$B,B77,'세부(구축)'!$G:$G,"미완료")</f>
        <v>0</v>
      </c>
      <c r="E77" s="173">
        <f>COUNTIFS('세부(구축)'!$B:$B,B77,'세부(구축)'!$G:$G,"완료")</f>
        <v>0</v>
      </c>
      <c r="F77" s="173">
        <f>COUNTIFS('세부(구축)'!$B:$B,'일별현황(구)'!$B77,'세부(구축)'!$J:$J,"발행")</f>
        <v>0</v>
      </c>
      <c r="G77" s="173"/>
      <c r="H77" s="174">
        <f ca="1">COUNTIFS('세부(구축)'!$I:$I,$B$8,'세부(구축)'!$B:$B,B77)</f>
        <v>0</v>
      </c>
      <c r="I77" s="175">
        <f ca="1">COUNTIFS('세부(구축)'!$B:$B,B77,'세부(구축)'!$H:$H,TODAY())</f>
        <v>0</v>
      </c>
      <c r="J77" s="174">
        <f t="shared" ca="1" si="8"/>
        <v>0</v>
      </c>
      <c r="K77" s="176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4"/>
      <c r="W77" s="164"/>
      <c r="X77" s="164"/>
      <c r="Y77" s="164"/>
      <c r="Z77" s="165"/>
      <c r="AA77" s="166"/>
      <c r="AB77" s="166"/>
      <c r="AC77" s="167"/>
      <c r="AD77" s="168"/>
      <c r="AE77" s="169"/>
    </row>
    <row r="78" spans="1:31" ht="41.1" customHeight="1" x14ac:dyDescent="0.15">
      <c r="A78" s="261"/>
      <c r="B78" s="94" t="s">
        <v>232</v>
      </c>
      <c r="C78" s="173">
        <f>COUNTIF('세부(구축)'!$B:$B,B78)</f>
        <v>0</v>
      </c>
      <c r="D78" s="173">
        <f>COUNTIFS('세부(구축)'!$B:$B,B78,'세부(구축)'!$G:$G,"미완료")</f>
        <v>0</v>
      </c>
      <c r="E78" s="173">
        <f>COUNTIFS('세부(구축)'!$B:$B,B78,'세부(구축)'!$G:$G,"완료")</f>
        <v>0</v>
      </c>
      <c r="F78" s="173">
        <f>COUNTIFS('세부(구축)'!$B:$B,'일별현황(구)'!$B78,'세부(구축)'!$J:$J,"발행")</f>
        <v>0</v>
      </c>
      <c r="G78" s="173"/>
      <c r="H78" s="174">
        <f ca="1">COUNTIFS('세부(구축)'!$I:$I,$B$8,'세부(구축)'!$B:$B,B78)</f>
        <v>0</v>
      </c>
      <c r="I78" s="175">
        <f ca="1">COUNTIFS('세부(구축)'!$B:$B,B78,'세부(구축)'!$H:$H,TODAY())</f>
        <v>0</v>
      </c>
      <c r="J78" s="174">
        <f t="shared" ca="1" si="8"/>
        <v>0</v>
      </c>
      <c r="K78" s="176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4"/>
      <c r="W78" s="164"/>
      <c r="X78" s="164"/>
      <c r="Y78" s="164"/>
      <c r="Z78" s="165"/>
      <c r="AA78" s="166"/>
      <c r="AB78" s="166"/>
      <c r="AC78" s="167"/>
      <c r="AD78" s="168"/>
      <c r="AE78" s="169"/>
    </row>
    <row r="79" spans="1:31" ht="41.1" customHeight="1" x14ac:dyDescent="0.15">
      <c r="A79" s="261"/>
      <c r="B79" s="95" t="s">
        <v>233</v>
      </c>
      <c r="C79" s="173">
        <f>COUNTIF('세부(구축)'!$B:$B,B79)</f>
        <v>13</v>
      </c>
      <c r="D79" s="173">
        <f>COUNTIFS('세부(구축)'!$B:$B,B79,'세부(구축)'!$G:$G,"미완료")</f>
        <v>0</v>
      </c>
      <c r="E79" s="173">
        <f>COUNTIFS('세부(구축)'!$B:$B,B79,'세부(구축)'!$G:$G,"완료")</f>
        <v>0</v>
      </c>
      <c r="F79" s="173">
        <f>COUNTIFS('세부(구축)'!$B:$B,'일별현황(구)'!$B79,'세부(구축)'!$J:$J,"발행")</f>
        <v>0</v>
      </c>
      <c r="G79" s="173"/>
      <c r="H79" s="174">
        <f ca="1">COUNTIFS('세부(구축)'!$I:$I,$B$8,'세부(구축)'!$B:$B,B79)</f>
        <v>0</v>
      </c>
      <c r="I79" s="175">
        <f ca="1">COUNTIFS('세부(구축)'!$B:$B,B79,'세부(구축)'!$H:$H,TODAY())</f>
        <v>0</v>
      </c>
      <c r="J79" s="174">
        <f t="shared" ca="1" si="8"/>
        <v>0</v>
      </c>
      <c r="K79" s="176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4"/>
      <c r="W79" s="164"/>
      <c r="X79" s="164"/>
      <c r="Y79" s="164"/>
      <c r="Z79" s="165"/>
      <c r="AA79" s="166"/>
      <c r="AB79" s="166"/>
      <c r="AC79" s="167"/>
      <c r="AD79" s="168"/>
      <c r="AE79" s="169"/>
    </row>
    <row r="80" spans="1:31" ht="41.1" customHeight="1" x14ac:dyDescent="0.15">
      <c r="A80" s="261"/>
      <c r="B80" s="94" t="s">
        <v>234</v>
      </c>
      <c r="C80" s="173">
        <f>COUNTIF('세부(구축)'!$B:$B,B80)</f>
        <v>0</v>
      </c>
      <c r="D80" s="173">
        <f>COUNTIFS('세부(구축)'!$B:$B,B80,'세부(구축)'!$G:$G,"미완료")</f>
        <v>0</v>
      </c>
      <c r="E80" s="173">
        <f>COUNTIFS('세부(구축)'!$B:$B,B80,'세부(구축)'!$G:$G,"완료")</f>
        <v>0</v>
      </c>
      <c r="F80" s="173">
        <f>COUNTIFS('세부(구축)'!$B:$B,'일별현황(구)'!$B80,'세부(구축)'!$J:$J,"발행")</f>
        <v>0</v>
      </c>
      <c r="G80" s="173"/>
      <c r="H80" s="174">
        <f ca="1">COUNTIFS('세부(구축)'!$I:$I,$B$8,'세부(구축)'!$B:$B,B80)</f>
        <v>0</v>
      </c>
      <c r="I80" s="175">
        <f ca="1">COUNTIFS('세부(구축)'!$B:$B,B80,'세부(구축)'!$H:$H,TODAY())</f>
        <v>0</v>
      </c>
      <c r="J80" s="174">
        <f t="shared" ca="1" si="8"/>
        <v>0</v>
      </c>
      <c r="K80" s="176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4"/>
      <c r="W80" s="164"/>
      <c r="X80" s="164"/>
      <c r="Y80" s="164"/>
      <c r="Z80" s="165"/>
      <c r="AA80" s="166"/>
      <c r="AB80" s="166"/>
      <c r="AC80" s="167"/>
      <c r="AD80" s="168"/>
      <c r="AE80" s="169"/>
    </row>
    <row r="81" spans="1:31" ht="41.1" customHeight="1" x14ac:dyDescent="0.15">
      <c r="A81" s="261"/>
      <c r="B81" s="94" t="s">
        <v>235</v>
      </c>
      <c r="C81" s="173">
        <f>COUNTIF('세부(구축)'!$B:$B,B81)</f>
        <v>0</v>
      </c>
      <c r="D81" s="173">
        <f>COUNTIFS('세부(구축)'!$B:$B,B81,'세부(구축)'!$G:$G,"미완료")</f>
        <v>0</v>
      </c>
      <c r="E81" s="173">
        <f>COUNTIFS('세부(구축)'!$B:$B,B81,'세부(구축)'!$G:$G,"완료")</f>
        <v>0</v>
      </c>
      <c r="F81" s="173">
        <f>COUNTIFS('세부(구축)'!$B:$B,'일별현황(구)'!$B81,'세부(구축)'!$J:$J,"발행")</f>
        <v>0</v>
      </c>
      <c r="G81" s="173"/>
      <c r="H81" s="174">
        <f ca="1">COUNTIFS('세부(구축)'!$I:$I,$B$8,'세부(구축)'!$B:$B,B81)</f>
        <v>0</v>
      </c>
      <c r="I81" s="175">
        <f ca="1">COUNTIFS('세부(구축)'!$B:$B,B81,'세부(구축)'!$H:$H,TODAY())</f>
        <v>0</v>
      </c>
      <c r="J81" s="174">
        <f t="shared" ca="1" si="8"/>
        <v>0</v>
      </c>
      <c r="K81" s="176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4"/>
      <c r="W81" s="164"/>
      <c r="X81" s="164"/>
      <c r="Y81" s="164"/>
      <c r="Z81" s="165"/>
      <c r="AA81" s="166"/>
      <c r="AB81" s="166"/>
      <c r="AC81" s="167"/>
      <c r="AD81" s="168"/>
      <c r="AE81" s="169"/>
    </row>
    <row r="82" spans="1:31" ht="41.1" customHeight="1" x14ac:dyDescent="0.15">
      <c r="A82" s="261"/>
      <c r="B82" s="94" t="s">
        <v>236</v>
      </c>
      <c r="C82" s="173">
        <f>COUNTIF('세부(구축)'!$B:$B,B82)</f>
        <v>0</v>
      </c>
      <c r="D82" s="173">
        <f>COUNTIFS('세부(구축)'!$B:$B,B82,'세부(구축)'!$G:$G,"미완료")</f>
        <v>0</v>
      </c>
      <c r="E82" s="173">
        <f>COUNTIFS('세부(구축)'!$B:$B,B82,'세부(구축)'!$G:$G,"완료")</f>
        <v>0</v>
      </c>
      <c r="F82" s="173">
        <f>COUNTIFS('세부(구축)'!$B:$B,'일별현황(구)'!$B82,'세부(구축)'!$J:$J,"발행")</f>
        <v>0</v>
      </c>
      <c r="G82" s="173"/>
      <c r="H82" s="174">
        <f ca="1">COUNTIFS('세부(구축)'!$I:$I,$B$8,'세부(구축)'!$B:$B,B82)</f>
        <v>0</v>
      </c>
      <c r="I82" s="175">
        <f ca="1">COUNTIFS('세부(구축)'!$B:$B,B82,'세부(구축)'!$H:$H,TODAY())</f>
        <v>0</v>
      </c>
      <c r="J82" s="174">
        <f t="shared" ca="1" si="8"/>
        <v>0</v>
      </c>
      <c r="K82" s="176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4"/>
      <c r="W82" s="164"/>
      <c r="X82" s="164"/>
      <c r="Y82" s="164"/>
      <c r="Z82" s="165"/>
      <c r="AA82" s="166"/>
      <c r="AB82" s="166"/>
      <c r="AC82" s="167"/>
      <c r="AD82" s="168"/>
      <c r="AE82" s="169"/>
    </row>
    <row r="83" spans="1:31" ht="41.1" customHeight="1" x14ac:dyDescent="0.15">
      <c r="A83" s="261"/>
      <c r="B83" s="94" t="s">
        <v>237</v>
      </c>
      <c r="C83" s="173">
        <f>COUNTIF('세부(구축)'!$B:$B,B83)</f>
        <v>0</v>
      </c>
      <c r="D83" s="173">
        <f>COUNTIFS('세부(구축)'!$B:$B,B83,'세부(구축)'!$G:$G,"미완료")</f>
        <v>0</v>
      </c>
      <c r="E83" s="173">
        <f>COUNTIFS('세부(구축)'!$B:$B,B83,'세부(구축)'!$G:$G,"완료")</f>
        <v>0</v>
      </c>
      <c r="F83" s="173">
        <f>COUNTIFS('세부(구축)'!$B:$B,'일별현황(구)'!$B83,'세부(구축)'!$J:$J,"발행")</f>
        <v>0</v>
      </c>
      <c r="G83" s="173"/>
      <c r="H83" s="174">
        <f ca="1">COUNTIFS('세부(구축)'!$I:$I,$B$8,'세부(구축)'!$B:$B,B83)</f>
        <v>0</v>
      </c>
      <c r="I83" s="175">
        <f ca="1">COUNTIFS('세부(구축)'!$B:$B,B83,'세부(구축)'!$H:$H,TODAY())</f>
        <v>0</v>
      </c>
      <c r="J83" s="174">
        <f t="shared" ca="1" si="8"/>
        <v>0</v>
      </c>
      <c r="K83" s="176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4"/>
      <c r="W83" s="164"/>
      <c r="X83" s="164"/>
      <c r="Y83" s="164"/>
      <c r="Z83" s="165"/>
      <c r="AA83" s="166"/>
      <c r="AB83" s="166"/>
      <c r="AC83" s="167"/>
      <c r="AD83" s="168"/>
      <c r="AE83" s="169"/>
    </row>
    <row r="84" spans="1:31" ht="41.1" customHeight="1" x14ac:dyDescent="0.15">
      <c r="A84" s="261"/>
      <c r="B84" s="94" t="s">
        <v>238</v>
      </c>
      <c r="C84" s="173">
        <f>COUNTIF('세부(구축)'!$B:$B,B84)</f>
        <v>0</v>
      </c>
      <c r="D84" s="173">
        <f>COUNTIFS('세부(구축)'!$B:$B,B84,'세부(구축)'!$G:$G,"미완료")</f>
        <v>0</v>
      </c>
      <c r="E84" s="173">
        <f>COUNTIFS('세부(구축)'!$B:$B,B84,'세부(구축)'!$G:$G,"완료")</f>
        <v>0</v>
      </c>
      <c r="F84" s="173">
        <f>COUNTIFS('세부(구축)'!$B:$B,'일별현황(구)'!$B84,'세부(구축)'!$J:$J,"발행")</f>
        <v>0</v>
      </c>
      <c r="G84" s="173"/>
      <c r="H84" s="174">
        <f ca="1">COUNTIFS('세부(구축)'!$I:$I,$B$8,'세부(구축)'!$B:$B,B84)</f>
        <v>0</v>
      </c>
      <c r="I84" s="175">
        <f ca="1">COUNTIFS('세부(구축)'!$B:$B,B84,'세부(구축)'!$H:$H,TODAY())</f>
        <v>0</v>
      </c>
      <c r="J84" s="174">
        <f t="shared" ca="1" si="8"/>
        <v>0</v>
      </c>
      <c r="K84" s="176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4"/>
      <c r="W84" s="164"/>
      <c r="X84" s="164"/>
      <c r="Y84" s="164"/>
      <c r="Z84" s="165"/>
      <c r="AA84" s="166"/>
      <c r="AB84" s="166"/>
      <c r="AC84" s="167"/>
      <c r="AD84" s="168"/>
      <c r="AE84" s="169"/>
    </row>
    <row r="85" spans="1:31" ht="41.1" customHeight="1" x14ac:dyDescent="0.15">
      <c r="A85" s="261"/>
      <c r="B85" s="94" t="s">
        <v>240</v>
      </c>
      <c r="C85" s="173">
        <f>COUNTIF('세부(구축)'!$B:$B,B85)</f>
        <v>0</v>
      </c>
      <c r="D85" s="173">
        <f>COUNTIFS('세부(구축)'!$B:$B,B85,'세부(구축)'!$G:$G,"미완료")</f>
        <v>0</v>
      </c>
      <c r="E85" s="173">
        <f>COUNTIFS('세부(구축)'!$B:$B,B85,'세부(구축)'!$G:$G,"완료")</f>
        <v>0</v>
      </c>
      <c r="F85" s="173">
        <f>COUNTIFS('세부(구축)'!$B:$B,'일별현황(구)'!$B85,'세부(구축)'!$J:$J,"발행")</f>
        <v>0</v>
      </c>
      <c r="G85" s="173"/>
      <c r="H85" s="174">
        <f ca="1">COUNTIFS('세부(구축)'!$I:$I,$B$8,'세부(구축)'!$B:$B,B85)</f>
        <v>0</v>
      </c>
      <c r="I85" s="175">
        <f ca="1">COUNTIFS('세부(구축)'!$B:$B,B85,'세부(구축)'!$H:$H,TODAY())</f>
        <v>0</v>
      </c>
      <c r="J85" s="174">
        <f t="shared" ca="1" si="8"/>
        <v>0</v>
      </c>
      <c r="K85" s="176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4"/>
      <c r="W85" s="164"/>
      <c r="X85" s="164"/>
      <c r="Y85" s="164"/>
      <c r="Z85" s="165"/>
      <c r="AA85" s="166"/>
      <c r="AB85" s="166"/>
      <c r="AC85" s="167"/>
      <c r="AD85" s="168"/>
      <c r="AE85" s="169"/>
    </row>
    <row r="86" spans="1:31" ht="41.1" customHeight="1" x14ac:dyDescent="0.15">
      <c r="A86" s="261"/>
      <c r="B86" s="94" t="s">
        <v>312</v>
      </c>
      <c r="C86" s="173">
        <f>COUNTIF('세부(구축)'!$B:$B,B86)</f>
        <v>0</v>
      </c>
      <c r="D86" s="173">
        <f>COUNTIFS('세부(구축)'!$B:$B,B86,'세부(구축)'!$G:$G,"미완료")</f>
        <v>0</v>
      </c>
      <c r="E86" s="173">
        <f>COUNTIFS('세부(구축)'!$B:$B,B86,'세부(구축)'!$G:$G,"완료")</f>
        <v>0</v>
      </c>
      <c r="F86" s="173">
        <f>COUNTIFS('세부(구축)'!$B:$B,'일별현황(구)'!$B86,'세부(구축)'!$J:$J,"발행")</f>
        <v>0</v>
      </c>
      <c r="G86" s="173"/>
      <c r="H86" s="174">
        <f ca="1">COUNTIFS('세부(구축)'!$I:$I,$B$8,'세부(구축)'!$B:$B,B86)</f>
        <v>0</v>
      </c>
      <c r="I86" s="175">
        <f ca="1">COUNTIFS('세부(구축)'!$B:$B,B86,'세부(구축)'!$H:$H,TODAY())</f>
        <v>0</v>
      </c>
      <c r="J86" s="174">
        <f t="shared" ca="1" si="8"/>
        <v>0</v>
      </c>
      <c r="K86" s="176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4"/>
      <c r="W86" s="164"/>
      <c r="X86" s="164"/>
      <c r="Y86" s="164"/>
      <c r="Z86" s="165"/>
      <c r="AA86" s="166"/>
      <c r="AB86" s="166"/>
      <c r="AC86" s="167"/>
      <c r="AD86" s="168"/>
      <c r="AE86" s="169"/>
    </row>
    <row r="87" spans="1:31" ht="41.1" customHeight="1" x14ac:dyDescent="0.15">
      <c r="A87" s="261"/>
      <c r="B87" s="94" t="s">
        <v>242</v>
      </c>
      <c r="C87" s="173">
        <f>COUNTIF('세부(구축)'!$B:$B,B87)</f>
        <v>0</v>
      </c>
      <c r="D87" s="173">
        <f>COUNTIFS('세부(구축)'!$B:$B,B87,'세부(구축)'!$G:$G,"미완료")</f>
        <v>0</v>
      </c>
      <c r="E87" s="173">
        <f>COUNTIFS('세부(구축)'!$B:$B,B87,'세부(구축)'!$G:$G,"완료")</f>
        <v>0</v>
      </c>
      <c r="F87" s="173">
        <f>COUNTIFS('세부(구축)'!$B:$B,'일별현황(구)'!$B87,'세부(구축)'!$J:$J,"발행")</f>
        <v>0</v>
      </c>
      <c r="G87" s="173"/>
      <c r="H87" s="174">
        <f ca="1">COUNTIFS('세부(구축)'!$I:$I,$B$8,'세부(구축)'!$B:$B,B87)</f>
        <v>0</v>
      </c>
      <c r="I87" s="175">
        <f ca="1">COUNTIFS('세부(구축)'!$B:$B,B87,'세부(구축)'!$H:$H,TODAY())</f>
        <v>0</v>
      </c>
      <c r="J87" s="174">
        <f t="shared" ca="1" si="8"/>
        <v>0</v>
      </c>
      <c r="K87" s="176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4"/>
      <c r="W87" s="164"/>
      <c r="X87" s="164"/>
      <c r="Y87" s="164"/>
      <c r="Z87" s="165"/>
      <c r="AA87" s="166"/>
      <c r="AB87" s="166"/>
      <c r="AC87" s="167"/>
      <c r="AD87" s="168"/>
      <c r="AE87" s="169"/>
    </row>
    <row r="88" spans="1:31" ht="41.1" customHeight="1" x14ac:dyDescent="0.15">
      <c r="A88" s="261"/>
      <c r="B88" s="94" t="s">
        <v>243</v>
      </c>
      <c r="C88" s="173">
        <f>COUNTIF('세부(구축)'!$B:$B,B88)</f>
        <v>0</v>
      </c>
      <c r="D88" s="173">
        <f>COUNTIFS('세부(구축)'!$B:$B,B88,'세부(구축)'!$G:$G,"미완료")</f>
        <v>0</v>
      </c>
      <c r="E88" s="173">
        <f>COUNTIFS('세부(구축)'!$B:$B,B88,'세부(구축)'!$G:$G,"완료")</f>
        <v>0</v>
      </c>
      <c r="F88" s="173">
        <f>COUNTIFS('세부(구축)'!$B:$B,'일별현황(구)'!$B88,'세부(구축)'!$J:$J,"발행")</f>
        <v>0</v>
      </c>
      <c r="G88" s="173"/>
      <c r="H88" s="174">
        <f ca="1">COUNTIFS('세부(구축)'!$I:$I,$B$8,'세부(구축)'!$B:$B,B88)</f>
        <v>0</v>
      </c>
      <c r="I88" s="175">
        <f ca="1">COUNTIFS('세부(구축)'!$B:$B,B88,'세부(구축)'!$H:$H,TODAY())</f>
        <v>0</v>
      </c>
      <c r="J88" s="174">
        <f t="shared" ca="1" si="8"/>
        <v>0</v>
      </c>
      <c r="K88" s="176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4"/>
      <c r="W88" s="164"/>
      <c r="X88" s="164"/>
      <c r="Y88" s="164"/>
      <c r="Z88" s="165"/>
      <c r="AA88" s="166"/>
      <c r="AB88" s="166"/>
      <c r="AC88" s="167"/>
      <c r="AD88" s="168"/>
      <c r="AE88" s="169"/>
    </row>
    <row r="89" spans="1:31" ht="41.1" customHeight="1" x14ac:dyDescent="0.15">
      <c r="A89" s="261"/>
      <c r="B89" s="94" t="s">
        <v>244</v>
      </c>
      <c r="C89" s="173">
        <f>COUNTIF('세부(구축)'!$B:$B,B89)</f>
        <v>10</v>
      </c>
      <c r="D89" s="173">
        <f>COUNTIFS('세부(구축)'!$B:$B,B89,'세부(구축)'!$G:$G,"미완료")</f>
        <v>0</v>
      </c>
      <c r="E89" s="173">
        <f>COUNTIFS('세부(구축)'!$B:$B,B89,'세부(구축)'!$G:$G,"완료")</f>
        <v>0</v>
      </c>
      <c r="F89" s="173">
        <f>COUNTIFS('세부(구축)'!$B:$B,'일별현황(구)'!$B89,'세부(구축)'!$J:$J,"발행")</f>
        <v>0</v>
      </c>
      <c r="G89" s="173"/>
      <c r="H89" s="174">
        <f ca="1">COUNTIFS('세부(구축)'!$I:$I,$B$8,'세부(구축)'!$B:$B,B89)</f>
        <v>0</v>
      </c>
      <c r="I89" s="175">
        <f ca="1">COUNTIFS('세부(구축)'!$B:$B,B89,'세부(구축)'!$H:$H,TODAY())</f>
        <v>0</v>
      </c>
      <c r="J89" s="174">
        <f t="shared" ca="1" si="8"/>
        <v>0</v>
      </c>
      <c r="K89" s="176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4"/>
      <c r="W89" s="164"/>
      <c r="X89" s="164"/>
      <c r="Y89" s="164"/>
      <c r="Z89" s="165"/>
      <c r="AA89" s="166"/>
      <c r="AB89" s="166"/>
      <c r="AC89" s="167"/>
      <c r="AD89" s="168"/>
      <c r="AE89" s="169"/>
    </row>
    <row r="90" spans="1:31" ht="41.1" customHeight="1" x14ac:dyDescent="0.15">
      <c r="A90" s="261"/>
      <c r="B90" s="94" t="s">
        <v>245</v>
      </c>
      <c r="C90" s="173">
        <f>COUNTIF('세부(구축)'!$B:$B,B90)</f>
        <v>0</v>
      </c>
      <c r="D90" s="173">
        <f>COUNTIFS('세부(구축)'!$B:$B,B90,'세부(구축)'!$G:$G,"미완료")</f>
        <v>0</v>
      </c>
      <c r="E90" s="173">
        <f>COUNTIFS('세부(구축)'!$B:$B,B90,'세부(구축)'!$G:$G,"완료")</f>
        <v>0</v>
      </c>
      <c r="F90" s="173">
        <f>COUNTIFS('세부(구축)'!$B:$B,'일별현황(구)'!$B90,'세부(구축)'!$J:$J,"발행")</f>
        <v>0</v>
      </c>
      <c r="G90" s="173"/>
      <c r="H90" s="174">
        <f ca="1">COUNTIFS('세부(구축)'!$I:$I,$B$8,'세부(구축)'!$B:$B,B90)</f>
        <v>0</v>
      </c>
      <c r="I90" s="175">
        <f ca="1">COUNTIFS('세부(구축)'!$B:$B,B90,'세부(구축)'!$H:$H,TODAY())</f>
        <v>0</v>
      </c>
      <c r="J90" s="174">
        <f t="shared" ca="1" si="8"/>
        <v>0</v>
      </c>
      <c r="K90" s="176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4"/>
      <c r="W90" s="164"/>
      <c r="X90" s="164"/>
      <c r="Y90" s="164"/>
      <c r="Z90" s="165"/>
      <c r="AA90" s="166"/>
      <c r="AB90" s="166"/>
      <c r="AC90" s="167"/>
      <c r="AD90" s="168"/>
      <c r="AE90" s="169"/>
    </row>
    <row r="91" spans="1:31" ht="41.1" customHeight="1" x14ac:dyDescent="0.15">
      <c r="A91" s="261"/>
      <c r="B91" s="94" t="s">
        <v>246</v>
      </c>
      <c r="C91" s="173">
        <f>COUNTIF('세부(구축)'!$B:$B,B91)</f>
        <v>0</v>
      </c>
      <c r="D91" s="173">
        <f>COUNTIFS('세부(구축)'!$B:$B,B91,'세부(구축)'!$G:$G,"미완료")</f>
        <v>0</v>
      </c>
      <c r="E91" s="173">
        <f>COUNTIFS('세부(구축)'!$B:$B,B91,'세부(구축)'!$G:$G,"완료")</f>
        <v>0</v>
      </c>
      <c r="F91" s="173">
        <f>COUNTIFS('세부(구축)'!$B:$B,'일별현황(구)'!$B91,'세부(구축)'!$J:$J,"발행")</f>
        <v>0</v>
      </c>
      <c r="G91" s="173"/>
      <c r="H91" s="174">
        <f ca="1">COUNTIFS('세부(구축)'!$I:$I,$B$8,'세부(구축)'!$B:$B,B91)</f>
        <v>0</v>
      </c>
      <c r="I91" s="175">
        <f ca="1">COUNTIFS('세부(구축)'!$B:$B,B91,'세부(구축)'!$H:$H,TODAY())</f>
        <v>0</v>
      </c>
      <c r="J91" s="174">
        <f t="shared" ca="1" si="8"/>
        <v>0</v>
      </c>
      <c r="K91" s="176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4"/>
      <c r="W91" s="164"/>
      <c r="X91" s="164"/>
      <c r="Y91" s="164"/>
      <c r="Z91" s="165"/>
      <c r="AA91" s="166"/>
      <c r="AB91" s="166"/>
      <c r="AC91" s="167"/>
      <c r="AD91" s="168"/>
      <c r="AE91" s="169"/>
    </row>
    <row r="92" spans="1:31" ht="41.1" customHeight="1" x14ac:dyDescent="0.15">
      <c r="A92" s="261"/>
      <c r="B92" s="95" t="s">
        <v>247</v>
      </c>
      <c r="C92" s="173">
        <f>COUNTIF('세부(구축)'!$B:$B,B92)</f>
        <v>2</v>
      </c>
      <c r="D92" s="173">
        <f>COUNTIFS('세부(구축)'!$B:$B,B92,'세부(구축)'!$G:$G,"미완료")</f>
        <v>0</v>
      </c>
      <c r="E92" s="173">
        <f>COUNTIFS('세부(구축)'!$B:$B,B92,'세부(구축)'!$G:$G,"완료")</f>
        <v>0</v>
      </c>
      <c r="F92" s="173">
        <f>COUNTIFS('세부(구축)'!$B:$B,'일별현황(구)'!$B92,'세부(구축)'!$J:$J,"발행")</f>
        <v>0</v>
      </c>
      <c r="G92" s="173"/>
      <c r="H92" s="174">
        <f ca="1">COUNTIFS('세부(구축)'!$I:$I,$B$8,'세부(구축)'!$B:$B,B92)</f>
        <v>0</v>
      </c>
      <c r="I92" s="175">
        <f ca="1">COUNTIFS('세부(구축)'!$B:$B,B92,'세부(구축)'!$H:$H,TODAY())</f>
        <v>0</v>
      </c>
      <c r="J92" s="174">
        <f t="shared" ca="1" si="8"/>
        <v>0</v>
      </c>
      <c r="K92" s="176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4"/>
      <c r="W92" s="164"/>
      <c r="X92" s="164"/>
      <c r="Y92" s="164"/>
      <c r="Z92" s="165"/>
      <c r="AA92" s="166"/>
      <c r="AB92" s="166"/>
      <c r="AC92" s="167"/>
      <c r="AD92" s="168"/>
      <c r="AE92" s="169"/>
    </row>
    <row r="93" spans="1:31" ht="41.1" customHeight="1" x14ac:dyDescent="0.15">
      <c r="A93" s="261"/>
      <c r="B93" s="94" t="s">
        <v>248</v>
      </c>
      <c r="C93" s="173">
        <f>COUNTIF('세부(구축)'!$B:$B,B93)</f>
        <v>0</v>
      </c>
      <c r="D93" s="173">
        <f>COUNTIFS('세부(구축)'!$B:$B,B93,'세부(구축)'!$G:$G,"미완료")</f>
        <v>0</v>
      </c>
      <c r="E93" s="173">
        <f>COUNTIFS('세부(구축)'!$B:$B,B93,'세부(구축)'!$G:$G,"완료")</f>
        <v>0</v>
      </c>
      <c r="F93" s="173">
        <f>COUNTIFS('세부(구축)'!$B:$B,'일별현황(구)'!$B93,'세부(구축)'!$J:$J,"발행")</f>
        <v>0</v>
      </c>
      <c r="G93" s="173"/>
      <c r="H93" s="174">
        <f ca="1">COUNTIFS('세부(구축)'!$I:$I,$B$8,'세부(구축)'!$B:$B,B93)</f>
        <v>0</v>
      </c>
      <c r="I93" s="175">
        <f ca="1">COUNTIFS('세부(구축)'!$B:$B,B93,'세부(구축)'!$H:$H,TODAY())</f>
        <v>0</v>
      </c>
      <c r="J93" s="174">
        <f t="shared" ca="1" si="8"/>
        <v>0</v>
      </c>
      <c r="K93" s="176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4"/>
      <c r="W93" s="164"/>
      <c r="X93" s="164"/>
      <c r="Y93" s="164"/>
      <c r="Z93" s="165"/>
      <c r="AA93" s="166"/>
      <c r="AB93" s="166"/>
      <c r="AC93" s="167"/>
      <c r="AD93" s="168"/>
      <c r="AE93" s="169"/>
    </row>
    <row r="94" spans="1:31" ht="41.1" customHeight="1" x14ac:dyDescent="0.15">
      <c r="A94" s="261"/>
      <c r="B94" s="96" t="s">
        <v>249</v>
      </c>
      <c r="C94" s="173">
        <f>COUNTIF('세부(구축)'!$B:$B,B94)</f>
        <v>0</v>
      </c>
      <c r="D94" s="173">
        <f>COUNTIFS('세부(구축)'!$B:$B,B94,'세부(구축)'!$G:$G,"미완료")</f>
        <v>0</v>
      </c>
      <c r="E94" s="173">
        <f>COUNTIFS('세부(구축)'!$B:$B,B94,'세부(구축)'!$G:$G,"완료")</f>
        <v>0</v>
      </c>
      <c r="F94" s="173">
        <f>COUNTIFS('세부(구축)'!$B:$B,'일별현황(구)'!$B94,'세부(구축)'!$J:$J,"발행")</f>
        <v>0</v>
      </c>
      <c r="G94" s="173"/>
      <c r="H94" s="174">
        <f ca="1">COUNTIFS('세부(구축)'!$I:$I,$B$8,'세부(구축)'!$B:$B,B94)</f>
        <v>0</v>
      </c>
      <c r="I94" s="175">
        <f ca="1">COUNTIFS('세부(구축)'!$B:$B,B94,'세부(구축)'!$H:$H,TODAY())</f>
        <v>0</v>
      </c>
      <c r="J94" s="174">
        <f t="shared" ca="1" si="8"/>
        <v>0</v>
      </c>
      <c r="K94" s="176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4"/>
      <c r="W94" s="164"/>
      <c r="X94" s="164"/>
      <c r="Y94" s="164"/>
      <c r="Z94" s="165"/>
      <c r="AA94" s="166"/>
      <c r="AB94" s="166"/>
      <c r="AC94" s="167"/>
      <c r="AD94" s="168"/>
      <c r="AE94" s="169"/>
    </row>
    <row r="95" spans="1:31" ht="41.1" customHeight="1" x14ac:dyDescent="0.15">
      <c r="A95" s="261"/>
      <c r="B95" s="94" t="s">
        <v>294</v>
      </c>
      <c r="C95" s="173">
        <f>COUNTIF('세부(구축)'!$B:$B,B95)</f>
        <v>0</v>
      </c>
      <c r="D95" s="173">
        <f>COUNTIFS('세부(구축)'!$B:$B,B95,'세부(구축)'!$G:$G,"미완료")</f>
        <v>0</v>
      </c>
      <c r="E95" s="173">
        <f>COUNTIFS('세부(구축)'!$B:$B,B95,'세부(구축)'!$G:$G,"완료")</f>
        <v>0</v>
      </c>
      <c r="F95" s="173">
        <f>COUNTIFS('세부(구축)'!$B:$B,'일별현황(구)'!$B95,'세부(구축)'!$J:$J,"발행")</f>
        <v>0</v>
      </c>
      <c r="G95" s="173"/>
      <c r="H95" s="174">
        <f ca="1">COUNTIFS('세부(구축)'!$I:$I,$B$8,'세부(구축)'!$B:$B,B95)</f>
        <v>0</v>
      </c>
      <c r="I95" s="175">
        <f ca="1">COUNTIFS('세부(구축)'!$B:$B,B95,'세부(구축)'!$H:$H,TODAY())</f>
        <v>0</v>
      </c>
      <c r="J95" s="174">
        <f t="shared" ca="1" si="8"/>
        <v>0</v>
      </c>
      <c r="K95" s="176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4"/>
      <c r="W95" s="164"/>
      <c r="X95" s="164"/>
      <c r="Y95" s="164"/>
      <c r="Z95" s="165"/>
      <c r="AA95" s="166"/>
      <c r="AB95" s="166"/>
      <c r="AC95" s="167"/>
      <c r="AD95" s="168"/>
      <c r="AE95" s="169"/>
    </row>
    <row r="96" spans="1:31" ht="41.1" customHeight="1" x14ac:dyDescent="0.15">
      <c r="A96" s="261"/>
      <c r="B96" s="126" t="s">
        <v>250</v>
      </c>
      <c r="C96" s="173">
        <f>COUNTIF('세부(구축)'!$B:$B,B96)</f>
        <v>0</v>
      </c>
      <c r="D96" s="173">
        <f>COUNTIFS('세부(구축)'!$B:$B,B96,'세부(구축)'!$G:$G,"미완료")</f>
        <v>0</v>
      </c>
      <c r="E96" s="173">
        <f>COUNTIFS('세부(구축)'!$B:$B,B96,'세부(구축)'!$G:$G,"완료")</f>
        <v>0</v>
      </c>
      <c r="F96" s="173">
        <f>COUNTIFS('세부(구축)'!$B:$B,'일별현황(구)'!$B96,'세부(구축)'!$J:$J,"발행")</f>
        <v>0</v>
      </c>
      <c r="G96" s="173"/>
      <c r="H96" s="174">
        <f ca="1">COUNTIFS('세부(구축)'!$I:$I,$B$8,'세부(구축)'!$B:$B,B96)</f>
        <v>0</v>
      </c>
      <c r="I96" s="175">
        <f ca="1">COUNTIFS('세부(구축)'!$B:$B,B96,'세부(구축)'!$H:$H,TODAY())</f>
        <v>0</v>
      </c>
      <c r="J96" s="174">
        <f t="shared" ca="1" si="8"/>
        <v>0</v>
      </c>
      <c r="K96" s="176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4"/>
      <c r="W96" s="164"/>
      <c r="X96" s="164"/>
      <c r="Y96" s="164"/>
      <c r="Z96" s="165"/>
      <c r="AA96" s="166"/>
      <c r="AB96" s="166"/>
      <c r="AC96" s="167"/>
      <c r="AD96" s="168"/>
      <c r="AE96" s="169"/>
    </row>
    <row r="97" spans="1:31" ht="41.1" customHeight="1" x14ac:dyDescent="0.15">
      <c r="A97" s="351"/>
      <c r="B97" s="177" t="s">
        <v>326</v>
      </c>
      <c r="C97" s="178">
        <f t="shared" ref="C97:J97" si="9">SUM(C56:C96)</f>
        <v>111</v>
      </c>
      <c r="D97" s="178">
        <f t="shared" si="9"/>
        <v>0</v>
      </c>
      <c r="E97" s="178">
        <f t="shared" si="9"/>
        <v>0</v>
      </c>
      <c r="F97" s="178">
        <f t="shared" si="9"/>
        <v>0</v>
      </c>
      <c r="G97" s="178" t="e">
        <f t="shared" si="9"/>
        <v>#VALUE!</v>
      </c>
      <c r="H97" s="178">
        <f t="shared" ca="1" si="9"/>
        <v>0</v>
      </c>
      <c r="I97" s="179">
        <f t="shared" ca="1" si="9"/>
        <v>0</v>
      </c>
      <c r="J97" s="178">
        <f t="shared" ca="1" si="9"/>
        <v>0</v>
      </c>
      <c r="K97" s="176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4"/>
      <c r="W97" s="164"/>
      <c r="X97" s="164"/>
      <c r="Y97" s="164"/>
      <c r="Z97" s="165"/>
      <c r="AA97" s="166"/>
      <c r="AB97" s="166"/>
      <c r="AC97" s="167"/>
      <c r="AD97" s="168"/>
      <c r="AE97" s="169"/>
    </row>
    <row r="98" spans="1:31" ht="41.1" customHeight="1" x14ac:dyDescent="0.15">
      <c r="A98" s="161"/>
      <c r="B98" s="161"/>
      <c r="C98" s="161"/>
      <c r="D98" s="162"/>
      <c r="E98" s="162"/>
      <c r="F98" s="163"/>
      <c r="G98" s="163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4"/>
      <c r="W98" s="164"/>
      <c r="X98" s="164"/>
      <c r="Y98" s="164"/>
      <c r="Z98" s="165"/>
      <c r="AA98" s="166"/>
      <c r="AB98" s="166"/>
      <c r="AC98" s="167"/>
      <c r="AD98" s="168"/>
      <c r="AE98" s="169"/>
    </row>
    <row r="99" spans="1:31" ht="41.1" customHeight="1" x14ac:dyDescent="0.15">
      <c r="A99" s="161"/>
      <c r="B99" s="161"/>
      <c r="C99" s="161"/>
      <c r="D99" s="162"/>
      <c r="E99" s="162"/>
      <c r="F99" s="163"/>
      <c r="G99" s="163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4"/>
      <c r="W99" s="164"/>
      <c r="X99" s="164"/>
      <c r="Y99" s="164"/>
      <c r="Z99" s="165"/>
      <c r="AA99" s="166"/>
      <c r="AB99" s="166"/>
      <c r="AC99" s="167"/>
      <c r="AD99" s="168"/>
      <c r="AE99" s="169"/>
    </row>
    <row r="100" spans="1:31" ht="41.1" customHeight="1" x14ac:dyDescent="0.15">
      <c r="A100" s="161"/>
      <c r="B100" s="161"/>
      <c r="C100" s="161"/>
      <c r="D100" s="162"/>
      <c r="E100" s="162"/>
      <c r="F100" s="163"/>
      <c r="G100" s="163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4"/>
      <c r="W100" s="164"/>
      <c r="X100" s="164"/>
      <c r="Y100" s="164"/>
      <c r="Z100" s="165"/>
      <c r="AA100" s="166"/>
      <c r="AB100" s="166"/>
      <c r="AC100" s="167"/>
      <c r="AD100" s="168"/>
      <c r="AE100" s="169"/>
    </row>
    <row r="101" spans="1:31" ht="41.1" customHeight="1" x14ac:dyDescent="0.15">
      <c r="A101" s="161"/>
      <c r="B101" s="161"/>
      <c r="C101" s="161"/>
      <c r="D101" s="162"/>
      <c r="E101" s="162"/>
      <c r="F101" s="163"/>
      <c r="G101" s="163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4"/>
      <c r="W101" s="164"/>
      <c r="X101" s="164"/>
      <c r="Y101" s="164"/>
      <c r="Z101" s="165"/>
      <c r="AA101" s="166"/>
      <c r="AB101" s="166"/>
      <c r="AC101" s="167"/>
      <c r="AD101" s="168"/>
      <c r="AE101" s="169"/>
    </row>
    <row r="102" spans="1:31" ht="41.1" customHeight="1" x14ac:dyDescent="0.15">
      <c r="A102" s="161"/>
      <c r="B102" s="161"/>
      <c r="C102" s="161"/>
      <c r="D102" s="162"/>
      <c r="E102" s="162"/>
      <c r="F102" s="163"/>
      <c r="G102" s="163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4"/>
      <c r="W102" s="164"/>
      <c r="X102" s="164"/>
      <c r="Y102" s="164"/>
      <c r="Z102" s="165"/>
      <c r="AA102" s="166"/>
      <c r="AB102" s="166"/>
      <c r="AC102" s="167"/>
      <c r="AD102" s="168"/>
      <c r="AE102" s="169"/>
    </row>
    <row r="103" spans="1:31" ht="41.1" customHeight="1" x14ac:dyDescent="0.15">
      <c r="A103" s="161"/>
      <c r="B103" s="161"/>
      <c r="C103" s="161"/>
      <c r="D103" s="162"/>
      <c r="E103" s="162"/>
      <c r="F103" s="163"/>
      <c r="G103" s="163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4"/>
      <c r="W103" s="164"/>
      <c r="X103" s="164"/>
      <c r="Y103" s="164"/>
      <c r="Z103" s="165"/>
      <c r="AA103" s="166"/>
      <c r="AB103" s="166"/>
      <c r="AC103" s="167"/>
      <c r="AD103" s="168"/>
      <c r="AE103" s="169"/>
    </row>
    <row r="104" spans="1:31" ht="41.1" customHeight="1" x14ac:dyDescent="0.15">
      <c r="A104" s="161"/>
      <c r="B104" s="161"/>
      <c r="C104" s="161"/>
      <c r="D104" s="162"/>
      <c r="E104" s="162"/>
      <c r="F104" s="163"/>
      <c r="G104" s="163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4"/>
      <c r="W104" s="164"/>
      <c r="X104" s="164"/>
      <c r="Y104" s="164"/>
      <c r="Z104" s="165"/>
      <c r="AA104" s="166"/>
      <c r="AB104" s="166"/>
      <c r="AC104" s="167"/>
      <c r="AD104" s="168"/>
      <c r="AE104" s="169"/>
    </row>
    <row r="105" spans="1:31" ht="41.1" customHeight="1" x14ac:dyDescent="0.15">
      <c r="A105" s="161"/>
      <c r="B105" s="161"/>
      <c r="C105" s="161"/>
      <c r="D105" s="162"/>
      <c r="E105" s="162"/>
      <c r="F105" s="163"/>
      <c r="G105" s="163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4"/>
      <c r="W105" s="164"/>
      <c r="X105" s="164"/>
      <c r="Y105" s="164"/>
      <c r="Z105" s="165"/>
      <c r="AA105" s="166"/>
      <c r="AB105" s="166"/>
      <c r="AC105" s="167"/>
      <c r="AD105" s="168"/>
      <c r="AE105" s="169"/>
    </row>
    <row r="106" spans="1:31" ht="41.1" customHeight="1" x14ac:dyDescent="0.15">
      <c r="A106" s="161"/>
      <c r="B106" s="161"/>
      <c r="C106" s="161"/>
      <c r="D106" s="162"/>
      <c r="E106" s="162"/>
      <c r="F106" s="163"/>
      <c r="G106" s="163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4"/>
      <c r="W106" s="164"/>
      <c r="X106" s="164"/>
      <c r="Y106" s="164"/>
      <c r="Z106" s="165"/>
      <c r="AA106" s="166"/>
      <c r="AB106" s="166"/>
      <c r="AC106" s="167"/>
      <c r="AD106" s="168"/>
      <c r="AE106" s="169"/>
    </row>
    <row r="107" spans="1:31" ht="41.1" customHeight="1" x14ac:dyDescent="0.15">
      <c r="A107" s="161"/>
      <c r="B107" s="161"/>
      <c r="C107" s="161"/>
      <c r="D107" s="162"/>
      <c r="E107" s="162"/>
      <c r="F107" s="163"/>
      <c r="G107" s="163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4"/>
      <c r="W107" s="164"/>
      <c r="X107" s="164"/>
      <c r="Y107" s="164"/>
      <c r="Z107" s="165"/>
      <c r="AA107" s="166"/>
      <c r="AB107" s="166"/>
      <c r="AC107" s="167"/>
      <c r="AD107" s="168"/>
      <c r="AE107" s="169"/>
    </row>
    <row r="108" spans="1:31" ht="41.1" customHeight="1" x14ac:dyDescent="0.15">
      <c r="A108" s="161"/>
      <c r="B108" s="161"/>
      <c r="C108" s="161"/>
      <c r="D108" s="162"/>
      <c r="E108" s="162"/>
      <c r="F108" s="163"/>
      <c r="G108" s="163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4"/>
      <c r="W108" s="164"/>
      <c r="X108" s="164"/>
      <c r="Y108" s="164"/>
      <c r="Z108" s="165"/>
      <c r="AA108" s="166"/>
      <c r="AB108" s="166"/>
      <c r="AC108" s="167"/>
      <c r="AD108" s="168"/>
      <c r="AE108" s="169"/>
    </row>
    <row r="109" spans="1:31" ht="41.1" customHeight="1" x14ac:dyDescent="0.15">
      <c r="A109" s="161"/>
      <c r="B109" s="161"/>
      <c r="C109" s="161"/>
      <c r="D109" s="162"/>
      <c r="E109" s="162"/>
      <c r="F109" s="163"/>
      <c r="G109" s="163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4"/>
      <c r="W109" s="164"/>
      <c r="X109" s="164"/>
      <c r="Y109" s="164"/>
      <c r="Z109" s="165"/>
      <c r="AA109" s="166"/>
      <c r="AB109" s="166"/>
      <c r="AC109" s="167"/>
      <c r="AD109" s="168"/>
      <c r="AE109" s="169"/>
    </row>
    <row r="110" spans="1:31" ht="41.1" customHeight="1" x14ac:dyDescent="0.15">
      <c r="A110" s="161"/>
      <c r="B110" s="161"/>
      <c r="C110" s="161"/>
      <c r="D110" s="162"/>
      <c r="E110" s="162"/>
      <c r="F110" s="163"/>
      <c r="G110" s="163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4"/>
      <c r="W110" s="164"/>
      <c r="X110" s="164"/>
      <c r="Y110" s="164"/>
      <c r="Z110" s="165"/>
      <c r="AA110" s="166"/>
      <c r="AB110" s="166"/>
      <c r="AC110" s="167"/>
      <c r="AD110" s="168"/>
      <c r="AE110" s="169"/>
    </row>
    <row r="111" spans="1:31" ht="41.1" customHeight="1" x14ac:dyDescent="0.15">
      <c r="A111" s="161"/>
      <c r="B111" s="161"/>
      <c r="C111" s="161"/>
      <c r="D111" s="162"/>
      <c r="E111" s="162"/>
      <c r="F111" s="163"/>
      <c r="G111" s="163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4"/>
      <c r="W111" s="164"/>
      <c r="X111" s="164"/>
      <c r="Y111" s="164"/>
      <c r="Z111" s="165"/>
      <c r="AA111" s="166"/>
      <c r="AB111" s="166"/>
      <c r="AC111" s="167"/>
      <c r="AD111" s="168"/>
      <c r="AE111" s="169"/>
    </row>
    <row r="112" spans="1:31" ht="41.1" customHeight="1" x14ac:dyDescent="0.15">
      <c r="A112" s="161"/>
      <c r="B112" s="161"/>
      <c r="C112" s="161"/>
      <c r="D112" s="162"/>
      <c r="E112" s="162"/>
      <c r="F112" s="163"/>
      <c r="G112" s="163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4"/>
      <c r="W112" s="164"/>
      <c r="X112" s="164"/>
      <c r="Y112" s="164"/>
      <c r="Z112" s="165"/>
      <c r="AA112" s="166"/>
      <c r="AB112" s="166"/>
      <c r="AC112" s="167"/>
      <c r="AD112" s="168"/>
      <c r="AE112" s="169"/>
    </row>
    <row r="113" spans="1:31" ht="41.1" customHeight="1" x14ac:dyDescent="0.15">
      <c r="A113" s="161"/>
      <c r="B113" s="161"/>
      <c r="C113" s="161"/>
      <c r="D113" s="162"/>
      <c r="E113" s="162"/>
      <c r="F113" s="163"/>
      <c r="G113" s="163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4"/>
      <c r="W113" s="164"/>
      <c r="X113" s="164"/>
      <c r="Y113" s="164"/>
      <c r="Z113" s="165"/>
      <c r="AA113" s="166"/>
      <c r="AB113" s="166"/>
      <c r="AC113" s="167"/>
      <c r="AD113" s="168"/>
      <c r="AE113" s="169"/>
    </row>
    <row r="114" spans="1:31" ht="41.1" customHeight="1" x14ac:dyDescent="0.15">
      <c r="A114" s="161"/>
      <c r="B114" s="161"/>
      <c r="C114" s="161"/>
      <c r="D114" s="162"/>
      <c r="E114" s="162"/>
      <c r="F114" s="163"/>
      <c r="G114" s="163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4"/>
      <c r="W114" s="164"/>
      <c r="X114" s="164"/>
      <c r="Y114" s="164"/>
      <c r="Z114" s="165"/>
      <c r="AA114" s="166"/>
      <c r="AB114" s="166"/>
      <c r="AC114" s="167"/>
      <c r="AD114" s="168"/>
      <c r="AE114" s="169"/>
    </row>
    <row r="115" spans="1:31" ht="41.1" customHeight="1" x14ac:dyDescent="0.15">
      <c r="A115" s="161"/>
      <c r="B115" s="161"/>
      <c r="C115" s="161"/>
      <c r="D115" s="162"/>
      <c r="E115" s="162"/>
      <c r="F115" s="163"/>
      <c r="G115" s="163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4"/>
      <c r="W115" s="164"/>
      <c r="X115" s="164"/>
      <c r="Y115" s="164"/>
      <c r="Z115" s="165"/>
      <c r="AA115" s="166"/>
      <c r="AB115" s="166"/>
      <c r="AC115" s="167"/>
      <c r="AD115" s="168"/>
      <c r="AE115" s="169"/>
    </row>
    <row r="116" spans="1:31" ht="41.1" customHeight="1" x14ac:dyDescent="0.15">
      <c r="A116" s="161"/>
      <c r="B116" s="161"/>
      <c r="C116" s="161"/>
      <c r="D116" s="162"/>
      <c r="E116" s="162"/>
      <c r="F116" s="163"/>
      <c r="G116" s="163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4"/>
      <c r="W116" s="164"/>
      <c r="X116" s="164"/>
      <c r="Y116" s="164"/>
      <c r="Z116" s="165"/>
      <c r="AA116" s="166"/>
      <c r="AB116" s="166"/>
      <c r="AC116" s="167"/>
      <c r="AD116" s="168"/>
      <c r="AE116" s="169"/>
    </row>
    <row r="117" spans="1:31" ht="41.1" customHeight="1" x14ac:dyDescent="0.15">
      <c r="A117" s="161"/>
      <c r="B117" s="161"/>
      <c r="C117" s="161"/>
      <c r="D117" s="162"/>
      <c r="E117" s="162"/>
      <c r="F117" s="163"/>
      <c r="G117" s="163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4"/>
      <c r="W117" s="164"/>
      <c r="X117" s="164"/>
      <c r="Y117" s="164"/>
      <c r="Z117" s="165"/>
      <c r="AA117" s="166"/>
      <c r="AB117" s="166"/>
      <c r="AC117" s="167"/>
      <c r="AD117" s="168"/>
      <c r="AE117" s="169"/>
    </row>
    <row r="118" spans="1:31" ht="41.1" customHeight="1" x14ac:dyDescent="0.15">
      <c r="A118" s="161"/>
      <c r="B118" s="161"/>
      <c r="C118" s="161"/>
      <c r="D118" s="162"/>
      <c r="E118" s="162"/>
      <c r="F118" s="163"/>
      <c r="G118" s="163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4"/>
      <c r="W118" s="164"/>
      <c r="X118" s="164"/>
      <c r="Y118" s="164"/>
      <c r="Z118" s="165"/>
      <c r="AA118" s="166"/>
      <c r="AB118" s="166"/>
      <c r="AC118" s="167"/>
      <c r="AD118" s="168"/>
      <c r="AE118" s="169"/>
    </row>
    <row r="119" spans="1:31" ht="41.1" customHeight="1" x14ac:dyDescent="0.15">
      <c r="A119" s="161"/>
      <c r="B119" s="161"/>
      <c r="C119" s="161"/>
      <c r="D119" s="162"/>
      <c r="E119" s="162"/>
      <c r="F119" s="163"/>
      <c r="G119" s="163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4"/>
      <c r="W119" s="164"/>
      <c r="X119" s="164"/>
      <c r="Y119" s="164"/>
      <c r="Z119" s="165"/>
      <c r="AA119" s="166"/>
      <c r="AB119" s="166"/>
      <c r="AC119" s="167"/>
      <c r="AD119" s="168"/>
      <c r="AE119" s="169"/>
    </row>
    <row r="120" spans="1:31" ht="41.1" customHeight="1" x14ac:dyDescent="0.15">
      <c r="A120" s="161"/>
      <c r="B120" s="161"/>
      <c r="C120" s="161"/>
      <c r="D120" s="162"/>
      <c r="E120" s="162"/>
      <c r="F120" s="163"/>
      <c r="G120" s="163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4"/>
      <c r="W120" s="164"/>
      <c r="X120" s="164"/>
      <c r="Y120" s="164"/>
      <c r="Z120" s="165"/>
      <c r="AA120" s="166"/>
      <c r="AB120" s="166"/>
      <c r="AC120" s="167"/>
      <c r="AD120" s="168"/>
      <c r="AE120" s="169"/>
    </row>
    <row r="121" spans="1:31" ht="41.1" customHeight="1" x14ac:dyDescent="0.15">
      <c r="A121" s="161"/>
      <c r="B121" s="161"/>
      <c r="C121" s="161"/>
      <c r="D121" s="162"/>
      <c r="E121" s="162"/>
      <c r="F121" s="163"/>
      <c r="G121" s="163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4"/>
      <c r="W121" s="164"/>
      <c r="X121" s="164"/>
      <c r="Y121" s="164"/>
      <c r="Z121" s="165"/>
      <c r="AA121" s="166"/>
      <c r="AB121" s="166"/>
      <c r="AC121" s="167"/>
      <c r="AD121" s="168"/>
      <c r="AE121" s="169"/>
    </row>
    <row r="122" spans="1:31" ht="14.1" customHeight="1" x14ac:dyDescent="0.15">
      <c r="A122" s="54"/>
      <c r="B122" s="54"/>
      <c r="C122" s="54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6"/>
      <c r="W122" s="56"/>
      <c r="X122" s="56"/>
      <c r="Y122" s="56"/>
      <c r="Z122" s="121"/>
      <c r="AA122" s="122"/>
      <c r="AB122" s="122"/>
      <c r="AC122" s="122"/>
      <c r="AD122" s="56"/>
      <c r="AE122" s="56"/>
    </row>
    <row r="123" spans="1:31" ht="45" customHeight="1" x14ac:dyDescent="0.15">
      <c r="A123" s="357" t="s">
        <v>252</v>
      </c>
      <c r="B123" s="357"/>
      <c r="C123" s="357"/>
      <c r="D123" s="357"/>
      <c r="E123" s="357"/>
      <c r="F123" s="357"/>
      <c r="G123" s="357"/>
      <c r="H123" s="357"/>
      <c r="I123" s="357"/>
      <c r="J123" s="357"/>
      <c r="K123" s="357"/>
      <c r="L123" s="357"/>
      <c r="M123" s="357"/>
      <c r="N123" s="357"/>
      <c r="O123" s="357"/>
      <c r="P123" s="357"/>
      <c r="Q123" s="357"/>
      <c r="R123" s="357"/>
      <c r="S123" s="357"/>
      <c r="T123" s="357"/>
      <c r="U123" s="357"/>
      <c r="V123" s="357"/>
      <c r="W123" s="357"/>
      <c r="X123" s="357"/>
      <c r="Y123" s="357"/>
      <c r="Z123" s="357"/>
      <c r="AA123" s="357"/>
      <c r="AB123" s="357"/>
      <c r="AC123" s="357"/>
      <c r="AD123" s="357"/>
      <c r="AE123" s="357"/>
    </row>
    <row r="124" spans="1:31" ht="45" customHeight="1" x14ac:dyDescent="0.15">
      <c r="A124" s="358" t="s">
        <v>306</v>
      </c>
      <c r="B124" s="358"/>
      <c r="C124" s="358"/>
      <c r="D124" s="358" t="s">
        <v>307</v>
      </c>
      <c r="E124" s="358"/>
      <c r="F124" s="358"/>
      <c r="G124" s="358"/>
      <c r="H124" s="360"/>
      <c r="I124" s="361"/>
      <c r="J124" s="361"/>
      <c r="K124" s="361"/>
      <c r="L124" s="361"/>
      <c r="M124" s="361"/>
      <c r="N124" s="361"/>
      <c r="O124" s="361"/>
      <c r="P124" s="361"/>
      <c r="Q124" s="361"/>
      <c r="R124" s="361"/>
      <c r="S124" s="361"/>
      <c r="T124" s="361"/>
      <c r="U124" s="361"/>
      <c r="V124" s="361"/>
      <c r="W124" s="361"/>
      <c r="X124" s="361"/>
      <c r="Y124" s="361"/>
      <c r="Z124" s="361"/>
      <c r="AA124" s="361"/>
      <c r="AB124" s="361"/>
      <c r="AC124" s="361"/>
      <c r="AD124" s="361"/>
      <c r="AE124" s="362"/>
    </row>
    <row r="125" spans="1:31" ht="45" customHeight="1" x14ac:dyDescent="0.15">
      <c r="A125" s="338" t="s">
        <v>253</v>
      </c>
      <c r="B125" s="338"/>
      <c r="C125" s="338"/>
      <c r="D125" s="343" t="s">
        <v>254</v>
      </c>
      <c r="E125" s="343"/>
      <c r="F125" s="343"/>
      <c r="G125" s="344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  <c r="AD125" s="339"/>
      <c r="AE125" s="339"/>
    </row>
    <row r="126" spans="1:31" ht="45" customHeight="1" x14ac:dyDescent="0.15">
      <c r="A126" s="338" t="s">
        <v>255</v>
      </c>
      <c r="B126" s="338"/>
      <c r="C126" s="338"/>
      <c r="D126" s="343" t="s">
        <v>256</v>
      </c>
      <c r="E126" s="343"/>
      <c r="F126" s="343"/>
      <c r="G126" s="344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339"/>
      <c r="AE126" s="339"/>
    </row>
    <row r="127" spans="1:31" ht="45" customHeight="1" x14ac:dyDescent="0.15">
      <c r="A127" s="338" t="s">
        <v>257</v>
      </c>
      <c r="B127" s="338"/>
      <c r="C127" s="338"/>
      <c r="D127" s="343" t="s">
        <v>258</v>
      </c>
      <c r="E127" s="343"/>
      <c r="F127" s="343"/>
      <c r="G127" s="344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  <c r="AD127" s="339"/>
      <c r="AE127" s="339"/>
    </row>
    <row r="128" spans="1:31" ht="45" customHeight="1" x14ac:dyDescent="0.15">
      <c r="A128" s="338" t="s">
        <v>259</v>
      </c>
      <c r="B128" s="338"/>
      <c r="C128" s="338"/>
      <c r="D128" s="340" t="s">
        <v>260</v>
      </c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2"/>
    </row>
  </sheetData>
  <autoFilter ref="A10:AE52" xr:uid="{00000000-0001-0000-0100-000000000000}">
    <filterColumn colId="23" showButton="0"/>
  </autoFilter>
  <mergeCells count="41">
    <mergeCell ref="A123:AE123"/>
    <mergeCell ref="A124:C124"/>
    <mergeCell ref="D124:G124"/>
    <mergeCell ref="A11:A51"/>
    <mergeCell ref="A9:A10"/>
    <mergeCell ref="H124:AE124"/>
    <mergeCell ref="J9:N9"/>
    <mergeCell ref="X9:Y10"/>
    <mergeCell ref="Z9:AC9"/>
    <mergeCell ref="AD9:AD10"/>
    <mergeCell ref="AE9:AE10"/>
    <mergeCell ref="D9:I9"/>
    <mergeCell ref="A54:A55"/>
    <mergeCell ref="B54:B55"/>
    <mergeCell ref="D54:G54"/>
    <mergeCell ref="H54:I54"/>
    <mergeCell ref="J54:J55"/>
    <mergeCell ref="K54:K55"/>
    <mergeCell ref="A56:A97"/>
    <mergeCell ref="AD5:AD6"/>
    <mergeCell ref="AB5:AC6"/>
    <mergeCell ref="B9:B10"/>
    <mergeCell ref="C9:C10"/>
    <mergeCell ref="O9:W9"/>
    <mergeCell ref="W7:Z7"/>
    <mergeCell ref="AB4:AC4"/>
    <mergeCell ref="AB7:AC7"/>
    <mergeCell ref="AA5:AA6"/>
    <mergeCell ref="A127:C127"/>
    <mergeCell ref="A128:C128"/>
    <mergeCell ref="H126:AE126"/>
    <mergeCell ref="H125:AE125"/>
    <mergeCell ref="H127:AE127"/>
    <mergeCell ref="D128:AE128"/>
    <mergeCell ref="D125:G125"/>
    <mergeCell ref="D126:G126"/>
    <mergeCell ref="D127:G127"/>
    <mergeCell ref="A125:C125"/>
    <mergeCell ref="A126:C126"/>
    <mergeCell ref="A52:C52"/>
    <mergeCell ref="B8:C8"/>
  </mergeCells>
  <phoneticPr fontId="4" type="noConversion"/>
  <conditionalFormatting sqref="A8:AF8 A9:D9 J9:AF9 A10:AF51">
    <cfRule type="expression" dxfId="46" priority="25">
      <formula>$AF8=1</formula>
    </cfRule>
  </conditionalFormatting>
  <conditionalFormatting sqref="B56:B96">
    <cfRule type="expression" dxfId="45" priority="2">
      <formula>$AF56=1</formula>
    </cfRule>
  </conditionalFormatting>
  <conditionalFormatting sqref="H54">
    <cfRule type="expression" dxfId="44" priority="15">
      <formula>#REF!="확인완료"</formula>
    </cfRule>
    <cfRule type="expression" dxfId="43" priority="16">
      <formula>#REF!="승인"</formula>
    </cfRule>
    <cfRule type="expression" dxfId="42" priority="17">
      <formula>#REF!="사업지연"</formula>
    </cfRule>
    <cfRule type="expression" dxfId="41" priority="18">
      <formula>#REF!="수정요청"</formula>
    </cfRule>
    <cfRule type="expression" dxfId="40" priority="20">
      <formula>#REF!="사업포기"</formula>
    </cfRule>
    <cfRule type="expression" dxfId="39" priority="19">
      <formula>#REF!="완료"</formula>
    </cfRule>
    <cfRule type="expression" dxfId="38" priority="21">
      <formula>#REF!="현장평가 미진행"</formula>
    </cfRule>
    <cfRule type="expression" dxfId="37" priority="22">
      <formula>#REF!="미제출"</formula>
    </cfRule>
    <cfRule type="expression" dxfId="36" priority="23">
      <formula>#REF!="작성중"</formula>
    </cfRule>
    <cfRule type="expression" dxfId="35" priority="24">
      <formula>#REF!="기업확인"</formula>
    </cfRule>
    <cfRule type="expression" dxfId="34" priority="14">
      <formula>#REF!="삭제"</formula>
    </cfRule>
  </conditionalFormatting>
  <conditionalFormatting sqref="J54:K54">
    <cfRule type="expression" dxfId="33" priority="3">
      <formula>#REF!="삭제"</formula>
    </cfRule>
    <cfRule type="expression" dxfId="32" priority="4">
      <formula>#REF!="확인완료"</formula>
    </cfRule>
    <cfRule type="expression" dxfId="31" priority="5">
      <formula>#REF!="승인"</formula>
    </cfRule>
    <cfRule type="expression" dxfId="30" priority="6">
      <formula>#REF!="사업지연"</formula>
    </cfRule>
    <cfRule type="expression" dxfId="29" priority="8">
      <formula>#REF!="완료"</formula>
    </cfRule>
    <cfRule type="expression" dxfId="28" priority="9">
      <formula>#REF!="사업포기"</formula>
    </cfRule>
    <cfRule type="expression" dxfId="27" priority="10">
      <formula>#REF!="현장평가 미진행"</formula>
    </cfRule>
    <cfRule type="expression" dxfId="26" priority="11">
      <formula>#REF!="미제출"</formula>
    </cfRule>
    <cfRule type="expression" dxfId="25" priority="12">
      <formula>#REF!="작성중"</formula>
    </cfRule>
    <cfRule type="expression" dxfId="24" priority="13">
      <formula>#REF!="기업확인"</formula>
    </cfRule>
    <cfRule type="expression" dxfId="23" priority="7">
      <formula>#REF!="수정요청"</formula>
    </cfRule>
  </conditionalFormatting>
  <conditionalFormatting sqref="O9">
    <cfRule type="expression" dxfId="22" priority="38">
      <formula>#REF!="삭제"</formula>
    </cfRule>
    <cfRule type="expression" dxfId="21" priority="39">
      <formula>#REF!="확인완료"</formula>
    </cfRule>
    <cfRule type="expression" dxfId="20" priority="40">
      <formula>#REF!="승인"</formula>
    </cfRule>
    <cfRule type="expression" dxfId="19" priority="41">
      <formula>#REF!="사업지연"</formula>
    </cfRule>
    <cfRule type="expression" dxfId="18" priority="42">
      <formula>#REF!="수정요청"</formula>
    </cfRule>
    <cfRule type="expression" dxfId="17" priority="43">
      <formula>#REF!="완료"</formula>
    </cfRule>
    <cfRule type="expression" dxfId="16" priority="44">
      <formula>#REF!="사업포기"</formula>
    </cfRule>
    <cfRule type="expression" dxfId="15" priority="45">
      <formula>#REF!="현장평가 미진행"</formula>
    </cfRule>
    <cfRule type="expression" dxfId="14" priority="46">
      <formula>#REF!="미제출"</formula>
    </cfRule>
    <cfRule type="expression" dxfId="13" priority="47">
      <formula>#REF!="작성중"</formula>
    </cfRule>
    <cfRule type="expression" dxfId="12" priority="48">
      <formula>#REF!="기업확인"</formula>
    </cfRule>
  </conditionalFormatting>
  <conditionalFormatting sqref="T8">
    <cfRule type="cellIs" dxfId="11" priority="26" operator="equal">
      <formula>"승인"</formula>
    </cfRule>
  </conditionalFormatting>
  <conditionalFormatting sqref="AE9">
    <cfRule type="expression" dxfId="10" priority="27">
      <formula>#REF!="삭제"</formula>
    </cfRule>
    <cfRule type="expression" dxfId="9" priority="28">
      <formula>#REF!="확인완료"</formula>
    </cfRule>
    <cfRule type="expression" dxfId="8" priority="29">
      <formula>#REF!="승인"</formula>
    </cfRule>
    <cfRule type="expression" dxfId="7" priority="30">
      <formula>#REF!="사업지연"</formula>
    </cfRule>
    <cfRule type="expression" dxfId="6" priority="31">
      <formula>#REF!="수정요청"</formula>
    </cfRule>
    <cfRule type="expression" dxfId="5" priority="32">
      <formula>#REF!="완료"</formula>
    </cfRule>
    <cfRule type="expression" dxfId="4" priority="33">
      <formula>#REF!="사업포기"</formula>
    </cfRule>
    <cfRule type="expression" dxfId="3" priority="34">
      <formula>#REF!="현장평가 미진행"</formula>
    </cfRule>
    <cfRule type="expression" dxfId="2" priority="35">
      <formula>#REF!="미제출"</formula>
    </cfRule>
    <cfRule type="expression" dxfId="1" priority="36">
      <formula>#REF!="작성중"</formula>
    </cfRule>
    <cfRule type="expression" dxfId="0" priority="37">
      <formula>#REF!="기업확인"</formula>
    </cfRule>
  </conditionalFormatting>
  <printOptions horizontalCentered="1" verticalCentered="1"/>
  <pageMargins left="0.19685039370078741" right="0.15748031496062992" top="0.11811023622047245" bottom="0.27559055118110237" header="0.31496062992125984" footer="0.31496062992125984"/>
  <pageSetup paperSize="9" scale="16" orientation="portrait" r:id="rId1"/>
  <rowBreaks count="1" manualBreakCount="1">
    <brk id="43" max="3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4" name="Button 2">
              <controlPr defaultSize="0" print="0" autoFill="0" autoPict="0" macro="[1]!PRE_Click">
                <anchor moveWithCells="1" sizeWithCells="1">
                  <from>
                    <xdr:col>2</xdr:col>
                    <xdr:colOff>1381125</xdr:colOff>
                    <xdr:row>7</xdr:row>
                    <xdr:rowOff>0</xdr:rowOff>
                  </from>
                  <to>
                    <xdr:col>3</xdr:col>
                    <xdr:colOff>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1" r:id="rId5" name="Button 1">
              <controlPr defaultSize="0" print="0" autoFill="0" autoPict="0" macro="[1]!TODAY_Click">
                <anchor moveWithCells="1" sizeWithCells="1">
                  <from>
                    <xdr:col>8</xdr:col>
                    <xdr:colOff>9525</xdr:colOff>
                    <xdr:row>7</xdr:row>
                    <xdr:rowOff>0</xdr:rowOff>
                  </from>
                  <to>
                    <xdr:col>8</xdr:col>
                    <xdr:colOff>457200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Pict="0" macro="[1]!NEXT_Click">
                <anchor moveWithCells="1" sizeWithCells="1">
                  <from>
                    <xdr:col>8</xdr:col>
                    <xdr:colOff>466725</xdr:colOff>
                    <xdr:row>7</xdr:row>
                    <xdr:rowOff>0</xdr:rowOff>
                  </from>
                  <to>
                    <xdr:col>12</xdr:col>
                    <xdr:colOff>257175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7" name="Button 35">
              <controlPr defaultSize="0" print="0" autoFill="0" autoPict="0" macro="[1]!TODAY_Click">
                <anchor moveWithCells="1" sizeWithCells="1">
                  <from>
                    <xdr:col>9</xdr:col>
                    <xdr:colOff>9525</xdr:colOff>
                    <xdr:row>7</xdr:row>
                    <xdr:rowOff>0</xdr:rowOff>
                  </from>
                  <to>
                    <xdr:col>9</xdr:col>
                    <xdr:colOff>457200</xdr:colOff>
                    <xdr:row>7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일별현황_2026</vt:lpstr>
      <vt:lpstr>세부(구축)</vt:lpstr>
      <vt:lpstr>결재도장란</vt:lpstr>
      <vt:lpstr>집계(구축)</vt:lpstr>
      <vt:lpstr>수행</vt:lpstr>
      <vt:lpstr>일별현황(구)</vt:lpstr>
      <vt:lpstr>'세부(구축)'!Print_Area</vt:lpstr>
      <vt:lpstr>'일별현황(구)'!Print_Area</vt:lpstr>
      <vt:lpstr>일별현황_2026!Print_Area</vt:lpstr>
      <vt:lpstr>'집계(구축)'!Print_Area</vt:lpstr>
      <vt:lpstr>'세부(구축)'!Print_Titles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민선 김</dc:creator>
  <cp:lastModifiedBy>민선 김</cp:lastModifiedBy>
  <cp:lastPrinted>2026-06-16T09:07:42Z</cp:lastPrinted>
  <dcterms:created xsi:type="dcterms:W3CDTF">2024-04-09T07:13:35Z</dcterms:created>
  <dcterms:modified xsi:type="dcterms:W3CDTF">2026-06-16T09:07:44Z</dcterms:modified>
</cp:coreProperties>
</file>