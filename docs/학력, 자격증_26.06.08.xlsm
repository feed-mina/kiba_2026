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\\ecost3\kiba\04. 경영관리부(입찰포함)\경영관리부\1. 인사\2. 재직자\01. 자격증, 학력, 협회가입여부, 증명사진\학력, 자격증 정리_26.06.08\"/>
    </mc:Choice>
  </mc:AlternateContent>
  <xr:revisionPtr revIDLastSave="0" documentId="13_ncr:1_{F662A2FE-C8FA-4C51-8B07-70F35506968E}" xr6:coauthVersionLast="47" xr6:coauthVersionMax="47" xr10:uidLastSave="{00000000-0000-0000-0000-000000000000}"/>
  <bookViews>
    <workbookView xWindow="-120" yWindow="-120" windowWidth="24240" windowHeight="13020" firstSheet="1" activeTab="2" xr2:uid="{A1A7E434-2FE9-44D0-A388-5C4495FAFECC}"/>
  </bookViews>
  <sheets>
    <sheet name="검색" sheetId="22" r:id="rId1"/>
    <sheet name="검색 매뉴얼" sheetId="24" r:id="rId2"/>
    <sheet name="개인DB" sheetId="1" r:id="rId3"/>
    <sheet name="학력" sheetId="3" r:id="rId4"/>
    <sheet name="학력정제" sheetId="4" r:id="rId5"/>
    <sheet name="자격증" sheetId="2" r:id="rId6"/>
    <sheet name="자격증정제" sheetId="21" r:id="rId7"/>
    <sheet name="자격증DB" sheetId="5" r:id="rId8"/>
    <sheet name="정렬표" sheetId="19" r:id="rId9"/>
    <sheet name="유지보수 매뉴얼" sheetId="23" r:id="rId10"/>
    <sheet name="퇴사자" sheetId="25" r:id="rId11"/>
  </sheets>
  <externalReferences>
    <externalReference r:id="rId12"/>
  </externalReferences>
  <definedNames>
    <definedName name="_xlnm._FilterDatabase" localSheetId="2" hidden="1">개인DB!$A$1:$H$43</definedName>
    <definedName name="_xlnm._FilterDatabase" localSheetId="5" hidden="1">자격증!$A$1:$K$129</definedName>
    <definedName name="_xlnm._FilterDatabase" localSheetId="7" hidden="1">자격증DB!$A$3:$F$76</definedName>
    <definedName name="_xlnm._FilterDatabase" localSheetId="8" hidden="1">정렬표!$A$1:$C$2</definedName>
    <definedName name="_xlnm._FilterDatabase" localSheetId="3" hidden="1">학력!$A$1:$H$57</definedName>
    <definedName name="_xlpm.res" hidden="1" xlm="1">#NAME?</definedName>
    <definedName name="_xlpm.result" hidden="1" xlm="1">#NAME?</definedName>
    <definedName name="_xlpm.결과" hidden="1" xlm="1">#NAME?</definedName>
    <definedName name="_xlnm.Print_Area" localSheetId="2">개인DB!$A$1:$R$47</definedName>
    <definedName name="_xlnm.Print_Area" localSheetId="5">자격증!$A$1:$G$129</definedName>
    <definedName name="_xlnm.Print_Area" localSheetId="7">자격증DB!$A$1:$C$84</definedName>
    <definedName name="_xlnm.Print_Area" localSheetId="6">자격증정제!$D$1:$U$27</definedName>
    <definedName name="_xlnm.Print_Area" localSheetId="3">학력!$A$1:$K$64</definedName>
    <definedName name="_xlnm.Print_Area" localSheetId="4">학력정제!$D$21:$N$36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56" i="2" l="1"/>
  <c r="Y156" i="2"/>
  <c r="H156" i="2"/>
  <c r="G156" i="2"/>
  <c r="F156" i="2"/>
  <c r="E156" i="2"/>
  <c r="L156" i="2"/>
  <c r="M156" i="2"/>
  <c r="P156" i="2"/>
  <c r="Q156" i="2"/>
  <c r="R156" i="2"/>
  <c r="S156" i="2"/>
  <c r="T156" i="2"/>
  <c r="U156" i="2"/>
  <c r="V156" i="2"/>
  <c r="W156" i="2"/>
  <c r="X156" i="2"/>
  <c r="B157" i="2"/>
  <c r="C157" i="2"/>
  <c r="P157" i="2"/>
  <c r="Q157" i="2"/>
  <c r="R157" i="2"/>
  <c r="S157" i="2"/>
  <c r="T157" i="2"/>
  <c r="U157" i="2"/>
  <c r="V157" i="2"/>
  <c r="W157" i="2"/>
  <c r="X157" i="2"/>
  <c r="B158" i="2"/>
  <c r="C158" i="2"/>
  <c r="P158" i="2"/>
  <c r="Q158" i="2"/>
  <c r="R158" i="2"/>
  <c r="S158" i="2"/>
  <c r="T158" i="2"/>
  <c r="U158" i="2"/>
  <c r="V158" i="2"/>
  <c r="W158" i="2"/>
  <c r="X158" i="2"/>
  <c r="B159" i="2"/>
  <c r="C159" i="2"/>
  <c r="P159" i="2"/>
  <c r="Q159" i="2"/>
  <c r="R159" i="2"/>
  <c r="S159" i="2"/>
  <c r="T159" i="2"/>
  <c r="U159" i="2"/>
  <c r="V159" i="2"/>
  <c r="W159" i="2"/>
  <c r="X159" i="2"/>
  <c r="B160" i="2"/>
  <c r="C160" i="2"/>
  <c r="P160" i="2"/>
  <c r="Q160" i="2"/>
  <c r="R160" i="2"/>
  <c r="S160" i="2"/>
  <c r="T160" i="2"/>
  <c r="U160" i="2"/>
  <c r="V160" i="2"/>
  <c r="W160" i="2"/>
  <c r="X160" i="2"/>
  <c r="B161" i="2"/>
  <c r="C161" i="2"/>
  <c r="P161" i="2"/>
  <c r="Q161" i="2"/>
  <c r="R161" i="2"/>
  <c r="S161" i="2"/>
  <c r="T161" i="2"/>
  <c r="U161" i="2"/>
  <c r="V161" i="2"/>
  <c r="W161" i="2"/>
  <c r="X161" i="2"/>
  <c r="B162" i="2"/>
  <c r="C162" i="2"/>
  <c r="P162" i="2"/>
  <c r="Q162" i="2"/>
  <c r="R162" i="2"/>
  <c r="S162" i="2"/>
  <c r="T162" i="2"/>
  <c r="U162" i="2"/>
  <c r="V162" i="2"/>
  <c r="W162" i="2"/>
  <c r="X162" i="2"/>
  <c r="B163" i="2"/>
  <c r="C163" i="2"/>
  <c r="P163" i="2"/>
  <c r="Q163" i="2"/>
  <c r="R163" i="2"/>
  <c r="S163" i="2"/>
  <c r="T163" i="2"/>
  <c r="U163" i="2"/>
  <c r="V163" i="2"/>
  <c r="W163" i="2"/>
  <c r="X163" i="2"/>
  <c r="B164" i="2"/>
  <c r="C164" i="2"/>
  <c r="P164" i="2"/>
  <c r="Q164" i="2"/>
  <c r="R164" i="2"/>
  <c r="S164" i="2"/>
  <c r="T164" i="2"/>
  <c r="U164" i="2"/>
  <c r="V164" i="2"/>
  <c r="W164" i="2"/>
  <c r="X164" i="2"/>
  <c r="B165" i="2"/>
  <c r="C165" i="2"/>
  <c r="P165" i="2"/>
  <c r="Q165" i="2"/>
  <c r="R165" i="2"/>
  <c r="S165" i="2"/>
  <c r="T165" i="2"/>
  <c r="U165" i="2"/>
  <c r="V165" i="2"/>
  <c r="W165" i="2"/>
  <c r="X165" i="2"/>
  <c r="B166" i="2"/>
  <c r="C166" i="2"/>
  <c r="P166" i="2"/>
  <c r="Q166" i="2"/>
  <c r="R166" i="2"/>
  <c r="S166" i="2"/>
  <c r="T166" i="2"/>
  <c r="U166" i="2"/>
  <c r="V166" i="2"/>
  <c r="W166" i="2"/>
  <c r="X166" i="2"/>
  <c r="B167" i="2"/>
  <c r="C167" i="2"/>
  <c r="P167" i="2"/>
  <c r="Q167" i="2"/>
  <c r="R167" i="2"/>
  <c r="S167" i="2"/>
  <c r="T167" i="2"/>
  <c r="U167" i="2"/>
  <c r="V167" i="2"/>
  <c r="W167" i="2"/>
  <c r="X167" i="2"/>
  <c r="B168" i="2"/>
  <c r="C168" i="2"/>
  <c r="P168" i="2"/>
  <c r="Q168" i="2"/>
  <c r="R168" i="2"/>
  <c r="S168" i="2"/>
  <c r="T168" i="2"/>
  <c r="U168" i="2"/>
  <c r="V168" i="2"/>
  <c r="W168" i="2"/>
  <c r="X168" i="2"/>
  <c r="B169" i="2"/>
  <c r="C169" i="2"/>
  <c r="P169" i="2"/>
  <c r="Q169" i="2"/>
  <c r="R169" i="2"/>
  <c r="S169" i="2"/>
  <c r="T169" i="2"/>
  <c r="U169" i="2"/>
  <c r="V169" i="2"/>
  <c r="W169" i="2"/>
  <c r="X169" i="2"/>
  <c r="B170" i="2"/>
  <c r="C170" i="2"/>
  <c r="P170" i="2"/>
  <c r="Q170" i="2"/>
  <c r="R170" i="2"/>
  <c r="S170" i="2"/>
  <c r="T170" i="2"/>
  <c r="U170" i="2"/>
  <c r="V170" i="2"/>
  <c r="W170" i="2"/>
  <c r="X170" i="2"/>
  <c r="B171" i="2"/>
  <c r="C171" i="2"/>
  <c r="P171" i="2"/>
  <c r="Q171" i="2"/>
  <c r="R171" i="2"/>
  <c r="S171" i="2"/>
  <c r="T171" i="2"/>
  <c r="U171" i="2"/>
  <c r="V171" i="2"/>
  <c r="W171" i="2"/>
  <c r="X171" i="2"/>
  <c r="B172" i="2"/>
  <c r="C172" i="2"/>
  <c r="P172" i="2"/>
  <c r="Q172" i="2"/>
  <c r="R172" i="2"/>
  <c r="S172" i="2"/>
  <c r="T172" i="2"/>
  <c r="U172" i="2"/>
  <c r="V172" i="2"/>
  <c r="W172" i="2"/>
  <c r="X172" i="2"/>
  <c r="B173" i="2"/>
  <c r="C173" i="2"/>
  <c r="P173" i="2"/>
  <c r="Q173" i="2"/>
  <c r="R173" i="2"/>
  <c r="S173" i="2"/>
  <c r="T173" i="2"/>
  <c r="U173" i="2"/>
  <c r="V173" i="2"/>
  <c r="W173" i="2"/>
  <c r="X173" i="2"/>
  <c r="B174" i="2"/>
  <c r="C174" i="2"/>
  <c r="P174" i="2"/>
  <c r="Q174" i="2"/>
  <c r="R174" i="2"/>
  <c r="S174" i="2"/>
  <c r="T174" i="2"/>
  <c r="U174" i="2"/>
  <c r="V174" i="2"/>
  <c r="W174" i="2"/>
  <c r="X174" i="2"/>
  <c r="B175" i="2"/>
  <c r="C175" i="2"/>
  <c r="P175" i="2"/>
  <c r="Q175" i="2"/>
  <c r="R175" i="2"/>
  <c r="S175" i="2"/>
  <c r="T175" i="2"/>
  <c r="U175" i="2"/>
  <c r="V175" i="2"/>
  <c r="W175" i="2"/>
  <c r="X17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H155" i="2"/>
  <c r="G155" i="2"/>
  <c r="E155" i="2"/>
  <c r="C155" i="2"/>
  <c r="B155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H154" i="2"/>
  <c r="G154" i="2"/>
  <c r="E154" i="2"/>
  <c r="C154" i="2"/>
  <c r="B154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H153" i="2"/>
  <c r="G153" i="2"/>
  <c r="E153" i="2"/>
  <c r="C153" i="2"/>
  <c r="B153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H152" i="2"/>
  <c r="G152" i="2"/>
  <c r="E152" i="2"/>
  <c r="C152" i="2"/>
  <c r="B152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H151" i="2"/>
  <c r="G151" i="2"/>
  <c r="E151" i="2"/>
  <c r="C151" i="2"/>
  <c r="B151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H150" i="2"/>
  <c r="G150" i="2"/>
  <c r="E150" i="2"/>
  <c r="C150" i="2"/>
  <c r="B150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H149" i="2"/>
  <c r="G149" i="2"/>
  <c r="E149" i="2"/>
  <c r="C149" i="2"/>
  <c r="B149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H148" i="2"/>
  <c r="G148" i="2"/>
  <c r="E148" i="2"/>
  <c r="C148" i="2"/>
  <c r="B148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H147" i="2"/>
  <c r="G147" i="2"/>
  <c r="E147" i="2"/>
  <c r="C147" i="2"/>
  <c r="B147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H146" i="2"/>
  <c r="G146" i="2"/>
  <c r="C146" i="2"/>
  <c r="B146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H145" i="2"/>
  <c r="G145" i="2"/>
  <c r="C145" i="2"/>
  <c r="B145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H144" i="2"/>
  <c r="G144" i="2"/>
  <c r="C144" i="2"/>
  <c r="B144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H143" i="2"/>
  <c r="G143" i="2"/>
  <c r="C143" i="2"/>
  <c r="B143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H142" i="2"/>
  <c r="G142" i="2"/>
  <c r="F142" i="2"/>
  <c r="C142" i="2"/>
  <c r="B142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H141" i="2"/>
  <c r="G141" i="2"/>
  <c r="F141" i="2"/>
  <c r="C141" i="2"/>
  <c r="B141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H140" i="2"/>
  <c r="G140" i="2"/>
  <c r="F140" i="2"/>
  <c r="C140" i="2"/>
  <c r="B140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H139" i="2"/>
  <c r="G139" i="2"/>
  <c r="F139" i="2"/>
  <c r="E139" i="2"/>
  <c r="C139" i="2"/>
  <c r="B139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H138" i="2"/>
  <c r="G138" i="2"/>
  <c r="F138" i="2"/>
  <c r="E138" i="2"/>
  <c r="C138" i="2"/>
  <c r="B138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H137" i="2"/>
  <c r="G137" i="2"/>
  <c r="F137" i="2"/>
  <c r="E137" i="2"/>
  <c r="C137" i="2"/>
  <c r="B137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H136" i="2"/>
  <c r="G136" i="2"/>
  <c r="F136" i="2"/>
  <c r="C136" i="2"/>
  <c r="B136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H135" i="2"/>
  <c r="G135" i="2"/>
  <c r="F135" i="2"/>
  <c r="C135" i="2"/>
  <c r="B135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H134" i="2"/>
  <c r="G134" i="2"/>
  <c r="F134" i="2"/>
  <c r="C134" i="2"/>
  <c r="B134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H133" i="2"/>
  <c r="G133" i="2"/>
  <c r="F133" i="2"/>
  <c r="E133" i="2"/>
  <c r="C133" i="2"/>
  <c r="B133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H132" i="2"/>
  <c r="G132" i="2"/>
  <c r="F132" i="2"/>
  <c r="C132" i="2"/>
  <c r="B132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H131" i="2"/>
  <c r="G131" i="2"/>
  <c r="F131" i="2"/>
  <c r="C131" i="2"/>
  <c r="B131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H130" i="2"/>
  <c r="G130" i="2"/>
  <c r="C130" i="2"/>
  <c r="B130" i="2"/>
  <c r="D8" i="22" l="1"/>
  <c r="L60" i="3"/>
  <c r="Y121" i="2"/>
  <c r="Y122" i="2"/>
  <c r="Y123" i="2"/>
  <c r="Y124" i="2"/>
  <c r="Y125" i="2"/>
  <c r="Y126" i="2"/>
  <c r="Y127" i="2"/>
  <c r="Y128" i="2"/>
  <c r="Y129" i="2"/>
  <c r="Y120" i="2"/>
  <c r="Z120" i="2"/>
  <c r="F21" i="22" s="1"/>
  <c r="Z121" i="2"/>
  <c r="Z122" i="2"/>
  <c r="Z123" i="2"/>
  <c r="Z124" i="2"/>
  <c r="Z125" i="2"/>
  <c r="Z126" i="2"/>
  <c r="Z127" i="2"/>
  <c r="Z128" i="2"/>
  <c r="Z129" i="2"/>
  <c r="H129" i="2"/>
  <c r="G129" i="2"/>
  <c r="F129" i="2"/>
  <c r="E129" i="2"/>
  <c r="B129" i="2"/>
  <c r="C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Z119" i="2"/>
  <c r="Y119" i="2"/>
  <c r="F119" i="2"/>
  <c r="F120" i="2"/>
  <c r="F121" i="2"/>
  <c r="F122" i="2"/>
  <c r="F123" i="2"/>
  <c r="F124" i="2"/>
  <c r="F125" i="2"/>
  <c r="F126" i="2"/>
  <c r="F127" i="2"/>
  <c r="F128" i="2"/>
  <c r="H125" i="2"/>
  <c r="H126" i="2"/>
  <c r="H127" i="2"/>
  <c r="H128" i="2"/>
  <c r="G125" i="2"/>
  <c r="G126" i="2"/>
  <c r="G127" i="2"/>
  <c r="G128" i="2"/>
  <c r="E125" i="2"/>
  <c r="E126" i="2"/>
  <c r="E127" i="2"/>
  <c r="E128" i="2"/>
  <c r="B127" i="2"/>
  <c r="B128" i="2"/>
  <c r="C127" i="2"/>
  <c r="C128" i="2"/>
  <c r="L127" i="2"/>
  <c r="L128" i="2"/>
  <c r="M127" i="2"/>
  <c r="M128" i="2"/>
  <c r="N127" i="2"/>
  <c r="N128" i="2"/>
  <c r="O127" i="2"/>
  <c r="O128" i="2"/>
  <c r="P127" i="2"/>
  <c r="P128" i="2"/>
  <c r="Q127" i="2"/>
  <c r="Q128" i="2"/>
  <c r="R127" i="2"/>
  <c r="R128" i="2"/>
  <c r="S127" i="2"/>
  <c r="S128" i="2"/>
  <c r="T127" i="2"/>
  <c r="T128" i="2"/>
  <c r="U127" i="2"/>
  <c r="U128" i="2"/>
  <c r="V127" i="2"/>
  <c r="V128" i="2"/>
  <c r="W127" i="2"/>
  <c r="W128" i="2"/>
  <c r="H120" i="2"/>
  <c r="H121" i="2"/>
  <c r="H122" i="2"/>
  <c r="H123" i="2"/>
  <c r="H124" i="2"/>
  <c r="G120" i="2"/>
  <c r="G121" i="2"/>
  <c r="G122" i="2"/>
  <c r="G123" i="2"/>
  <c r="G124" i="2"/>
  <c r="E120" i="2"/>
  <c r="E121" i="2"/>
  <c r="E122" i="2"/>
  <c r="E123" i="2"/>
  <c r="E124" i="2"/>
  <c r="B120" i="2"/>
  <c r="B121" i="2"/>
  <c r="B122" i="2"/>
  <c r="B123" i="2"/>
  <c r="B124" i="2"/>
  <c r="B125" i="2"/>
  <c r="B126" i="2"/>
  <c r="C120" i="2"/>
  <c r="C121" i="2"/>
  <c r="C122" i="2"/>
  <c r="C123" i="2"/>
  <c r="C124" i="2"/>
  <c r="C125" i="2"/>
  <c r="C126" i="2"/>
  <c r="L120" i="2"/>
  <c r="L121" i="2"/>
  <c r="L122" i="2"/>
  <c r="L123" i="2"/>
  <c r="L124" i="2"/>
  <c r="L125" i="2"/>
  <c r="L126" i="2"/>
  <c r="M120" i="2"/>
  <c r="M121" i="2"/>
  <c r="M122" i="2"/>
  <c r="M123" i="2"/>
  <c r="M124" i="2"/>
  <c r="M125" i="2"/>
  <c r="M126" i="2"/>
  <c r="N120" i="2"/>
  <c r="N121" i="2"/>
  <c r="N122" i="2"/>
  <c r="N123" i="2"/>
  <c r="N124" i="2"/>
  <c r="N125" i="2"/>
  <c r="N126" i="2"/>
  <c r="O120" i="2"/>
  <c r="O121" i="2"/>
  <c r="O122" i="2"/>
  <c r="O123" i="2"/>
  <c r="O124" i="2"/>
  <c r="O125" i="2"/>
  <c r="O126" i="2"/>
  <c r="P120" i="2"/>
  <c r="P121" i="2"/>
  <c r="P122" i="2"/>
  <c r="P123" i="2"/>
  <c r="P124" i="2"/>
  <c r="P125" i="2"/>
  <c r="P126" i="2"/>
  <c r="Q120" i="2"/>
  <c r="Q121" i="2"/>
  <c r="Q122" i="2"/>
  <c r="Q123" i="2"/>
  <c r="Q124" i="2"/>
  <c r="Q125" i="2"/>
  <c r="Q126" i="2"/>
  <c r="R120" i="2"/>
  <c r="R121" i="2"/>
  <c r="R122" i="2"/>
  <c r="R123" i="2"/>
  <c r="R124" i="2"/>
  <c r="R125" i="2"/>
  <c r="R126" i="2"/>
  <c r="S120" i="2"/>
  <c r="S121" i="2"/>
  <c r="S122" i="2"/>
  <c r="S123" i="2"/>
  <c r="S124" i="2"/>
  <c r="S125" i="2"/>
  <c r="S126" i="2"/>
  <c r="T120" i="2"/>
  <c r="T121" i="2"/>
  <c r="T122" i="2"/>
  <c r="T123" i="2"/>
  <c r="T124" i="2"/>
  <c r="T125" i="2"/>
  <c r="T126" i="2"/>
  <c r="U120" i="2"/>
  <c r="U121" i="2"/>
  <c r="U122" i="2"/>
  <c r="U123" i="2"/>
  <c r="U124" i="2"/>
  <c r="U125" i="2"/>
  <c r="U126" i="2"/>
  <c r="V120" i="2"/>
  <c r="V121" i="2"/>
  <c r="V122" i="2"/>
  <c r="V123" i="2"/>
  <c r="V124" i="2"/>
  <c r="V125" i="2"/>
  <c r="V126" i="2"/>
  <c r="W120" i="2"/>
  <c r="W121" i="2"/>
  <c r="W122" i="2"/>
  <c r="W123" i="2"/>
  <c r="W124" i="2"/>
  <c r="W125" i="2"/>
  <c r="W126" i="2"/>
  <c r="C60" i="3"/>
  <c r="B60" i="3"/>
  <c r="O9" i="22"/>
  <c r="O10" i="22"/>
  <c r="O11" i="22"/>
  <c r="O12" i="22"/>
  <c r="O13" i="22"/>
  <c r="O8" i="2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7" i="2"/>
  <c r="H7" i="2"/>
  <c r="G8" i="2"/>
  <c r="H8" i="2"/>
  <c r="U9" i="22"/>
  <c r="U10" i="22"/>
  <c r="U11" i="22"/>
  <c r="U12" i="22"/>
  <c r="U13" i="22"/>
  <c r="U8" i="22"/>
  <c r="J57" i="3"/>
  <c r="K57" i="3"/>
  <c r="J58" i="3"/>
  <c r="K58" i="3"/>
  <c r="J59" i="3"/>
  <c r="K59" i="3"/>
  <c r="J60" i="3"/>
  <c r="K60" i="3"/>
  <c r="J61" i="3"/>
  <c r="K61" i="3"/>
  <c r="J62" i="3"/>
  <c r="K62" i="3"/>
  <c r="J63" i="3"/>
  <c r="K63" i="3"/>
  <c r="J64" i="3"/>
  <c r="K64" i="3"/>
  <c r="J65" i="3"/>
  <c r="K65" i="3"/>
  <c r="J66" i="3"/>
  <c r="K66" i="3"/>
  <c r="B66" i="3"/>
  <c r="C66" i="3"/>
  <c r="L3" i="3"/>
  <c r="M3" i="3"/>
  <c r="N3" i="3"/>
  <c r="L4" i="3"/>
  <c r="M4" i="3"/>
  <c r="N4" i="3"/>
  <c r="L5" i="3"/>
  <c r="M5" i="3"/>
  <c r="N5" i="3"/>
  <c r="L6" i="3"/>
  <c r="M6" i="3"/>
  <c r="N6" i="3"/>
  <c r="L7" i="3"/>
  <c r="M7" i="3"/>
  <c r="N7" i="3"/>
  <c r="L8" i="3"/>
  <c r="M8" i="3"/>
  <c r="N8" i="3"/>
  <c r="L9" i="3"/>
  <c r="M9" i="3"/>
  <c r="N9" i="3"/>
  <c r="L10" i="3"/>
  <c r="M10" i="3"/>
  <c r="N10" i="3"/>
  <c r="L11" i="3"/>
  <c r="M11" i="3"/>
  <c r="N11" i="3"/>
  <c r="L12" i="3"/>
  <c r="M12" i="3"/>
  <c r="N12" i="3"/>
  <c r="L13" i="3"/>
  <c r="M13" i="3"/>
  <c r="N13" i="3"/>
  <c r="L14" i="3"/>
  <c r="M14" i="3"/>
  <c r="N14" i="3"/>
  <c r="L15" i="3"/>
  <c r="M15" i="3"/>
  <c r="N15" i="3"/>
  <c r="L16" i="3"/>
  <c r="M16" i="3"/>
  <c r="N16" i="3"/>
  <c r="L17" i="3"/>
  <c r="M17" i="3"/>
  <c r="N17" i="3"/>
  <c r="L18" i="3"/>
  <c r="M18" i="3"/>
  <c r="N18" i="3"/>
  <c r="L19" i="3"/>
  <c r="M19" i="3"/>
  <c r="N19" i="3"/>
  <c r="L20" i="3"/>
  <c r="M20" i="3"/>
  <c r="N20" i="3"/>
  <c r="L21" i="3"/>
  <c r="M21" i="3"/>
  <c r="N21" i="3"/>
  <c r="L22" i="3"/>
  <c r="M22" i="3"/>
  <c r="N22" i="3"/>
  <c r="L23" i="3"/>
  <c r="M23" i="3"/>
  <c r="N23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L29" i="3"/>
  <c r="M29" i="3"/>
  <c r="N29" i="3"/>
  <c r="L30" i="3"/>
  <c r="M30" i="3"/>
  <c r="N30" i="3"/>
  <c r="L31" i="3"/>
  <c r="M31" i="3"/>
  <c r="N31" i="3"/>
  <c r="L32" i="3"/>
  <c r="M32" i="3"/>
  <c r="N32" i="3"/>
  <c r="L33" i="3"/>
  <c r="M33" i="3"/>
  <c r="N33" i="3"/>
  <c r="L34" i="3"/>
  <c r="M34" i="3"/>
  <c r="N34" i="3"/>
  <c r="L35" i="3"/>
  <c r="M35" i="3"/>
  <c r="N35" i="3"/>
  <c r="L36" i="3"/>
  <c r="M36" i="3"/>
  <c r="N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L46" i="3"/>
  <c r="M46" i="3"/>
  <c r="N46" i="3"/>
  <c r="L47" i="3"/>
  <c r="M47" i="3"/>
  <c r="N47" i="3"/>
  <c r="L48" i="3"/>
  <c r="M48" i="3"/>
  <c r="N48" i="3"/>
  <c r="L49" i="3"/>
  <c r="M49" i="3"/>
  <c r="N49" i="3"/>
  <c r="L50" i="3"/>
  <c r="M50" i="3"/>
  <c r="N50" i="3"/>
  <c r="L51" i="3"/>
  <c r="M51" i="3"/>
  <c r="N51" i="3"/>
  <c r="L52" i="3"/>
  <c r="M52" i="3"/>
  <c r="N52" i="3"/>
  <c r="L53" i="3"/>
  <c r="M53" i="3"/>
  <c r="N53" i="3"/>
  <c r="L54" i="3"/>
  <c r="M54" i="3"/>
  <c r="N54" i="3"/>
  <c r="L55" i="3"/>
  <c r="M55" i="3"/>
  <c r="N55" i="3"/>
  <c r="L56" i="3"/>
  <c r="M56" i="3"/>
  <c r="N56" i="3"/>
  <c r="L57" i="3"/>
  <c r="M57" i="3"/>
  <c r="N57" i="3"/>
  <c r="L58" i="3"/>
  <c r="M58" i="3"/>
  <c r="N58" i="3"/>
  <c r="L59" i="3"/>
  <c r="M59" i="3"/>
  <c r="N59" i="3"/>
  <c r="O36" i="22"/>
  <c r="M60" i="3"/>
  <c r="N60" i="3"/>
  <c r="L61" i="3"/>
  <c r="T21" i="22" s="1"/>
  <c r="M61" i="3"/>
  <c r="N61" i="3"/>
  <c r="L62" i="3"/>
  <c r="M62" i="3"/>
  <c r="N62" i="3"/>
  <c r="L63" i="3"/>
  <c r="M63" i="3"/>
  <c r="N63" i="3"/>
  <c r="L64" i="3"/>
  <c r="M64" i="3"/>
  <c r="N64" i="3"/>
  <c r="P9" i="22"/>
  <c r="P10" i="22"/>
  <c r="P11" i="22"/>
  <c r="P12" i="22"/>
  <c r="P13" i="22"/>
  <c r="P8" i="22"/>
  <c r="Q9" i="22"/>
  <c r="Q10" i="22"/>
  <c r="Q11" i="22"/>
  <c r="Q12" i="22"/>
  <c r="Q13" i="22"/>
  <c r="Q8" i="22"/>
  <c r="R9" i="22"/>
  <c r="R10" i="22"/>
  <c r="R11" i="22"/>
  <c r="R12" i="22"/>
  <c r="R13" i="22"/>
  <c r="R8" i="22"/>
  <c r="T9" i="22"/>
  <c r="T10" i="22"/>
  <c r="T11" i="22"/>
  <c r="T12" i="22"/>
  <c r="T13" i="22"/>
  <c r="T8" i="22"/>
  <c r="S9" i="22"/>
  <c r="S10" i="22"/>
  <c r="S11" i="22"/>
  <c r="S12" i="22"/>
  <c r="S13" i="22"/>
  <c r="S8" i="2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N2" i="3"/>
  <c r="M2" i="3"/>
  <c r="L2" i="3"/>
  <c r="C15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H4" i="22"/>
  <c r="G4" i="22"/>
  <c r="F4" i="22"/>
  <c r="F13" i="2"/>
  <c r="F22" i="22" l="1"/>
  <c r="C8" i="22"/>
  <c r="S23" i="22"/>
  <c r="T35" i="22"/>
  <c r="R47" i="22"/>
  <c r="R18" i="22"/>
  <c r="Q30" i="22"/>
  <c r="P43" i="22"/>
  <c r="P15" i="22"/>
  <c r="U39" i="22"/>
  <c r="O35" i="22"/>
  <c r="S20" i="22"/>
  <c r="S22" i="22"/>
  <c r="T34" i="22"/>
  <c r="R46" i="22"/>
  <c r="R17" i="22"/>
  <c r="Q29" i="22"/>
  <c r="P42" i="22"/>
  <c r="P14" i="22"/>
  <c r="U38" i="22"/>
  <c r="O34" i="22"/>
  <c r="S21" i="22"/>
  <c r="T33" i="22"/>
  <c r="R45" i="22"/>
  <c r="R16" i="22"/>
  <c r="Q28" i="22"/>
  <c r="P41" i="22"/>
  <c r="U37" i="22"/>
  <c r="O33" i="22"/>
  <c r="S46" i="22"/>
  <c r="S18" i="22"/>
  <c r="T30" i="22"/>
  <c r="R42" i="22"/>
  <c r="Q25" i="22"/>
  <c r="P38" i="22"/>
  <c r="U34" i="22"/>
  <c r="O30" i="22"/>
  <c r="U30" i="22"/>
  <c r="O26" i="22"/>
  <c r="S47" i="22"/>
  <c r="S16" i="22"/>
  <c r="P33" i="22"/>
  <c r="U29" i="22"/>
  <c r="O25" i="22"/>
  <c r="T32" i="22"/>
  <c r="S19" i="22"/>
  <c r="T26" i="22"/>
  <c r="S41" i="22"/>
  <c r="T25" i="22"/>
  <c r="R37" i="22"/>
  <c r="Q20" i="22"/>
  <c r="S40" i="22"/>
  <c r="T24" i="22"/>
  <c r="R36" i="22"/>
  <c r="Q47" i="22"/>
  <c r="Q19" i="22"/>
  <c r="P32" i="22"/>
  <c r="U28" i="22"/>
  <c r="O24" i="22"/>
  <c r="U27" i="22"/>
  <c r="O23" i="22"/>
  <c r="T31" i="22"/>
  <c r="S44" i="22"/>
  <c r="T27" i="22"/>
  <c r="R35" i="22"/>
  <c r="Q18" i="22"/>
  <c r="P31" i="22"/>
  <c r="S38" i="22"/>
  <c r="T22" i="22"/>
  <c r="R34" i="22"/>
  <c r="Q45" i="22"/>
  <c r="Q17" i="22"/>
  <c r="P30" i="22"/>
  <c r="U26" i="22"/>
  <c r="O22" i="22"/>
  <c r="R44" i="22"/>
  <c r="O28" i="22"/>
  <c r="Q15" i="22"/>
  <c r="T19" i="22"/>
  <c r="R31" i="22"/>
  <c r="Q42" i="22"/>
  <c r="Q14" i="22"/>
  <c r="P27" i="22"/>
  <c r="U23" i="22"/>
  <c r="O47" i="22"/>
  <c r="O19" i="22"/>
  <c r="O31" i="22"/>
  <c r="S15" i="22"/>
  <c r="Q43" i="22"/>
  <c r="T18" i="22"/>
  <c r="R30" i="22"/>
  <c r="Q41" i="22"/>
  <c r="P26" i="22"/>
  <c r="U22" i="22"/>
  <c r="O46" i="22"/>
  <c r="O18" i="22"/>
  <c r="U21" i="22"/>
  <c r="O45" i="22"/>
  <c r="O17" i="22"/>
  <c r="O32" i="22"/>
  <c r="S17" i="22"/>
  <c r="T28" i="22"/>
  <c r="S43" i="22"/>
  <c r="R38" i="22"/>
  <c r="Q44" i="22"/>
  <c r="T47" i="22"/>
  <c r="P24" i="22"/>
  <c r="U20" i="22"/>
  <c r="O44" i="22"/>
  <c r="O16" i="22"/>
  <c r="Q27" i="22"/>
  <c r="O29" i="22"/>
  <c r="T23" i="22"/>
  <c r="P23" i="22"/>
  <c r="U47" i="22"/>
  <c r="U19" i="22"/>
  <c r="O43" i="22"/>
  <c r="O15" i="22"/>
  <c r="P40" i="22"/>
  <c r="R43" i="22"/>
  <c r="S45" i="22"/>
  <c r="P37" i="22"/>
  <c r="U32" i="22"/>
  <c r="O27" i="22"/>
  <c r="S39" i="22"/>
  <c r="U46" i="22"/>
  <c r="U18" i="22"/>
  <c r="O42" i="22"/>
  <c r="O14" i="22"/>
  <c r="R14" i="22"/>
  <c r="Q24" i="22"/>
  <c r="R39" i="22"/>
  <c r="S14" i="22"/>
  <c r="Q46" i="22"/>
  <c r="P29" i="22"/>
  <c r="T20" i="22"/>
  <c r="T45" i="22"/>
  <c r="P25" i="22"/>
  <c r="Q38" i="22"/>
  <c r="S29" i="22"/>
  <c r="T41" i="22"/>
  <c r="R25" i="22"/>
  <c r="Q36" i="22"/>
  <c r="R22" i="22"/>
  <c r="P21" i="22"/>
  <c r="U45" i="22"/>
  <c r="U17" i="22"/>
  <c r="O41" i="22"/>
  <c r="S34" i="22"/>
  <c r="T16" i="22"/>
  <c r="R27" i="22"/>
  <c r="T42" i="22"/>
  <c r="R24" i="22"/>
  <c r="Q35" i="22"/>
  <c r="P20" i="22"/>
  <c r="U44" i="22"/>
  <c r="U16" i="22"/>
  <c r="O40" i="22"/>
  <c r="U36" i="22"/>
  <c r="U35" i="22"/>
  <c r="U33" i="22"/>
  <c r="Q23" i="22"/>
  <c r="Q22" i="22"/>
  <c r="Q21" i="22"/>
  <c r="S37" i="22"/>
  <c r="U25" i="22"/>
  <c r="O20" i="22"/>
  <c r="R29" i="22"/>
  <c r="S31" i="22"/>
  <c r="T14" i="22"/>
  <c r="Q34" i="22"/>
  <c r="P19" i="22"/>
  <c r="U43" i="22"/>
  <c r="U15" i="22"/>
  <c r="O39" i="22"/>
  <c r="Q26" i="22"/>
  <c r="R40" i="22"/>
  <c r="P35" i="22"/>
  <c r="S42" i="22"/>
  <c r="Q16" i="22"/>
  <c r="S36" i="22"/>
  <c r="U24" i="22"/>
  <c r="S33" i="22"/>
  <c r="Q40" i="22"/>
  <c r="T44" i="22"/>
  <c r="Q39" i="22"/>
  <c r="S30" i="22"/>
  <c r="R26" i="22"/>
  <c r="T40" i="22"/>
  <c r="R23" i="22"/>
  <c r="Q33" i="22"/>
  <c r="P46" i="22"/>
  <c r="P18" i="22"/>
  <c r="U42" i="22"/>
  <c r="O38" i="22"/>
  <c r="R41" i="22"/>
  <c r="P36" i="22"/>
  <c r="U31" i="22"/>
  <c r="P34" i="22"/>
  <c r="R33" i="22"/>
  <c r="O21" i="22"/>
  <c r="R32" i="22"/>
  <c r="S35" i="22"/>
  <c r="T17" i="22"/>
  <c r="S32" i="22"/>
  <c r="R28" i="22"/>
  <c r="T43" i="22"/>
  <c r="Q37" i="22"/>
  <c r="S28" i="22"/>
  <c r="T39" i="22"/>
  <c r="P47" i="22"/>
  <c r="T38" i="22"/>
  <c r="T37" i="22"/>
  <c r="O37" i="22"/>
  <c r="R15" i="22"/>
  <c r="P39" i="22"/>
  <c r="T29" i="22"/>
  <c r="P28" i="22"/>
  <c r="T46" i="22"/>
  <c r="T15" i="22"/>
  <c r="P22" i="22"/>
  <c r="S27" i="22"/>
  <c r="S26" i="22"/>
  <c r="R21" i="22"/>
  <c r="U14" i="22"/>
  <c r="S25" i="22"/>
  <c r="R20" i="22"/>
  <c r="Q32" i="22"/>
  <c r="P45" i="22"/>
  <c r="P17" i="22"/>
  <c r="U41" i="22"/>
  <c r="S24" i="22"/>
  <c r="T36" i="22"/>
  <c r="R19" i="22"/>
  <c r="Q31" i="22"/>
  <c r="P44" i="22"/>
  <c r="P16" i="22"/>
  <c r="U40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D9" i="22"/>
  <c r="D10" i="22"/>
  <c r="D11" i="22"/>
  <c r="D12" i="22"/>
  <c r="D13" i="22"/>
  <c r="D14" i="22"/>
  <c r="D15" i="22"/>
  <c r="D16" i="22"/>
  <c r="D17" i="22"/>
  <c r="D18" i="22"/>
  <c r="D19" i="22"/>
  <c r="L19" i="22" s="1"/>
  <c r="D20" i="22"/>
  <c r="D21" i="22"/>
  <c r="D22" i="22"/>
  <c r="D23" i="22"/>
  <c r="D24" i="22"/>
  <c r="D25" i="22"/>
  <c r="L25" i="22" s="1"/>
  <c r="D26" i="22"/>
  <c r="D27" i="22"/>
  <c r="D28" i="22"/>
  <c r="D29" i="22"/>
  <c r="I9" i="22"/>
  <c r="J9" i="22"/>
  <c r="K9" i="22"/>
  <c r="G10" i="22"/>
  <c r="H10" i="22"/>
  <c r="I10" i="22"/>
  <c r="J10" i="22"/>
  <c r="K10" i="22"/>
  <c r="G11" i="22"/>
  <c r="H11" i="22"/>
  <c r="I11" i="22"/>
  <c r="J11" i="22"/>
  <c r="K11" i="22"/>
  <c r="I12" i="22"/>
  <c r="J12" i="22"/>
  <c r="K12" i="22"/>
  <c r="I13" i="22"/>
  <c r="J13" i="22"/>
  <c r="K13" i="22"/>
  <c r="I14" i="22"/>
  <c r="J14" i="22"/>
  <c r="K14" i="22"/>
  <c r="G15" i="22"/>
  <c r="H15" i="22"/>
  <c r="I15" i="22"/>
  <c r="J15" i="22"/>
  <c r="K15" i="22"/>
  <c r="G16" i="22"/>
  <c r="H16" i="22"/>
  <c r="I16" i="22"/>
  <c r="J16" i="22"/>
  <c r="K16" i="22"/>
  <c r="G17" i="22"/>
  <c r="H17" i="22"/>
  <c r="I17" i="22"/>
  <c r="J17" i="22"/>
  <c r="K17" i="22"/>
  <c r="K24" i="22"/>
  <c r="I25" i="22"/>
  <c r="K25" i="22"/>
  <c r="G26" i="22"/>
  <c r="I26" i="22"/>
  <c r="I27" i="22"/>
  <c r="K27" i="22"/>
  <c r="H28" i="22"/>
  <c r="J28" i="22"/>
  <c r="H29" i="22"/>
  <c r="K29" i="22"/>
  <c r="D30" i="22"/>
  <c r="L30" i="22" s="1"/>
  <c r="I30" i="22"/>
  <c r="K30" i="22"/>
  <c r="G31" i="22"/>
  <c r="I31" i="22"/>
  <c r="G32" i="22"/>
  <c r="J32" i="22"/>
  <c r="K32" i="22"/>
  <c r="H33" i="22"/>
  <c r="J33" i="22"/>
  <c r="H34" i="22"/>
  <c r="K34" i="22"/>
  <c r="D35" i="22"/>
  <c r="I35" i="22"/>
  <c r="K35" i="22"/>
  <c r="D36" i="22"/>
  <c r="L36" i="22" s="1"/>
  <c r="G36" i="22"/>
  <c r="I36" i="22"/>
  <c r="I37" i="22"/>
  <c r="K37" i="22"/>
  <c r="D38" i="22"/>
  <c r="I38" i="22"/>
  <c r="K38" i="22"/>
  <c r="D39" i="22"/>
  <c r="G39" i="22"/>
  <c r="I39" i="22"/>
  <c r="K39" i="22"/>
  <c r="G40" i="22"/>
  <c r="J40" i="22"/>
  <c r="I41" i="22"/>
  <c r="K41" i="22"/>
  <c r="E42" i="22"/>
  <c r="G18" i="22"/>
  <c r="H18" i="22"/>
  <c r="I18" i="22"/>
  <c r="J18" i="22"/>
  <c r="K18" i="22"/>
  <c r="G19" i="22"/>
  <c r="H19" i="22"/>
  <c r="I19" i="22"/>
  <c r="J19" i="22"/>
  <c r="K19" i="22"/>
  <c r="G20" i="22"/>
  <c r="H20" i="22"/>
  <c r="I20" i="22"/>
  <c r="J20" i="22"/>
  <c r="K20" i="22"/>
  <c r="G21" i="22"/>
  <c r="H21" i="22"/>
  <c r="I21" i="22"/>
  <c r="J21" i="22"/>
  <c r="K21" i="22"/>
  <c r="G22" i="22"/>
  <c r="H22" i="22"/>
  <c r="I22" i="22"/>
  <c r="J22" i="22"/>
  <c r="K22" i="22"/>
  <c r="G23" i="22"/>
  <c r="H23" i="22"/>
  <c r="I23" i="22"/>
  <c r="J23" i="22"/>
  <c r="K23" i="22"/>
  <c r="G24" i="22"/>
  <c r="H24" i="22"/>
  <c r="I24" i="22"/>
  <c r="J24" i="22"/>
  <c r="G25" i="22"/>
  <c r="H25" i="22"/>
  <c r="J25" i="22"/>
  <c r="H26" i="22"/>
  <c r="J26" i="22"/>
  <c r="K26" i="22"/>
  <c r="G27" i="22"/>
  <c r="H27" i="22"/>
  <c r="J27" i="22"/>
  <c r="G28" i="22"/>
  <c r="I28" i="22"/>
  <c r="K28" i="22"/>
  <c r="G29" i="22"/>
  <c r="I29" i="22"/>
  <c r="J29" i="22"/>
  <c r="G30" i="22"/>
  <c r="H30" i="22"/>
  <c r="J30" i="22"/>
  <c r="D31" i="22"/>
  <c r="L31" i="22" s="1"/>
  <c r="H31" i="22"/>
  <c r="J31" i="22"/>
  <c r="K31" i="22"/>
  <c r="D32" i="22"/>
  <c r="H32" i="22"/>
  <c r="I32" i="22"/>
  <c r="D33" i="22"/>
  <c r="G33" i="22"/>
  <c r="I33" i="22"/>
  <c r="K33" i="22"/>
  <c r="D34" i="22"/>
  <c r="G34" i="22"/>
  <c r="I34" i="22"/>
  <c r="J34" i="22"/>
  <c r="G35" i="22"/>
  <c r="H35" i="22"/>
  <c r="J35" i="22"/>
  <c r="H36" i="22"/>
  <c r="J36" i="22"/>
  <c r="K36" i="22"/>
  <c r="D37" i="22"/>
  <c r="G37" i="22"/>
  <c r="H37" i="22"/>
  <c r="J37" i="22"/>
  <c r="G38" i="22"/>
  <c r="H38" i="22"/>
  <c r="J38" i="22"/>
  <c r="H39" i="22"/>
  <c r="J39" i="22"/>
  <c r="D40" i="22"/>
  <c r="H40" i="22"/>
  <c r="I40" i="22"/>
  <c r="K40" i="22"/>
  <c r="D41" i="22"/>
  <c r="J41" i="22"/>
  <c r="D42" i="22"/>
  <c r="L42" i="22" s="1"/>
  <c r="F42" i="22"/>
  <c r="G42" i="22"/>
  <c r="H42" i="22"/>
  <c r="I42" i="22"/>
  <c r="J42" i="22"/>
  <c r="K42" i="22"/>
  <c r="D43" i="22"/>
  <c r="E43" i="22"/>
  <c r="F43" i="22"/>
  <c r="G43" i="22"/>
  <c r="H43" i="22"/>
  <c r="I43" i="22"/>
  <c r="J43" i="22"/>
  <c r="K43" i="22"/>
  <c r="D44" i="22"/>
  <c r="E44" i="22"/>
  <c r="F44" i="22"/>
  <c r="G44" i="22"/>
  <c r="H44" i="22"/>
  <c r="I44" i="22"/>
  <c r="J44" i="22"/>
  <c r="K44" i="22"/>
  <c r="D45" i="22"/>
  <c r="E45" i="22"/>
  <c r="F45" i="22"/>
  <c r="G45" i="22"/>
  <c r="H45" i="22"/>
  <c r="I45" i="22"/>
  <c r="J45" i="22"/>
  <c r="K45" i="22"/>
  <c r="D46" i="22"/>
  <c r="E46" i="22"/>
  <c r="F46" i="22"/>
  <c r="G46" i="22"/>
  <c r="H46" i="22"/>
  <c r="I46" i="22"/>
  <c r="J46" i="22"/>
  <c r="K46" i="22"/>
  <c r="D47" i="22"/>
  <c r="E47" i="22"/>
  <c r="F47" i="22"/>
  <c r="G47" i="22"/>
  <c r="H47" i="22"/>
  <c r="I47" i="22"/>
  <c r="J47" i="22"/>
  <c r="K47" i="22"/>
  <c r="K8" i="22"/>
  <c r="J8" i="22"/>
  <c r="I8" i="22"/>
  <c r="L17" i="22"/>
  <c r="L15" i="22"/>
  <c r="L12" i="22"/>
  <c r="L18" i="22"/>
  <c r="L9" i="22"/>
  <c r="L8" i="22"/>
  <c r="L23" i="22"/>
  <c r="L24" i="22"/>
  <c r="L27" i="22"/>
  <c r="M49" i="22"/>
  <c r="N48" i="22"/>
  <c r="N49" i="22"/>
  <c r="U49" i="22"/>
  <c r="L49" i="22"/>
  <c r="M48" i="22"/>
  <c r="U48" i="22"/>
  <c r="L48" i="22"/>
  <c r="L10" i="22" l="1"/>
  <c r="L32" i="22"/>
  <c r="L46" i="22"/>
  <c r="L13" i="22"/>
  <c r="L28" i="22"/>
  <c r="L22" i="22"/>
  <c r="L16" i="22"/>
  <c r="L21" i="22"/>
  <c r="L40" i="22"/>
  <c r="L34" i="22"/>
  <c r="L39" i="22"/>
  <c r="L43" i="22"/>
  <c r="L33" i="22"/>
  <c r="L45" i="22"/>
  <c r="L44" i="22"/>
  <c r="L37" i="22"/>
  <c r="L38" i="22"/>
  <c r="L26" i="22"/>
  <c r="L20" i="22"/>
  <c r="L14" i="22"/>
  <c r="L29" i="22"/>
  <c r="L11" i="22"/>
  <c r="L47" i="22"/>
  <c r="L41" i="22"/>
  <c r="L35" i="22"/>
  <c r="N18" i="4"/>
  <c r="N19" i="4"/>
  <c r="N20" i="4"/>
  <c r="J10" i="4"/>
  <c r="J11" i="4"/>
  <c r="J12" i="4"/>
  <c r="J13" i="4"/>
  <c r="J14" i="4"/>
  <c r="J15" i="4"/>
  <c r="F10" i="4"/>
  <c r="F9" i="4"/>
  <c r="F8" i="4"/>
  <c r="F7" i="4"/>
  <c r="U114" i="2"/>
  <c r="V114" i="2"/>
  <c r="W114" i="2"/>
  <c r="M3" i="4" a="1"/>
  <c r="E117" i="2"/>
  <c r="K23" i="3"/>
  <c r="K22" i="3"/>
  <c r="K24" i="3"/>
  <c r="K25" i="3"/>
  <c r="K5" i="3"/>
  <c r="K3" i="3"/>
  <c r="K4" i="3"/>
  <c r="K7" i="3"/>
  <c r="K2" i="3"/>
  <c r="K6" i="3"/>
  <c r="K14" i="3"/>
  <c r="K21" i="3"/>
  <c r="K26" i="3"/>
  <c r="K43" i="3"/>
  <c r="K45" i="3"/>
  <c r="K44" i="3"/>
  <c r="K50" i="3"/>
  <c r="K13" i="3"/>
  <c r="K46" i="3"/>
  <c r="K47" i="3"/>
  <c r="K27" i="3"/>
  <c r="K28" i="3"/>
  <c r="K30" i="3"/>
  <c r="K31" i="3"/>
  <c r="K33" i="3"/>
  <c r="K32" i="3"/>
  <c r="K29" i="3"/>
  <c r="K52" i="3"/>
  <c r="K51" i="3"/>
  <c r="K34" i="3"/>
  <c r="K36" i="3"/>
  <c r="K35" i="3"/>
  <c r="K37" i="3"/>
  <c r="K38" i="3"/>
  <c r="K12" i="3"/>
  <c r="K11" i="3"/>
  <c r="K39" i="3"/>
  <c r="K9" i="3"/>
  <c r="K8" i="3"/>
  <c r="K20" i="3"/>
  <c r="K53" i="3"/>
  <c r="K55" i="3"/>
  <c r="K54" i="3"/>
  <c r="K56" i="3"/>
  <c r="K15" i="3"/>
  <c r="K49" i="3"/>
  <c r="K48" i="3"/>
  <c r="K16" i="3"/>
  <c r="K19" i="3"/>
  <c r="K18" i="3"/>
  <c r="K17" i="3"/>
  <c r="K40" i="3"/>
  <c r="K42" i="3"/>
  <c r="K41" i="3"/>
  <c r="K10" i="3"/>
  <c r="M81" i="2"/>
  <c r="L3" i="2"/>
  <c r="L42" i="2"/>
  <c r="L82" i="2"/>
  <c r="L89" i="2"/>
  <c r="L2" i="2"/>
  <c r="L16" i="2"/>
  <c r="L23" i="2"/>
  <c r="L28" i="2"/>
  <c r="L45" i="2"/>
  <c r="L46" i="2"/>
  <c r="L47" i="2"/>
  <c r="L48" i="2"/>
  <c r="L53" i="2"/>
  <c r="L61" i="2"/>
  <c r="L80" i="2"/>
  <c r="L84" i="2"/>
  <c r="L118" i="2"/>
  <c r="L64" i="2"/>
  <c r="L66" i="2"/>
  <c r="L67" i="2"/>
  <c r="L69" i="2"/>
  <c r="L71" i="2"/>
  <c r="L73" i="2"/>
  <c r="L74" i="2"/>
  <c r="L75" i="2"/>
  <c r="L76" i="2"/>
  <c r="L77" i="2"/>
  <c r="L93" i="2"/>
  <c r="L95" i="2"/>
  <c r="L97" i="2"/>
  <c r="L99" i="2"/>
  <c r="L100" i="2"/>
  <c r="L103" i="2"/>
  <c r="L104" i="2"/>
  <c r="L105" i="2"/>
  <c r="L107" i="2"/>
  <c r="L111" i="2"/>
  <c r="L112" i="2"/>
  <c r="L4" i="2"/>
  <c r="L33" i="2"/>
  <c r="L55" i="2"/>
  <c r="L60" i="2"/>
  <c r="L63" i="2"/>
  <c r="L86" i="2"/>
  <c r="L88" i="2"/>
  <c r="L96" i="2"/>
  <c r="L9" i="2"/>
  <c r="L40" i="2"/>
  <c r="L8" i="2"/>
  <c r="L29" i="2"/>
  <c r="L25" i="2"/>
  <c r="L102" i="2"/>
  <c r="L56" i="2"/>
  <c r="L10" i="2"/>
  <c r="L19" i="2"/>
  <c r="L30" i="2"/>
  <c r="L39" i="2"/>
  <c r="L81" i="2"/>
  <c r="L83" i="2"/>
  <c r="L85" i="2"/>
  <c r="L17" i="2"/>
  <c r="L38" i="2"/>
  <c r="L36" i="2"/>
  <c r="L41" i="2"/>
  <c r="L72" i="2"/>
  <c r="L79" i="2"/>
  <c r="L101" i="2"/>
  <c r="L14" i="2"/>
  <c r="L31" i="2"/>
  <c r="L32" i="2"/>
  <c r="L34" i="2"/>
  <c r="L43" i="2"/>
  <c r="L44" i="2"/>
  <c r="L59" i="2"/>
  <c r="L15" i="2"/>
  <c r="L5" i="2"/>
  <c r="L18" i="2"/>
  <c r="L62" i="2"/>
  <c r="L90" i="2"/>
  <c r="L57" i="2"/>
  <c r="L6" i="2"/>
  <c r="L24" i="2"/>
  <c r="L50" i="2"/>
  <c r="L58" i="2"/>
  <c r="L117" i="2"/>
  <c r="L49" i="2"/>
  <c r="L87" i="2"/>
  <c r="L106" i="2"/>
  <c r="L108" i="2"/>
  <c r="L109" i="2"/>
  <c r="L110" i="2"/>
  <c r="L13" i="2"/>
  <c r="L26" i="2"/>
  <c r="L116" i="2"/>
  <c r="L92" i="2"/>
  <c r="L21" i="2"/>
  <c r="L35" i="2"/>
  <c r="L12" i="2"/>
  <c r="L22" i="2"/>
  <c r="L27" i="2"/>
  <c r="L114" i="2"/>
  <c r="L11" i="2"/>
  <c r="L20" i="2"/>
  <c r="L78" i="2"/>
  <c r="L91" i="2"/>
  <c r="L51" i="2"/>
  <c r="L54" i="2"/>
  <c r="L7" i="2"/>
  <c r="L119" i="2"/>
  <c r="L65" i="2"/>
  <c r="L68" i="2"/>
  <c r="L70" i="2"/>
  <c r="L94" i="2"/>
  <c r="L98" i="2"/>
  <c r="L37" i="2"/>
  <c r="L113" i="2"/>
  <c r="L115" i="2"/>
  <c r="L52" i="2"/>
  <c r="J41" i="3"/>
  <c r="J14" i="3"/>
  <c r="J21" i="3"/>
  <c r="J26" i="3"/>
  <c r="J43" i="3"/>
  <c r="J45" i="3"/>
  <c r="J44" i="3"/>
  <c r="J50" i="3"/>
  <c r="J13" i="3"/>
  <c r="J46" i="3"/>
  <c r="J47" i="3"/>
  <c r="J27" i="3"/>
  <c r="J28" i="3"/>
  <c r="J30" i="3"/>
  <c r="J31" i="3"/>
  <c r="J33" i="3"/>
  <c r="J32" i="3"/>
  <c r="J29" i="3"/>
  <c r="J52" i="3"/>
  <c r="J51" i="3"/>
  <c r="J34" i="3"/>
  <c r="J36" i="3"/>
  <c r="J35" i="3"/>
  <c r="J37" i="3"/>
  <c r="J38" i="3"/>
  <c r="J12" i="3"/>
  <c r="J11" i="3"/>
  <c r="J39" i="3"/>
  <c r="J9" i="3"/>
  <c r="J8" i="3"/>
  <c r="J20" i="3"/>
  <c r="J53" i="3"/>
  <c r="J55" i="3"/>
  <c r="J54" i="3"/>
  <c r="J56" i="3"/>
  <c r="J15" i="3"/>
  <c r="J49" i="3"/>
  <c r="J48" i="3"/>
  <c r="J16" i="3"/>
  <c r="J19" i="3"/>
  <c r="J18" i="3"/>
  <c r="J17" i="3"/>
  <c r="J40" i="3"/>
  <c r="J42" i="3"/>
  <c r="J10" i="3"/>
  <c r="E115" i="2"/>
  <c r="F115" i="2"/>
  <c r="B115" i="2"/>
  <c r="C115" i="2"/>
  <c r="M115" i="2"/>
  <c r="N115" i="2"/>
  <c r="M58" i="2"/>
  <c r="M43" i="2"/>
  <c r="M14" i="2"/>
  <c r="L4" i="4"/>
  <c r="H4" i="4"/>
  <c r="D4" i="4"/>
  <c r="N5" i="4" l="1"/>
  <c r="N9" i="4"/>
  <c r="N12" i="4"/>
  <c r="N17" i="4"/>
  <c r="N7" i="4"/>
  <c r="N11" i="4"/>
  <c r="N6" i="4"/>
  <c r="N10" i="4"/>
  <c r="N15" i="4"/>
  <c r="N14" i="4"/>
  <c r="N4" i="4"/>
  <c r="N8" i="4"/>
  <c r="N13" i="4"/>
  <c r="M3" i="4"/>
  <c r="F113" i="2"/>
  <c r="E113" i="2"/>
  <c r="N113" i="2"/>
  <c r="B113" i="2"/>
  <c r="C113" i="2"/>
  <c r="M113" i="2"/>
  <c r="O113" i="2"/>
  <c r="P113" i="2"/>
  <c r="Q113" i="2"/>
  <c r="R113" i="2"/>
  <c r="S113" i="2"/>
  <c r="T113" i="2"/>
  <c r="U113" i="2"/>
  <c r="V113" i="2"/>
  <c r="W113" i="2"/>
  <c r="J22" i="3"/>
  <c r="J24" i="3"/>
  <c r="J25" i="3"/>
  <c r="J5" i="3"/>
  <c r="J3" i="3"/>
  <c r="J4" i="3"/>
  <c r="J7" i="3"/>
  <c r="J2" i="3"/>
  <c r="J6" i="3"/>
  <c r="J23" i="3"/>
  <c r="F114" i="2" l="1"/>
  <c r="B114" i="2"/>
  <c r="C114" i="2"/>
  <c r="M114" i="2"/>
  <c r="B10" i="3"/>
  <c r="C10" i="3"/>
  <c r="M67" i="2"/>
  <c r="M52" i="2"/>
  <c r="M3" i="2"/>
  <c r="M42" i="2"/>
  <c r="M82" i="2"/>
  <c r="M89" i="2"/>
  <c r="M2" i="2"/>
  <c r="M16" i="2"/>
  <c r="M23" i="2"/>
  <c r="M28" i="2"/>
  <c r="M45" i="2"/>
  <c r="M46" i="2"/>
  <c r="M47" i="2"/>
  <c r="M48" i="2"/>
  <c r="M53" i="2"/>
  <c r="M61" i="2"/>
  <c r="M80" i="2"/>
  <c r="M84" i="2"/>
  <c r="M118" i="2"/>
  <c r="M64" i="2"/>
  <c r="M66" i="2"/>
  <c r="M69" i="2"/>
  <c r="M71" i="2"/>
  <c r="M73" i="2"/>
  <c r="M74" i="2"/>
  <c r="M75" i="2"/>
  <c r="M76" i="2"/>
  <c r="M77" i="2"/>
  <c r="M93" i="2"/>
  <c r="M95" i="2"/>
  <c r="M97" i="2"/>
  <c r="M99" i="2"/>
  <c r="M100" i="2"/>
  <c r="M103" i="2"/>
  <c r="M104" i="2"/>
  <c r="M105" i="2"/>
  <c r="M107" i="2"/>
  <c r="M111" i="2"/>
  <c r="M112" i="2"/>
  <c r="M4" i="2"/>
  <c r="M33" i="2"/>
  <c r="M55" i="2"/>
  <c r="M60" i="2"/>
  <c r="M63" i="2"/>
  <c r="M86" i="2"/>
  <c r="M88" i="2"/>
  <c r="M96" i="2"/>
  <c r="M9" i="2"/>
  <c r="M40" i="2"/>
  <c r="M8" i="2"/>
  <c r="M29" i="2"/>
  <c r="M25" i="2"/>
  <c r="M102" i="2"/>
  <c r="M56" i="2"/>
  <c r="M10" i="2"/>
  <c r="M19" i="2"/>
  <c r="M30" i="2"/>
  <c r="M39" i="2"/>
  <c r="M83" i="2"/>
  <c r="M85" i="2"/>
  <c r="M17" i="2"/>
  <c r="M38" i="2"/>
  <c r="M36" i="2"/>
  <c r="M41" i="2"/>
  <c r="M72" i="2"/>
  <c r="M79" i="2"/>
  <c r="M101" i="2"/>
  <c r="M31" i="2"/>
  <c r="M32" i="2"/>
  <c r="M34" i="2"/>
  <c r="M44" i="2"/>
  <c r="M59" i="2"/>
  <c r="M15" i="2"/>
  <c r="M5" i="2"/>
  <c r="M18" i="2"/>
  <c r="M62" i="2"/>
  <c r="M90" i="2"/>
  <c r="M57" i="2"/>
  <c r="M6" i="2"/>
  <c r="M24" i="2"/>
  <c r="M50" i="2"/>
  <c r="M117" i="2"/>
  <c r="M49" i="2"/>
  <c r="M87" i="2"/>
  <c r="M106" i="2"/>
  <c r="M108" i="2"/>
  <c r="M109" i="2"/>
  <c r="M110" i="2"/>
  <c r="M13" i="2"/>
  <c r="M26" i="2"/>
  <c r="M116" i="2"/>
  <c r="M92" i="2"/>
  <c r="M21" i="2"/>
  <c r="M35" i="2"/>
  <c r="M12" i="2"/>
  <c r="M22" i="2"/>
  <c r="M27" i="2"/>
  <c r="M11" i="2"/>
  <c r="M20" i="2"/>
  <c r="M78" i="2"/>
  <c r="M91" i="2"/>
  <c r="M51" i="2"/>
  <c r="M54" i="2"/>
  <c r="M7" i="2"/>
  <c r="M119" i="2"/>
  <c r="M65" i="2"/>
  <c r="M68" i="2"/>
  <c r="M70" i="2"/>
  <c r="M94" i="2"/>
  <c r="M98" i="2"/>
  <c r="M37" i="2"/>
  <c r="B37" i="2"/>
  <c r="C37" i="2"/>
  <c r="E37" i="2"/>
  <c r="F37" i="2"/>
  <c r="N37" i="2"/>
  <c r="O37" i="2"/>
  <c r="P37" i="2"/>
  <c r="Q37" i="2"/>
  <c r="R37" i="2"/>
  <c r="S37" i="2"/>
  <c r="T37" i="2"/>
  <c r="U37" i="2"/>
  <c r="V37" i="2"/>
  <c r="W37" i="2"/>
  <c r="B48" i="3" l="1"/>
  <c r="C48" i="3"/>
  <c r="B17" i="3"/>
  <c r="C17" i="3"/>
  <c r="B50" i="3"/>
  <c r="C50" i="3"/>
  <c r="B12" i="3"/>
  <c r="C12" i="3"/>
  <c r="B23" i="3"/>
  <c r="C23" i="3"/>
  <c r="B5" i="3"/>
  <c r="C5" i="3"/>
  <c r="B21" i="3"/>
  <c r="C21" i="3"/>
  <c r="N3" i="2"/>
  <c r="N42" i="2"/>
  <c r="E3" i="4" a="1"/>
  <c r="N110" i="2"/>
  <c r="N106" i="2"/>
  <c r="N52" i="2"/>
  <c r="N89" i="2"/>
  <c r="N82" i="2"/>
  <c r="N95" i="2"/>
  <c r="N99" i="2"/>
  <c r="N76" i="2"/>
  <c r="N28" i="2"/>
  <c r="N75" i="2"/>
  <c r="N103" i="2"/>
  <c r="N100" i="2"/>
  <c r="N93" i="2"/>
  <c r="N74" i="2"/>
  <c r="N112" i="2"/>
  <c r="N45" i="2"/>
  <c r="N104" i="2"/>
  <c r="N77" i="2"/>
  <c r="N66" i="2"/>
  <c r="N69" i="2"/>
  <c r="N97" i="2"/>
  <c r="N111" i="2"/>
  <c r="N84" i="2"/>
  <c r="N118" i="2"/>
  <c r="N48" i="2"/>
  <c r="N47" i="2"/>
  <c r="N80" i="2"/>
  <c r="N61" i="2"/>
  <c r="N67" i="2"/>
  <c r="N71" i="2"/>
  <c r="N73" i="2"/>
  <c r="N2" i="2"/>
  <c r="N64" i="2"/>
  <c r="N16" i="2"/>
  <c r="N46" i="2"/>
  <c r="N105" i="2"/>
  <c r="N107" i="2"/>
  <c r="N53" i="2"/>
  <c r="N23" i="2"/>
  <c r="N4" i="2"/>
  <c r="N60" i="2"/>
  <c r="N55" i="2"/>
  <c r="N33" i="2"/>
  <c r="N88" i="2"/>
  <c r="N63" i="2"/>
  <c r="N86" i="2"/>
  <c r="N96" i="2"/>
  <c r="N9" i="2"/>
  <c r="N40" i="2"/>
  <c r="N8" i="2"/>
  <c r="N29" i="2"/>
  <c r="N25" i="2"/>
  <c r="N102" i="2"/>
  <c r="N56" i="2"/>
  <c r="N30" i="2"/>
  <c r="N39" i="2"/>
  <c r="N10" i="2"/>
  <c r="N19" i="2"/>
  <c r="N83" i="2"/>
  <c r="N81" i="2"/>
  <c r="N85" i="2"/>
  <c r="N17" i="2"/>
  <c r="N38" i="2"/>
  <c r="N41" i="2"/>
  <c r="N36" i="2"/>
  <c r="N79" i="2"/>
  <c r="N101" i="2"/>
  <c r="N72" i="2"/>
  <c r="N14" i="2"/>
  <c r="N31" i="2"/>
  <c r="N44" i="2"/>
  <c r="N32" i="2"/>
  <c r="N59" i="2"/>
  <c r="N34" i="2"/>
  <c r="N43" i="2"/>
  <c r="N15" i="2"/>
  <c r="N62" i="2"/>
  <c r="N18" i="2"/>
  <c r="N90" i="2"/>
  <c r="N5" i="2"/>
  <c r="N57" i="2"/>
  <c r="N6" i="2"/>
  <c r="N50" i="2"/>
  <c r="N58" i="2"/>
  <c r="N24" i="2"/>
  <c r="N117" i="2"/>
  <c r="N108" i="2"/>
  <c r="N109" i="2"/>
  <c r="N49" i="2"/>
  <c r="N87" i="2"/>
  <c r="N13" i="2"/>
  <c r="N116" i="2"/>
  <c r="N92" i="2"/>
  <c r="N26" i="2"/>
  <c r="N21" i="2"/>
  <c r="N35" i="2"/>
  <c r="N22" i="2"/>
  <c r="N12" i="2"/>
  <c r="N27" i="2"/>
  <c r="N78" i="2"/>
  <c r="N91" i="2"/>
  <c r="N11" i="2"/>
  <c r="N20" i="2"/>
  <c r="N54" i="2"/>
  <c r="N51" i="2"/>
  <c r="N94" i="2"/>
  <c r="N70" i="2"/>
  <c r="N98" i="2"/>
  <c r="N119" i="2"/>
  <c r="N68" i="2"/>
  <c r="N65" i="2"/>
  <c r="N7" i="2"/>
  <c r="E31" i="2"/>
  <c r="F31" i="2"/>
  <c r="E44" i="2"/>
  <c r="F44" i="2"/>
  <c r="G44" i="2"/>
  <c r="H44" i="2"/>
  <c r="E32" i="2"/>
  <c r="F32" i="2"/>
  <c r="W52" i="2"/>
  <c r="W3" i="2"/>
  <c r="W42" i="2"/>
  <c r="W89" i="2"/>
  <c r="W82" i="2"/>
  <c r="W95" i="2"/>
  <c r="W99" i="2"/>
  <c r="W76" i="2"/>
  <c r="W28" i="2"/>
  <c r="W75" i="2"/>
  <c r="W103" i="2"/>
  <c r="W100" i="2"/>
  <c r="W93" i="2"/>
  <c r="W74" i="2"/>
  <c r="W112" i="2"/>
  <c r="W45" i="2"/>
  <c r="W104" i="2"/>
  <c r="W77" i="2"/>
  <c r="W66" i="2"/>
  <c r="W69" i="2"/>
  <c r="W97" i="2"/>
  <c r="W111" i="2"/>
  <c r="W84" i="2"/>
  <c r="W118" i="2"/>
  <c r="W48" i="2"/>
  <c r="W47" i="2"/>
  <c r="W80" i="2"/>
  <c r="W61" i="2"/>
  <c r="W67" i="2"/>
  <c r="W71" i="2"/>
  <c r="W73" i="2"/>
  <c r="W2" i="2"/>
  <c r="W64" i="2"/>
  <c r="W16" i="2"/>
  <c r="W46" i="2"/>
  <c r="W105" i="2"/>
  <c r="W107" i="2"/>
  <c r="W53" i="2"/>
  <c r="W23" i="2"/>
  <c r="W4" i="2"/>
  <c r="W60" i="2"/>
  <c r="W55" i="2"/>
  <c r="W33" i="2"/>
  <c r="W88" i="2"/>
  <c r="W63" i="2"/>
  <c r="W86" i="2"/>
  <c r="W96" i="2"/>
  <c r="W9" i="2"/>
  <c r="W40" i="2"/>
  <c r="W8" i="2"/>
  <c r="W29" i="2"/>
  <c r="W25" i="2"/>
  <c r="W102" i="2"/>
  <c r="W56" i="2"/>
  <c r="W30" i="2"/>
  <c r="W39" i="2"/>
  <c r="W10" i="2"/>
  <c r="W19" i="2"/>
  <c r="W83" i="2"/>
  <c r="W81" i="2"/>
  <c r="W85" i="2"/>
  <c r="W17" i="2"/>
  <c r="W38" i="2"/>
  <c r="W41" i="2"/>
  <c r="W36" i="2"/>
  <c r="W79" i="2"/>
  <c r="W101" i="2"/>
  <c r="W72" i="2"/>
  <c r="W14" i="2"/>
  <c r="W31" i="2"/>
  <c r="W44" i="2"/>
  <c r="W32" i="2"/>
  <c r="W59" i="2"/>
  <c r="W34" i="2"/>
  <c r="W43" i="2"/>
  <c r="W15" i="2"/>
  <c r="W62" i="2"/>
  <c r="W18" i="2"/>
  <c r="W90" i="2"/>
  <c r="W5" i="2"/>
  <c r="W57" i="2"/>
  <c r="W6" i="2"/>
  <c r="W50" i="2"/>
  <c r="W58" i="2"/>
  <c r="W24" i="2"/>
  <c r="W117" i="2"/>
  <c r="W108" i="2"/>
  <c r="W109" i="2"/>
  <c r="W110" i="2"/>
  <c r="W106" i="2"/>
  <c r="W49" i="2"/>
  <c r="W87" i="2"/>
  <c r="W13" i="2"/>
  <c r="W116" i="2"/>
  <c r="W92" i="2"/>
  <c r="W26" i="2"/>
  <c r="W21" i="2"/>
  <c r="W35" i="2"/>
  <c r="W22" i="2"/>
  <c r="W12" i="2"/>
  <c r="W27" i="2"/>
  <c r="W78" i="2"/>
  <c r="W91" i="2"/>
  <c r="W11" i="2"/>
  <c r="W20" i="2"/>
  <c r="W54" i="2"/>
  <c r="W51" i="2"/>
  <c r="W94" i="2"/>
  <c r="W70" i="2"/>
  <c r="W98" i="2"/>
  <c r="W119" i="2"/>
  <c r="W68" i="2"/>
  <c r="W65" i="2"/>
  <c r="W7" i="2"/>
  <c r="W115" i="2"/>
  <c r="X120" i="2"/>
  <c r="X121" i="2"/>
  <c r="X122" i="2"/>
  <c r="X123" i="2"/>
  <c r="X124" i="2"/>
  <c r="X125" i="2"/>
  <c r="X126" i="2"/>
  <c r="X127" i="2"/>
  <c r="X128" i="2"/>
  <c r="X129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V52" i="2"/>
  <c r="V3" i="2"/>
  <c r="V42" i="2"/>
  <c r="V89" i="2"/>
  <c r="V82" i="2"/>
  <c r="V95" i="2"/>
  <c r="V99" i="2"/>
  <c r="V76" i="2"/>
  <c r="V28" i="2"/>
  <c r="V75" i="2"/>
  <c r="V103" i="2"/>
  <c r="V100" i="2"/>
  <c r="V93" i="2"/>
  <c r="V74" i="2"/>
  <c r="V112" i="2"/>
  <c r="V45" i="2"/>
  <c r="V104" i="2"/>
  <c r="V77" i="2"/>
  <c r="V66" i="2"/>
  <c r="V69" i="2"/>
  <c r="V97" i="2"/>
  <c r="V111" i="2"/>
  <c r="V84" i="2"/>
  <c r="V118" i="2"/>
  <c r="V48" i="2"/>
  <c r="V47" i="2"/>
  <c r="V80" i="2"/>
  <c r="V61" i="2"/>
  <c r="V67" i="2"/>
  <c r="V71" i="2"/>
  <c r="V73" i="2"/>
  <c r="V2" i="2"/>
  <c r="V64" i="2"/>
  <c r="V16" i="2"/>
  <c r="V46" i="2"/>
  <c r="V105" i="2"/>
  <c r="V107" i="2"/>
  <c r="V53" i="2"/>
  <c r="V23" i="2"/>
  <c r="V4" i="2"/>
  <c r="V60" i="2"/>
  <c r="V55" i="2"/>
  <c r="V33" i="2"/>
  <c r="V88" i="2"/>
  <c r="V63" i="2"/>
  <c r="V86" i="2"/>
  <c r="V96" i="2"/>
  <c r="V9" i="2"/>
  <c r="V40" i="2"/>
  <c r="V8" i="2"/>
  <c r="V29" i="2"/>
  <c r="V25" i="2"/>
  <c r="V102" i="2"/>
  <c r="V56" i="2"/>
  <c r="V30" i="2"/>
  <c r="V39" i="2"/>
  <c r="V10" i="2"/>
  <c r="V19" i="2"/>
  <c r="V83" i="2"/>
  <c r="V81" i="2"/>
  <c r="V85" i="2"/>
  <c r="V17" i="2"/>
  <c r="V38" i="2"/>
  <c r="V41" i="2"/>
  <c r="V36" i="2"/>
  <c r="V79" i="2"/>
  <c r="V101" i="2"/>
  <c r="V72" i="2"/>
  <c r="V14" i="2"/>
  <c r="V31" i="2"/>
  <c r="V44" i="2"/>
  <c r="V32" i="2"/>
  <c r="V59" i="2"/>
  <c r="V34" i="2"/>
  <c r="V43" i="2"/>
  <c r="V15" i="2"/>
  <c r="V62" i="2"/>
  <c r="V18" i="2"/>
  <c r="V90" i="2"/>
  <c r="V5" i="2"/>
  <c r="V57" i="2"/>
  <c r="V6" i="2"/>
  <c r="V50" i="2"/>
  <c r="V58" i="2"/>
  <c r="V24" i="2"/>
  <c r="V117" i="2"/>
  <c r="V108" i="2"/>
  <c r="V109" i="2"/>
  <c r="V110" i="2"/>
  <c r="V106" i="2"/>
  <c r="V49" i="2"/>
  <c r="V87" i="2"/>
  <c r="V13" i="2"/>
  <c r="V116" i="2"/>
  <c r="V92" i="2"/>
  <c r="V26" i="2"/>
  <c r="V21" i="2"/>
  <c r="V35" i="2"/>
  <c r="V22" i="2"/>
  <c r="V12" i="2"/>
  <c r="V27" i="2"/>
  <c r="V78" i="2"/>
  <c r="V91" i="2"/>
  <c r="V11" i="2"/>
  <c r="V20" i="2"/>
  <c r="V54" i="2"/>
  <c r="V51" i="2"/>
  <c r="V94" i="2"/>
  <c r="V70" i="2"/>
  <c r="V98" i="2"/>
  <c r="V119" i="2"/>
  <c r="V68" i="2"/>
  <c r="V65" i="2"/>
  <c r="V7" i="2"/>
  <c r="V11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U52" i="2"/>
  <c r="U3" i="2"/>
  <c r="U42" i="2"/>
  <c r="U89" i="2"/>
  <c r="U82" i="2"/>
  <c r="U95" i="2"/>
  <c r="U99" i="2"/>
  <c r="U76" i="2"/>
  <c r="U28" i="2"/>
  <c r="U75" i="2"/>
  <c r="U103" i="2"/>
  <c r="U100" i="2"/>
  <c r="U93" i="2"/>
  <c r="U74" i="2"/>
  <c r="U112" i="2"/>
  <c r="U45" i="2"/>
  <c r="U104" i="2"/>
  <c r="U77" i="2"/>
  <c r="U66" i="2"/>
  <c r="U69" i="2"/>
  <c r="U97" i="2"/>
  <c r="U111" i="2"/>
  <c r="U84" i="2"/>
  <c r="U118" i="2"/>
  <c r="U48" i="2"/>
  <c r="U47" i="2"/>
  <c r="U80" i="2"/>
  <c r="U61" i="2"/>
  <c r="U67" i="2"/>
  <c r="U71" i="2"/>
  <c r="U73" i="2"/>
  <c r="U2" i="2"/>
  <c r="U64" i="2"/>
  <c r="U16" i="2"/>
  <c r="U46" i="2"/>
  <c r="U105" i="2"/>
  <c r="U107" i="2"/>
  <c r="U53" i="2"/>
  <c r="U23" i="2"/>
  <c r="U4" i="2"/>
  <c r="U60" i="2"/>
  <c r="U55" i="2"/>
  <c r="U33" i="2"/>
  <c r="U88" i="2"/>
  <c r="U63" i="2"/>
  <c r="U86" i="2"/>
  <c r="U96" i="2"/>
  <c r="U9" i="2"/>
  <c r="U40" i="2"/>
  <c r="U8" i="2"/>
  <c r="U29" i="2"/>
  <c r="U25" i="2"/>
  <c r="U102" i="2"/>
  <c r="U56" i="2"/>
  <c r="U30" i="2"/>
  <c r="U39" i="2"/>
  <c r="U10" i="2"/>
  <c r="U19" i="2"/>
  <c r="U83" i="2"/>
  <c r="U81" i="2"/>
  <c r="U85" i="2"/>
  <c r="U17" i="2"/>
  <c r="U38" i="2"/>
  <c r="U41" i="2"/>
  <c r="U36" i="2"/>
  <c r="U79" i="2"/>
  <c r="U101" i="2"/>
  <c r="U72" i="2"/>
  <c r="U14" i="2"/>
  <c r="U31" i="2"/>
  <c r="U44" i="2"/>
  <c r="U32" i="2"/>
  <c r="U59" i="2"/>
  <c r="U34" i="2"/>
  <c r="U43" i="2"/>
  <c r="U15" i="2"/>
  <c r="U62" i="2"/>
  <c r="U18" i="2"/>
  <c r="U90" i="2"/>
  <c r="U5" i="2"/>
  <c r="U57" i="2"/>
  <c r="U6" i="2"/>
  <c r="U50" i="2"/>
  <c r="U58" i="2"/>
  <c r="U24" i="2"/>
  <c r="U117" i="2"/>
  <c r="U108" i="2"/>
  <c r="U109" i="2"/>
  <c r="U110" i="2"/>
  <c r="U106" i="2"/>
  <c r="U49" i="2"/>
  <c r="U87" i="2"/>
  <c r="U13" i="2"/>
  <c r="U116" i="2"/>
  <c r="U92" i="2"/>
  <c r="U26" i="2"/>
  <c r="U21" i="2"/>
  <c r="U35" i="2"/>
  <c r="U22" i="2"/>
  <c r="U12" i="2"/>
  <c r="U27" i="2"/>
  <c r="U78" i="2"/>
  <c r="U91" i="2"/>
  <c r="U11" i="2"/>
  <c r="U20" i="2"/>
  <c r="U54" i="2"/>
  <c r="U51" i="2"/>
  <c r="U94" i="2"/>
  <c r="U70" i="2"/>
  <c r="U98" i="2"/>
  <c r="U119" i="2"/>
  <c r="U68" i="2"/>
  <c r="U65" i="2"/>
  <c r="U7" i="2"/>
  <c r="U11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T52" i="2"/>
  <c r="T3" i="2"/>
  <c r="T42" i="2"/>
  <c r="T89" i="2"/>
  <c r="T82" i="2"/>
  <c r="T95" i="2"/>
  <c r="T99" i="2"/>
  <c r="T76" i="2"/>
  <c r="T28" i="2"/>
  <c r="T75" i="2"/>
  <c r="T103" i="2"/>
  <c r="T100" i="2"/>
  <c r="T93" i="2"/>
  <c r="T74" i="2"/>
  <c r="T112" i="2"/>
  <c r="T45" i="2"/>
  <c r="T104" i="2"/>
  <c r="T77" i="2"/>
  <c r="T66" i="2"/>
  <c r="T69" i="2"/>
  <c r="T97" i="2"/>
  <c r="T111" i="2"/>
  <c r="T84" i="2"/>
  <c r="T118" i="2"/>
  <c r="T48" i="2"/>
  <c r="T47" i="2"/>
  <c r="T80" i="2"/>
  <c r="T61" i="2"/>
  <c r="T67" i="2"/>
  <c r="T71" i="2"/>
  <c r="T73" i="2"/>
  <c r="T2" i="2"/>
  <c r="T64" i="2"/>
  <c r="T16" i="2"/>
  <c r="T46" i="2"/>
  <c r="T105" i="2"/>
  <c r="T107" i="2"/>
  <c r="T53" i="2"/>
  <c r="T23" i="2"/>
  <c r="T4" i="2"/>
  <c r="T60" i="2"/>
  <c r="T55" i="2"/>
  <c r="T33" i="2"/>
  <c r="T88" i="2"/>
  <c r="T63" i="2"/>
  <c r="T86" i="2"/>
  <c r="T96" i="2"/>
  <c r="T9" i="2"/>
  <c r="T40" i="2"/>
  <c r="T8" i="2"/>
  <c r="T29" i="2"/>
  <c r="T25" i="2"/>
  <c r="T102" i="2"/>
  <c r="T56" i="2"/>
  <c r="T30" i="2"/>
  <c r="T39" i="2"/>
  <c r="T10" i="2"/>
  <c r="T19" i="2"/>
  <c r="T83" i="2"/>
  <c r="T81" i="2"/>
  <c r="T85" i="2"/>
  <c r="T17" i="2"/>
  <c r="T38" i="2"/>
  <c r="T41" i="2"/>
  <c r="T36" i="2"/>
  <c r="T79" i="2"/>
  <c r="T101" i="2"/>
  <c r="T72" i="2"/>
  <c r="T14" i="2"/>
  <c r="T31" i="2"/>
  <c r="T44" i="2"/>
  <c r="T32" i="2"/>
  <c r="T59" i="2"/>
  <c r="T34" i="2"/>
  <c r="T43" i="2"/>
  <c r="T15" i="2"/>
  <c r="T62" i="2"/>
  <c r="T18" i="2"/>
  <c r="T90" i="2"/>
  <c r="T5" i="2"/>
  <c r="T57" i="2"/>
  <c r="T6" i="2"/>
  <c r="T50" i="2"/>
  <c r="T58" i="2"/>
  <c r="T24" i="2"/>
  <c r="T117" i="2"/>
  <c r="T108" i="2"/>
  <c r="T109" i="2"/>
  <c r="T110" i="2"/>
  <c r="T106" i="2"/>
  <c r="T49" i="2"/>
  <c r="T87" i="2"/>
  <c r="T13" i="2"/>
  <c r="T116" i="2"/>
  <c r="T92" i="2"/>
  <c r="T26" i="2"/>
  <c r="T21" i="2"/>
  <c r="T35" i="2"/>
  <c r="T22" i="2"/>
  <c r="T12" i="2"/>
  <c r="T27" i="2"/>
  <c r="T78" i="2"/>
  <c r="T91" i="2"/>
  <c r="T11" i="2"/>
  <c r="T20" i="2"/>
  <c r="T54" i="2"/>
  <c r="T51" i="2"/>
  <c r="T94" i="2"/>
  <c r="T70" i="2"/>
  <c r="T98" i="2"/>
  <c r="T119" i="2"/>
  <c r="T68" i="2"/>
  <c r="T65" i="2"/>
  <c r="T7" i="2"/>
  <c r="T11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S52" i="2"/>
  <c r="S3" i="2"/>
  <c r="S42" i="2"/>
  <c r="S89" i="2"/>
  <c r="S82" i="2"/>
  <c r="S95" i="2"/>
  <c r="S99" i="2"/>
  <c r="S76" i="2"/>
  <c r="S28" i="2"/>
  <c r="S75" i="2"/>
  <c r="S103" i="2"/>
  <c r="S100" i="2"/>
  <c r="S93" i="2"/>
  <c r="S74" i="2"/>
  <c r="S112" i="2"/>
  <c r="S45" i="2"/>
  <c r="S104" i="2"/>
  <c r="S77" i="2"/>
  <c r="S66" i="2"/>
  <c r="S69" i="2"/>
  <c r="S97" i="2"/>
  <c r="S111" i="2"/>
  <c r="S84" i="2"/>
  <c r="S118" i="2"/>
  <c r="S48" i="2"/>
  <c r="S47" i="2"/>
  <c r="S80" i="2"/>
  <c r="S61" i="2"/>
  <c r="S67" i="2"/>
  <c r="S71" i="2"/>
  <c r="S73" i="2"/>
  <c r="S2" i="2"/>
  <c r="S64" i="2"/>
  <c r="S16" i="2"/>
  <c r="S46" i="2"/>
  <c r="S105" i="2"/>
  <c r="S107" i="2"/>
  <c r="S53" i="2"/>
  <c r="S23" i="2"/>
  <c r="S4" i="2"/>
  <c r="S60" i="2"/>
  <c r="S55" i="2"/>
  <c r="S33" i="2"/>
  <c r="S88" i="2"/>
  <c r="S63" i="2"/>
  <c r="S86" i="2"/>
  <c r="S96" i="2"/>
  <c r="S9" i="2"/>
  <c r="S40" i="2"/>
  <c r="S8" i="2"/>
  <c r="S29" i="2"/>
  <c r="S25" i="2"/>
  <c r="S102" i="2"/>
  <c r="S56" i="2"/>
  <c r="S30" i="2"/>
  <c r="S39" i="2"/>
  <c r="S10" i="2"/>
  <c r="S19" i="2"/>
  <c r="S83" i="2"/>
  <c r="S81" i="2"/>
  <c r="S85" i="2"/>
  <c r="S17" i="2"/>
  <c r="S38" i="2"/>
  <c r="S41" i="2"/>
  <c r="S36" i="2"/>
  <c r="S79" i="2"/>
  <c r="S101" i="2"/>
  <c r="S72" i="2"/>
  <c r="S14" i="2"/>
  <c r="S31" i="2"/>
  <c r="S44" i="2"/>
  <c r="S32" i="2"/>
  <c r="S59" i="2"/>
  <c r="S34" i="2"/>
  <c r="S43" i="2"/>
  <c r="S15" i="2"/>
  <c r="S62" i="2"/>
  <c r="S18" i="2"/>
  <c r="S90" i="2"/>
  <c r="S5" i="2"/>
  <c r="S57" i="2"/>
  <c r="S6" i="2"/>
  <c r="S50" i="2"/>
  <c r="S58" i="2"/>
  <c r="S24" i="2"/>
  <c r="S117" i="2"/>
  <c r="S108" i="2"/>
  <c r="S109" i="2"/>
  <c r="S110" i="2"/>
  <c r="S106" i="2"/>
  <c r="S49" i="2"/>
  <c r="S87" i="2"/>
  <c r="S13" i="2"/>
  <c r="S116" i="2"/>
  <c r="S92" i="2"/>
  <c r="S26" i="2"/>
  <c r="S21" i="2"/>
  <c r="S35" i="2"/>
  <c r="S22" i="2"/>
  <c r="S12" i="2"/>
  <c r="S27" i="2"/>
  <c r="S78" i="2"/>
  <c r="S91" i="2"/>
  <c r="S11" i="2"/>
  <c r="S20" i="2"/>
  <c r="S54" i="2"/>
  <c r="S51" i="2"/>
  <c r="S94" i="2"/>
  <c r="S70" i="2"/>
  <c r="S98" i="2"/>
  <c r="S119" i="2"/>
  <c r="S68" i="2"/>
  <c r="S65" i="2"/>
  <c r="S7" i="2"/>
  <c r="S11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R52" i="2"/>
  <c r="R3" i="2"/>
  <c r="R42" i="2"/>
  <c r="R89" i="2"/>
  <c r="R82" i="2"/>
  <c r="R95" i="2"/>
  <c r="R99" i="2"/>
  <c r="R76" i="2"/>
  <c r="R28" i="2"/>
  <c r="R75" i="2"/>
  <c r="R103" i="2"/>
  <c r="R100" i="2"/>
  <c r="R93" i="2"/>
  <c r="R74" i="2"/>
  <c r="R112" i="2"/>
  <c r="R45" i="2"/>
  <c r="R104" i="2"/>
  <c r="R77" i="2"/>
  <c r="R66" i="2"/>
  <c r="R69" i="2"/>
  <c r="R97" i="2"/>
  <c r="R111" i="2"/>
  <c r="R84" i="2"/>
  <c r="R118" i="2"/>
  <c r="R48" i="2"/>
  <c r="R47" i="2"/>
  <c r="R80" i="2"/>
  <c r="R61" i="2"/>
  <c r="R67" i="2"/>
  <c r="R71" i="2"/>
  <c r="R73" i="2"/>
  <c r="R2" i="2"/>
  <c r="R64" i="2"/>
  <c r="R16" i="2"/>
  <c r="R46" i="2"/>
  <c r="R105" i="2"/>
  <c r="R107" i="2"/>
  <c r="R53" i="2"/>
  <c r="R23" i="2"/>
  <c r="R4" i="2"/>
  <c r="R60" i="2"/>
  <c r="R55" i="2"/>
  <c r="R33" i="2"/>
  <c r="R88" i="2"/>
  <c r="R63" i="2"/>
  <c r="R86" i="2"/>
  <c r="R96" i="2"/>
  <c r="R9" i="2"/>
  <c r="R40" i="2"/>
  <c r="R8" i="2"/>
  <c r="R29" i="2"/>
  <c r="R25" i="2"/>
  <c r="R102" i="2"/>
  <c r="R56" i="2"/>
  <c r="R30" i="2"/>
  <c r="R39" i="2"/>
  <c r="R10" i="2"/>
  <c r="R19" i="2"/>
  <c r="R83" i="2"/>
  <c r="R81" i="2"/>
  <c r="R85" i="2"/>
  <c r="R17" i="2"/>
  <c r="R38" i="2"/>
  <c r="R41" i="2"/>
  <c r="R36" i="2"/>
  <c r="R79" i="2"/>
  <c r="R101" i="2"/>
  <c r="R72" i="2"/>
  <c r="R14" i="2"/>
  <c r="R31" i="2"/>
  <c r="R44" i="2"/>
  <c r="R32" i="2"/>
  <c r="R59" i="2"/>
  <c r="R34" i="2"/>
  <c r="R43" i="2"/>
  <c r="R15" i="2"/>
  <c r="R62" i="2"/>
  <c r="R18" i="2"/>
  <c r="R90" i="2"/>
  <c r="R5" i="2"/>
  <c r="R57" i="2"/>
  <c r="R6" i="2"/>
  <c r="R50" i="2"/>
  <c r="R58" i="2"/>
  <c r="R24" i="2"/>
  <c r="R117" i="2"/>
  <c r="R108" i="2"/>
  <c r="R109" i="2"/>
  <c r="R110" i="2"/>
  <c r="R106" i="2"/>
  <c r="R49" i="2"/>
  <c r="R87" i="2"/>
  <c r="R13" i="2"/>
  <c r="R116" i="2"/>
  <c r="R92" i="2"/>
  <c r="R26" i="2"/>
  <c r="R21" i="2"/>
  <c r="R35" i="2"/>
  <c r="R22" i="2"/>
  <c r="R12" i="2"/>
  <c r="R27" i="2"/>
  <c r="R78" i="2"/>
  <c r="R91" i="2"/>
  <c r="R11" i="2"/>
  <c r="R20" i="2"/>
  <c r="R54" i="2"/>
  <c r="R51" i="2"/>
  <c r="R94" i="2"/>
  <c r="R70" i="2"/>
  <c r="R98" i="2"/>
  <c r="R119" i="2"/>
  <c r="R68" i="2"/>
  <c r="R65" i="2"/>
  <c r="R7" i="2"/>
  <c r="R11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Q52" i="2"/>
  <c r="Q3" i="2"/>
  <c r="Q42" i="2"/>
  <c r="Q89" i="2"/>
  <c r="Q82" i="2"/>
  <c r="Q95" i="2"/>
  <c r="Q99" i="2"/>
  <c r="Q76" i="2"/>
  <c r="Q28" i="2"/>
  <c r="Q75" i="2"/>
  <c r="Q103" i="2"/>
  <c r="Q100" i="2"/>
  <c r="Q93" i="2"/>
  <c r="Q74" i="2"/>
  <c r="Q112" i="2"/>
  <c r="Q45" i="2"/>
  <c r="Q104" i="2"/>
  <c r="Q77" i="2"/>
  <c r="Q66" i="2"/>
  <c r="Q69" i="2"/>
  <c r="Q97" i="2"/>
  <c r="Q111" i="2"/>
  <c r="Q84" i="2"/>
  <c r="Q118" i="2"/>
  <c r="Q48" i="2"/>
  <c r="Q47" i="2"/>
  <c r="Q80" i="2"/>
  <c r="Q61" i="2"/>
  <c r="Q67" i="2"/>
  <c r="Q71" i="2"/>
  <c r="Q73" i="2"/>
  <c r="Q2" i="2"/>
  <c r="Q64" i="2"/>
  <c r="Q16" i="2"/>
  <c r="Q46" i="2"/>
  <c r="Q105" i="2"/>
  <c r="Q107" i="2"/>
  <c r="Q53" i="2"/>
  <c r="Q23" i="2"/>
  <c r="Q4" i="2"/>
  <c r="Q60" i="2"/>
  <c r="Q55" i="2"/>
  <c r="Q33" i="2"/>
  <c r="Q88" i="2"/>
  <c r="Q63" i="2"/>
  <c r="Q86" i="2"/>
  <c r="Q96" i="2"/>
  <c r="Q9" i="2"/>
  <c r="Q40" i="2"/>
  <c r="Q8" i="2"/>
  <c r="Q29" i="2"/>
  <c r="Q25" i="2"/>
  <c r="Q102" i="2"/>
  <c r="Q56" i="2"/>
  <c r="Q30" i="2"/>
  <c r="Q39" i="2"/>
  <c r="Q10" i="2"/>
  <c r="Q19" i="2"/>
  <c r="Q83" i="2"/>
  <c r="Q81" i="2"/>
  <c r="Q85" i="2"/>
  <c r="Q17" i="2"/>
  <c r="Q38" i="2"/>
  <c r="Q41" i="2"/>
  <c r="Q36" i="2"/>
  <c r="Q79" i="2"/>
  <c r="Q101" i="2"/>
  <c r="Q72" i="2"/>
  <c r="Q14" i="2"/>
  <c r="Q31" i="2"/>
  <c r="Q44" i="2"/>
  <c r="Q32" i="2"/>
  <c r="Q59" i="2"/>
  <c r="Q34" i="2"/>
  <c r="Q43" i="2"/>
  <c r="Q15" i="2"/>
  <c r="Q62" i="2"/>
  <c r="Q18" i="2"/>
  <c r="Q90" i="2"/>
  <c r="Q5" i="2"/>
  <c r="Q57" i="2"/>
  <c r="Q6" i="2"/>
  <c r="Q50" i="2"/>
  <c r="Q58" i="2"/>
  <c r="Q24" i="2"/>
  <c r="Q117" i="2"/>
  <c r="Q108" i="2"/>
  <c r="Q109" i="2"/>
  <c r="Q110" i="2"/>
  <c r="Q106" i="2"/>
  <c r="Q49" i="2"/>
  <c r="Q87" i="2"/>
  <c r="Q13" i="2"/>
  <c r="Q116" i="2"/>
  <c r="Q92" i="2"/>
  <c r="Q26" i="2"/>
  <c r="Q21" i="2"/>
  <c r="Q35" i="2"/>
  <c r="Q22" i="2"/>
  <c r="Q12" i="2"/>
  <c r="Q27" i="2"/>
  <c r="Q78" i="2"/>
  <c r="Q91" i="2"/>
  <c r="Q11" i="2"/>
  <c r="Q20" i="2"/>
  <c r="Q54" i="2"/>
  <c r="Q51" i="2"/>
  <c r="Q94" i="2"/>
  <c r="Q70" i="2"/>
  <c r="Q98" i="2"/>
  <c r="Q119" i="2"/>
  <c r="Q68" i="2"/>
  <c r="Q65" i="2"/>
  <c r="Q7" i="2"/>
  <c r="Q11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P52" i="2"/>
  <c r="P3" i="2"/>
  <c r="P42" i="2"/>
  <c r="P89" i="2"/>
  <c r="P82" i="2"/>
  <c r="P95" i="2"/>
  <c r="P99" i="2"/>
  <c r="P76" i="2"/>
  <c r="P28" i="2"/>
  <c r="P75" i="2"/>
  <c r="P103" i="2"/>
  <c r="P100" i="2"/>
  <c r="P93" i="2"/>
  <c r="P74" i="2"/>
  <c r="P112" i="2"/>
  <c r="P45" i="2"/>
  <c r="P104" i="2"/>
  <c r="P77" i="2"/>
  <c r="P66" i="2"/>
  <c r="P69" i="2"/>
  <c r="P97" i="2"/>
  <c r="P111" i="2"/>
  <c r="P84" i="2"/>
  <c r="P118" i="2"/>
  <c r="P48" i="2"/>
  <c r="P47" i="2"/>
  <c r="P80" i="2"/>
  <c r="P61" i="2"/>
  <c r="P67" i="2"/>
  <c r="P71" i="2"/>
  <c r="P73" i="2"/>
  <c r="P2" i="2"/>
  <c r="P64" i="2"/>
  <c r="P16" i="2"/>
  <c r="P46" i="2"/>
  <c r="P105" i="2"/>
  <c r="P107" i="2"/>
  <c r="P53" i="2"/>
  <c r="P23" i="2"/>
  <c r="P4" i="2"/>
  <c r="P60" i="2"/>
  <c r="P55" i="2"/>
  <c r="P33" i="2"/>
  <c r="P88" i="2"/>
  <c r="P63" i="2"/>
  <c r="P86" i="2"/>
  <c r="P96" i="2"/>
  <c r="P9" i="2"/>
  <c r="P40" i="2"/>
  <c r="P8" i="2"/>
  <c r="P29" i="2"/>
  <c r="P25" i="2"/>
  <c r="P102" i="2"/>
  <c r="P56" i="2"/>
  <c r="P30" i="2"/>
  <c r="P39" i="2"/>
  <c r="P10" i="2"/>
  <c r="P19" i="2"/>
  <c r="P83" i="2"/>
  <c r="P81" i="2"/>
  <c r="P85" i="2"/>
  <c r="P17" i="2"/>
  <c r="P38" i="2"/>
  <c r="P41" i="2"/>
  <c r="P36" i="2"/>
  <c r="P79" i="2"/>
  <c r="P101" i="2"/>
  <c r="P72" i="2"/>
  <c r="P14" i="2"/>
  <c r="P31" i="2"/>
  <c r="P44" i="2"/>
  <c r="P32" i="2"/>
  <c r="P59" i="2"/>
  <c r="P34" i="2"/>
  <c r="P43" i="2"/>
  <c r="P15" i="2"/>
  <c r="P62" i="2"/>
  <c r="P18" i="2"/>
  <c r="P90" i="2"/>
  <c r="P5" i="2"/>
  <c r="P57" i="2"/>
  <c r="P6" i="2"/>
  <c r="P50" i="2"/>
  <c r="P58" i="2"/>
  <c r="P24" i="2"/>
  <c r="P117" i="2"/>
  <c r="P108" i="2"/>
  <c r="P109" i="2"/>
  <c r="P110" i="2"/>
  <c r="P106" i="2"/>
  <c r="P49" i="2"/>
  <c r="P87" i="2"/>
  <c r="P13" i="2"/>
  <c r="P116" i="2"/>
  <c r="P92" i="2"/>
  <c r="P26" i="2"/>
  <c r="P21" i="2"/>
  <c r="P35" i="2"/>
  <c r="P22" i="2"/>
  <c r="P12" i="2"/>
  <c r="P27" i="2"/>
  <c r="P78" i="2"/>
  <c r="P91" i="2"/>
  <c r="P11" i="2"/>
  <c r="P20" i="2"/>
  <c r="P54" i="2"/>
  <c r="P51" i="2"/>
  <c r="P94" i="2"/>
  <c r="P70" i="2"/>
  <c r="P98" i="2"/>
  <c r="P119" i="2"/>
  <c r="P68" i="2"/>
  <c r="P65" i="2"/>
  <c r="P7" i="2"/>
  <c r="P11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O52" i="2"/>
  <c r="O3" i="2"/>
  <c r="O42" i="2"/>
  <c r="O89" i="2"/>
  <c r="O82" i="2"/>
  <c r="O95" i="2"/>
  <c r="O99" i="2"/>
  <c r="O76" i="2"/>
  <c r="O28" i="2"/>
  <c r="O75" i="2"/>
  <c r="O103" i="2"/>
  <c r="O100" i="2"/>
  <c r="O93" i="2"/>
  <c r="O74" i="2"/>
  <c r="O112" i="2"/>
  <c r="O45" i="2"/>
  <c r="O104" i="2"/>
  <c r="O77" i="2"/>
  <c r="O66" i="2"/>
  <c r="O69" i="2"/>
  <c r="O97" i="2"/>
  <c r="O111" i="2"/>
  <c r="O84" i="2"/>
  <c r="O118" i="2"/>
  <c r="O48" i="2"/>
  <c r="O47" i="2"/>
  <c r="O80" i="2"/>
  <c r="O61" i="2"/>
  <c r="O67" i="2"/>
  <c r="O71" i="2"/>
  <c r="O73" i="2"/>
  <c r="O2" i="2"/>
  <c r="O64" i="2"/>
  <c r="O16" i="2"/>
  <c r="O46" i="2"/>
  <c r="O105" i="2"/>
  <c r="O107" i="2"/>
  <c r="O53" i="2"/>
  <c r="O23" i="2"/>
  <c r="O4" i="2"/>
  <c r="O60" i="2"/>
  <c r="O55" i="2"/>
  <c r="O33" i="2"/>
  <c r="O88" i="2"/>
  <c r="O63" i="2"/>
  <c r="O86" i="2"/>
  <c r="O96" i="2"/>
  <c r="O9" i="2"/>
  <c r="O40" i="2"/>
  <c r="O8" i="2"/>
  <c r="O29" i="2"/>
  <c r="O25" i="2"/>
  <c r="O102" i="2"/>
  <c r="O56" i="2"/>
  <c r="O30" i="2"/>
  <c r="O39" i="2"/>
  <c r="O10" i="2"/>
  <c r="O19" i="2"/>
  <c r="O83" i="2"/>
  <c r="O81" i="2"/>
  <c r="O85" i="2"/>
  <c r="O17" i="2"/>
  <c r="O38" i="2"/>
  <c r="O41" i="2"/>
  <c r="O36" i="2"/>
  <c r="O79" i="2"/>
  <c r="O101" i="2"/>
  <c r="O72" i="2"/>
  <c r="O14" i="2"/>
  <c r="O31" i="2"/>
  <c r="O44" i="2"/>
  <c r="O32" i="2"/>
  <c r="O59" i="2"/>
  <c r="O34" i="2"/>
  <c r="O43" i="2"/>
  <c r="O15" i="2"/>
  <c r="O62" i="2"/>
  <c r="O18" i="2"/>
  <c r="O90" i="2"/>
  <c r="O5" i="2"/>
  <c r="O57" i="2"/>
  <c r="O6" i="2"/>
  <c r="O50" i="2"/>
  <c r="O58" i="2"/>
  <c r="O24" i="2"/>
  <c r="O117" i="2"/>
  <c r="O108" i="2"/>
  <c r="O109" i="2"/>
  <c r="O110" i="2"/>
  <c r="O106" i="2"/>
  <c r="O49" i="2"/>
  <c r="O87" i="2"/>
  <c r="O13" i="2"/>
  <c r="O116" i="2"/>
  <c r="O92" i="2"/>
  <c r="O26" i="2"/>
  <c r="O21" i="2"/>
  <c r="O35" i="2"/>
  <c r="O22" i="2"/>
  <c r="O12" i="2"/>
  <c r="O27" i="2"/>
  <c r="O78" i="2"/>
  <c r="O91" i="2"/>
  <c r="O11" i="2"/>
  <c r="O20" i="2"/>
  <c r="O54" i="2"/>
  <c r="O51" i="2"/>
  <c r="O94" i="2"/>
  <c r="O70" i="2"/>
  <c r="O98" i="2"/>
  <c r="O119" i="2"/>
  <c r="O68" i="2"/>
  <c r="O65" i="2"/>
  <c r="O7" i="2"/>
  <c r="O11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B32" i="2"/>
  <c r="C32" i="2"/>
  <c r="I3" i="4" a="1"/>
  <c r="B4" i="2"/>
  <c r="C4" i="2"/>
  <c r="E4" i="2"/>
  <c r="F4" i="2"/>
  <c r="G4" i="2"/>
  <c r="H4" i="2"/>
  <c r="B60" i="2"/>
  <c r="C60" i="2"/>
  <c r="E60" i="2"/>
  <c r="F60" i="2"/>
  <c r="B55" i="2"/>
  <c r="C55" i="2"/>
  <c r="E55" i="2"/>
  <c r="F55" i="2"/>
  <c r="B33" i="2"/>
  <c r="C33" i="2"/>
  <c r="E33" i="2"/>
  <c r="F33" i="2"/>
  <c r="B88" i="2"/>
  <c r="C88" i="2"/>
  <c r="E88" i="2"/>
  <c r="F88" i="2"/>
  <c r="B63" i="2"/>
  <c r="C63" i="2"/>
  <c r="E63" i="2"/>
  <c r="F63" i="2"/>
  <c r="B86" i="2"/>
  <c r="C86" i="2"/>
  <c r="E86" i="2"/>
  <c r="F86" i="2"/>
  <c r="B96" i="2"/>
  <c r="C96" i="2"/>
  <c r="E96" i="2"/>
  <c r="F96" i="2"/>
  <c r="B9" i="2"/>
  <c r="C9" i="2"/>
  <c r="E9" i="2"/>
  <c r="F9" i="2"/>
  <c r="G9" i="2"/>
  <c r="H9" i="2"/>
  <c r="B40" i="2"/>
  <c r="C40" i="2"/>
  <c r="E40" i="2"/>
  <c r="F40" i="2"/>
  <c r="G40" i="2"/>
  <c r="H40" i="2"/>
  <c r="B8" i="2"/>
  <c r="C8" i="2"/>
  <c r="E8" i="2"/>
  <c r="F8" i="2"/>
  <c r="B29" i="2"/>
  <c r="C29" i="2"/>
  <c r="E29" i="2"/>
  <c r="F29" i="2"/>
  <c r="B25" i="2"/>
  <c r="C25" i="2"/>
  <c r="E25" i="2"/>
  <c r="F25" i="2"/>
  <c r="B102" i="2"/>
  <c r="C102" i="2"/>
  <c r="E102" i="2"/>
  <c r="F102" i="2"/>
  <c r="B56" i="2"/>
  <c r="C56" i="2"/>
  <c r="E56" i="2"/>
  <c r="F56" i="2"/>
  <c r="B30" i="2"/>
  <c r="C30" i="2"/>
  <c r="E30" i="2"/>
  <c r="F30" i="2"/>
  <c r="B39" i="2"/>
  <c r="C39" i="2"/>
  <c r="E39" i="2"/>
  <c r="F39" i="2"/>
  <c r="B10" i="2"/>
  <c r="C10" i="2"/>
  <c r="E10" i="2"/>
  <c r="F10" i="2"/>
  <c r="G10" i="2"/>
  <c r="H10" i="2"/>
  <c r="B19" i="2"/>
  <c r="C19" i="2"/>
  <c r="E19" i="2"/>
  <c r="F19" i="2"/>
  <c r="G19" i="2"/>
  <c r="H19" i="2"/>
  <c r="B83" i="2"/>
  <c r="C83" i="2"/>
  <c r="E83" i="2"/>
  <c r="F83" i="2"/>
  <c r="B81" i="2"/>
  <c r="C81" i="2"/>
  <c r="E81" i="2"/>
  <c r="F81" i="2"/>
  <c r="B85" i="2"/>
  <c r="C85" i="2"/>
  <c r="E85" i="2"/>
  <c r="F85" i="2"/>
  <c r="B17" i="2"/>
  <c r="C17" i="2"/>
  <c r="E17" i="2"/>
  <c r="F17" i="2"/>
  <c r="G17" i="2"/>
  <c r="H17" i="2"/>
  <c r="B38" i="2"/>
  <c r="C38" i="2"/>
  <c r="E38" i="2"/>
  <c r="F38" i="2"/>
  <c r="B41" i="2"/>
  <c r="C41" i="2"/>
  <c r="E41" i="2"/>
  <c r="F41" i="2"/>
  <c r="G41" i="2"/>
  <c r="H41" i="2"/>
  <c r="B36" i="2"/>
  <c r="C36" i="2"/>
  <c r="E36" i="2"/>
  <c r="F36" i="2"/>
  <c r="B79" i="2"/>
  <c r="C79" i="2"/>
  <c r="E79" i="2"/>
  <c r="F79" i="2"/>
  <c r="B101" i="2"/>
  <c r="C101" i="2"/>
  <c r="E101" i="2"/>
  <c r="F101" i="2"/>
  <c r="B72" i="2"/>
  <c r="C72" i="2"/>
  <c r="E72" i="2"/>
  <c r="F72" i="2"/>
  <c r="B14" i="2"/>
  <c r="C14" i="2"/>
  <c r="E14" i="2"/>
  <c r="G14" i="2"/>
  <c r="H14" i="2"/>
  <c r="B31" i="2"/>
  <c r="C31" i="2"/>
  <c r="B44" i="2"/>
  <c r="C44" i="2"/>
  <c r="B59" i="2"/>
  <c r="C59" i="2"/>
  <c r="E59" i="2"/>
  <c r="F59" i="2"/>
  <c r="B34" i="2"/>
  <c r="C34" i="2"/>
  <c r="E34" i="2"/>
  <c r="F34" i="2"/>
  <c r="B43" i="2"/>
  <c r="C43" i="2"/>
  <c r="E43" i="2"/>
  <c r="F43" i="2"/>
  <c r="G43" i="2"/>
  <c r="H43" i="2"/>
  <c r="B15" i="2"/>
  <c r="E15" i="2"/>
  <c r="F15" i="2"/>
  <c r="G15" i="2"/>
  <c r="B62" i="2"/>
  <c r="C62" i="2"/>
  <c r="E62" i="2"/>
  <c r="F62" i="2"/>
  <c r="B18" i="2"/>
  <c r="C18" i="2"/>
  <c r="E18" i="2"/>
  <c r="F18" i="2"/>
  <c r="G18" i="2"/>
  <c r="H18" i="2"/>
  <c r="B90" i="2"/>
  <c r="C90" i="2"/>
  <c r="E90" i="2"/>
  <c r="F90" i="2"/>
  <c r="B5" i="2"/>
  <c r="C5" i="2"/>
  <c r="E5" i="2"/>
  <c r="F5" i="2"/>
  <c r="G5" i="2"/>
  <c r="H5" i="2"/>
  <c r="B57" i="2"/>
  <c r="C57" i="2"/>
  <c r="E57" i="2"/>
  <c r="F57" i="2"/>
  <c r="B6" i="2"/>
  <c r="C6" i="2"/>
  <c r="E6" i="2"/>
  <c r="F6" i="2"/>
  <c r="G6" i="2"/>
  <c r="H6" i="2"/>
  <c r="B50" i="2"/>
  <c r="C50" i="2"/>
  <c r="E50" i="2"/>
  <c r="F50" i="2"/>
  <c r="B58" i="2"/>
  <c r="C58" i="2"/>
  <c r="E58" i="2"/>
  <c r="F58" i="2"/>
  <c r="B24" i="2"/>
  <c r="C24" i="2"/>
  <c r="E24" i="2"/>
  <c r="F24" i="2"/>
  <c r="B117" i="2"/>
  <c r="C117" i="2"/>
  <c r="F117" i="2"/>
  <c r="G117" i="2"/>
  <c r="H117" i="2"/>
  <c r="F26" i="2"/>
  <c r="E26" i="2"/>
  <c r="B26" i="2"/>
  <c r="C26" i="2"/>
  <c r="F53" i="2"/>
  <c r="F16" i="22" s="1"/>
  <c r="E53" i="2"/>
  <c r="E16" i="22" s="1"/>
  <c r="F23" i="2"/>
  <c r="F10" i="22" s="1"/>
  <c r="E23" i="2"/>
  <c r="E10" i="22" s="1"/>
  <c r="B37" i="3"/>
  <c r="C37" i="3"/>
  <c r="B23" i="2"/>
  <c r="C23" i="2"/>
  <c r="B53" i="2"/>
  <c r="C53" i="2"/>
  <c r="F6" i="4" l="1"/>
  <c r="F5" i="4"/>
  <c r="F4" i="4"/>
  <c r="J4" i="4"/>
  <c r="J5" i="4"/>
  <c r="J6" i="4"/>
  <c r="J7" i="4"/>
  <c r="J8" i="4"/>
  <c r="J9" i="4"/>
  <c r="E3" i="4"/>
  <c r="I3" i="4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4" i="3"/>
  <c r="C24" i="3"/>
  <c r="B25" i="3"/>
  <c r="C25" i="3"/>
  <c r="B28" i="3"/>
  <c r="C28" i="3"/>
  <c r="B29" i="3"/>
  <c r="C29" i="3"/>
  <c r="B30" i="3"/>
  <c r="C30" i="3"/>
  <c r="B31" i="3"/>
  <c r="C31" i="3"/>
  <c r="B33" i="3"/>
  <c r="C33" i="3"/>
  <c r="B32" i="3"/>
  <c r="C32" i="3"/>
  <c r="B46" i="3"/>
  <c r="C46" i="3"/>
  <c r="B47" i="3"/>
  <c r="C47" i="3"/>
  <c r="B51" i="3"/>
  <c r="C51" i="3"/>
  <c r="B52" i="3"/>
  <c r="C52" i="3"/>
  <c r="B27" i="3"/>
  <c r="C27" i="3"/>
  <c r="B49" i="3"/>
  <c r="C49" i="3"/>
  <c r="B22" i="3"/>
  <c r="C22" i="3"/>
  <c r="B38" i="3"/>
  <c r="C38" i="3"/>
  <c r="B53" i="3"/>
  <c r="C53" i="3"/>
  <c r="B54" i="3"/>
  <c r="C54" i="3"/>
  <c r="B55" i="3"/>
  <c r="C55" i="3"/>
  <c r="B39" i="3"/>
  <c r="C39" i="3"/>
  <c r="B15" i="3"/>
  <c r="C15" i="3"/>
  <c r="B8" i="3"/>
  <c r="C8" i="3"/>
  <c r="B43" i="3"/>
  <c r="C43" i="3"/>
  <c r="B44" i="3"/>
  <c r="C44" i="3"/>
  <c r="B45" i="3"/>
  <c r="C45" i="3"/>
  <c r="B26" i="3"/>
  <c r="C26" i="3"/>
  <c r="B34" i="3"/>
  <c r="C34" i="3"/>
  <c r="B35" i="3"/>
  <c r="C35" i="3"/>
  <c r="B36" i="3"/>
  <c r="C36" i="3"/>
  <c r="B56" i="3"/>
  <c r="C56" i="3"/>
  <c r="B57" i="3"/>
  <c r="C57" i="3"/>
  <c r="B58" i="3"/>
  <c r="C58" i="3"/>
  <c r="B59" i="3"/>
  <c r="C59" i="3"/>
  <c r="B16" i="3"/>
  <c r="C16" i="3"/>
  <c r="B40" i="3"/>
  <c r="C40" i="3"/>
  <c r="B41" i="3"/>
  <c r="C41" i="3"/>
  <c r="B42" i="3"/>
  <c r="C42" i="3"/>
  <c r="B11" i="3"/>
  <c r="C11" i="3"/>
  <c r="B14" i="3"/>
  <c r="C14" i="3"/>
  <c r="B13" i="3"/>
  <c r="C13" i="3"/>
  <c r="B19" i="3"/>
  <c r="C19" i="3"/>
  <c r="B18" i="3"/>
  <c r="C18" i="3"/>
  <c r="B20" i="3"/>
  <c r="C20" i="3"/>
  <c r="B9" i="3"/>
  <c r="C9" i="3"/>
  <c r="E35" i="2"/>
  <c r="F35" i="2"/>
  <c r="E22" i="2"/>
  <c r="F22" i="2"/>
  <c r="E12" i="2"/>
  <c r="F12" i="2"/>
  <c r="G12" i="2"/>
  <c r="H12" i="2"/>
  <c r="E27" i="2"/>
  <c r="F27" i="2"/>
  <c r="E78" i="2"/>
  <c r="F78" i="2"/>
  <c r="E91" i="2"/>
  <c r="F91" i="2"/>
  <c r="E11" i="2"/>
  <c r="F11" i="2"/>
  <c r="G11" i="2"/>
  <c r="H11" i="2"/>
  <c r="E20" i="2"/>
  <c r="F20" i="2"/>
  <c r="E54" i="2"/>
  <c r="F54" i="2"/>
  <c r="E51" i="2"/>
  <c r="F51" i="2"/>
  <c r="E94" i="2"/>
  <c r="F94" i="2"/>
  <c r="E70" i="2"/>
  <c r="F70" i="2"/>
  <c r="E98" i="2"/>
  <c r="F98" i="2"/>
  <c r="E119" i="2"/>
  <c r="G119" i="2"/>
  <c r="H119" i="2"/>
  <c r="E68" i="2"/>
  <c r="F68" i="2"/>
  <c r="E65" i="2"/>
  <c r="F65" i="2"/>
  <c r="E7" i="2"/>
  <c r="F7" i="2"/>
  <c r="E99" i="2"/>
  <c r="E33" i="22" s="1"/>
  <c r="F99" i="2"/>
  <c r="F33" i="22" s="1"/>
  <c r="E76" i="2"/>
  <c r="E26" i="22" s="1"/>
  <c r="F76" i="2"/>
  <c r="F26" i="22" s="1"/>
  <c r="E28" i="2"/>
  <c r="E11" i="22" s="1"/>
  <c r="F28" i="2"/>
  <c r="F11" i="22" s="1"/>
  <c r="E75" i="2"/>
  <c r="E25" i="22" s="1"/>
  <c r="F75" i="2"/>
  <c r="F25" i="22" s="1"/>
  <c r="E103" i="2"/>
  <c r="E35" i="22" s="1"/>
  <c r="F103" i="2"/>
  <c r="F35" i="22" s="1"/>
  <c r="E100" i="2"/>
  <c r="E34" i="22" s="1"/>
  <c r="F100" i="2"/>
  <c r="F34" i="22" s="1"/>
  <c r="E93" i="2"/>
  <c r="E30" i="22" s="1"/>
  <c r="F93" i="2"/>
  <c r="F30" i="22" s="1"/>
  <c r="E74" i="2"/>
  <c r="E24" i="22" s="1"/>
  <c r="F74" i="2"/>
  <c r="F24" i="22" s="1"/>
  <c r="E112" i="2"/>
  <c r="E40" i="22" s="1"/>
  <c r="F112" i="2"/>
  <c r="F40" i="22" s="1"/>
  <c r="E45" i="2"/>
  <c r="E12" i="22" s="1"/>
  <c r="F45" i="2"/>
  <c r="F12" i="22" s="1"/>
  <c r="G45" i="2"/>
  <c r="G12" i="22" s="1"/>
  <c r="H45" i="2"/>
  <c r="H12" i="22" s="1"/>
  <c r="E104" i="2"/>
  <c r="E36" i="22" s="1"/>
  <c r="F104" i="2"/>
  <c r="F36" i="22" s="1"/>
  <c r="E77" i="2"/>
  <c r="E27" i="22" s="1"/>
  <c r="F77" i="2"/>
  <c r="F27" i="22" s="1"/>
  <c r="E66" i="2"/>
  <c r="E19" i="22" s="1"/>
  <c r="F66" i="2"/>
  <c r="F19" i="22" s="1"/>
  <c r="E69" i="2"/>
  <c r="E21" i="22" s="1"/>
  <c r="F69" i="2"/>
  <c r="E97" i="2"/>
  <c r="E32" i="22" s="1"/>
  <c r="F97" i="2"/>
  <c r="F32" i="22" s="1"/>
  <c r="E111" i="2"/>
  <c r="E39" i="22" s="1"/>
  <c r="F111" i="2"/>
  <c r="F39" i="22" s="1"/>
  <c r="E84" i="2"/>
  <c r="E29" i="22" s="1"/>
  <c r="F84" i="2"/>
  <c r="F29" i="22" s="1"/>
  <c r="E118" i="2"/>
  <c r="E41" i="22" s="1"/>
  <c r="F118" i="2"/>
  <c r="F41" i="22" s="1"/>
  <c r="G118" i="2"/>
  <c r="G41" i="22" s="1"/>
  <c r="H118" i="2"/>
  <c r="H41" i="22" s="1"/>
  <c r="E48" i="2"/>
  <c r="E15" i="22" s="1"/>
  <c r="F48" i="2"/>
  <c r="F15" i="22" s="1"/>
  <c r="E47" i="2"/>
  <c r="E14" i="22" s="1"/>
  <c r="F47" i="2"/>
  <c r="F14" i="22" s="1"/>
  <c r="G47" i="2"/>
  <c r="G14" i="22" s="1"/>
  <c r="H47" i="2"/>
  <c r="H14" i="22" s="1"/>
  <c r="E80" i="2"/>
  <c r="E28" i="22" s="1"/>
  <c r="F80" i="2"/>
  <c r="F28" i="22" s="1"/>
  <c r="E61" i="2"/>
  <c r="E17" i="22" s="1"/>
  <c r="F61" i="2"/>
  <c r="F17" i="22" s="1"/>
  <c r="E67" i="2"/>
  <c r="E20" i="22" s="1"/>
  <c r="F67" i="2"/>
  <c r="F20" i="22" s="1"/>
  <c r="E71" i="2"/>
  <c r="E22" i="22" s="1"/>
  <c r="F71" i="2"/>
  <c r="E73" i="2"/>
  <c r="E23" i="22" s="1"/>
  <c r="F73" i="2"/>
  <c r="F23" i="22" s="1"/>
  <c r="E2" i="2"/>
  <c r="E8" i="22" s="1"/>
  <c r="F2" i="2"/>
  <c r="F8" i="22" s="1"/>
  <c r="G2" i="2"/>
  <c r="G8" i="22" s="1"/>
  <c r="H2" i="2"/>
  <c r="H8" i="22" s="1"/>
  <c r="E64" i="2"/>
  <c r="E18" i="22" s="1"/>
  <c r="F64" i="2"/>
  <c r="F18" i="22" s="1"/>
  <c r="E16" i="2"/>
  <c r="E9" i="22" s="1"/>
  <c r="F16" i="2"/>
  <c r="F9" i="22" s="1"/>
  <c r="G16" i="2"/>
  <c r="G9" i="22" s="1"/>
  <c r="H16" i="2"/>
  <c r="H9" i="22" s="1"/>
  <c r="E46" i="2"/>
  <c r="E13" i="22" s="1"/>
  <c r="F46" i="2"/>
  <c r="F13" i="22" s="1"/>
  <c r="G46" i="2"/>
  <c r="G13" i="22" s="1"/>
  <c r="H46" i="2"/>
  <c r="H13" i="22" s="1"/>
  <c r="E105" i="2"/>
  <c r="E37" i="22" s="1"/>
  <c r="F105" i="2"/>
  <c r="F37" i="22" s="1"/>
  <c r="E107" i="2"/>
  <c r="E38" i="22" s="1"/>
  <c r="F107" i="2"/>
  <c r="F38" i="22" s="1"/>
  <c r="E52" i="2"/>
  <c r="F52" i="2"/>
  <c r="E3" i="2"/>
  <c r="F3" i="2"/>
  <c r="G3" i="2"/>
  <c r="H3" i="2"/>
  <c r="E42" i="2"/>
  <c r="F42" i="2"/>
  <c r="G42" i="2"/>
  <c r="H42" i="2"/>
  <c r="E89" i="2"/>
  <c r="F89" i="2"/>
  <c r="E82" i="2"/>
  <c r="F82" i="2"/>
  <c r="E108" i="2"/>
  <c r="F108" i="2"/>
  <c r="E109" i="2"/>
  <c r="F109" i="2"/>
  <c r="E110" i="2"/>
  <c r="F110" i="2"/>
  <c r="E106" i="2"/>
  <c r="F106" i="2"/>
  <c r="E49" i="2"/>
  <c r="F49" i="2"/>
  <c r="E87" i="2"/>
  <c r="F87" i="2"/>
  <c r="F95" i="2"/>
  <c r="F31" i="22" s="1"/>
  <c r="E95" i="2"/>
  <c r="E31" i="22" s="1"/>
  <c r="B108" i="2"/>
  <c r="C108" i="2"/>
  <c r="B109" i="2"/>
  <c r="C109" i="2"/>
  <c r="B110" i="2"/>
  <c r="C110" i="2"/>
  <c r="B106" i="2"/>
  <c r="C106" i="2"/>
  <c r="B49" i="2"/>
  <c r="C49" i="2"/>
  <c r="B87" i="2"/>
  <c r="C87" i="2"/>
  <c r="B13" i="2"/>
  <c r="C13" i="2"/>
  <c r="B116" i="2"/>
  <c r="C116" i="2"/>
  <c r="B92" i="2"/>
  <c r="C92" i="2"/>
  <c r="B21" i="2"/>
  <c r="C21" i="2"/>
  <c r="B35" i="2"/>
  <c r="C35" i="2"/>
  <c r="B22" i="2"/>
  <c r="C22" i="2"/>
  <c r="B12" i="2"/>
  <c r="C12" i="2"/>
  <c r="B27" i="2"/>
  <c r="C27" i="2"/>
  <c r="B78" i="2"/>
  <c r="C78" i="2"/>
  <c r="B91" i="2"/>
  <c r="C91" i="2"/>
  <c r="E13" i="2"/>
  <c r="G13" i="2"/>
  <c r="H13" i="2"/>
  <c r="E116" i="2"/>
  <c r="F116" i="2"/>
  <c r="E92" i="2"/>
  <c r="F92" i="2"/>
  <c r="E21" i="2"/>
  <c r="F21" i="2"/>
  <c r="C6" i="3"/>
  <c r="B6" i="3"/>
  <c r="C4" i="3"/>
  <c r="B4" i="3"/>
  <c r="C7" i="3"/>
  <c r="B7" i="3"/>
  <c r="C3" i="3"/>
  <c r="B3" i="3"/>
  <c r="C2" i="3"/>
  <c r="B2" i="3"/>
  <c r="B64" i="2"/>
  <c r="C64" i="2"/>
  <c r="B16" i="2"/>
  <c r="C16" i="2"/>
  <c r="B46" i="2"/>
  <c r="C46" i="2"/>
  <c r="B105" i="2"/>
  <c r="C105" i="2"/>
  <c r="B107" i="2"/>
  <c r="C107" i="2"/>
  <c r="B52" i="2"/>
  <c r="C52" i="2"/>
  <c r="B3" i="2"/>
  <c r="C3" i="2"/>
  <c r="B42" i="2"/>
  <c r="C42" i="2"/>
  <c r="B89" i="2"/>
  <c r="C89" i="2"/>
  <c r="B82" i="2"/>
  <c r="C82" i="2"/>
  <c r="B11" i="2"/>
  <c r="C11" i="2"/>
  <c r="B20" i="2"/>
  <c r="C20" i="2"/>
  <c r="B54" i="2"/>
  <c r="C54" i="2"/>
  <c r="B51" i="2"/>
  <c r="C51" i="2"/>
  <c r="B94" i="2"/>
  <c r="C94" i="2"/>
  <c r="B70" i="2"/>
  <c r="C70" i="2"/>
  <c r="B98" i="2"/>
  <c r="C98" i="2"/>
  <c r="B119" i="2"/>
  <c r="C119" i="2"/>
  <c r="B68" i="2"/>
  <c r="C68" i="2"/>
  <c r="B65" i="2"/>
  <c r="C65" i="2"/>
  <c r="B7" i="2"/>
  <c r="C7" i="2"/>
  <c r="B99" i="2"/>
  <c r="C99" i="2"/>
  <c r="B76" i="2"/>
  <c r="C76" i="2"/>
  <c r="B28" i="2"/>
  <c r="C28" i="2"/>
  <c r="B75" i="2"/>
  <c r="C75" i="2"/>
  <c r="B103" i="2"/>
  <c r="C103" i="2"/>
  <c r="B100" i="2"/>
  <c r="C100" i="2"/>
  <c r="B93" i="2"/>
  <c r="C93" i="2"/>
  <c r="B74" i="2"/>
  <c r="C74" i="2"/>
  <c r="B112" i="2"/>
  <c r="C112" i="2"/>
  <c r="B45" i="2"/>
  <c r="C45" i="2"/>
  <c r="B104" i="2"/>
  <c r="C104" i="2"/>
  <c r="B77" i="2"/>
  <c r="C77" i="2"/>
  <c r="B66" i="2"/>
  <c r="C66" i="2"/>
  <c r="B69" i="2"/>
  <c r="C69" i="2"/>
  <c r="B97" i="2"/>
  <c r="C97" i="2"/>
  <c r="B111" i="2"/>
  <c r="C111" i="2"/>
  <c r="B84" i="2"/>
  <c r="C84" i="2"/>
  <c r="B118" i="2"/>
  <c r="C118" i="2"/>
  <c r="B48" i="2"/>
  <c r="C48" i="2"/>
  <c r="B47" i="2"/>
  <c r="C47" i="2"/>
  <c r="B80" i="2"/>
  <c r="C80" i="2"/>
  <c r="B61" i="2"/>
  <c r="C61" i="2"/>
  <c r="B67" i="2"/>
  <c r="C67" i="2"/>
  <c r="B71" i="2"/>
  <c r="C71" i="2"/>
  <c r="B73" i="2"/>
  <c r="C73" i="2"/>
  <c r="B2" i="2"/>
  <c r="C2" i="2"/>
  <c r="C95" i="2"/>
  <c r="B95" i="2"/>
  <c r="S114" i="2"/>
  <c r="P114" i="2"/>
  <c r="O114" i="2"/>
  <c r="E114" i="2"/>
  <c r="R114" i="2"/>
  <c r="T114" i="2"/>
  <c r="N114" i="2"/>
  <c r="Q1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<sst xmlns="http://schemas.openxmlformats.org/spreadsheetml/2006/main" count="2666" uniqueCount="874">
  <si>
    <t>김민선</t>
    <phoneticPr fontId="1" type="noConversion"/>
  </si>
  <si>
    <t>이름</t>
    <phoneticPr fontId="1" type="noConversion"/>
  </si>
  <si>
    <t>소속</t>
    <phoneticPr fontId="1" type="noConversion"/>
  </si>
  <si>
    <t>하은정</t>
    <phoneticPr fontId="1" type="noConversion"/>
  </si>
  <si>
    <t>직책</t>
    <phoneticPr fontId="1" type="noConversion"/>
  </si>
  <si>
    <t>강정구</t>
    <phoneticPr fontId="1" type="noConversion"/>
  </si>
  <si>
    <t>권광민</t>
    <phoneticPr fontId="1" type="noConversion"/>
  </si>
  <si>
    <t>김대식</t>
    <phoneticPr fontId="1" type="noConversion"/>
  </si>
  <si>
    <t>김동훈</t>
    <phoneticPr fontId="1" type="noConversion"/>
  </si>
  <si>
    <t>김석표</t>
    <phoneticPr fontId="1" type="noConversion"/>
  </si>
  <si>
    <t>김연화</t>
    <phoneticPr fontId="1" type="noConversion"/>
  </si>
  <si>
    <t>김용전</t>
    <phoneticPr fontId="1" type="noConversion"/>
  </si>
  <si>
    <t>김재희</t>
    <phoneticPr fontId="1" type="noConversion"/>
  </si>
  <si>
    <t>김종훈</t>
    <phoneticPr fontId="1" type="noConversion"/>
  </si>
  <si>
    <t>김창수</t>
    <phoneticPr fontId="1" type="noConversion"/>
  </si>
  <si>
    <t>김혜미</t>
    <phoneticPr fontId="1" type="noConversion"/>
  </si>
  <si>
    <t>박미야</t>
    <phoneticPr fontId="1" type="noConversion"/>
  </si>
  <si>
    <t>박판진</t>
    <phoneticPr fontId="1" type="noConversion"/>
  </si>
  <si>
    <t>박희성</t>
    <phoneticPr fontId="1" type="noConversion"/>
  </si>
  <si>
    <t>변정도</t>
    <phoneticPr fontId="1" type="noConversion"/>
  </si>
  <si>
    <t>신광수</t>
    <phoneticPr fontId="1" type="noConversion"/>
  </si>
  <si>
    <t>신동명</t>
    <phoneticPr fontId="1" type="noConversion"/>
  </si>
  <si>
    <t>유길상</t>
    <phoneticPr fontId="1" type="noConversion"/>
  </si>
  <si>
    <t>유옥수</t>
    <phoneticPr fontId="1" type="noConversion"/>
  </si>
  <si>
    <t>이규희</t>
    <phoneticPr fontId="1" type="noConversion"/>
  </si>
  <si>
    <t>이길훈</t>
    <phoneticPr fontId="1" type="noConversion"/>
  </si>
  <si>
    <t>이남일</t>
    <phoneticPr fontId="1" type="noConversion"/>
  </si>
  <si>
    <t>이동환</t>
    <phoneticPr fontId="1" type="noConversion"/>
  </si>
  <si>
    <t>이병준</t>
    <phoneticPr fontId="1" type="noConversion"/>
  </si>
  <si>
    <t>장연주</t>
    <phoneticPr fontId="1" type="noConversion"/>
  </si>
  <si>
    <t>정영대</t>
    <phoneticPr fontId="1" type="noConversion"/>
  </si>
  <si>
    <t>정재훈</t>
    <phoneticPr fontId="1" type="noConversion"/>
  </si>
  <si>
    <t>조형찬</t>
    <phoneticPr fontId="1" type="noConversion"/>
  </si>
  <si>
    <t>최내현</t>
    <phoneticPr fontId="1" type="noConversion"/>
  </si>
  <si>
    <t>표순천</t>
    <phoneticPr fontId="1" type="noConversion"/>
  </si>
  <si>
    <t>피욱환</t>
    <phoneticPr fontId="1" type="noConversion"/>
  </si>
  <si>
    <t>황운희</t>
    <phoneticPr fontId="1" type="noConversion"/>
  </si>
  <si>
    <t>최재운</t>
    <phoneticPr fontId="1" type="noConversion"/>
  </si>
  <si>
    <t>위원</t>
    <phoneticPr fontId="1" type="noConversion"/>
  </si>
  <si>
    <t>실장</t>
    <phoneticPr fontId="1" type="noConversion"/>
  </si>
  <si>
    <t>연구원</t>
    <phoneticPr fontId="1" type="noConversion"/>
  </si>
  <si>
    <t>한재희</t>
    <phoneticPr fontId="1" type="noConversion"/>
  </si>
  <si>
    <t>상무</t>
    <phoneticPr fontId="1" type="noConversion"/>
  </si>
  <si>
    <t>이사</t>
    <phoneticPr fontId="1" type="noConversion"/>
  </si>
  <si>
    <t>본부장</t>
    <phoneticPr fontId="1" type="noConversion"/>
  </si>
  <si>
    <t>원장</t>
    <phoneticPr fontId="1" type="noConversion"/>
  </si>
  <si>
    <t>4대보험상</t>
    <phoneticPr fontId="1" type="noConversion"/>
  </si>
  <si>
    <t>경영기획</t>
    <phoneticPr fontId="1" type="noConversion"/>
  </si>
  <si>
    <t>건설사업</t>
    <phoneticPr fontId="1" type="noConversion"/>
  </si>
  <si>
    <t>원가분석</t>
    <phoneticPr fontId="1" type="noConversion"/>
  </si>
  <si>
    <t>학술연구</t>
    <phoneticPr fontId="1" type="noConversion"/>
  </si>
  <si>
    <t>부원장</t>
    <phoneticPr fontId="1" type="noConversion"/>
  </si>
  <si>
    <t>자격증</t>
    <phoneticPr fontId="1" type="noConversion"/>
  </si>
  <si>
    <t>구분</t>
    <phoneticPr fontId="1" type="noConversion"/>
  </si>
  <si>
    <t>관련부처</t>
    <phoneticPr fontId="1" type="noConversion"/>
  </si>
  <si>
    <t>시행/발급기관</t>
    <phoneticPr fontId="1" type="noConversion"/>
  </si>
  <si>
    <t>취득일</t>
    <phoneticPr fontId="1" type="noConversion"/>
  </si>
  <si>
    <t>등록일</t>
    <phoneticPr fontId="1" type="noConversion"/>
  </si>
  <si>
    <t>유효기간</t>
    <phoneticPr fontId="1" type="noConversion"/>
  </si>
  <si>
    <t>등록증</t>
    <phoneticPr fontId="1" type="noConversion"/>
  </si>
  <si>
    <t>면허증</t>
    <phoneticPr fontId="1" type="noConversion"/>
  </si>
  <si>
    <t>비고</t>
    <phoneticPr fontId="1" type="noConversion"/>
  </si>
  <si>
    <t>재경관리사</t>
    <phoneticPr fontId="1" type="noConversion"/>
  </si>
  <si>
    <t>ERP 회계 컨설턴트</t>
    <phoneticPr fontId="1" type="noConversion"/>
  </si>
  <si>
    <t>ERP 물류 컨설턴트</t>
  </si>
  <si>
    <t>조달계약사</t>
  </si>
  <si>
    <t>M&amp;A지도사</t>
    <phoneticPr fontId="1" type="noConversion"/>
  </si>
  <si>
    <t>재난관리지도사</t>
  </si>
  <si>
    <t>사회복지사2급</t>
    <phoneticPr fontId="1" type="noConversion"/>
  </si>
  <si>
    <t>R&amp;A Level 2 Rules School</t>
  </si>
  <si>
    <t>채용면접관 자격인증서</t>
  </si>
  <si>
    <t>국제경영컨설턴트(CMC)</t>
  </si>
  <si>
    <t>평생교육사2급</t>
    <phoneticPr fontId="1" type="noConversion"/>
  </si>
  <si>
    <t>보험심사평가사1급</t>
    <phoneticPr fontId="1" type="noConversion"/>
  </si>
  <si>
    <t>데이터 사이언티스트 능력 인증(DSAC)</t>
    <phoneticPr fontId="1" type="noConversion"/>
  </si>
  <si>
    <t>정책분석평가사1급</t>
    <phoneticPr fontId="1" type="noConversion"/>
  </si>
  <si>
    <t>ISO 14001 2015(환경)</t>
    <phoneticPr fontId="1" type="noConversion"/>
  </si>
  <si>
    <t>ISO 9000 2000(경영)</t>
  </si>
  <si>
    <t>기능점수측정전문가(K-CFPS)</t>
  </si>
  <si>
    <t>BIM 운용전문가2급 건축</t>
    <phoneticPr fontId="1" type="noConversion"/>
  </si>
  <si>
    <t>수목치료기술자</t>
  </si>
  <si>
    <t>창업보육전문매니저</t>
  </si>
  <si>
    <t>공인원가분석사</t>
  </si>
  <si>
    <t>기술거래사</t>
  </si>
  <si>
    <t>소형선박조종사(해기사)</t>
  </si>
  <si>
    <t>초경량비행장치 조종자</t>
  </si>
  <si>
    <t>금융위원회</t>
    <phoneticPr fontId="1" type="noConversion"/>
  </si>
  <si>
    <t>삼일회계법인</t>
    <phoneticPr fontId="1" type="noConversion"/>
  </si>
  <si>
    <t>한국공인회계사회</t>
  </si>
  <si>
    <t>조달청</t>
    <phoneticPr fontId="1" type="noConversion"/>
  </si>
  <si>
    <t>(사)한국경영기술지도사회</t>
    <phoneticPr fontId="1" type="noConversion"/>
  </si>
  <si>
    <t>(사)한국M&amp;A컨설팅협회</t>
    <phoneticPr fontId="1" type="noConversion"/>
  </si>
  <si>
    <t>보건복지부</t>
    <phoneticPr fontId="1" type="noConversion"/>
  </si>
  <si>
    <t>사회보험사협회</t>
    <phoneticPr fontId="1" type="noConversion"/>
  </si>
  <si>
    <t>(사)한국비시피협회</t>
    <phoneticPr fontId="1" type="noConversion"/>
  </si>
  <si>
    <t>한국사회복지사협회</t>
    <phoneticPr fontId="1" type="noConversion"/>
  </si>
  <si>
    <t>고용노동부</t>
    <phoneticPr fontId="1" type="noConversion"/>
  </si>
  <si>
    <t>한국산업카운슬러협회</t>
    <phoneticPr fontId="1" type="noConversion"/>
  </si>
  <si>
    <t>사회보험사협회</t>
  </si>
  <si>
    <t>국토교통부</t>
    <phoneticPr fontId="1" type="noConversion"/>
  </si>
  <si>
    <t>한국자동차진단보증협회</t>
    <phoneticPr fontId="1" type="noConversion"/>
  </si>
  <si>
    <t>대한골프협회</t>
    <phoneticPr fontId="1" type="noConversion"/>
  </si>
  <si>
    <t>한국채용면접관인증원</t>
    <phoneticPr fontId="1" type="noConversion"/>
  </si>
  <si>
    <t>한국경영기술지도사회</t>
    <phoneticPr fontId="1" type="noConversion"/>
  </si>
  <si>
    <t>교육부</t>
    <phoneticPr fontId="1" type="noConversion"/>
  </si>
  <si>
    <t>한국자격검정평가진흥원</t>
    <phoneticPr fontId="1" type="noConversion"/>
  </si>
  <si>
    <t>(사)한국의료행정실무협회</t>
    <phoneticPr fontId="1" type="noConversion"/>
  </si>
  <si>
    <t>한국생산성본부</t>
    <phoneticPr fontId="1" type="noConversion"/>
  </si>
  <si>
    <t>행정안전부</t>
    <phoneticPr fontId="1" type="noConversion"/>
  </si>
  <si>
    <t>한국공공정책평가협회</t>
  </si>
  <si>
    <t>IQCS</t>
    <phoneticPr fontId="1" type="noConversion"/>
  </si>
  <si>
    <t>IRCA</t>
  </si>
  <si>
    <t>한국소프트웨어측정원</t>
  </si>
  <si>
    <t>(사)한국비아이엠학회</t>
    <phoneticPr fontId="1" type="noConversion"/>
  </si>
  <si>
    <t>산림청</t>
    <phoneticPr fontId="1" type="noConversion"/>
  </si>
  <si>
    <t>농촌진흥청</t>
  </si>
  <si>
    <t>한국산업인력공단</t>
  </si>
  <si>
    <t>(사)한국창업보육협회</t>
  </si>
  <si>
    <t>한국원가관리협회</t>
    <phoneticPr fontId="1" type="noConversion"/>
  </si>
  <si>
    <t>산업통상자원부</t>
  </si>
  <si>
    <t>(사)기술거래사회</t>
  </si>
  <si>
    <t>해양경찰청</t>
    <phoneticPr fontId="1" type="noConversion"/>
  </si>
  <si>
    <t>인천지방해양수산청</t>
    <phoneticPr fontId="1" type="noConversion"/>
  </si>
  <si>
    <t>한국교통안전공단</t>
  </si>
  <si>
    <t>자격증</t>
  </si>
  <si>
    <t>등록증</t>
  </si>
  <si>
    <t>면허증</t>
  </si>
  <si>
    <t>건설안전기사</t>
    <phoneticPr fontId="1" type="noConversion"/>
  </si>
  <si>
    <t>건축기사</t>
  </si>
  <si>
    <t>산업안전기사</t>
  </si>
  <si>
    <t>웹디자인개발기능사</t>
  </si>
  <si>
    <t>전산응용건축제도기능사</t>
  </si>
  <si>
    <t>컴퓨터그래픽기능사</t>
  </si>
  <si>
    <t>한국산업인력공단</t>
    <phoneticPr fontId="1" type="noConversion"/>
  </si>
  <si>
    <t>공인원가분석사</t>
    <phoneticPr fontId="1" type="noConversion"/>
  </si>
  <si>
    <t>물류관리사</t>
    <phoneticPr fontId="1" type="noConversion"/>
  </si>
  <si>
    <t>민간(국가)</t>
    <phoneticPr fontId="1" type="noConversion"/>
  </si>
  <si>
    <t>건축시공기술사</t>
    <phoneticPr fontId="1" type="noConversion"/>
  </si>
  <si>
    <t>건축기사</t>
    <phoneticPr fontId="1" type="noConversion"/>
  </si>
  <si>
    <t>한국갈등조정중재그룹</t>
    <phoneticPr fontId="1" type="noConversion"/>
  </si>
  <si>
    <t>한국소방시설협회</t>
    <phoneticPr fontId="1" type="noConversion"/>
  </si>
  <si>
    <t>ERP 회계 정보관리사 2급</t>
    <phoneticPr fontId="1" type="noConversion"/>
  </si>
  <si>
    <t>과학기술정보통신부</t>
    <phoneticPr fontId="1" type="noConversion"/>
  </si>
  <si>
    <t>ERP 인사 정보관리사 2급</t>
    <phoneticPr fontId="1" type="noConversion"/>
  </si>
  <si>
    <t>과학기술정보통신부</t>
  </si>
  <si>
    <t>한국생산성본부</t>
  </si>
  <si>
    <t>고용노동부</t>
  </si>
  <si>
    <t>한국세무사회</t>
  </si>
  <si>
    <t>FAT 2급</t>
    <phoneticPr fontId="1" type="noConversion"/>
  </si>
  <si>
    <t>한국공인회계사회</t>
    <phoneticPr fontId="1" type="noConversion"/>
  </si>
  <si>
    <t>FAT 1급</t>
    <phoneticPr fontId="1" type="noConversion"/>
  </si>
  <si>
    <t>금융위원회</t>
  </si>
  <si>
    <t>컴퓨터활용능력 2급</t>
    <phoneticPr fontId="1" type="noConversion"/>
  </si>
  <si>
    <t>대한상공회의소</t>
    <phoneticPr fontId="1" type="noConversion"/>
  </si>
  <si>
    <t>민간</t>
    <phoneticPr fontId="1" type="noConversion"/>
  </si>
  <si>
    <t>교육부</t>
  </si>
  <si>
    <t>학력</t>
    <phoneticPr fontId="1" type="noConversion"/>
  </si>
  <si>
    <t>학교명</t>
    <phoneticPr fontId="1" type="noConversion"/>
  </si>
  <si>
    <t>학부(과)</t>
    <phoneticPr fontId="1" type="noConversion"/>
  </si>
  <si>
    <t>전공</t>
    <phoneticPr fontId="1" type="noConversion"/>
  </si>
  <si>
    <t>박사</t>
  </si>
  <si>
    <t>이학박사</t>
    <phoneticPr fontId="1" type="noConversion"/>
  </si>
  <si>
    <t>석사</t>
  </si>
  <si>
    <t>경영학석사</t>
    <phoneticPr fontId="1" type="noConversion"/>
  </si>
  <si>
    <t>학사</t>
  </si>
  <si>
    <t>공학사</t>
    <phoneticPr fontId="1" type="noConversion"/>
  </si>
  <si>
    <t>경영학사</t>
    <phoneticPr fontId="1" type="noConversion"/>
  </si>
  <si>
    <t>이학박사</t>
  </si>
  <si>
    <t>을지대학교 대학원</t>
  </si>
  <si>
    <t>의료IT마케팅학과</t>
  </si>
  <si>
    <t>의료IT마케팅학전공</t>
  </si>
  <si>
    <t>경영학석사</t>
  </si>
  <si>
    <t>연세대학교 정경대학원</t>
  </si>
  <si>
    <t>경영학전공</t>
  </si>
  <si>
    <t>농학사</t>
  </si>
  <si>
    <t>한국방송통신대학교</t>
  </si>
  <si>
    <t>농학과</t>
  </si>
  <si>
    <t>공학사</t>
  </si>
  <si>
    <t>한양사이버대학교</t>
  </si>
  <si>
    <t>행정학사</t>
  </si>
  <si>
    <t>국가평생교육진흥원</t>
  </si>
  <si>
    <t>사회복지학전공</t>
  </si>
  <si>
    <t>행정학석사</t>
  </si>
  <si>
    <t>보건행정학사</t>
  </si>
  <si>
    <t>보건행정학전공</t>
  </si>
  <si>
    <t>서일대학교</t>
    <phoneticPr fontId="1" type="noConversion"/>
  </si>
  <si>
    <t>정보통신공학과</t>
    <phoneticPr fontId="1" type="noConversion"/>
  </si>
  <si>
    <t>공학박사</t>
  </si>
  <si>
    <t>공학석사</t>
  </si>
  <si>
    <t>고졸</t>
    <phoneticPr fontId="1" type="noConversion"/>
  </si>
  <si>
    <t>경상국립대학교</t>
    <phoneticPr fontId="1" type="noConversion"/>
  </si>
  <si>
    <t>건축공학과</t>
    <phoneticPr fontId="1" type="noConversion"/>
  </si>
  <si>
    <t>석사</t>
    <phoneticPr fontId="1" type="noConversion"/>
  </si>
  <si>
    <t>분야</t>
    <phoneticPr fontId="1" type="noConversion"/>
  </si>
  <si>
    <t>공학박사</t>
    <phoneticPr fontId="1" type="noConversion"/>
  </si>
  <si>
    <t>공학석사</t>
    <phoneticPr fontId="1" type="noConversion"/>
  </si>
  <si>
    <t>학위</t>
    <phoneticPr fontId="1" type="noConversion"/>
  </si>
  <si>
    <t>개수</t>
    <phoneticPr fontId="1" type="noConversion"/>
  </si>
  <si>
    <t>공통</t>
    <phoneticPr fontId="1" type="noConversion"/>
  </si>
  <si>
    <t>경영지도사</t>
    <phoneticPr fontId="1" type="noConversion"/>
  </si>
  <si>
    <t>학위 수</t>
    <phoneticPr fontId="1" type="noConversion"/>
  </si>
  <si>
    <t>전략기획</t>
  </si>
  <si>
    <t>위원</t>
    <phoneticPr fontId="1" type="noConversion"/>
  </si>
  <si>
    <t>원가분석</t>
  </si>
  <si>
    <t>품질관리</t>
  </si>
  <si>
    <t>갈등조정중재</t>
  </si>
  <si>
    <t>학술사업</t>
  </si>
  <si>
    <t>건설사업</t>
  </si>
  <si>
    <t>팀장</t>
    <phoneticPr fontId="1" type="noConversion"/>
  </si>
  <si>
    <t>미포함</t>
    <phoneticPr fontId="1" type="noConversion"/>
  </si>
  <si>
    <t>포함</t>
    <phoneticPr fontId="1" type="noConversion"/>
  </si>
  <si>
    <t>강정구</t>
    <phoneticPr fontId="1" type="noConversion"/>
  </si>
  <si>
    <t>자격증</t>
    <phoneticPr fontId="1" type="noConversion"/>
  </si>
  <si>
    <t>권광민</t>
    <phoneticPr fontId="1" type="noConversion"/>
  </si>
  <si>
    <t>공인원가분석사</t>
    <phoneticPr fontId="1" type="noConversion"/>
  </si>
  <si>
    <t>전자계산기제어산업기사</t>
    <phoneticPr fontId="1" type="noConversion"/>
  </si>
  <si>
    <t>정보처리산업기사</t>
    <phoneticPr fontId="1" type="noConversion"/>
  </si>
  <si>
    <t>정보처리기사</t>
    <phoneticPr fontId="1" type="noConversion"/>
  </si>
  <si>
    <t>과학기술정보통신부/산업통상자원부</t>
    <phoneticPr fontId="1" type="noConversion"/>
  </si>
  <si>
    <t>김재희</t>
    <phoneticPr fontId="1" type="noConversion"/>
  </si>
  <si>
    <t>김종훈</t>
    <phoneticPr fontId="1" type="noConversion"/>
  </si>
  <si>
    <t>산업통상자원부</t>
    <phoneticPr fontId="1" type="noConversion"/>
  </si>
  <si>
    <t>공인원가분석사</t>
    <phoneticPr fontId="1" type="noConversion"/>
  </si>
  <si>
    <t>기획재정부</t>
    <phoneticPr fontId="1" type="noConversion"/>
  </si>
  <si>
    <t>사회보험사2급</t>
    <phoneticPr fontId="1" type="noConversion"/>
  </si>
  <si>
    <t>산업카운슬러1급</t>
    <phoneticPr fontId="1" type="noConversion"/>
  </si>
  <si>
    <t>사회보험사1급</t>
    <phoneticPr fontId="1" type="noConversion"/>
  </si>
  <si>
    <t>자동차진단평가사2급</t>
    <phoneticPr fontId="1" type="noConversion"/>
  </si>
  <si>
    <t>보험심사평가사2급</t>
    <phoneticPr fontId="1" type="noConversion"/>
  </si>
  <si>
    <t>동력수상레저기구조종 일반조종1급</t>
  </si>
  <si>
    <t>산업안전기사</t>
    <phoneticPr fontId="1" type="noConversion"/>
  </si>
  <si>
    <t>웹디자인개발기능사</t>
    <phoneticPr fontId="1" type="noConversion"/>
  </si>
  <si>
    <t>전산응용건축제도기능사</t>
    <phoneticPr fontId="1" type="noConversion"/>
  </si>
  <si>
    <t>컴퓨터그래픽기능사</t>
    <phoneticPr fontId="1" type="noConversion"/>
  </si>
  <si>
    <t>갈등조정전문가 1급</t>
  </si>
  <si>
    <t>간호사</t>
  </si>
  <si>
    <t>물류관리사</t>
  </si>
  <si>
    <t>유통관리사1급</t>
    <phoneticPr fontId="1" type="noConversion"/>
  </si>
  <si>
    <t>CISA(certified Information Systems Auditor)</t>
    <phoneticPr fontId="1" type="noConversion"/>
  </si>
  <si>
    <t>(국제)정보시스템 감사통제협회(ISACA)</t>
    <phoneticPr fontId="1" type="noConversion"/>
  </si>
  <si>
    <t>기능점수측정전문가(K-CFPS)</t>
    <phoneticPr fontId="1" type="noConversion"/>
  </si>
  <si>
    <t>품질경영기사</t>
    <phoneticPr fontId="1" type="noConversion"/>
  </si>
  <si>
    <t>에너지관리산업기사</t>
  </si>
  <si>
    <t>일반기계기사</t>
  </si>
  <si>
    <t>약용식물관리사</t>
  </si>
  <si>
    <t>한국자격개발원</t>
  </si>
  <si>
    <t>유기농업기사</t>
  </si>
  <si>
    <t>농림축산식품부</t>
    <phoneticPr fontId="1" type="noConversion"/>
  </si>
  <si>
    <t>공인노무사</t>
    <phoneticPr fontId="1" type="noConversion"/>
  </si>
  <si>
    <t>화공안전기술사</t>
    <phoneticPr fontId="1" type="noConversion"/>
  </si>
  <si>
    <t>소방설비기사(기계분야)</t>
    <phoneticPr fontId="1" type="noConversion"/>
  </si>
  <si>
    <t>공인중개사</t>
    <phoneticPr fontId="1" type="noConversion"/>
  </si>
  <si>
    <t>가맹거래사</t>
    <phoneticPr fontId="1" type="noConversion"/>
  </si>
  <si>
    <t>공정거래위원회</t>
  </si>
  <si>
    <t>변호사</t>
    <phoneticPr fontId="1" type="noConversion"/>
  </si>
  <si>
    <t>법무부</t>
    <phoneticPr fontId="1" type="noConversion"/>
  </si>
  <si>
    <t>세무사</t>
    <phoneticPr fontId="1" type="noConversion"/>
  </si>
  <si>
    <t>국세청</t>
    <phoneticPr fontId="1" type="noConversion"/>
  </si>
  <si>
    <t>중소벤처기업부장관</t>
    <phoneticPr fontId="1" type="noConversion"/>
  </si>
  <si>
    <t>PMP(Project Management Institute)</t>
    <phoneticPr fontId="1" type="noConversion"/>
  </si>
  <si>
    <t>미국 PMI</t>
    <phoneticPr fontId="1" type="noConversion"/>
  </si>
  <si>
    <t>신용분석사</t>
  </si>
  <si>
    <t>한국금융연수원</t>
    <phoneticPr fontId="1" type="noConversion"/>
  </si>
  <si>
    <t>건설안전기술사</t>
    <phoneticPr fontId="1" type="noConversion"/>
  </si>
  <si>
    <t>한국기술검정공단</t>
    <phoneticPr fontId="1" type="noConversion"/>
  </si>
  <si>
    <t>전문자격</t>
    <phoneticPr fontId="1" type="noConversion"/>
  </si>
  <si>
    <t>기사</t>
    <phoneticPr fontId="1" type="noConversion"/>
  </si>
  <si>
    <t>산업기사</t>
    <phoneticPr fontId="1" type="noConversion"/>
  </si>
  <si>
    <t>기능사</t>
    <phoneticPr fontId="1" type="noConversion"/>
  </si>
  <si>
    <t>타기관</t>
    <phoneticPr fontId="1" type="noConversion"/>
  </si>
  <si>
    <t>외국</t>
    <phoneticPr fontId="1" type="noConversion"/>
  </si>
  <si>
    <t>자격증명</t>
    <phoneticPr fontId="1" type="noConversion"/>
  </si>
  <si>
    <t>공사(CB)</t>
    <phoneticPr fontId="1" type="noConversion"/>
  </si>
  <si>
    <t>제조(CA)</t>
    <phoneticPr fontId="1" type="noConversion"/>
  </si>
  <si>
    <t>SW(CD)</t>
    <phoneticPr fontId="1" type="noConversion"/>
  </si>
  <si>
    <t>학술(CC)</t>
    <phoneticPr fontId="1" type="noConversion"/>
  </si>
  <si>
    <t>-</t>
    <phoneticPr fontId="1" type="noConversion"/>
  </si>
  <si>
    <t>김혜미</t>
  </si>
  <si>
    <t>박희성</t>
  </si>
  <si>
    <t>이규희</t>
  </si>
  <si>
    <t>숭실대학교 경영대학원</t>
    <phoneticPr fontId="1" type="noConversion"/>
  </si>
  <si>
    <t>전문경영학과</t>
    <phoneticPr fontId="1" type="noConversion"/>
  </si>
  <si>
    <t>이학사</t>
    <phoneticPr fontId="1" type="noConversion"/>
  </si>
  <si>
    <t>국가평생교육진흥원</t>
    <phoneticPr fontId="1" type="noConversion"/>
  </si>
  <si>
    <t>컴퓨터과학전공</t>
    <phoneticPr fontId="1" type="noConversion"/>
  </si>
  <si>
    <t>인하대학교 공과대학</t>
    <phoneticPr fontId="1" type="noConversion"/>
  </si>
  <si>
    <t>공학과</t>
    <phoneticPr fontId="1" type="noConversion"/>
  </si>
  <si>
    <t>기계공학전공</t>
    <phoneticPr fontId="1" type="noConversion"/>
  </si>
  <si>
    <t>간호학사</t>
    <phoneticPr fontId="1" type="noConversion"/>
  </si>
  <si>
    <t>서울보건대학교(현 을지대학교)</t>
    <phoneticPr fontId="1" type="noConversion"/>
  </si>
  <si>
    <t>간호과</t>
    <phoneticPr fontId="1" type="noConversion"/>
  </si>
  <si>
    <t>건국대학교 일반대학원</t>
    <phoneticPr fontId="1" type="noConversion"/>
  </si>
  <si>
    <t>분자생명공학과</t>
    <phoneticPr fontId="1" type="noConversion"/>
  </si>
  <si>
    <t>분자생명공학전공</t>
    <phoneticPr fontId="1" type="noConversion"/>
  </si>
  <si>
    <t>중앙대학교 국제경영대학원</t>
    <phoneticPr fontId="1" type="noConversion"/>
  </si>
  <si>
    <t>국제경영학과</t>
    <phoneticPr fontId="1" type="noConversion"/>
  </si>
  <si>
    <t>영남대학교 공과대학</t>
    <phoneticPr fontId="1" type="noConversion"/>
  </si>
  <si>
    <t>기계공학과</t>
    <phoneticPr fontId="1" type="noConversion"/>
  </si>
  <si>
    <t>농학사</t>
    <phoneticPr fontId="1" type="noConversion"/>
  </si>
  <si>
    <t>한국방송통신대학교</t>
    <phoneticPr fontId="1" type="noConversion"/>
  </si>
  <si>
    <t>농학과</t>
    <phoneticPr fontId="1" type="noConversion"/>
  </si>
  <si>
    <t>문학사</t>
    <phoneticPr fontId="1" type="noConversion"/>
  </si>
  <si>
    <t>영어영문학과</t>
    <phoneticPr fontId="1" type="noConversion"/>
  </si>
  <si>
    <t>호서대학교 글로벌창업대학원</t>
    <phoneticPr fontId="1" type="noConversion"/>
  </si>
  <si>
    <t>창업컨설턴트학과</t>
    <phoneticPr fontId="1" type="noConversion"/>
  </si>
  <si>
    <t>경제학사</t>
    <phoneticPr fontId="1" type="noConversion"/>
  </si>
  <si>
    <t>전남대학교 상과대학</t>
    <phoneticPr fontId="1" type="noConversion"/>
  </si>
  <si>
    <t>경제학과</t>
    <phoneticPr fontId="1" type="noConversion"/>
  </si>
  <si>
    <t>컨설팅학석사</t>
    <phoneticPr fontId="1" type="noConversion"/>
  </si>
  <si>
    <t>한성대학교 지식서비스&amp;컨설팅대학원</t>
    <phoneticPr fontId="1" type="noConversion"/>
  </si>
  <si>
    <t>지식서비스&amp;컨설팅학과</t>
    <phoneticPr fontId="1" type="noConversion"/>
  </si>
  <si>
    <t>매니지먼트컨설팅전공</t>
    <phoneticPr fontId="1" type="noConversion"/>
  </si>
  <si>
    <t>성균관대학교</t>
    <phoneticPr fontId="1" type="noConversion"/>
  </si>
  <si>
    <t>경제학부</t>
    <phoneticPr fontId="1" type="noConversion"/>
  </si>
  <si>
    <t>경제학전공</t>
    <phoneticPr fontId="1" type="noConversion"/>
  </si>
  <si>
    <t>한남대학교</t>
    <phoneticPr fontId="1" type="noConversion"/>
  </si>
  <si>
    <t>강원대학교 경영대학</t>
    <phoneticPr fontId="1" type="noConversion"/>
  </si>
  <si>
    <t>연세대학교 정경대학원</t>
    <phoneticPr fontId="1" type="noConversion"/>
  </si>
  <si>
    <t>경영학전공</t>
    <phoneticPr fontId="1" type="noConversion"/>
  </si>
  <si>
    <t>순천향대학교 글로벌경영대학</t>
    <phoneticPr fontId="1" type="noConversion"/>
  </si>
  <si>
    <t>경영학부</t>
    <phoneticPr fontId="1" type="noConversion"/>
  </si>
  <si>
    <t>경영학과</t>
    <phoneticPr fontId="1" type="noConversion"/>
  </si>
  <si>
    <t>동양철학박사</t>
    <phoneticPr fontId="1" type="noConversion"/>
  </si>
  <si>
    <t>동방문화대학원대학교</t>
    <phoneticPr fontId="1" type="noConversion"/>
  </si>
  <si>
    <t>동양철학전공</t>
    <phoneticPr fontId="1" type="noConversion"/>
  </si>
  <si>
    <t>신학석사</t>
    <phoneticPr fontId="1" type="noConversion"/>
  </si>
  <si>
    <t>한신대학교 신학대학원</t>
    <phoneticPr fontId="1" type="noConversion"/>
  </si>
  <si>
    <t>신학과</t>
    <phoneticPr fontId="1" type="noConversion"/>
  </si>
  <si>
    <t>실천신학전공</t>
    <phoneticPr fontId="1" type="noConversion"/>
  </si>
  <si>
    <t>신학사</t>
    <phoneticPr fontId="1" type="noConversion"/>
  </si>
  <si>
    <t>한신대학교 신학대학</t>
    <phoneticPr fontId="1" type="noConversion"/>
  </si>
  <si>
    <t>호원대학교</t>
    <phoneticPr fontId="1" type="noConversion"/>
  </si>
  <si>
    <t>토목공학전공</t>
    <phoneticPr fontId="1" type="noConversion"/>
  </si>
  <si>
    <t>법학석사</t>
    <phoneticPr fontId="1" type="noConversion"/>
  </si>
  <si>
    <t>광운대학교 건설법무대학원</t>
    <phoneticPr fontId="1" type="noConversion"/>
  </si>
  <si>
    <t>건설법무학과</t>
    <phoneticPr fontId="1" type="noConversion"/>
  </si>
  <si>
    <t>건설소송실무전공</t>
    <phoneticPr fontId="1" type="noConversion"/>
  </si>
  <si>
    <t>아주대학교 대학원</t>
    <phoneticPr fontId="1" type="noConversion"/>
  </si>
  <si>
    <t>시스템공학과</t>
    <phoneticPr fontId="1" type="noConversion"/>
  </si>
  <si>
    <t>시스템공학전공</t>
    <phoneticPr fontId="1" type="noConversion"/>
  </si>
  <si>
    <t>서울대학교 대학원</t>
    <phoneticPr fontId="1" type="noConversion"/>
  </si>
  <si>
    <t>기계설계학과</t>
    <phoneticPr fontId="1" type="noConversion"/>
  </si>
  <si>
    <t>기계설계학전공</t>
    <phoneticPr fontId="1" type="noConversion"/>
  </si>
  <si>
    <t>서울대학교 공과대학</t>
    <phoneticPr fontId="1" type="noConversion"/>
  </si>
  <si>
    <t>연세대학교 이공대학</t>
    <phoneticPr fontId="1" type="noConversion"/>
  </si>
  <si>
    <t>금속공학과</t>
    <phoneticPr fontId="1" type="noConversion"/>
  </si>
  <si>
    <t>금속공학전공</t>
    <phoneticPr fontId="1" type="noConversion"/>
  </si>
  <si>
    <t>전북대학교 대학원</t>
    <phoneticPr fontId="1" type="noConversion"/>
  </si>
  <si>
    <t>화학공학과</t>
    <phoneticPr fontId="1" type="noConversion"/>
  </si>
  <si>
    <t>공업화학전공</t>
    <phoneticPr fontId="1" type="noConversion"/>
  </si>
  <si>
    <t>전북대학교 공과대학</t>
    <phoneticPr fontId="1" type="noConversion"/>
  </si>
  <si>
    <t>화학공학전공</t>
    <phoneticPr fontId="1" type="noConversion"/>
  </si>
  <si>
    <t>조선해양공학과</t>
    <phoneticPr fontId="1" type="noConversion"/>
  </si>
  <si>
    <t>조선해양공학전공</t>
    <phoneticPr fontId="1" type="noConversion"/>
  </si>
  <si>
    <t>한신대학교 대학원</t>
    <phoneticPr fontId="1" type="noConversion"/>
  </si>
  <si>
    <t>기독교윤리전공</t>
    <phoneticPr fontId="1" type="noConversion"/>
  </si>
  <si>
    <t>신학전공</t>
    <phoneticPr fontId="1" type="noConversion"/>
  </si>
  <si>
    <t>경북대학교 산업대학원</t>
    <phoneticPr fontId="1" type="noConversion"/>
  </si>
  <si>
    <t>산업공학과</t>
    <phoneticPr fontId="1" type="noConversion"/>
  </si>
  <si>
    <t>건축공학전공</t>
    <phoneticPr fontId="1" type="noConversion"/>
  </si>
  <si>
    <t>성균관대학교 대학원</t>
    <phoneticPr fontId="1" type="noConversion"/>
  </si>
  <si>
    <t>전자공학과</t>
    <phoneticPr fontId="1" type="noConversion"/>
  </si>
  <si>
    <t>전자공학전공</t>
    <phoneticPr fontId="1" type="noConversion"/>
  </si>
  <si>
    <t>경북대학교 대학원</t>
    <phoneticPr fontId="1" type="noConversion"/>
  </si>
  <si>
    <t>경북대학교 공과대학</t>
    <phoneticPr fontId="1" type="noConversion"/>
  </si>
  <si>
    <t>건양대학교</t>
    <phoneticPr fontId="1" type="noConversion"/>
  </si>
  <si>
    <t>건축학사</t>
    <phoneticPr fontId="1" type="noConversion"/>
  </si>
  <si>
    <t>경기과학기술대학교</t>
    <phoneticPr fontId="1" type="noConversion"/>
  </si>
  <si>
    <t>건축인테리어학과</t>
    <phoneticPr fontId="1" type="noConversion"/>
  </si>
  <si>
    <t>세종대학교</t>
    <phoneticPr fontId="1" type="noConversion"/>
  </si>
  <si>
    <t>공학부</t>
    <phoneticPr fontId="1" type="noConversion"/>
  </si>
  <si>
    <t>신광수</t>
  </si>
  <si>
    <t>X</t>
    <phoneticPr fontId="1" type="noConversion"/>
  </si>
  <si>
    <t>학력</t>
    <phoneticPr fontId="1" type="noConversion"/>
  </si>
  <si>
    <t>無</t>
  </si>
  <si>
    <t>전산회계 1급</t>
    <phoneticPr fontId="1" type="noConversion"/>
  </si>
  <si>
    <t>전산세무 2급</t>
    <phoneticPr fontId="1" type="noConversion"/>
  </si>
  <si>
    <t>한국세무사회</t>
    <phoneticPr fontId="1" type="noConversion"/>
  </si>
  <si>
    <t>사후정산(CE)</t>
    <phoneticPr fontId="1" type="noConversion"/>
  </si>
  <si>
    <t>각종 수수료(CF)</t>
    <phoneticPr fontId="1" type="noConversion"/>
  </si>
  <si>
    <t>법원감정(CG)</t>
    <phoneticPr fontId="1" type="noConversion"/>
  </si>
  <si>
    <t>BIM 운용전문가2급 건축</t>
  </si>
  <si>
    <t>CISA(certified Information Systems Auditor)</t>
  </si>
  <si>
    <t>ERP 인사 정보관리사 2급</t>
  </si>
  <si>
    <t>ERP 회계 정보관리사 2급</t>
  </si>
  <si>
    <t>ERP 회계 컨설턴트</t>
  </si>
  <si>
    <t>FAT 1급</t>
  </si>
  <si>
    <t>FAT 2급</t>
  </si>
  <si>
    <t>ISO 14001 2015(환경)</t>
  </si>
  <si>
    <t>M&amp;A지도사</t>
  </si>
  <si>
    <t>PMP(Project Management Institute)</t>
  </si>
  <si>
    <t>가맹거래사</t>
  </si>
  <si>
    <t>건설안전기사</t>
  </si>
  <si>
    <t>건설안전기술사</t>
  </si>
  <si>
    <t>건축시공기술사</t>
  </si>
  <si>
    <t>경영지도사</t>
  </si>
  <si>
    <t>공인노무사</t>
  </si>
  <si>
    <t>공인중개사</t>
  </si>
  <si>
    <t>데이터 사이언티스트 능력 인증(DSAC)</t>
  </si>
  <si>
    <t>변호사</t>
  </si>
  <si>
    <t>보험심사평가사1급</t>
  </si>
  <si>
    <t>보험심사평가사2급</t>
  </si>
  <si>
    <t>사회보험사1급</t>
  </si>
  <si>
    <t>사회보험사2급</t>
  </si>
  <si>
    <t>사회복지사2급</t>
  </si>
  <si>
    <t>산업카운슬러1급</t>
  </si>
  <si>
    <t>세무사</t>
  </si>
  <si>
    <t>소방설비기사(기계분야)</t>
  </si>
  <si>
    <t>유통관리사1급</t>
  </si>
  <si>
    <t>자동차진단평가사2급</t>
  </si>
  <si>
    <t>재경관리사</t>
  </si>
  <si>
    <t>전산세무 2급</t>
  </si>
  <si>
    <t>전산회계 1급</t>
  </si>
  <si>
    <t>전자계산기제어산업기사</t>
  </si>
  <si>
    <t>정보처리기사</t>
  </si>
  <si>
    <t>정보처리산업기사</t>
  </si>
  <si>
    <t>정책분석평가사1급</t>
  </si>
  <si>
    <t>컴퓨터활용능력 2급</t>
  </si>
  <si>
    <t>평생교육사2급</t>
  </si>
  <si>
    <t>품질경영기사</t>
  </si>
  <si>
    <t>화공안전기술사</t>
  </si>
  <si>
    <t>(비어 있음)</t>
  </si>
  <si>
    <t>개수</t>
  </si>
  <si>
    <t>컨설팅학석사</t>
  </si>
  <si>
    <t>신학석사</t>
  </si>
  <si>
    <t>법학석사</t>
  </si>
  <si>
    <t>동양철학박사</t>
  </si>
  <si>
    <t>간호학사</t>
  </si>
  <si>
    <t>건축학사</t>
  </si>
  <si>
    <t>경영학사</t>
  </si>
  <si>
    <t>경제학사</t>
  </si>
  <si>
    <t>문학사</t>
  </si>
  <si>
    <t>신학사</t>
  </si>
  <si>
    <t>이학사</t>
  </si>
  <si>
    <t>세무학과</t>
    <phoneticPr fontId="1" type="noConversion"/>
  </si>
  <si>
    <t>세무학</t>
    <phoneticPr fontId="1" type="noConversion"/>
  </si>
  <si>
    <t>정비사업전문관리사</t>
    <phoneticPr fontId="1" type="noConversion"/>
  </si>
  <si>
    <t>갈등조정전문가 1급</t>
    <phoneticPr fontId="1" type="noConversion"/>
  </si>
  <si>
    <t>SW프로세스품질인증심사원</t>
    <phoneticPr fontId="1" type="noConversion"/>
  </si>
  <si>
    <t>품질관리기술사</t>
    <phoneticPr fontId="1" type="noConversion"/>
  </si>
  <si>
    <t>KOLAS 평가사</t>
    <phoneticPr fontId="1" type="noConversion"/>
  </si>
  <si>
    <t>공인회계사</t>
    <phoneticPr fontId="1" type="noConversion"/>
  </si>
  <si>
    <t>한양대학교 경상대학</t>
    <phoneticPr fontId="1" type="noConversion"/>
  </si>
  <si>
    <t>건설사업관리전문가(CMP)</t>
    <phoneticPr fontId="1" type="noConversion"/>
  </si>
  <si>
    <t>전문학사</t>
    <phoneticPr fontId="1" type="noConversion"/>
  </si>
  <si>
    <t>주거환경연구원</t>
    <phoneticPr fontId="1" type="noConversion"/>
  </si>
  <si>
    <t>정보통신산업진흥원</t>
    <phoneticPr fontId="1" type="noConversion"/>
  </si>
  <si>
    <t>국가기술자격</t>
    <phoneticPr fontId="1" type="noConversion"/>
  </si>
  <si>
    <t>SW프로세스품질인증심사원</t>
  </si>
  <si>
    <t>품질관리기술사</t>
  </si>
  <si>
    <t>KOLAS 평가사</t>
  </si>
  <si>
    <t>공인회계사</t>
  </si>
  <si>
    <t>식물보호산업기사</t>
  </si>
  <si>
    <t>정비사업전문관리사</t>
  </si>
  <si>
    <t>전문학사</t>
  </si>
  <si>
    <t>총합계</t>
  </si>
  <si>
    <t>고졸</t>
  </si>
  <si>
    <t>구분/소속/이름</t>
  </si>
  <si>
    <t>공학전문학사</t>
  </si>
  <si>
    <t>공학전문학사</t>
    <phoneticPr fontId="1" type="noConversion"/>
  </si>
  <si>
    <t>학위 피벗테이블</t>
    <phoneticPr fontId="1" type="noConversion"/>
  </si>
  <si>
    <t>학위 1차 정제데이터</t>
    <phoneticPr fontId="1" type="noConversion"/>
  </si>
  <si>
    <t>학위 2차 정제데이터</t>
    <phoneticPr fontId="1" type="noConversion"/>
  </si>
  <si>
    <t>주임연구원</t>
    <phoneticPr fontId="1" type="noConversion"/>
  </si>
  <si>
    <t>전임연구원</t>
    <phoneticPr fontId="1" type="noConversion"/>
  </si>
  <si>
    <t>선임연구원</t>
    <phoneticPr fontId="1" type="noConversion"/>
  </si>
  <si>
    <t>책임연구원</t>
    <phoneticPr fontId="1" type="noConversion"/>
  </si>
  <si>
    <t>수석연구원</t>
    <phoneticPr fontId="1" type="noConversion"/>
  </si>
  <si>
    <t>갈등조정중재</t>
    <phoneticPr fontId="1" type="noConversion"/>
  </si>
  <si>
    <t>품질관리</t>
    <phoneticPr fontId="1" type="noConversion"/>
  </si>
  <si>
    <t>입사일</t>
    <phoneticPr fontId="1" type="noConversion"/>
  </si>
  <si>
    <t>전화번호</t>
    <phoneticPr fontId="1" type="noConversion"/>
  </si>
  <si>
    <t>010-8628-9563</t>
    <phoneticPr fontId="1" type="noConversion"/>
  </si>
  <si>
    <t xml:space="preserve">	010-5457-2712</t>
    <phoneticPr fontId="1" type="noConversion"/>
  </si>
  <si>
    <t>010-8765-6066</t>
    <phoneticPr fontId="1" type="noConversion"/>
  </si>
  <si>
    <t>010-2299-5670</t>
    <phoneticPr fontId="1" type="noConversion"/>
  </si>
  <si>
    <t>010-6623-7178</t>
    <phoneticPr fontId="1" type="noConversion"/>
  </si>
  <si>
    <t xml:space="preserve">	010-9938-8737</t>
    <phoneticPr fontId="1" type="noConversion"/>
  </si>
  <si>
    <t>010-3033-8983</t>
    <phoneticPr fontId="1" type="noConversion"/>
  </si>
  <si>
    <t>010-9854-2927</t>
    <phoneticPr fontId="1" type="noConversion"/>
  </si>
  <si>
    <t>010-4933-2099</t>
    <phoneticPr fontId="1" type="noConversion"/>
  </si>
  <si>
    <t>명함</t>
    <phoneticPr fontId="1" type="noConversion"/>
  </si>
  <si>
    <t>출입증</t>
    <phoneticPr fontId="1" type="noConversion"/>
  </si>
  <si>
    <t>2022.12.05</t>
    <phoneticPr fontId="1" type="noConversion"/>
  </si>
  <si>
    <t>2022.07.04</t>
    <phoneticPr fontId="1" type="noConversion"/>
  </si>
  <si>
    <t>2014.12.02</t>
    <phoneticPr fontId="1" type="noConversion"/>
  </si>
  <si>
    <t>2024.10.01</t>
    <phoneticPr fontId="1" type="noConversion"/>
  </si>
  <si>
    <t>2025.04.01</t>
    <phoneticPr fontId="1" type="noConversion"/>
  </si>
  <si>
    <t>2018.07.09</t>
    <phoneticPr fontId="1" type="noConversion"/>
  </si>
  <si>
    <t>2019.07.01</t>
    <phoneticPr fontId="1" type="noConversion"/>
  </si>
  <si>
    <t>2021.02.01</t>
    <phoneticPr fontId="1" type="noConversion"/>
  </si>
  <si>
    <t>2017.09.04</t>
    <phoneticPr fontId="1" type="noConversion"/>
  </si>
  <si>
    <t>2018.10.01</t>
    <phoneticPr fontId="1" type="noConversion"/>
  </si>
  <si>
    <t>2020.07.01</t>
    <phoneticPr fontId="1" type="noConversion"/>
  </si>
  <si>
    <t>2022.07.20</t>
    <phoneticPr fontId="1" type="noConversion"/>
  </si>
  <si>
    <t>2023.09.01</t>
    <phoneticPr fontId="1" type="noConversion"/>
  </si>
  <si>
    <t>2023.08.01</t>
    <phoneticPr fontId="1" type="noConversion"/>
  </si>
  <si>
    <t>2024.04.01</t>
    <phoneticPr fontId="1" type="noConversion"/>
  </si>
  <si>
    <t>2022.07.01</t>
    <phoneticPr fontId="1" type="noConversion"/>
  </si>
  <si>
    <t>O</t>
  </si>
  <si>
    <t>O</t>
    <phoneticPr fontId="1" type="noConversion"/>
  </si>
  <si>
    <t>조달계약사</t>
    <phoneticPr fontId="1" type="noConversion"/>
  </si>
  <si>
    <t>제조(CA)</t>
  </si>
  <si>
    <t>개발부담금</t>
  </si>
  <si>
    <t>개발부담금</t>
    <phoneticPr fontId="1" type="noConversion"/>
  </si>
  <si>
    <t>갈등조정</t>
  </si>
  <si>
    <t>갈등조정</t>
    <phoneticPr fontId="1" type="noConversion"/>
  </si>
  <si>
    <t>원가</t>
    <phoneticPr fontId="1" type="noConversion"/>
  </si>
  <si>
    <t>SW(CD)</t>
  </si>
  <si>
    <t>법원감정(CG)</t>
  </si>
  <si>
    <t>품질경영시스템 인증심사원</t>
    <phoneticPr fontId="1" type="noConversion"/>
  </si>
  <si>
    <t>학술(CC)</t>
  </si>
  <si>
    <t>각종 수수료(CF)</t>
  </si>
  <si>
    <t>한국인정기구</t>
    <phoneticPr fontId="1" type="noConversion"/>
  </si>
  <si>
    <t>한국교통안전공단</t>
    <phoneticPr fontId="1" type="noConversion"/>
  </si>
  <si>
    <t>한국심사자격인증원</t>
    <phoneticPr fontId="1" type="noConversion"/>
  </si>
  <si>
    <t>사후정산(CE)</t>
  </si>
  <si>
    <t>전산회계 2급</t>
    <phoneticPr fontId="1" type="noConversion"/>
  </si>
  <si>
    <t>공사(CB)</t>
  </si>
  <si>
    <t>식물보호산업기사</t>
    <phoneticPr fontId="1" type="noConversion"/>
  </si>
  <si>
    <t>KEY</t>
    <phoneticPr fontId="1" type="noConversion"/>
  </si>
  <si>
    <t>공통</t>
  </si>
  <si>
    <t>품질경영시스템 인증심사원</t>
  </si>
  <si>
    <t>기타</t>
  </si>
  <si>
    <t>기타</t>
    <phoneticPr fontId="1" type="noConversion"/>
  </si>
  <si>
    <t>전산회계 2급</t>
  </si>
  <si>
    <t>KEY</t>
  </si>
  <si>
    <t>자격증 피벗테이블</t>
    <phoneticPr fontId="1" type="noConversion"/>
  </si>
  <si>
    <t>기사</t>
  </si>
  <si>
    <t>전문자격사</t>
    <phoneticPr fontId="1" type="noConversion"/>
  </si>
  <si>
    <t>기술사</t>
  </si>
  <si>
    <t>기술사</t>
    <phoneticPr fontId="1" type="noConversion"/>
  </si>
  <si>
    <t>산업기사</t>
  </si>
  <si>
    <t>순서구분</t>
    <phoneticPr fontId="1" type="noConversion"/>
  </si>
  <si>
    <t>김창수</t>
  </si>
  <si>
    <t>유길상</t>
  </si>
  <si>
    <t>황운희</t>
  </si>
  <si>
    <t>정영대</t>
  </si>
  <si>
    <t>김민선</t>
  </si>
  <si>
    <t>권광민</t>
  </si>
  <si>
    <t>김대식</t>
  </si>
  <si>
    <t>박판진</t>
  </si>
  <si>
    <t>정재훈</t>
  </si>
  <si>
    <t>피욱환</t>
  </si>
  <si>
    <t>이병준</t>
  </si>
  <si>
    <t>조형찬</t>
  </si>
  <si>
    <t>신동명</t>
  </si>
  <si>
    <t>표순천</t>
  </si>
  <si>
    <t>하은정</t>
  </si>
  <si>
    <t>이길훈</t>
  </si>
  <si>
    <t>김용전</t>
  </si>
  <si>
    <t>유옥수</t>
  </si>
  <si>
    <t>이동환</t>
  </si>
  <si>
    <t>김종훈</t>
  </si>
  <si>
    <t>박미야</t>
  </si>
  <si>
    <t>변정도</t>
  </si>
  <si>
    <t>이남일</t>
  </si>
  <si>
    <t>최내현</t>
  </si>
  <si>
    <t>장연주</t>
  </si>
  <si>
    <t>김연화</t>
  </si>
  <si>
    <t>행정학석사</t>
    <phoneticPr fontId="1" type="noConversion"/>
  </si>
  <si>
    <t>동국대학교 행정대학원</t>
    <phoneticPr fontId="1" type="noConversion"/>
  </si>
  <si>
    <t>행정학과</t>
    <phoneticPr fontId="1" type="noConversion"/>
  </si>
  <si>
    <t>행정학전공</t>
    <phoneticPr fontId="1" type="noConversion"/>
  </si>
  <si>
    <t>금속기사</t>
  </si>
  <si>
    <t>금속기사</t>
    <phoneticPr fontId="1" type="noConversion"/>
  </si>
  <si>
    <t>전자기사</t>
  </si>
  <si>
    <t>전자기사</t>
    <phoneticPr fontId="1" type="noConversion"/>
  </si>
  <si>
    <t>계약관리사</t>
    <phoneticPr fontId="1" type="noConversion"/>
  </si>
  <si>
    <t>보건행정학사</t>
    <phoneticPr fontId="1" type="noConversion"/>
  </si>
  <si>
    <t>행정학사</t>
    <phoneticPr fontId="1" type="noConversion"/>
  </si>
  <si>
    <t>기술거래사</t>
    <phoneticPr fontId="1" type="noConversion"/>
  </si>
  <si>
    <t>LINK</t>
    <phoneticPr fontId="1" type="noConversion"/>
  </si>
  <si>
    <t>파일명</t>
    <phoneticPr fontId="1" type="noConversion"/>
  </si>
  <si>
    <t xml:space="preserve"> </t>
    <phoneticPr fontId="1" type="noConversion"/>
  </si>
  <si>
    <t>단국대학교</t>
    <phoneticPr fontId="1" type="noConversion"/>
  </si>
  <si>
    <t>PMP(프로젝트관리전문가) 1급</t>
    <phoneticPr fontId="1" type="noConversion"/>
  </si>
  <si>
    <t>25.01.20</t>
    <phoneticPr fontId="1" type="noConversion"/>
  </si>
  <si>
    <t>중앙대학교</t>
    <phoneticPr fontId="1" type="noConversion"/>
  </si>
  <si>
    <t>ISO27001_SGS심사원</t>
  </si>
  <si>
    <t>SGS United Kingdom Ltd</t>
  </si>
  <si>
    <t>25.01.01</t>
    <phoneticPr fontId="1" type="noConversion"/>
  </si>
  <si>
    <t>29.12.31</t>
    <phoneticPr fontId="1" type="noConversion"/>
  </si>
  <si>
    <t>소방기술자 (기계 특급, 전기 고급)</t>
    <phoneticPr fontId="1" type="noConversion"/>
  </si>
  <si>
    <t>한국기술사회</t>
    <phoneticPr fontId="1" type="noConversion"/>
  </si>
  <si>
    <t>11.06.29</t>
    <phoneticPr fontId="1" type="noConversion"/>
  </si>
  <si>
    <t>세무회계학사</t>
    <phoneticPr fontId="1" type="noConversion"/>
  </si>
  <si>
    <t>서해대학교</t>
    <phoneticPr fontId="1" type="noConversion"/>
  </si>
  <si>
    <t>세무회계과</t>
    <phoneticPr fontId="1" type="noConversion"/>
  </si>
  <si>
    <t>박사</t>
    <phoneticPr fontId="1" type="noConversion"/>
  </si>
  <si>
    <t>학사</t>
    <phoneticPr fontId="1" type="noConversion"/>
  </si>
  <si>
    <t>디지털건축도시공학(주전공)
/전기전자공학전공(복수전공)</t>
    <phoneticPr fontId="1" type="noConversion"/>
  </si>
  <si>
    <t>최재운</t>
  </si>
  <si>
    <t>세무회계학사</t>
  </si>
  <si>
    <t>소방기술자 (기계 특급, 전기 고급)</t>
  </si>
  <si>
    <t>PMP(프로젝트관리전문가) 1급</t>
  </si>
  <si>
    <t>건설사업관리전문가(CMP)</t>
  </si>
  <si>
    <t/>
  </si>
  <si>
    <t>박사(6)</t>
  </si>
  <si>
    <t>기타</t>
    <phoneticPr fontId="1" type="noConversion"/>
  </si>
  <si>
    <t>소방기술자 (기계 : 특급, 전기: 고급)</t>
    <phoneticPr fontId="1" type="noConversion"/>
  </si>
  <si>
    <t>제조(CA)</t>
    <phoneticPr fontId="1" type="noConversion"/>
  </si>
  <si>
    <t>학술(CC)</t>
    <phoneticPr fontId="1" type="noConversion"/>
  </si>
  <si>
    <t>SW(CD)</t>
    <phoneticPr fontId="1" type="noConversion"/>
  </si>
  <si>
    <t>제조(CA)(22)</t>
  </si>
  <si>
    <t>학술(CC)(19)</t>
  </si>
  <si>
    <t>SW(CD)(10)</t>
  </si>
  <si>
    <t>기타(23)</t>
  </si>
  <si>
    <t>석사(16)</t>
  </si>
  <si>
    <t>학사(34)</t>
  </si>
  <si>
    <t>학위</t>
  </si>
  <si>
    <t>학위 수</t>
  </si>
  <si>
    <t>원본 LINK</t>
    <phoneticPr fontId="1" type="noConversion"/>
  </si>
  <si>
    <t>인적사항</t>
    <phoneticPr fontId="1" type="noConversion"/>
  </si>
  <si>
    <t>이름입력</t>
    <phoneticPr fontId="1" type="noConversion"/>
  </si>
  <si>
    <t>2023.07.01</t>
    <phoneticPr fontId="1" type="noConversion"/>
  </si>
  <si>
    <t>공통(28)</t>
  </si>
  <si>
    <t>공사(CB)(16)</t>
  </si>
  <si>
    <t>계명대학교</t>
    <phoneticPr fontId="1" type="noConversion"/>
  </si>
  <si>
    <t>방위사업 신원조사</t>
    <phoneticPr fontId="1" type="noConversion"/>
  </si>
  <si>
    <t>엔지니어링 협회</t>
    <phoneticPr fontId="1" type="noConversion"/>
  </si>
  <si>
    <t>건설인협회</t>
    <phoneticPr fontId="1" type="noConversion"/>
  </si>
  <si>
    <t>소프트웨어협회</t>
    <phoneticPr fontId="1" type="noConversion"/>
  </si>
  <si>
    <t>기존</t>
    <phoneticPr fontId="1" type="noConversion"/>
  </si>
  <si>
    <t>신규</t>
    <phoneticPr fontId="1" type="noConversion"/>
  </si>
  <si>
    <t>석동균 퇴사</t>
    <phoneticPr fontId="1" type="noConversion"/>
  </si>
  <si>
    <t>김기태 되사</t>
    <phoneticPr fontId="1" type="noConversion"/>
  </si>
  <si>
    <t>김연아 퇴사</t>
    <phoneticPr fontId="1" type="noConversion"/>
  </si>
  <si>
    <t>임성국 퇴사</t>
    <phoneticPr fontId="1" type="noConversion"/>
  </si>
  <si>
    <t>지승연 퇴사</t>
    <phoneticPr fontId="1" type="noConversion"/>
  </si>
  <si>
    <t>박상동 퇴사</t>
    <phoneticPr fontId="1" type="noConversion"/>
  </si>
  <si>
    <t>안영아 퇴사</t>
    <phoneticPr fontId="1" type="noConversion"/>
  </si>
  <si>
    <t>`</t>
    <phoneticPr fontId="1" type="noConversion"/>
  </si>
  <si>
    <t>검색기능 마킹</t>
    <phoneticPr fontId="1" type="noConversion"/>
  </si>
  <si>
    <t>자격증 검색</t>
    <phoneticPr fontId="1" type="noConversion"/>
  </si>
  <si>
    <t>학력 검색</t>
    <phoneticPr fontId="1" type="noConversion"/>
  </si>
  <si>
    <t>학위 검색</t>
    <phoneticPr fontId="1" type="noConversion"/>
  </si>
  <si>
    <t>*검색은 한 번에 한 종류 씩만 가능함</t>
    <phoneticPr fontId="1" type="noConversion"/>
  </si>
  <si>
    <t>이름 검색</t>
    <phoneticPr fontId="1" type="noConversion"/>
  </si>
  <si>
    <t>동력수상레저기구조종 일반조종1급</t>
    <phoneticPr fontId="1" type="noConversion"/>
  </si>
  <si>
    <t>ISO 9000 2000(경영)</t>
    <phoneticPr fontId="1" type="noConversion"/>
  </si>
  <si>
    <t>에너지관리산업기사</t>
    <phoneticPr fontId="1" type="noConversion"/>
  </si>
  <si>
    <t>국제경영컨설턴트(CMC)</t>
    <phoneticPr fontId="1" type="noConversion"/>
  </si>
  <si>
    <t>수목치료기술자</t>
    <phoneticPr fontId="1" type="noConversion"/>
  </si>
  <si>
    <t>창업보육전문매니저</t>
    <phoneticPr fontId="1" type="noConversion"/>
  </si>
  <si>
    <t>채용면접관 자격인증서</t>
    <phoneticPr fontId="1" type="noConversion"/>
  </si>
  <si>
    <t>신용분석사</t>
    <phoneticPr fontId="1" type="noConversion"/>
  </si>
  <si>
    <t>약용식물관리사</t>
    <phoneticPr fontId="1" type="noConversion"/>
  </si>
  <si>
    <t>재난관리지도사</t>
    <phoneticPr fontId="1" type="noConversion"/>
  </si>
  <si>
    <t>유기농업기사</t>
    <phoneticPr fontId="1" type="noConversion"/>
  </si>
  <si>
    <t>간호사</t>
    <phoneticPr fontId="1" type="noConversion"/>
  </si>
  <si>
    <t>R&amp;A Level 2 Rules School</t>
    <phoneticPr fontId="1" type="noConversion"/>
  </si>
  <si>
    <t>소형선박조종사(해기사)</t>
    <phoneticPr fontId="1" type="noConversion"/>
  </si>
  <si>
    <t>초경량비행장치 조종자</t>
    <phoneticPr fontId="1" type="noConversion"/>
  </si>
  <si>
    <t>고졸</t>
    <phoneticPr fontId="1" type="noConversion"/>
  </si>
  <si>
    <t>학위 3차 정제데이터</t>
    <phoneticPr fontId="1" type="noConversion"/>
  </si>
  <si>
    <t>학위별 검색마킹</t>
    <phoneticPr fontId="1" type="noConversion"/>
  </si>
  <si>
    <t>이름별 검색마킹</t>
    <phoneticPr fontId="1" type="noConversion"/>
  </si>
  <si>
    <t>학력별 검색마킹</t>
    <phoneticPr fontId="1" type="noConversion"/>
  </si>
  <si>
    <t>원본 미포함</t>
    <phoneticPr fontId="1" type="noConversion"/>
  </si>
  <si>
    <t>검색기능 마킹2</t>
    <phoneticPr fontId="1" type="noConversion"/>
  </si>
  <si>
    <r>
      <t xml:space="preserve">보유 </t>
    </r>
    <r>
      <rPr>
        <sz val="13"/>
        <color rgb="FFFF0000"/>
        <rFont val="맑은 고딕"/>
        <family val="3"/>
        <charset val="129"/>
        <scheme val="major"/>
      </rPr>
      <t>자격증</t>
    </r>
    <r>
      <rPr>
        <sz val="13"/>
        <color theme="1"/>
        <rFont val="맑은 고딕"/>
        <family val="3"/>
        <charset val="129"/>
        <scheme val="major"/>
      </rPr>
      <t xml:space="preserve"> 현황</t>
    </r>
    <phoneticPr fontId="1" type="noConversion"/>
  </si>
  <si>
    <r>
      <t xml:space="preserve">보유 </t>
    </r>
    <r>
      <rPr>
        <sz val="13"/>
        <color rgb="FF0033CC"/>
        <rFont val="맑은 고딕"/>
        <family val="3"/>
        <charset val="129"/>
        <scheme val="major"/>
      </rPr>
      <t>학력</t>
    </r>
    <r>
      <rPr>
        <sz val="13"/>
        <color theme="1"/>
        <rFont val="맑은 고딕"/>
        <family val="3"/>
        <charset val="129"/>
        <scheme val="major"/>
      </rPr>
      <t xml:space="preserve"> 현황</t>
    </r>
    <phoneticPr fontId="1" type="noConversion"/>
  </si>
  <si>
    <t>목적: 피벗된 학위 현황을 제안서에 붙여넣을 수 있는 형태로 1차 가공</t>
    <phoneticPr fontId="1" type="noConversion"/>
  </si>
  <si>
    <t>학위 정제 매뉴얼</t>
    <phoneticPr fontId="1" type="noConversion"/>
  </si>
  <si>
    <t>3. 학위 3차 정제데이터에 필요에 맞게 복사, 붙여넣기, 가공</t>
    <phoneticPr fontId="1" type="noConversion"/>
  </si>
  <si>
    <t>1. 복사: D4:N21 영역의 데이터를 복사하여 D23 영역에 붙여넣습니다</t>
    <phoneticPr fontId="1" type="noConversion"/>
  </si>
  <si>
    <r>
      <t>2. 정렬:</t>
    </r>
    <r>
      <rPr>
        <b/>
        <sz val="11"/>
        <color theme="8" tint="-0.249977111117893"/>
        <rFont val="맑은 고딕"/>
        <family val="3"/>
        <charset val="129"/>
        <scheme val="major"/>
      </rPr>
      <t xml:space="preserve"> 정렬표</t>
    </r>
    <r>
      <rPr>
        <b/>
        <sz val="11"/>
        <color theme="1"/>
        <rFont val="맑은 고딕"/>
        <family val="3"/>
        <charset val="129"/>
        <scheme val="major"/>
      </rPr>
      <t xml:space="preserve"> 기준으로 각 학위를 정렬합니다.</t>
    </r>
    <phoneticPr fontId="1" type="noConversion"/>
  </si>
  <si>
    <r>
      <t xml:space="preserve">3. 검수: </t>
    </r>
    <r>
      <rPr>
        <b/>
        <sz val="11"/>
        <color theme="8" tint="-0.249977111117893"/>
        <rFont val="맑은 고딕"/>
        <family val="3"/>
        <charset val="129"/>
        <scheme val="major"/>
      </rPr>
      <t>정렬표</t>
    </r>
    <r>
      <rPr>
        <sz val="11"/>
        <color theme="1"/>
        <rFont val="맑은 고딕"/>
        <family val="3"/>
        <charset val="129"/>
        <scheme val="major"/>
      </rPr>
      <t>에 등록되지 않은 데이터는 맨 아래로 이동하며 노란색으로 표시됩니다 - 노란색 셀 확인필요</t>
    </r>
    <phoneticPr fontId="1" type="noConversion"/>
  </si>
  <si>
    <r>
      <t xml:space="preserve">* </t>
    </r>
    <r>
      <rPr>
        <b/>
        <sz val="11"/>
        <color theme="8" tint="-0.249977111117893"/>
        <rFont val="맑은 고딕"/>
        <family val="3"/>
        <charset val="129"/>
        <scheme val="major"/>
      </rPr>
      <t>정렬표</t>
    </r>
    <r>
      <rPr>
        <sz val="11"/>
        <color theme="1"/>
        <rFont val="맑은 고딕"/>
        <family val="3"/>
        <charset val="129"/>
        <scheme val="major"/>
      </rPr>
      <t>는 중요도 순으로 정렬되어있으며, 변동사항 있을 시, 원장님께 검토 받아서 순서 설정.</t>
    </r>
    <phoneticPr fontId="1" type="noConversion"/>
  </si>
  <si>
    <r>
      <t xml:space="preserve">2. </t>
    </r>
    <r>
      <rPr>
        <b/>
        <sz val="11"/>
        <color theme="3" tint="0.249977111117893"/>
        <rFont val="맑은 고딕"/>
        <family val="3"/>
        <charset val="129"/>
        <scheme val="major"/>
      </rPr>
      <t>학력정제 메크로</t>
    </r>
    <r>
      <rPr>
        <sz val="11"/>
        <color theme="1"/>
        <rFont val="맑은 고딕"/>
        <family val="3"/>
        <charset val="129"/>
        <scheme val="major"/>
      </rPr>
      <t>를 통해 '정렬표'에 맞게 정렬</t>
    </r>
    <phoneticPr fontId="1" type="noConversion"/>
  </si>
  <si>
    <r>
      <t xml:space="preserve">* </t>
    </r>
    <r>
      <rPr>
        <b/>
        <sz val="11"/>
        <color theme="3" tint="0.249977111117893"/>
        <rFont val="맑은 고딕"/>
        <family val="3"/>
        <charset val="129"/>
        <scheme val="major"/>
      </rPr>
      <t>학력정제 메크로</t>
    </r>
    <r>
      <rPr>
        <b/>
        <sz val="11"/>
        <color theme="1"/>
        <rFont val="맑은 고딕"/>
        <family val="3"/>
        <charset val="129"/>
        <scheme val="major"/>
      </rPr>
      <t xml:space="preserve"> 기능</t>
    </r>
    <phoneticPr fontId="1" type="noConversion"/>
  </si>
  <si>
    <r>
      <t>1. 학위 피벗테이블 새로고침 하여 최신 학위 피벗 - '</t>
    </r>
    <r>
      <rPr>
        <b/>
        <sz val="11"/>
        <color theme="3" tint="0.249977111117893"/>
        <rFont val="맑은 고딕"/>
        <family val="3"/>
        <charset val="129"/>
        <scheme val="major"/>
      </rPr>
      <t>학력</t>
    </r>
    <r>
      <rPr>
        <sz val="11"/>
        <color theme="1"/>
        <rFont val="맑은 고딕"/>
        <family val="3"/>
        <charset val="129"/>
        <scheme val="major"/>
      </rPr>
      <t>'시트와 연결</t>
    </r>
    <phoneticPr fontId="1" type="noConversion"/>
  </si>
  <si>
    <t>김나경</t>
    <phoneticPr fontId="1" type="noConversion"/>
  </si>
  <si>
    <t>사원</t>
    <phoneticPr fontId="1" type="noConversion"/>
  </si>
  <si>
    <t>김나경</t>
    <phoneticPr fontId="1" type="noConversion"/>
  </si>
  <si>
    <t>경영기획</t>
  </si>
  <si>
    <t>고졸</t>
    <phoneticPr fontId="1" type="noConversion"/>
  </si>
  <si>
    <t>성보경영고등학교</t>
    <phoneticPr fontId="1" type="noConversion"/>
  </si>
  <si>
    <t>세무행정과</t>
    <phoneticPr fontId="1" type="noConversion"/>
  </si>
  <si>
    <t>김나경</t>
    <phoneticPr fontId="1" type="noConversion"/>
  </si>
  <si>
    <t>전산회계 1급</t>
    <phoneticPr fontId="1" type="noConversion"/>
  </si>
  <si>
    <t>전산세무 2급</t>
    <phoneticPr fontId="1" type="noConversion"/>
  </si>
  <si>
    <t>ERP 회계 정보관리사 2급</t>
    <phoneticPr fontId="1" type="noConversion"/>
  </si>
  <si>
    <t>24.06.20</t>
    <phoneticPr fontId="1" type="noConversion"/>
  </si>
  <si>
    <t>23.08.24</t>
  </si>
  <si>
    <t>23.04.27</t>
  </si>
  <si>
    <t>24.06.11</t>
    <phoneticPr fontId="1" type="noConversion"/>
  </si>
  <si>
    <t>25.04.08</t>
    <phoneticPr fontId="1" type="noConversion"/>
  </si>
  <si>
    <t>29.06.19</t>
    <phoneticPr fontId="1" type="noConversion"/>
  </si>
  <si>
    <t>28.08.23</t>
  </si>
  <si>
    <t>28.04.26</t>
  </si>
  <si>
    <t>ERP 생산 정보관리사 2급</t>
    <phoneticPr fontId="1" type="noConversion"/>
  </si>
  <si>
    <t>워드프로세서</t>
    <phoneticPr fontId="1" type="noConversion"/>
  </si>
  <si>
    <t>25.02.18</t>
    <phoneticPr fontId="1" type="noConversion"/>
  </si>
  <si>
    <t>23.11.24</t>
    <phoneticPr fontId="1" type="noConversion"/>
  </si>
  <si>
    <t>25.02.28</t>
    <phoneticPr fontId="1" type="noConversion"/>
  </si>
  <si>
    <t>30.02.27</t>
    <phoneticPr fontId="1" type="noConversion"/>
  </si>
  <si>
    <t>전산회계운용사 3급</t>
  </si>
  <si>
    <t>전산회계운용사 3급</t>
    <phoneticPr fontId="1" type="noConversion"/>
  </si>
  <si>
    <t>23.09.01</t>
    <phoneticPr fontId="1" type="noConversion"/>
  </si>
  <si>
    <t>ERP 생산 정보관리사2급</t>
    <phoneticPr fontId="1" type="noConversion"/>
  </si>
  <si>
    <t>학위 2차 정제데이터</t>
  </si>
  <si>
    <t>사원</t>
    <phoneticPr fontId="1" type="noConversion"/>
  </si>
  <si>
    <t>010-6468-4064</t>
    <phoneticPr fontId="1" type="noConversion"/>
  </si>
  <si>
    <t>2026.02.03</t>
    <phoneticPr fontId="1" type="noConversion"/>
  </si>
  <si>
    <t>📋 인사 정보 및 자격증·학력 검색 시스템 사용 매뉴얼</t>
  </si>
  <si>
    <t>1. 개요</t>
  </si>
  <si>
    <t>2. 핵심 주의사항 (필독)</t>
  </si>
  <si>
    <t>3. 화면 구성 및 기능</t>
  </si>
  <si>
    <t>A. 검색 조건 입력란 (상단 노란색 셀)</t>
  </si>
  <si>
    <t>사용자가 값을 입력하거나 선택하는 영역입니다.</t>
  </si>
  <si>
    <t>B. 데이터 출력란 (하단 표)</t>
  </si>
  <si>
    <t>4. 상세 사용 방법</t>
  </si>
  <si>
    <t>상황 1: 특정 직원의 모든 정보를 보고 싶을 때 (이름 검색)</t>
  </si>
  <si>
    <t>3. 입력 후 엔터(Enter)를 치면 하단에 해당 직원의 자격증 및 학력 정보가 나타납니다.</t>
  </si>
  <si>
    <t>상황 2: 특정 자격증 보유자를 찾고 싶을 때 (자격증 검색)</t>
  </si>
  <si>
    <t>3. 드롭다운 목록에서 원하는 자격증(예: 전산세무 2급)을 선택합니다.</t>
  </si>
  <si>
    <t>참고: 드롭다운 목록은 '정렬표' 시트의 데이터를 불러옵니다.</t>
  </si>
  <si>
    <t>4. 하단 리스트에 해당 자격증을 보유한 모든 직원의 목록이 표시됩니다.</t>
  </si>
  <si>
    <t>상황 3: 특정 학력 소지자를 찾고 싶을 때 (학력/학위 검색)</t>
  </si>
  <si>
    <t>3. 조건에 맞는 직원들의 학력 정보가 표시됩니다.</t>
  </si>
  <si>
    <t>Q. 결과 화면에 "검색창 삭제" 또는 "검색창삭제"라고 뜹니다.</t>
  </si>
  <si>
    <t>Q. 드롭다운 목록에 원하는 자격증이 없습니다.</t>
  </si>
  <si>
    <t>Q. 결과에 "-" 표시만 나옵니다.</t>
  </si>
  <si>
    <t>6. 관리자용 참고 사항 (수식 설명)</t>
  </si>
  <si>
    <t>⚠️ 경고: 이름, 자격증, 학력 검색창 중 두 곳 이상에 값이 입력되어 있을 경우, 결과값에 **"검색창 삭제"**라는 메시지가 표시되며 조회가 되지 않습니다.</t>
  </si>
  <si>
    <t>[매뉴얼] 인사 정보 및 자격증/학력 DB 갱신 가이드</t>
  </si>
  <si>
    <t>1. 개요 및 데이터 흐름</t>
  </si>
  <si>
    <r>
      <t xml:space="preserve">본 시스템은 </t>
    </r>
    <r>
      <rPr>
        <b/>
        <sz val="11"/>
        <color theme="1"/>
        <rFont val="맑은 고딕"/>
        <family val="3"/>
        <charset val="129"/>
        <scheme val="minor"/>
      </rPr>
      <t>'개인DB'</t>
    </r>
    <r>
      <rPr>
        <sz val="11"/>
        <color theme="1"/>
        <rFont val="맑은 고딕"/>
        <family val="2"/>
        <charset val="129"/>
        <scheme val="minor"/>
      </rPr>
      <t xml:space="preserve"> 시트를 기준으로 학력과 자격증 정보가 연동되어 작동합니다. 따라서 데이터 갱신 시 </t>
    </r>
    <r>
      <rPr>
        <b/>
        <sz val="11"/>
        <color theme="1"/>
        <rFont val="맑은 고딕"/>
        <family val="3"/>
        <charset val="129"/>
        <scheme val="minor"/>
      </rPr>
      <t>작업 순서</t>
    </r>
    <r>
      <rPr>
        <sz val="11"/>
        <color theme="1"/>
        <rFont val="맑은 고딕"/>
        <family val="2"/>
        <charset val="129"/>
        <scheme val="minor"/>
      </rPr>
      <t>를 지키는 것이 매우 중요합니다.</t>
    </r>
  </si>
  <si>
    <r>
      <t>작업 순서:</t>
    </r>
    <r>
      <rPr>
        <sz val="11"/>
        <color theme="1"/>
        <rFont val="맑은 고딕"/>
        <family val="2"/>
        <charset val="129"/>
        <scheme val="minor"/>
      </rPr>
      <t xml:space="preserve"> ① 개인DB 등록 ➡ ② 학력/자격증 상세 등록 ➡ ③ 검색 시트 확인</t>
    </r>
  </si>
  <si>
    <r>
      <t>주의:</t>
    </r>
    <r>
      <rPr>
        <sz val="11"/>
        <color theme="1"/>
        <rFont val="맑은 고딕"/>
        <family val="2"/>
        <charset val="129"/>
        <scheme val="minor"/>
      </rPr>
      <t xml:space="preserve"> 모든 데이터 시트에는 자동 불러오기 수식이 포함되어 있으므로, </t>
    </r>
    <r>
      <rPr>
        <b/>
        <sz val="11"/>
        <color theme="1"/>
        <rFont val="맑은 고딕"/>
        <family val="3"/>
        <charset val="129"/>
        <scheme val="minor"/>
      </rPr>
      <t>함부로 셀을 삭제하지 말고 '행 복사'를 통해 추가</t>
    </r>
    <r>
      <rPr>
        <sz val="11"/>
        <color theme="1"/>
        <rFont val="맑은 고딕"/>
        <family val="2"/>
        <charset val="129"/>
        <scheme val="minor"/>
      </rPr>
      <t>해야 합니다.</t>
    </r>
  </si>
  <si>
    <t>2. 상황별 갱신 방법</t>
  </si>
  <si>
    <t>상황 A. 신규 입사자 정보 등록 (입사 시)</t>
  </si>
  <si>
    <r>
      <t>Step 1. [개인DB] 시트 갱신</t>
    </r>
    <r>
      <rPr>
        <sz val="11"/>
        <color theme="1"/>
        <rFont val="맑은 고딕"/>
        <family val="2"/>
        <charset val="129"/>
        <scheme val="minor"/>
      </rPr>
      <t xml:space="preserve"> 가장 먼저 직원의 기본 정보를 등록해야 합니다. 이 정보는 다른 시트(학력, 자격증)에서 소속과 직책을 불러오는 기준이 됩니다.</t>
    </r>
  </si>
  <si>
    <r>
      <t>1. [개인DB]</t>
    </r>
    <r>
      <rPr>
        <sz val="11"/>
        <color theme="1"/>
        <rFont val="맑은 고딕"/>
        <family val="2"/>
        <charset val="129"/>
        <scheme val="minor"/>
      </rPr>
      <t xml:space="preserve"> 시트로 이동합니다.</t>
    </r>
  </si>
  <si>
    <r>
      <t xml:space="preserve">3. 새로운 행에 </t>
    </r>
    <r>
      <rPr>
        <sz val="10"/>
        <color theme="1"/>
        <rFont val="Arial Unicode MS"/>
        <family val="2"/>
      </rPr>
      <t>이름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소속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직책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입사일</t>
    </r>
    <r>
      <rPr>
        <sz val="11"/>
        <color theme="1"/>
        <rFont val="맑은 고딕"/>
        <family val="2"/>
        <charset val="129"/>
        <scheme val="minor"/>
      </rPr>
      <t xml:space="preserve"> 등 기본 정보를 입력합니다.</t>
    </r>
  </si>
  <si>
    <t>Tip: 이름은 시스템의 고유 키(Key) 역할을 하므로 오타가 없도록 주의하세요.</t>
  </si>
  <si>
    <t>Step 2. [학력] 시트 갱신 (수식 복사 필수)</t>
  </si>
  <si>
    <r>
      <t>1. [학력]</t>
    </r>
    <r>
      <rPr>
        <sz val="11"/>
        <color theme="1"/>
        <rFont val="맑은 고딕"/>
        <family val="2"/>
        <charset val="129"/>
        <scheme val="minor"/>
      </rPr>
      <t xml:space="preserve"> 시트로 이동합니다.</t>
    </r>
  </si>
  <si>
    <t>2. 기존 데이터의 **마지막 행 전체를 복사(Ctrl+C)**하여 바로 아래 빈 행에 **붙여넣기(Ctrl+V)**합니다.</t>
  </si>
  <si>
    <r>
      <t>이유:</t>
    </r>
    <r>
      <rPr>
        <sz val="11"/>
        <color theme="1"/>
        <rFont val="맑은 고딕"/>
        <family val="2"/>
        <charset val="129"/>
        <scheme val="minor"/>
      </rPr>
      <t xml:space="preserve"> 소속, 직책 등의 칸에 걸려있는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맑은 고딕"/>
        <family val="2"/>
        <charset val="129"/>
        <scheme val="minor"/>
      </rPr>
      <t xml:space="preserve"> 수식을 그대로 가져오기 위함입니다.</t>
    </r>
  </si>
  <si>
    <r>
      <t>3. [이름]</t>
    </r>
    <r>
      <rPr>
        <sz val="11"/>
        <color theme="1"/>
        <rFont val="맑은 고딕"/>
        <family val="2"/>
        <charset val="129"/>
        <scheme val="minor"/>
      </rPr>
      <t xml:space="preserve"> 칸을 신규 입사자 이름으로 수정합니다.</t>
    </r>
  </si>
  <si>
    <r>
      <t>결과:</t>
    </r>
    <r>
      <rPr>
        <sz val="11"/>
        <color theme="1"/>
        <rFont val="맑은 고딕"/>
        <family val="2"/>
        <charset val="129"/>
        <scheme val="minor"/>
      </rPr>
      <t xml:space="preserve"> 이름을 바꾸면 </t>
    </r>
    <r>
      <rPr>
        <sz val="10"/>
        <color theme="1"/>
        <rFont val="Arial Unicode MS"/>
        <family val="2"/>
      </rPr>
      <t>소속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직책</t>
    </r>
    <r>
      <rPr>
        <sz val="11"/>
        <color theme="1"/>
        <rFont val="맑은 고딕"/>
        <family val="2"/>
        <charset val="129"/>
        <scheme val="minor"/>
      </rPr>
      <t>이 [개인DB]에서 자동으로 불러와집니다.</t>
    </r>
  </si>
  <si>
    <r>
      <t>4. 학교명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전공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학위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졸업일</t>
    </r>
    <r>
      <rPr>
        <sz val="11"/>
        <color theme="1"/>
        <rFont val="맑은 고딕"/>
        <family val="2"/>
        <charset val="129"/>
        <scheme val="minor"/>
      </rPr>
      <t xml:space="preserve"> 등 수동 입력란만 직접 타이핑하여 채워 넣습니다.</t>
    </r>
  </si>
  <si>
    <t>Step 3. [자격증] 시트 갱신 (코드 확인 필수)</t>
  </si>
  <si>
    <r>
      <t>1. [자격증]</t>
    </r>
    <r>
      <rPr>
        <sz val="11"/>
        <color theme="1"/>
        <rFont val="맑은 고딕"/>
        <family val="2"/>
        <charset val="129"/>
        <scheme val="minor"/>
      </rPr>
      <t xml:space="preserve"> 시트로 이동합니다.</t>
    </r>
  </si>
  <si>
    <r>
      <t xml:space="preserve">2. 학력 시트와 마찬가지로 </t>
    </r>
    <r>
      <rPr>
        <b/>
        <sz val="11"/>
        <color theme="1"/>
        <rFont val="맑은 고딕"/>
        <family val="3"/>
        <charset val="129"/>
        <scheme val="minor"/>
      </rPr>
      <t>마지막 행 전체를 복사하여 아래에 붙여넣기</t>
    </r>
    <r>
      <rPr>
        <sz val="11"/>
        <color theme="1"/>
        <rFont val="맑은 고딕"/>
        <family val="2"/>
        <charset val="129"/>
        <scheme val="minor"/>
      </rPr>
      <t>합니다.</t>
    </r>
  </si>
  <si>
    <t>3. **[이름]**을 수정하여 기본 정보가 연동되는지 확인합니다.</t>
  </si>
  <si>
    <t>4. 보유한 자격증 정보를 입력합니다.</t>
  </si>
  <si>
    <r>
      <t>★ 중요 (코드 분류):</t>
    </r>
    <r>
      <rPr>
        <sz val="11"/>
        <color theme="1"/>
        <rFont val="맑은 고딕"/>
        <family val="2"/>
        <charset val="129"/>
        <scheme val="minor"/>
      </rPr>
      <t xml:space="preserve"> '자격증 코드(분류)'는 제안서 제출 시 기술 인력 등급 산정에 사용됩니다.</t>
    </r>
  </si>
  <si>
    <t>기존에 존재하는 자격증이라면 해당 코드를 그대로 사용하세요.</t>
  </si>
  <si>
    <r>
      <t>처음 보는 자격증이라면?</t>
    </r>
    <r>
      <rPr>
        <sz val="11"/>
        <color theme="1"/>
        <rFont val="맑은 고딕"/>
        <family val="2"/>
        <charset val="129"/>
        <scheme val="minor"/>
      </rPr>
      <t xml:space="preserve"> ☞ **[상황 C]**를 참고하여 코드를 부여받은 후 입력하세요.</t>
    </r>
  </si>
  <si>
    <t>상황 B. 퇴사자 처리 (퇴사 시)</t>
  </si>
  <si>
    <r>
      <t xml:space="preserve">데이터를 삭제하면 과거 프로젝트 이력 관리가 어려워지므로, </t>
    </r>
    <r>
      <rPr>
        <b/>
        <sz val="11"/>
        <color theme="1"/>
        <rFont val="맑은 고딕"/>
        <family val="3"/>
        <charset val="129"/>
        <scheme val="minor"/>
      </rPr>
      <t>정보를 남기되 상태를 변경</t>
    </r>
    <r>
      <rPr>
        <sz val="11"/>
        <color theme="1"/>
        <rFont val="맑은 고딕"/>
        <family val="2"/>
        <charset val="129"/>
        <scheme val="minor"/>
      </rPr>
      <t>하는 것을 권장합니다.</t>
    </r>
  </si>
  <si>
    <r>
      <t>1. [개인DB]</t>
    </r>
    <r>
      <rPr>
        <sz val="11"/>
        <color theme="1"/>
        <rFont val="맑은 고딕"/>
        <family val="2"/>
        <charset val="129"/>
        <scheme val="minor"/>
      </rPr>
      <t xml:space="preserve"> 시트에서 해당 직원을 찾습니다.</t>
    </r>
  </si>
  <si>
    <r>
      <t xml:space="preserve">3. (선택 사항) </t>
    </r>
    <r>
      <rPr>
        <b/>
        <sz val="11"/>
        <color theme="1"/>
        <rFont val="맑은 고딕"/>
        <family val="3"/>
        <charset val="129"/>
        <scheme val="minor"/>
      </rPr>
      <t>[눌러서검색]</t>
    </r>
    <r>
      <rPr>
        <sz val="11"/>
        <color theme="1"/>
        <rFont val="맑은 고딕"/>
        <family val="2"/>
        <charset val="129"/>
        <scheme val="minor"/>
      </rPr>
      <t xml:space="preserve"> 시트에서 퇴사자가 검색되지 않게 하려면, 검색 범위를 지정하는 </t>
    </r>
    <r>
      <rPr>
        <sz val="10"/>
        <color theme="1"/>
        <rFont val="Arial Unicode MS"/>
        <family val="2"/>
      </rPr>
      <t>Name Manager(이름 관리자)</t>
    </r>
    <r>
      <rPr>
        <sz val="11"/>
        <color theme="1"/>
        <rFont val="맑은 고딕"/>
        <family val="2"/>
        <charset val="129"/>
        <scheme val="minor"/>
      </rPr>
      <t>를 수정하거나, 퇴사자 행을 별도의 '퇴사자 시트'로 잘라내기 하여 이동시킵니다.</t>
    </r>
  </si>
  <si>
    <t>일반적으로는 비고란에 '퇴사'라고 적어두어 검색 시 "이 사람은 퇴사자구나"라고 인지하게 하는 것이 안전합니다.</t>
  </si>
  <si>
    <t>상황 C. 신규 자격증 종목 추가 (최초 등록 시)</t>
  </si>
  <si>
    <t>직원이 가져온 자격증이 목록에 없는 새로운 종류일 경우의 절차입니다.</t>
  </si>
  <si>
    <r>
      <t>1. 관리자(상급자) 협의:</t>
    </r>
    <r>
      <rPr>
        <sz val="11"/>
        <color theme="1"/>
        <rFont val="맑은 고딕"/>
        <family val="2"/>
        <charset val="129"/>
        <scheme val="minor"/>
      </rPr>
      <t xml:space="preserve"> 해당 자격증이 제안서나 회사 규정상 어떤 </t>
    </r>
    <r>
      <rPr>
        <b/>
        <sz val="11"/>
        <color theme="1"/>
        <rFont val="맑은 고딕"/>
        <family val="3"/>
        <charset val="129"/>
        <scheme val="minor"/>
      </rPr>
      <t>분류 코드</t>
    </r>
    <r>
      <rPr>
        <sz val="11"/>
        <color theme="1"/>
        <rFont val="맑은 고딕"/>
        <family val="2"/>
        <charset val="129"/>
        <scheme val="minor"/>
      </rPr>
      <t>(예: 기술사, 기사, 특급, 고급 등)에 해당하는지 확인합니다.</t>
    </r>
  </si>
  <si>
    <t>2. [자격증DB] 시트 등록:</t>
  </si>
  <si>
    <r>
      <t>[자격증DB]</t>
    </r>
    <r>
      <rPr>
        <sz val="11"/>
        <color theme="1"/>
        <rFont val="맑은 고딕"/>
        <family val="2"/>
        <charset val="129"/>
        <scheme val="minor"/>
      </rPr>
      <t xml:space="preserve"> (또는 정렬표) 시트로 이동합니다.</t>
    </r>
  </si>
  <si>
    <t>새로운 자격증 명칭과 협의된 분류 코드를 추가합니다.</t>
  </si>
  <si>
    <r>
      <t>3. 직원 데이터 반영:</t>
    </r>
    <r>
      <rPr>
        <sz val="11"/>
        <color theme="1"/>
        <rFont val="맑은 고딕"/>
        <family val="2"/>
        <charset val="129"/>
        <scheme val="minor"/>
      </rPr>
      <t xml:space="preserve"> 이후 </t>
    </r>
    <r>
      <rPr>
        <b/>
        <sz val="11"/>
        <color theme="1"/>
        <rFont val="맑은 고딕"/>
        <family val="3"/>
        <charset val="129"/>
        <scheme val="minor"/>
      </rPr>
      <t>[자격증]</t>
    </r>
    <r>
      <rPr>
        <sz val="11"/>
        <color theme="1"/>
        <rFont val="맑은 고딕"/>
        <family val="2"/>
        <charset val="129"/>
        <scheme val="minor"/>
      </rPr>
      <t xml:space="preserve"> 시트로 돌아와 해당 직원의 자격증 정보를 입력합니다.</t>
    </r>
  </si>
  <si>
    <r>
      <t>① 수식 깨짐 방지 및 확인 (</t>
    </r>
    <r>
      <rPr>
        <b/>
        <sz val="10"/>
        <color theme="1"/>
        <rFont val="Arial Unicode MS"/>
        <family val="2"/>
      </rPr>
      <t>Ctrl</t>
    </r>
    <r>
      <rPr>
        <b/>
        <sz val="13.5"/>
        <color theme="1"/>
        <rFont val="맑은 고딕"/>
        <family val="3"/>
        <charset val="129"/>
        <scheme val="minor"/>
      </rPr>
      <t xml:space="preserve"> + `)</t>
    </r>
  </si>
  <si>
    <r>
      <t xml:space="preserve">엑셀의 각 시트(특히 소속, 직책 열)에는 </t>
    </r>
    <r>
      <rPr>
        <sz val="10"/>
        <color theme="1"/>
        <rFont val="Arial Unicode MS"/>
        <family val="2"/>
      </rPr>
      <t>INDEX</t>
    </r>
    <r>
      <rPr>
        <sz val="11"/>
        <color theme="1"/>
        <rFont val="맑은 고딕"/>
        <family val="2"/>
        <charset val="129"/>
        <scheme val="minor"/>
      </rPr>
      <t xml:space="preserve">, </t>
    </r>
    <r>
      <rPr>
        <sz val="10"/>
        <color theme="1"/>
        <rFont val="Arial Unicode MS"/>
        <family val="2"/>
      </rPr>
      <t>MATCH</t>
    </r>
    <r>
      <rPr>
        <sz val="11"/>
        <color theme="1"/>
        <rFont val="맑은 고딕"/>
        <family val="2"/>
        <charset val="129"/>
        <scheme val="minor"/>
      </rPr>
      <t xml:space="preserve"> 함수가 숨어 있습니다. 실수로 이 셀에 글자를 직접 타이핑하면 수식이 지워져 </t>
    </r>
    <r>
      <rPr>
        <b/>
        <sz val="11"/>
        <color theme="1"/>
        <rFont val="맑은 고딕"/>
        <family val="3"/>
        <charset val="129"/>
        <scheme val="minor"/>
      </rPr>
      <t>자동 연동이 끊깁니다.</t>
    </r>
  </si>
  <si>
    <t>수식 확인 방법:</t>
  </si>
  <si>
    <r>
      <t>키보드의 **</t>
    </r>
    <r>
      <rPr>
        <sz val="10"/>
        <color theme="1"/>
        <rFont val="Arial Unicode MS"/>
        <family val="2"/>
      </rPr>
      <t>Ctrl</t>
    </r>
    <r>
      <rPr>
        <sz val="11"/>
        <color theme="1"/>
        <rFont val="맑은 고딕"/>
        <family val="2"/>
        <charset val="129"/>
        <scheme val="minor"/>
      </rPr>
      <t xml:space="preserve"> + </t>
    </r>
    <r>
      <rPr>
        <sz val="10"/>
        <color theme="1"/>
        <rFont val="Arial Unicode MS"/>
        <family val="2"/>
      </rPr>
      <t>~</t>
    </r>
    <r>
      <rPr>
        <sz val="11"/>
        <color theme="1"/>
        <rFont val="맑은 고딕"/>
        <family val="2"/>
        <charset val="129"/>
        <scheme val="minor"/>
      </rPr>
      <t xml:space="preserve"> (물결 표시/숫자 1 왼쪽 키)**를 동시에 누르세요.</t>
    </r>
  </si>
  <si>
    <t>화면이 전환되면서 숨겨진 수식이 모두 보입니다.</t>
  </si>
  <si>
    <t>새로 추가한 행에 위쪽 행과 동일한 패턴의 수식이 잘 들어가 있는지 눈으로 확인합니다.</t>
  </si>
  <si>
    <r>
      <t>다시 **</t>
    </r>
    <r>
      <rPr>
        <sz val="10"/>
        <color theme="1"/>
        <rFont val="Arial Unicode MS"/>
        <family val="2"/>
      </rPr>
      <t>Ctrl</t>
    </r>
    <r>
      <rPr>
        <sz val="11"/>
        <color theme="1"/>
        <rFont val="맑은 고딕"/>
        <family val="2"/>
        <charset val="129"/>
        <scheme val="minor"/>
      </rPr>
      <t xml:space="preserve"> + </t>
    </r>
    <r>
      <rPr>
        <sz val="10"/>
        <color theme="1"/>
        <rFont val="Arial Unicode MS"/>
        <family val="2"/>
      </rPr>
      <t>~</t>
    </r>
    <r>
      <rPr>
        <sz val="11"/>
        <color theme="1"/>
        <rFont val="맑은 고딕"/>
        <family val="2"/>
        <charset val="129"/>
        <scheme val="minor"/>
      </rPr>
      <t>**를 누르면 원래 화면으로 돌아옵니다.</t>
    </r>
  </si>
  <si>
    <t>데이터 갱신이 끝났다면 반드시 검색 시트에서 테스트해야 합니다.</t>
  </si>
  <si>
    <r>
      <t>1. [눌러서검색]</t>
    </r>
    <r>
      <rPr>
        <sz val="11"/>
        <color theme="1"/>
        <rFont val="맑은 고딕"/>
        <family val="2"/>
        <charset val="129"/>
        <scheme val="minor"/>
      </rPr>
      <t xml:space="preserve"> 시트로 이동합니다.</t>
    </r>
  </si>
  <si>
    <t>2. 기존 검색어(이름, 자격증 등)를 모두 지웁니다 (Delete).</t>
  </si>
  <si>
    <r>
      <t>경고:</t>
    </r>
    <r>
      <rPr>
        <sz val="11"/>
        <color theme="1"/>
        <rFont val="맑은 고딕"/>
        <family val="2"/>
        <charset val="129"/>
        <scheme val="minor"/>
      </rPr>
      <t xml:space="preserve"> "검색창 삭제" 메시지가 뜬다면 두 곳 이상에 검색어가 입력된 상태입니다.</t>
    </r>
  </si>
  <si>
    <r>
      <t xml:space="preserve">3. 방금 등록한 </t>
    </r>
    <r>
      <rPr>
        <b/>
        <sz val="11"/>
        <color theme="1"/>
        <rFont val="맑은 고딕"/>
        <family val="3"/>
        <charset val="129"/>
        <scheme val="minor"/>
      </rPr>
      <t>신규 입사자의 이름</t>
    </r>
    <r>
      <rPr>
        <sz val="11"/>
        <color theme="1"/>
        <rFont val="맑은 고딕"/>
        <family val="2"/>
        <charset val="129"/>
        <scheme val="minor"/>
      </rPr>
      <t>을 입력하고 엔터를 칩니다.</t>
    </r>
  </si>
  <si>
    <t>4. 하단에 등록한 학력과 자격증 리스트가 정상적으로 뜨는지 확인합니다.</t>
  </si>
  <si>
    <r>
      <t>오류 시:</t>
    </r>
    <r>
      <rPr>
        <sz val="11"/>
        <color theme="1"/>
        <rFont val="맑은 고딕"/>
        <family val="2"/>
        <charset val="129"/>
        <scheme val="minor"/>
      </rPr>
      <t xml:space="preserve"> 이름에 공백(스페이스바)이 들어갔는지, 수식을 복사하지 않고 직접 타이핑했는지 확인하세요.</t>
    </r>
  </si>
  <si>
    <t>2. 데이터의 맨 마지막 행으로 이동합니다.</t>
    <phoneticPr fontId="1" type="noConversion"/>
  </si>
  <si>
    <r>
      <t xml:space="preserve">2. </t>
    </r>
    <r>
      <rPr>
        <sz val="10"/>
        <color theme="1"/>
        <rFont val="맑은 고딕"/>
        <family val="3"/>
        <charset val="129"/>
      </rPr>
      <t>해당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직원을 퇴사자 시트로 옮깁니다.</t>
    </r>
    <phoneticPr fontId="1" type="noConversion"/>
  </si>
  <si>
    <t>② "검색" 시트 작동 확인</t>
    <phoneticPr fontId="1" type="noConversion"/>
  </si>
  <si>
    <t>3. 핵심 주의사항 및 오류 파악</t>
    <phoneticPr fontId="1" type="noConversion"/>
  </si>
  <si>
    <r>
      <t xml:space="preserve">본 엑셀 파일은 사내 임직원의 </t>
    </r>
    <r>
      <rPr>
        <b/>
        <sz val="11"/>
        <color rgb="FF1F1F1F"/>
        <rFont val="맑은 고딕"/>
        <family val="3"/>
        <charset val="129"/>
        <scheme val="major"/>
      </rPr>
      <t>기본 인적사항</t>
    </r>
    <r>
      <rPr>
        <sz val="11"/>
        <color rgb="FF1F1F1F"/>
        <rFont val="맑은 고딕"/>
        <family val="3"/>
        <charset val="129"/>
        <scheme val="major"/>
      </rPr>
      <t xml:space="preserve">, </t>
    </r>
    <r>
      <rPr>
        <b/>
        <sz val="11"/>
        <color rgb="FF1F1F1F"/>
        <rFont val="맑은 고딕"/>
        <family val="3"/>
        <charset val="129"/>
        <scheme val="major"/>
      </rPr>
      <t>보유 자격증 현황</t>
    </r>
    <r>
      <rPr>
        <sz val="11"/>
        <color rgb="FF1F1F1F"/>
        <rFont val="맑은 고딕"/>
        <family val="3"/>
        <charset val="129"/>
        <scheme val="major"/>
      </rPr>
      <t xml:space="preserve">, </t>
    </r>
    <r>
      <rPr>
        <b/>
        <sz val="11"/>
        <color rgb="FF1F1F1F"/>
        <rFont val="맑은 고딕"/>
        <family val="3"/>
        <charset val="129"/>
        <scheme val="major"/>
      </rPr>
      <t>학력 정보</t>
    </r>
    <r>
      <rPr>
        <sz val="11"/>
        <color rgb="FF1F1F1F"/>
        <rFont val="맑은 고딕"/>
        <family val="3"/>
        <charset val="129"/>
        <scheme val="major"/>
      </rPr>
      <t>를 손쉽게 조회할 수 있도록 제작되었습니다. 검색 조건을 입력하면 하단의 리스트에 해당 정보가 자동으로 출력됩니다.</t>
    </r>
  </si>
  <si>
    <r>
      <t xml:space="preserve">시스템의 수식 구조상 </t>
    </r>
    <r>
      <rPr>
        <b/>
        <sz val="11"/>
        <color rgb="FF1F1F1F"/>
        <rFont val="맑은 고딕"/>
        <family val="3"/>
        <charset val="129"/>
        <scheme val="major"/>
      </rPr>
      <t>한 번에 한 가지 종류의 검색어만 입력</t>
    </r>
    <r>
      <rPr>
        <sz val="11"/>
        <color rgb="FF1F1F1F"/>
        <rFont val="맑은 고딕"/>
        <family val="3"/>
        <charset val="129"/>
        <scheme val="major"/>
      </rPr>
      <t>해야 정상적으로 작동합니다.</t>
    </r>
  </si>
  <si>
    <r>
      <t xml:space="preserve">⚠️ </t>
    </r>
    <r>
      <rPr>
        <b/>
        <sz val="11"/>
        <color rgb="FF1F1F1F"/>
        <rFont val="맑은 고딕"/>
        <family val="3"/>
        <charset val="129"/>
        <scheme val="major"/>
      </rPr>
      <t>경고:</t>
    </r>
    <r>
      <rPr>
        <sz val="11"/>
        <color rgb="FF1F1F1F"/>
        <rFont val="맑은 고딕"/>
        <family val="3"/>
        <charset val="129"/>
        <scheme val="major"/>
      </rPr>
      <t xml:space="preserve"> 이름, 자격증, 학력 검색창 중 </t>
    </r>
    <r>
      <rPr>
        <b/>
        <sz val="11"/>
        <color rgb="FF1F1F1F"/>
        <rFont val="맑은 고딕"/>
        <family val="3"/>
        <charset val="129"/>
        <scheme val="major"/>
      </rPr>
      <t>두 곳 이상에 값이 입력되어 있을 경우</t>
    </r>
    <r>
      <rPr>
        <sz val="11"/>
        <color rgb="FF1F1F1F"/>
        <rFont val="맑은 고딕"/>
        <family val="3"/>
        <charset val="129"/>
        <scheme val="major"/>
      </rPr>
      <t>, 결과값에 **"검색창 삭제"**라는 메시지가 표시되며 조회가 되지 않습니다.</t>
    </r>
  </si>
  <si>
    <r>
      <t>1. 이름 검색:</t>
    </r>
    <r>
      <rPr>
        <sz val="11"/>
        <color rgb="FF1F1F1F"/>
        <rFont val="맑은 고딕"/>
        <family val="3"/>
        <charset val="129"/>
        <scheme val="major"/>
      </rPr>
      <t xml:space="preserve"> 특정 직원의 전체 이력을 보고 싶을 때 이름 입력</t>
    </r>
  </si>
  <si>
    <r>
      <t>2. 자격증 검색:</t>
    </r>
    <r>
      <rPr>
        <sz val="11"/>
        <color rgb="FF1F1F1F"/>
        <rFont val="맑은 고딕"/>
        <family val="3"/>
        <charset val="129"/>
        <scheme val="major"/>
      </rPr>
      <t xml:space="preserve"> 특정 자격증을 보유한 인원 전체를 보고 싶을 때 드롭다운 선택</t>
    </r>
  </si>
  <si>
    <r>
      <t>3. 학력/학위 검색:</t>
    </r>
    <r>
      <rPr>
        <sz val="11"/>
        <color rgb="FF1F1F1F"/>
        <rFont val="맑은 고딕"/>
        <family val="3"/>
        <charset val="129"/>
        <scheme val="major"/>
      </rPr>
      <t xml:space="preserve"> 특정 학력 소지자를 보고 싶을 때 드롭다운 선택</t>
    </r>
  </si>
  <si>
    <r>
      <t>보유 자격증 현황:</t>
    </r>
    <r>
      <rPr>
        <sz val="11"/>
        <color rgb="FF1F1F1F"/>
        <rFont val="맑은 고딕"/>
        <family val="3"/>
        <charset val="129"/>
        <scheme val="major"/>
      </rPr>
      <t xml:space="preserve"> 검색 조건에 맞는 자격증 리스트 (취득일, 유효기간, PDF 원본 링크 등)</t>
    </r>
  </si>
  <si>
    <r>
      <t>보유 학력 현황:</t>
    </r>
    <r>
      <rPr>
        <sz val="11"/>
        <color rgb="FF1F1F1F"/>
        <rFont val="맑은 고딕"/>
        <family val="3"/>
        <charset val="129"/>
        <scheme val="major"/>
      </rPr>
      <t xml:space="preserve"> 검색 조건에 맞는 학력 리스트 (학교명, 전공 등)</t>
    </r>
  </si>
  <si>
    <r>
      <t xml:space="preserve">1. 좌측 상단의 </t>
    </r>
    <r>
      <rPr>
        <b/>
        <sz val="11"/>
        <color rgb="FF1F1F1F"/>
        <rFont val="맑은 고딕"/>
        <family val="3"/>
        <charset val="129"/>
        <scheme val="major"/>
      </rPr>
      <t>[이름 입력]</t>
    </r>
    <r>
      <rPr>
        <sz val="11"/>
        <color rgb="FF1F1F1F"/>
        <rFont val="맑은 고딕"/>
        <family val="3"/>
        <charset val="129"/>
        <scheme val="major"/>
      </rPr>
      <t xml:space="preserve"> 칸(노란색)에 찾고자 하는 직원의 이름(예: 김나경)을 입력합니다.</t>
    </r>
  </si>
  <si>
    <r>
      <t xml:space="preserve">2. 나머지 검색창(자격증, 학력, 학위)은 </t>
    </r>
    <r>
      <rPr>
        <b/>
        <sz val="11"/>
        <color rgb="FF1F1F1F"/>
        <rFont val="맑은 고딕"/>
        <family val="3"/>
        <charset val="129"/>
        <scheme val="major"/>
      </rPr>
      <t>반드시 비워두세요.</t>
    </r>
  </si>
  <si>
    <r>
      <t>1. [이름 입력]</t>
    </r>
    <r>
      <rPr>
        <sz val="11"/>
        <color rgb="FF1F1F1F"/>
        <rFont val="맑은 고딕"/>
        <family val="3"/>
        <charset val="129"/>
        <scheme val="major"/>
      </rPr>
      <t xml:space="preserve"> 칸의 내용을 지웁니다 (Delete 키).</t>
    </r>
  </si>
  <si>
    <r>
      <t xml:space="preserve">2. 중앙의 </t>
    </r>
    <r>
      <rPr>
        <b/>
        <sz val="11"/>
        <color rgb="FF1F1F1F"/>
        <rFont val="맑은 고딕"/>
        <family val="3"/>
        <charset val="129"/>
        <scheme val="major"/>
      </rPr>
      <t>[자격증 검색]</t>
    </r>
    <r>
      <rPr>
        <sz val="11"/>
        <color rgb="FF1F1F1F"/>
        <rFont val="맑은 고딕"/>
        <family val="3"/>
        <charset val="129"/>
        <scheme val="major"/>
      </rPr>
      <t xml:space="preserve"> 칸(노란색)의 화살표(▼)를 누릅니다.</t>
    </r>
  </si>
  <si>
    <r>
      <t xml:space="preserve">1. **[이름 입력]**과 </t>
    </r>
    <r>
      <rPr>
        <b/>
        <sz val="11"/>
        <color rgb="FF1F1F1F"/>
        <rFont val="맑은 고딕"/>
        <family val="3"/>
        <charset val="129"/>
        <scheme val="major"/>
      </rPr>
      <t>[자격증 검색]</t>
    </r>
    <r>
      <rPr>
        <sz val="11"/>
        <color rgb="FF1F1F1F"/>
        <rFont val="맑은 고딕"/>
        <family val="3"/>
        <charset val="129"/>
        <scheme val="major"/>
      </rPr>
      <t xml:space="preserve"> 칸을 모두 지웁니다.</t>
    </r>
  </si>
  <si>
    <r>
      <t xml:space="preserve">2. 우측의 </t>
    </r>
    <r>
      <rPr>
        <b/>
        <sz val="11"/>
        <color rgb="FF1F1F1F"/>
        <rFont val="맑은 고딕"/>
        <family val="3"/>
        <charset val="129"/>
        <scheme val="major"/>
      </rPr>
      <t>[학력 검색]</t>
    </r>
    <r>
      <rPr>
        <sz val="11"/>
        <color rgb="FF1F1F1F"/>
        <rFont val="맑은 고딕"/>
        <family val="3"/>
        <charset val="129"/>
        <scheme val="major"/>
      </rPr>
      <t xml:space="preserve"> 또는 </t>
    </r>
    <r>
      <rPr>
        <b/>
        <sz val="11"/>
        <color rgb="FF1F1F1F"/>
        <rFont val="맑은 고딕"/>
        <family val="3"/>
        <charset val="129"/>
        <scheme val="major"/>
      </rPr>
      <t>[학위 검색]</t>
    </r>
    <r>
      <rPr>
        <sz val="11"/>
        <color rgb="FF1F1F1F"/>
        <rFont val="맑은 고딕"/>
        <family val="3"/>
        <charset val="129"/>
        <scheme val="major"/>
      </rPr>
      <t xml:space="preserve"> 칸(노란색)의 드롭다운을 선택합니다.</t>
    </r>
  </si>
  <si>
    <r>
      <t>원인:</t>
    </r>
    <r>
      <rPr>
        <sz val="11"/>
        <color rgb="FF1F1F1F"/>
        <rFont val="맑은 고딕"/>
        <family val="3"/>
        <charset val="129"/>
        <scheme val="major"/>
      </rPr>
      <t xml:space="preserve"> 두 군데 이상의 검색창에 값이 입력되었기 때문입니다. (예: 이름도 입력되어 있고, 자격증도 선택되어 있는 경우)</t>
    </r>
  </si>
  <si>
    <r>
      <t>해결:</t>
    </r>
    <r>
      <rPr>
        <sz val="11"/>
        <color rgb="FF1F1F1F"/>
        <rFont val="맑은 고딕"/>
        <family val="3"/>
        <charset val="129"/>
        <scheme val="major"/>
      </rPr>
      <t xml:space="preserve"> 빨간색 버튼(</t>
    </r>
    <r>
      <rPr>
        <b/>
        <sz val="11"/>
        <color rgb="FF1F1F1F"/>
        <rFont val="맑은 고딕"/>
        <family val="3"/>
        <charset val="129"/>
        <scheme val="major"/>
      </rPr>
      <t>검색창삭제</t>
    </r>
    <r>
      <rPr>
        <sz val="11"/>
        <color rgb="FF1F1F1F"/>
        <rFont val="맑은 고딕"/>
        <family val="3"/>
        <charset val="129"/>
        <scheme val="major"/>
      </rPr>
      <t xml:space="preserve">)의 기능이 매크로가 아니라면, 수동으로 </t>
    </r>
    <r>
      <rPr>
        <b/>
        <sz val="11"/>
        <color rgb="FF1F1F1F"/>
        <rFont val="맑은 고딕"/>
        <family val="3"/>
        <charset val="129"/>
        <scheme val="major"/>
      </rPr>
      <t>검색하고자 하는 칸 1개를 제외한 나머지 노란색 칸의 글자를 모두 지워(Delete)주세요.</t>
    </r>
  </si>
  <si>
    <r>
      <t>해결:</t>
    </r>
    <r>
      <rPr>
        <sz val="11"/>
        <color rgb="FF1F1F1F"/>
        <rFont val="맑은 고딕"/>
        <family val="3"/>
        <charset val="129"/>
        <scheme val="major"/>
      </rPr>
      <t xml:space="preserve"> 드롭다운 목록은 별도의 </t>
    </r>
    <r>
      <rPr>
        <b/>
        <sz val="11"/>
        <color rgb="FF1F1F1F"/>
        <rFont val="맑은 고딕"/>
        <family val="3"/>
        <charset val="129"/>
        <scheme val="major"/>
      </rPr>
      <t>'정렬표'</t>
    </r>
    <r>
      <rPr>
        <sz val="11"/>
        <color rgb="FF1F1F1F"/>
        <rFont val="맑은 고딕"/>
        <family val="3"/>
        <charset val="129"/>
        <scheme val="major"/>
      </rPr>
      <t xml:space="preserve"> 시트에서 관리됩니다. 새로운 자격증이나 학력 항목이 생기면 '정렬표' 시트에 데이터를 추가해야 목록에 반영됩니다.</t>
    </r>
  </si>
  <si>
    <r>
      <t>원인:</t>
    </r>
    <r>
      <rPr>
        <sz val="11"/>
        <color rgb="FF1F1F1F"/>
        <rFont val="맑은 고딕"/>
        <family val="3"/>
        <charset val="129"/>
        <scheme val="major"/>
      </rPr>
      <t xml:space="preserve"> 해당 검색 조건에 맞는 데이터가 없거나(해당 자격증 보유자가 없음), 수식 오류일 수 있습니다. 정보가 정확히 등록되었는지 원본 데이터 시트(자격증, 학력 시트)를 확인해주세요.</t>
    </r>
  </si>
  <si>
    <r>
      <t>검색 로직:</t>
    </r>
    <r>
      <rPr>
        <sz val="11"/>
        <color rgb="FF1F1F1F"/>
        <rFont val="맑은 고딕"/>
        <family val="3"/>
        <charset val="129"/>
        <scheme val="major"/>
      </rPr>
      <t xml:space="preserve"> </t>
    </r>
    <r>
      <rPr>
        <sz val="10"/>
        <color rgb="FF444746"/>
        <rFont val="맑은 고딕"/>
        <family val="3"/>
        <charset val="129"/>
        <scheme val="major"/>
      </rPr>
      <t>LET</t>
    </r>
    <r>
      <rPr>
        <sz val="11"/>
        <color rgb="FF1F1F1F"/>
        <rFont val="맑은 고딕"/>
        <family val="3"/>
        <charset val="129"/>
        <scheme val="major"/>
      </rPr>
      <t xml:space="preserve">, </t>
    </r>
    <r>
      <rPr>
        <sz val="10"/>
        <color rgb="FF444746"/>
        <rFont val="맑은 고딕"/>
        <family val="3"/>
        <charset val="129"/>
        <scheme val="major"/>
      </rPr>
      <t>IF</t>
    </r>
    <r>
      <rPr>
        <sz val="11"/>
        <color rgb="FF1F1F1F"/>
        <rFont val="맑은 고딕"/>
        <family val="3"/>
        <charset val="129"/>
        <scheme val="major"/>
      </rPr>
      <t xml:space="preserve">, </t>
    </r>
    <r>
      <rPr>
        <sz val="10"/>
        <color rgb="FF444746"/>
        <rFont val="맑은 고딕"/>
        <family val="3"/>
        <charset val="129"/>
        <scheme val="major"/>
      </rPr>
      <t>INDEX</t>
    </r>
    <r>
      <rPr>
        <sz val="11"/>
        <color rgb="FF1F1F1F"/>
        <rFont val="맑은 고딕"/>
        <family val="3"/>
        <charset val="129"/>
        <scheme val="major"/>
      </rPr>
      <t xml:space="preserve">, </t>
    </r>
    <r>
      <rPr>
        <sz val="10"/>
        <color rgb="FF444746"/>
        <rFont val="맑은 고딕"/>
        <family val="3"/>
        <charset val="129"/>
        <scheme val="major"/>
      </rPr>
      <t>MATCH</t>
    </r>
    <r>
      <rPr>
        <sz val="11"/>
        <color rgb="FF1F1F1F"/>
        <rFont val="맑은 고딕"/>
        <family val="3"/>
        <charset val="129"/>
        <scheme val="major"/>
      </rPr>
      <t xml:space="preserve"> 함수를 사용하여 구현되었습니다.</t>
    </r>
  </si>
  <si>
    <r>
      <t>중복 검색 방지:</t>
    </r>
    <r>
      <rPr>
        <sz val="11"/>
        <color rgb="FF1F1F1F"/>
        <rFont val="맑은 고딕"/>
        <family val="3"/>
        <charset val="129"/>
        <scheme val="major"/>
      </rPr>
      <t xml:space="preserve"> </t>
    </r>
    <r>
      <rPr>
        <sz val="10"/>
        <color rgb="FF444746"/>
        <rFont val="맑은 고딕"/>
        <family val="3"/>
        <charset val="129"/>
        <scheme val="major"/>
      </rPr>
      <t>COUNTA</t>
    </r>
    <r>
      <rPr>
        <sz val="11"/>
        <color rgb="FF1F1F1F"/>
        <rFont val="맑은 고딕"/>
        <family val="3"/>
        <charset val="129"/>
        <scheme val="major"/>
      </rPr>
      <t xml:space="preserve"> 함수 등을 통해 여러 검색창에 값이 들어오면 강제로 "검색창 삭제"를 띄우도록 설계되어 데이터 혼선을 방지합니다.</t>
    </r>
  </si>
  <si>
    <r>
      <t>데이터 매칭:</t>
    </r>
    <r>
      <rPr>
        <sz val="11"/>
        <color rgb="FF1F1F1F"/>
        <rFont val="맑은 고딕"/>
        <family val="3"/>
        <charset val="129"/>
        <scheme val="major"/>
      </rPr>
      <t xml:space="preserve"> </t>
    </r>
    <r>
      <rPr>
        <sz val="10"/>
        <color rgb="FF444746"/>
        <rFont val="맑은 고딕"/>
        <family val="3"/>
        <charset val="129"/>
        <scheme val="major"/>
      </rPr>
      <t>이름_자격증_ID</t>
    </r>
    <r>
      <rPr>
        <sz val="11"/>
        <color rgb="FF1F1F1F"/>
        <rFont val="맑은 고딕"/>
        <family val="3"/>
        <charset val="129"/>
        <scheme val="major"/>
      </rPr>
      <t xml:space="preserve"> 형태의 고유 키값을 사용하여 정확한 데이터를 불러옵니다.</t>
    </r>
  </si>
  <si>
    <t>5. 자주 묻는 질문</t>
    <phoneticPr fontId="1" type="noConversion"/>
  </si>
  <si>
    <t>포함</t>
  </si>
  <si>
    <t>김현진</t>
  </si>
  <si>
    <t>사원</t>
  </si>
  <si>
    <t>010-9196-2852</t>
  </si>
  <si>
    <t>2026.03.03</t>
  </si>
  <si>
    <t>강종균</t>
  </si>
  <si>
    <t>배다현</t>
  </si>
  <si>
    <t>2026.04.01</t>
  </si>
  <si>
    <t>배병권</t>
  </si>
  <si>
    <t>수석</t>
  </si>
  <si>
    <t>김태욱</t>
  </si>
  <si>
    <t>-</t>
  </si>
  <si>
    <t>최한영</t>
  </si>
  <si>
    <t>ITQ(정보기술자격)_구 TIQ인터넷 실무능력 자격증</t>
  </si>
  <si>
    <t>타기관</t>
  </si>
  <si>
    <t>동아일보</t>
  </si>
  <si>
    <t>01.11.14</t>
  </si>
  <si>
    <t>간호조무사</t>
  </si>
  <si>
    <t>전문자격</t>
  </si>
  <si>
    <t>25.10.21</t>
  </si>
  <si>
    <t>요양보호사</t>
  </si>
  <si>
    <t>24.07.12</t>
  </si>
  <si>
    <t>26.03.05</t>
  </si>
  <si>
    <t>26.03.01</t>
  </si>
  <si>
    <t>회계관리2급</t>
  </si>
  <si>
    <t>민간(국가)</t>
  </si>
  <si>
    <t>08.07.07</t>
  </si>
  <si>
    <t>91.07.31</t>
  </si>
  <si>
    <t>시설원예기사</t>
  </si>
  <si>
    <t>25.06.13</t>
  </si>
  <si>
    <t>스마트농업관리사</t>
  </si>
  <si>
    <t>25.12.30</t>
  </si>
  <si>
    <t>05.10.15</t>
  </si>
  <si>
    <t>무역영어1급</t>
  </si>
  <si>
    <t>12.10.09</t>
  </si>
  <si>
    <t>구매 자재관리사</t>
  </si>
  <si>
    <t>민간</t>
  </si>
  <si>
    <t>11.12.21</t>
  </si>
  <si>
    <t>구매공급전문가</t>
  </si>
  <si>
    <t>외국</t>
  </si>
  <si>
    <t>14.01.07</t>
  </si>
  <si>
    <t>6시그마 블랙밸트</t>
  </si>
  <si>
    <t>동부제강주식회사</t>
  </si>
  <si>
    <t>07.07.06</t>
  </si>
  <si>
    <t>OCP_오라클 데이터베이스 관리자</t>
  </si>
  <si>
    <t>03.08.03</t>
  </si>
  <si>
    <t>MCSE_MCDBA</t>
  </si>
  <si>
    <t>MCDBA_마이크로소프트 데이터베이스 관리자</t>
  </si>
  <si>
    <t>25.12.31</t>
  </si>
  <si>
    <t>14.06.16</t>
  </si>
  <si>
    <t>기업·기술가치평가사</t>
  </si>
  <si>
    <t>16.06.01</t>
  </si>
  <si>
    <t>사회조사분석사 2급</t>
  </si>
  <si>
    <t>통계청</t>
  </si>
  <si>
    <t>수질환경기사 1급(수질)</t>
  </si>
  <si>
    <t>83.12.12</t>
  </si>
  <si>
    <t>대기환경기사 2급(수질 대기)</t>
  </si>
  <si>
    <t>77.09.07</t>
  </si>
  <si>
    <t>위생사(2급)</t>
  </si>
  <si>
    <t>한국보건의료인국가시험원</t>
  </si>
  <si>
    <t>80.04.04</t>
  </si>
  <si>
    <t>대기환경산업기사</t>
  </si>
  <si>
    <t>환경부</t>
  </si>
  <si>
    <t>수질환경기사</t>
  </si>
  <si>
    <t>83.12.05</t>
  </si>
  <si>
    <t>26.05.29</t>
    <phoneticPr fontId="1" type="noConversion"/>
  </si>
  <si>
    <t>31.05.28</t>
    <phoneticPr fontId="1" type="noConversion"/>
  </si>
  <si>
    <t>26.06.11</t>
    <phoneticPr fontId="1" type="noConversion"/>
  </si>
  <si>
    <t>31.06.10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</si>
</sst>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\.mm\.dd"/>
    <numFmt numFmtId="177" formatCode="yyyy\.mm\.dd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0"/>
      <name val="나눔고딕"/>
      <family val="3"/>
      <charset val="129"/>
    </font>
    <font>
      <sz val="11"/>
      <color theme="1"/>
      <name val="나눔바른고딕"/>
      <family val="3"/>
      <charset val="129"/>
    </font>
    <font>
      <sz val="10"/>
      <color rgb="FF000000"/>
      <name val="나눔바른고딕"/>
      <family val="3"/>
      <charset val="129"/>
    </font>
    <font>
      <sz val="10"/>
      <color theme="1"/>
      <name val="나눔바른고딕"/>
      <family val="3"/>
      <charset val="129"/>
    </font>
    <font>
      <b/>
      <sz val="10"/>
      <color theme="1"/>
      <name val="나눔바른고딕"/>
      <family val="3"/>
      <charset val="129"/>
    </font>
    <font>
      <b/>
      <sz val="10"/>
      <color theme="1"/>
      <name val="나눔바른고딕"/>
      <family val="3"/>
    </font>
    <font>
      <sz val="11"/>
      <color theme="1"/>
      <name val="나눔바른고딕"/>
      <family val="3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8"/>
      <color rgb="FF000000"/>
      <name val="나눔고딕"/>
      <family val="3"/>
      <charset val="129"/>
    </font>
    <font>
      <b/>
      <sz val="8"/>
      <color theme="0"/>
      <name val="나눔고딕"/>
      <family val="3"/>
      <charset val="129"/>
    </font>
    <font>
      <b/>
      <sz val="11"/>
      <color theme="1"/>
      <name val="나눔바른고딕"/>
      <family val="3"/>
      <charset val="129"/>
    </font>
    <font>
      <sz val="8"/>
      <color theme="1"/>
      <name val="맑은 고딕"/>
      <family val="2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7"/>
      <color rgb="FF000000"/>
      <name val="나눔고딕"/>
      <family val="3"/>
      <charset val="129"/>
    </font>
    <font>
      <sz val="7"/>
      <color rgb="FF000000"/>
      <name val="맑은 고딕"/>
      <family val="3"/>
      <charset val="129"/>
    </font>
    <font>
      <sz val="7"/>
      <color rgb="FF000000"/>
      <name val="나눔고딕"/>
      <family val="3"/>
      <charset val="129"/>
    </font>
    <font>
      <sz val="6.5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7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3"/>
      <color theme="1"/>
      <name val="맑은 고딕"/>
      <family val="3"/>
      <charset val="129"/>
      <scheme val="major"/>
    </font>
    <font>
      <sz val="13"/>
      <color rgb="FFFF0000"/>
      <name val="맑은 고딕"/>
      <family val="3"/>
      <charset val="129"/>
      <scheme val="major"/>
    </font>
    <font>
      <sz val="13"/>
      <color rgb="FF0033CC"/>
      <name val="맑은 고딕"/>
      <family val="3"/>
      <charset val="129"/>
      <scheme val="major"/>
    </font>
    <font>
      <sz val="12"/>
      <color theme="0"/>
      <name val="맑은 고딕"/>
      <family val="3"/>
      <charset val="129"/>
      <scheme val="major"/>
    </font>
    <font>
      <b/>
      <sz val="13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ajor"/>
    </font>
    <font>
      <sz val="8"/>
      <color rgb="FF000000"/>
      <name val="맑은 고딕"/>
      <family val="3"/>
      <charset val="129"/>
      <scheme val="major"/>
    </font>
    <font>
      <u/>
      <sz val="11"/>
      <color theme="10"/>
      <name val="나눔고딕"/>
      <family val="3"/>
      <charset val="129"/>
    </font>
    <font>
      <sz val="11"/>
      <color theme="1"/>
      <name val="나눔고딕"/>
      <family val="3"/>
      <charset val="129"/>
    </font>
    <font>
      <u/>
      <sz val="11"/>
      <color theme="10"/>
      <name val="맑은 고딕"/>
      <family val="3"/>
      <charset val="129"/>
      <scheme val="major"/>
    </font>
    <font>
      <b/>
      <sz val="11"/>
      <color theme="8" tint="-0.249977111117893"/>
      <name val="맑은 고딕"/>
      <family val="3"/>
      <charset val="129"/>
      <scheme val="major"/>
    </font>
    <font>
      <b/>
      <sz val="11"/>
      <color theme="3" tint="0.249977111117893"/>
      <name val="맑은 고딕"/>
      <family val="3"/>
      <charset val="129"/>
      <scheme val="major"/>
    </font>
    <font>
      <b/>
      <sz val="13"/>
      <color rgb="FFC00000"/>
      <name val="맑은 고딕"/>
      <family val="3"/>
      <charset val="129"/>
      <scheme val="major"/>
    </font>
    <font>
      <sz val="11"/>
      <color theme="1"/>
      <name val="맑은 고딕"/>
      <family val="3"/>
      <scheme val="major"/>
    </font>
    <font>
      <sz val="11"/>
      <color theme="0"/>
      <name val="맑은 고딕"/>
      <family val="3"/>
      <scheme val="major"/>
    </font>
    <font>
      <b/>
      <sz val="11"/>
      <color rgb="FFFF0000"/>
      <name val="Arial"/>
      <family val="2"/>
    </font>
    <font>
      <b/>
      <sz val="11"/>
      <color rgb="FFC00000"/>
      <name val="Arial"/>
      <family val="2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3.5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  <font>
      <b/>
      <sz val="10"/>
      <color theme="1"/>
      <name val="Arial Unicode MS"/>
      <family val="2"/>
    </font>
    <font>
      <sz val="10"/>
      <color theme="1"/>
      <name val="Arial"/>
      <family val="2"/>
    </font>
    <font>
      <b/>
      <sz val="18"/>
      <color rgb="FF1F1F1F"/>
      <name val="맑은 고딕"/>
      <family val="3"/>
      <charset val="129"/>
      <scheme val="major"/>
    </font>
    <font>
      <sz val="11"/>
      <color rgb="FF1F1F1F"/>
      <name val="맑은 고딕"/>
      <family val="3"/>
      <charset val="129"/>
      <scheme val="major"/>
    </font>
    <font>
      <b/>
      <sz val="11"/>
      <color rgb="FF1F1F1F"/>
      <name val="맑은 고딕"/>
      <family val="3"/>
      <charset val="129"/>
      <scheme val="major"/>
    </font>
    <font>
      <b/>
      <sz val="13.5"/>
      <color rgb="FF1F1F1F"/>
      <name val="맑은 고딕"/>
      <family val="3"/>
      <charset val="129"/>
      <scheme val="major"/>
    </font>
    <font>
      <i/>
      <sz val="11"/>
      <color rgb="FF1F1F1F"/>
      <name val="맑은 고딕"/>
      <family val="3"/>
      <charset val="129"/>
      <scheme val="major"/>
    </font>
    <font>
      <sz val="10"/>
      <color rgb="FF444746"/>
      <name val="맑은 고딕"/>
      <family val="3"/>
      <charset val="129"/>
      <scheme val="major"/>
    </font>
  </fonts>
  <fills count="24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1" tint="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4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left" vertical="center"/>
    </xf>
    <xf numFmtId="0" fontId="7" fillId="8" borderId="1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8" borderId="25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0" fontId="7" fillId="4" borderId="31" xfId="0" applyFont="1" applyFill="1" applyBorder="1" applyAlignment="1">
      <alignment horizontal="left" vertical="center"/>
    </xf>
    <xf numFmtId="0" fontId="4" fillId="7" borderId="10" xfId="0" applyFont="1" applyFill="1" applyBorder="1" applyAlignment="1">
      <alignment horizontal="center" vertical="center"/>
    </xf>
    <xf numFmtId="0" fontId="13" fillId="9" borderId="39" xfId="0" applyFont="1" applyFill="1" applyBorder="1" applyAlignment="1">
      <alignment horizontal="center" vertical="center" wrapText="1" readingOrder="1"/>
    </xf>
    <xf numFmtId="9" fontId="4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15" fillId="5" borderId="49" xfId="0" applyFont="1" applyFill="1" applyBorder="1" applyAlignment="1">
      <alignment horizontal="centerContinuous" vertical="center"/>
    </xf>
    <xf numFmtId="0" fontId="15" fillId="5" borderId="48" xfId="0" applyFont="1" applyFill="1" applyBorder="1" applyAlignment="1">
      <alignment horizontal="centerContinuous" vertical="center"/>
    </xf>
    <xf numFmtId="0" fontId="15" fillId="5" borderId="47" xfId="0" applyFont="1" applyFill="1" applyBorder="1" applyAlignment="1">
      <alignment horizontal="centerContinuous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76" fontId="6" fillId="0" borderId="0" xfId="0" applyNumberFormat="1" applyFont="1" applyAlignment="1">
      <alignment horizontal="center" vertical="center"/>
    </xf>
    <xf numFmtId="0" fontId="8" fillId="5" borderId="50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14" fontId="10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 shrinkToFit="1"/>
    </xf>
    <xf numFmtId="14" fontId="5" fillId="0" borderId="0" xfId="0" applyNumberFormat="1" applyFont="1" applyAlignment="1">
      <alignment horizontal="left" vertical="center" wrapText="1"/>
    </xf>
    <xf numFmtId="176" fontId="6" fillId="0" borderId="53" xfId="0" applyNumberFormat="1" applyFont="1" applyBorder="1" applyAlignment="1">
      <alignment horizontal="center" vertical="center"/>
    </xf>
    <xf numFmtId="49" fontId="14" fillId="2" borderId="5" xfId="0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0" fontId="18" fillId="9" borderId="39" xfId="0" applyFont="1" applyFill="1" applyBorder="1" applyAlignment="1">
      <alignment horizontal="center" vertical="center" wrapText="1" readingOrder="1"/>
    </xf>
    <xf numFmtId="0" fontId="19" fillId="7" borderId="39" xfId="0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vertical="center" wrapText="1"/>
    </xf>
    <xf numFmtId="0" fontId="6" fillId="0" borderId="55" xfId="0" applyFont="1" applyBorder="1" applyAlignment="1">
      <alignment horizontal="left" vertical="center"/>
    </xf>
    <xf numFmtId="0" fontId="19" fillId="7" borderId="54" xfId="0" applyFont="1" applyFill="1" applyBorder="1" applyAlignment="1">
      <alignment horizontal="center" vertical="center" wrapText="1" readingOrder="1"/>
    </xf>
    <xf numFmtId="0" fontId="20" fillId="7" borderId="39" xfId="0" applyFont="1" applyFill="1" applyBorder="1" applyAlignment="1">
      <alignment horizontal="center" vertical="center" wrapText="1" readingOrder="1"/>
    </xf>
    <xf numFmtId="49" fontId="17" fillId="0" borderId="39" xfId="0" applyNumberFormat="1" applyFont="1" applyBorder="1" applyAlignment="1">
      <alignment horizontal="center" vertical="center" wrapText="1"/>
    </xf>
    <xf numFmtId="0" fontId="23" fillId="0" borderId="0" xfId="0" applyFont="1">
      <alignment vertical="center"/>
    </xf>
    <xf numFmtId="0" fontId="2" fillId="0" borderId="9" xfId="0" applyFont="1" applyBorder="1" applyAlignment="1">
      <alignment horizontal="center" vertical="center"/>
    </xf>
    <xf numFmtId="49" fontId="14" fillId="2" borderId="4" xfId="0" applyNumberFormat="1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pivotButton="1" applyNumberFormat="1" applyFont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7" borderId="2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19" fillId="0" borderId="39" xfId="0" applyFont="1" applyBorder="1" applyAlignment="1">
      <alignment horizontal="center" vertical="center" wrapText="1" readingOrder="1"/>
    </xf>
    <xf numFmtId="0" fontId="3" fillId="0" borderId="4" xfId="0" applyFont="1" applyBorder="1" applyAlignment="1">
      <alignment horizontal="center" vertical="center"/>
    </xf>
    <xf numFmtId="0" fontId="18" fillId="7" borderId="40" xfId="0" applyFont="1" applyFill="1" applyBorder="1" applyAlignment="1">
      <alignment horizontal="center" vertical="center" wrapText="1" readingOrder="1"/>
    </xf>
    <xf numFmtId="0" fontId="18" fillId="7" borderId="42" xfId="0" applyFont="1" applyFill="1" applyBorder="1" applyAlignment="1">
      <alignment horizontal="center" vertical="center" wrapText="1" readingOrder="1"/>
    </xf>
    <xf numFmtId="0" fontId="18" fillId="7" borderId="41" xfId="0" applyFont="1" applyFill="1" applyBorder="1" applyAlignment="1">
      <alignment horizontal="center" vertical="center" wrapText="1" readingOrder="1"/>
    </xf>
    <xf numFmtId="0" fontId="24" fillId="7" borderId="39" xfId="0" applyFont="1" applyFill="1" applyBorder="1" applyAlignment="1">
      <alignment horizontal="center" vertical="center" wrapText="1" readingOrder="1"/>
    </xf>
    <xf numFmtId="0" fontId="0" fillId="0" borderId="10" xfId="0" applyBorder="1" applyAlignment="1">
      <alignment horizontal="center" vertical="center"/>
    </xf>
    <xf numFmtId="0" fontId="0" fillId="7" borderId="0" xfId="0" applyFill="1">
      <alignment vertical="center"/>
    </xf>
    <xf numFmtId="0" fontId="25" fillId="19" borderId="49" xfId="0" applyFont="1" applyFill="1" applyBorder="1" applyAlignment="1">
      <alignment horizontal="center" vertical="center"/>
    </xf>
    <xf numFmtId="0" fontId="25" fillId="19" borderId="48" xfId="0" applyFont="1" applyFill="1" applyBorder="1" applyAlignment="1">
      <alignment horizontal="center" vertical="center"/>
    </xf>
    <xf numFmtId="0" fontId="25" fillId="19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6" fillId="14" borderId="28" xfId="0" applyFont="1" applyFill="1" applyBorder="1" applyAlignment="1">
      <alignment horizontal="centerContinuous" vertical="center"/>
    </xf>
    <xf numFmtId="0" fontId="26" fillId="14" borderId="29" xfId="0" applyFont="1" applyFill="1" applyBorder="1" applyAlignment="1">
      <alignment horizontal="centerContinuous" vertical="center"/>
    </xf>
    <xf numFmtId="0" fontId="26" fillId="14" borderId="58" xfId="0" applyFont="1" applyFill="1" applyBorder="1" applyAlignment="1">
      <alignment horizontal="centerContinuous" vertical="center"/>
    </xf>
    <xf numFmtId="176" fontId="28" fillId="16" borderId="3" xfId="0" applyNumberFormat="1" applyFont="1" applyFill="1" applyBorder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26" fillId="14" borderId="59" xfId="0" applyFont="1" applyFill="1" applyBorder="1" applyAlignment="1">
      <alignment horizontal="center" vertical="center"/>
    </xf>
    <xf numFmtId="0" fontId="29" fillId="15" borderId="13" xfId="0" applyFont="1" applyFill="1" applyBorder="1" applyAlignment="1">
      <alignment horizontal="center" vertical="center"/>
    </xf>
    <xf numFmtId="0" fontId="29" fillId="15" borderId="14" xfId="0" applyFont="1" applyFill="1" applyBorder="1" applyAlignment="1">
      <alignment horizontal="center" vertical="center"/>
    </xf>
    <xf numFmtId="0" fontId="30" fillId="15" borderId="15" xfId="0" applyFont="1" applyFill="1" applyBorder="1" applyAlignment="1">
      <alignment horizontal="center" vertical="center"/>
    </xf>
    <xf numFmtId="0" fontId="26" fillId="18" borderId="3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76" fontId="29" fillId="0" borderId="2" xfId="0" applyNumberFormat="1" applyFont="1" applyBorder="1" applyAlignment="1">
      <alignment horizontal="center" vertical="center"/>
    </xf>
    <xf numFmtId="0" fontId="31" fillId="15" borderId="49" xfId="0" applyFont="1" applyFill="1" applyBorder="1" applyAlignment="1">
      <alignment horizontal="centerContinuous" vertical="center"/>
    </xf>
    <xf numFmtId="0" fontId="31" fillId="15" borderId="48" xfId="0" applyFont="1" applyFill="1" applyBorder="1" applyAlignment="1">
      <alignment horizontal="centerContinuous" vertical="center"/>
    </xf>
    <xf numFmtId="0" fontId="31" fillId="15" borderId="47" xfId="0" applyFont="1" applyFill="1" applyBorder="1" applyAlignment="1">
      <alignment horizontal="centerContinuous" vertical="center"/>
    </xf>
    <xf numFmtId="0" fontId="31" fillId="0" borderId="0" xfId="0" applyFont="1">
      <alignment vertical="center"/>
    </xf>
    <xf numFmtId="0" fontId="29" fillId="4" borderId="13" xfId="0" applyFont="1" applyFill="1" applyBorder="1" applyAlignment="1">
      <alignment horizontal="center" vertical="center"/>
    </xf>
    <xf numFmtId="0" fontId="29" fillId="4" borderId="50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176" fontId="29" fillId="6" borderId="13" xfId="0" applyNumberFormat="1" applyFont="1" applyFill="1" applyBorder="1" applyAlignment="1">
      <alignment horizontal="center" vertical="center"/>
    </xf>
    <xf numFmtId="176" fontId="29" fillId="6" borderId="14" xfId="0" applyNumberFormat="1" applyFont="1" applyFill="1" applyBorder="1" applyAlignment="1">
      <alignment horizontal="center" vertical="center"/>
    </xf>
    <xf numFmtId="176" fontId="34" fillId="16" borderId="15" xfId="0" applyNumberFormat="1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3" borderId="14" xfId="0" applyFont="1" applyFill="1" applyBorder="1" applyAlignment="1">
      <alignment horizontal="center" vertical="center"/>
    </xf>
    <xf numFmtId="9" fontId="29" fillId="3" borderId="14" xfId="0" applyNumberFormat="1" applyFont="1" applyFill="1" applyBorder="1" applyAlignment="1">
      <alignment horizontal="center" vertical="center"/>
    </xf>
    <xf numFmtId="0" fontId="28" fillId="12" borderId="15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2" xfId="0" applyFont="1" applyBorder="1">
      <alignment vertical="center"/>
    </xf>
    <xf numFmtId="0" fontId="26" fillId="0" borderId="2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176" fontId="26" fillId="0" borderId="0" xfId="0" applyNumberFormat="1" applyFont="1">
      <alignment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22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6" fillId="7" borderId="19" xfId="0" applyFont="1" applyFill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7" borderId="26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7" borderId="10" xfId="0" applyFont="1" applyFill="1" applyBorder="1" applyAlignment="1">
      <alignment horizontal="center" vertical="center"/>
    </xf>
    <xf numFmtId="0" fontId="26" fillId="0" borderId="10" xfId="0" applyFont="1" applyBorder="1">
      <alignment vertical="center"/>
    </xf>
    <xf numFmtId="0" fontId="36" fillId="0" borderId="27" xfId="0" applyFont="1" applyBorder="1" applyAlignment="1">
      <alignment horizontal="left" vertical="center" shrinkToFit="1"/>
    </xf>
    <xf numFmtId="0" fontId="36" fillId="0" borderId="2" xfId="0" applyFont="1" applyBorder="1" applyAlignment="1">
      <alignment horizontal="center" vertical="center" wrapText="1" shrinkToFit="1"/>
    </xf>
    <xf numFmtId="0" fontId="36" fillId="0" borderId="22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center" vertical="center" shrinkToFit="1"/>
    </xf>
    <xf numFmtId="0" fontId="36" fillId="0" borderId="22" xfId="0" applyFont="1" applyBorder="1" applyAlignment="1">
      <alignment horizontal="center" vertical="center" shrinkToFit="1"/>
    </xf>
    <xf numFmtId="0" fontId="37" fillId="0" borderId="16" xfId="0" applyFont="1" applyBorder="1" applyAlignment="1">
      <alignment horizontal="center" vertical="center"/>
    </xf>
    <xf numFmtId="0" fontId="26" fillId="0" borderId="45" xfId="0" applyFont="1" applyBorder="1">
      <alignment vertical="center"/>
    </xf>
    <xf numFmtId="0" fontId="37" fillId="0" borderId="22" xfId="0" applyFont="1" applyBorder="1" applyAlignment="1">
      <alignment horizontal="center" vertical="center"/>
    </xf>
    <xf numFmtId="0" fontId="26" fillId="0" borderId="22" xfId="0" applyFont="1" applyBorder="1">
      <alignment vertical="center"/>
    </xf>
    <xf numFmtId="0" fontId="26" fillId="0" borderId="26" xfId="0" applyFont="1" applyBorder="1">
      <alignment vertical="center"/>
    </xf>
    <xf numFmtId="14" fontId="36" fillId="0" borderId="24" xfId="0" applyNumberFormat="1" applyFont="1" applyBorder="1" applyAlignment="1">
      <alignment horizontal="left" vertical="center" wrapText="1"/>
    </xf>
    <xf numFmtId="0" fontId="36" fillId="0" borderId="1" xfId="0" applyFont="1" applyBorder="1" applyAlignment="1">
      <alignment horizontal="center" vertical="center" wrapText="1" shrinkToFit="1"/>
    </xf>
    <xf numFmtId="14" fontId="36" fillId="0" borderId="26" xfId="0" applyNumberFormat="1" applyFont="1" applyBorder="1" applyAlignment="1">
      <alignment horizontal="left" vertical="center" shrinkToFit="1"/>
    </xf>
    <xf numFmtId="14" fontId="36" fillId="0" borderId="9" xfId="0" applyNumberFormat="1" applyFont="1" applyBorder="1" applyAlignment="1">
      <alignment horizontal="center" vertical="center" wrapText="1"/>
    </xf>
    <xf numFmtId="14" fontId="36" fillId="0" borderId="26" xfId="0" applyNumberFormat="1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6" fillId="0" borderId="24" xfId="0" applyFont="1" applyBorder="1">
      <alignment vertical="center"/>
    </xf>
    <xf numFmtId="0" fontId="26" fillId="0" borderId="1" xfId="0" applyFont="1" applyBorder="1">
      <alignment vertical="center"/>
    </xf>
    <xf numFmtId="0" fontId="36" fillId="0" borderId="24" xfId="0" applyFont="1" applyBorder="1" applyAlignment="1">
      <alignment horizontal="left" vertical="center" shrinkToFit="1"/>
    </xf>
    <xf numFmtId="0" fontId="36" fillId="0" borderId="26" xfId="0" applyFont="1" applyBorder="1" applyAlignment="1">
      <alignment horizontal="left" vertical="center" wrapText="1"/>
    </xf>
    <xf numFmtId="0" fontId="36" fillId="0" borderId="9" xfId="0" applyFont="1" applyBorder="1" applyAlignment="1">
      <alignment horizontal="center" vertical="center" shrinkToFit="1"/>
    </xf>
    <xf numFmtId="0" fontId="36" fillId="0" borderId="26" xfId="0" applyFont="1" applyBorder="1" applyAlignment="1">
      <alignment horizontal="center" vertical="center" shrinkToFit="1"/>
    </xf>
    <xf numFmtId="0" fontId="37" fillId="0" borderId="24" xfId="0" applyFont="1" applyBorder="1" applyAlignment="1">
      <alignment horizontal="left" vertical="center" shrinkToFit="1"/>
    </xf>
    <xf numFmtId="0" fontId="37" fillId="0" borderId="1" xfId="0" applyFont="1" applyBorder="1" applyAlignment="1">
      <alignment horizontal="center" vertical="center" wrapText="1" shrinkToFit="1"/>
    </xf>
    <xf numFmtId="0" fontId="37" fillId="0" borderId="26" xfId="0" applyFont="1" applyBorder="1" applyAlignment="1">
      <alignment horizontal="left" vertical="center" wrapText="1"/>
    </xf>
    <xf numFmtId="0" fontId="37" fillId="0" borderId="9" xfId="0" applyFont="1" applyBorder="1" applyAlignment="1">
      <alignment horizontal="center" vertical="center" shrinkToFit="1"/>
    </xf>
    <xf numFmtId="0" fontId="37" fillId="0" borderId="26" xfId="0" applyFont="1" applyBorder="1" applyAlignment="1">
      <alignment horizontal="center" vertical="center" shrinkToFit="1"/>
    </xf>
    <xf numFmtId="14" fontId="36" fillId="0" borderId="24" xfId="0" applyNumberFormat="1" applyFont="1" applyBorder="1" applyAlignment="1">
      <alignment horizontal="left" vertical="center"/>
    </xf>
    <xf numFmtId="14" fontId="36" fillId="0" borderId="1" xfId="0" applyNumberFormat="1" applyFont="1" applyBorder="1" applyAlignment="1">
      <alignment horizontal="center" vertical="center" wrapText="1"/>
    </xf>
    <xf numFmtId="14" fontId="36" fillId="0" borderId="26" xfId="0" applyNumberFormat="1" applyFont="1" applyBorder="1" applyAlignment="1">
      <alignment horizontal="left" vertical="center" wrapText="1"/>
    </xf>
    <xf numFmtId="14" fontId="36" fillId="0" borderId="24" xfId="0" applyNumberFormat="1" applyFont="1" applyBorder="1" applyAlignment="1">
      <alignment horizontal="left" vertical="center" shrinkToFit="1"/>
    </xf>
    <xf numFmtId="0" fontId="37" fillId="0" borderId="9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37" fillId="0" borderId="24" xfId="0" applyFont="1" applyBorder="1" applyAlignment="1">
      <alignment horizontal="left" vertical="center"/>
    </xf>
    <xf numFmtId="0" fontId="37" fillId="0" borderId="1" xfId="0" applyFont="1" applyBorder="1" applyAlignment="1">
      <alignment horizontal="center" vertical="center" shrinkToFit="1"/>
    </xf>
    <xf numFmtId="14" fontId="36" fillId="0" borderId="9" xfId="0" applyNumberFormat="1" applyFont="1" applyBorder="1" applyAlignment="1">
      <alignment horizontal="center" vertical="center"/>
    </xf>
    <xf numFmtId="0" fontId="37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left" vertical="center" wrapText="1"/>
    </xf>
    <xf numFmtId="14" fontId="36" fillId="0" borderId="26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26" xfId="0" applyFont="1" applyBorder="1" applyAlignment="1">
      <alignment horizontal="left" vertical="center"/>
    </xf>
    <xf numFmtId="0" fontId="36" fillId="0" borderId="26" xfId="0" applyFont="1" applyBorder="1" applyAlignment="1">
      <alignment horizontal="left" vertical="center" shrinkToFit="1"/>
    </xf>
    <xf numFmtId="0" fontId="36" fillId="0" borderId="1" xfId="0" applyFont="1" applyBorder="1" applyAlignment="1">
      <alignment horizontal="center" vertical="center" shrinkToFit="1"/>
    </xf>
    <xf numFmtId="14" fontId="36" fillId="0" borderId="1" xfId="0" applyNumberFormat="1" applyFont="1" applyBorder="1" applyAlignment="1">
      <alignment horizontal="center" vertical="center" shrinkToFit="1"/>
    </xf>
    <xf numFmtId="0" fontId="36" fillId="0" borderId="26" xfId="0" applyFont="1" applyBorder="1" applyAlignment="1">
      <alignment horizontal="left" vertical="center" wrapText="1" shrinkToFit="1"/>
    </xf>
    <xf numFmtId="14" fontId="38" fillId="0" borderId="26" xfId="0" applyNumberFormat="1" applyFont="1" applyBorder="1" applyAlignment="1">
      <alignment horizontal="center" vertical="center" wrapText="1"/>
    </xf>
    <xf numFmtId="0" fontId="26" fillId="0" borderId="32" xfId="0" applyFont="1" applyBorder="1">
      <alignment vertical="center"/>
    </xf>
    <xf numFmtId="14" fontId="36" fillId="0" borderId="32" xfId="0" applyNumberFormat="1" applyFont="1" applyBorder="1" applyAlignment="1">
      <alignment horizontal="left" vertical="center" wrapText="1"/>
    </xf>
    <xf numFmtId="14" fontId="36" fillId="0" borderId="23" xfId="0" applyNumberFormat="1" applyFont="1" applyBorder="1" applyAlignment="1">
      <alignment horizontal="center" vertical="center" wrapText="1"/>
    </xf>
    <xf numFmtId="14" fontId="36" fillId="0" borderId="20" xfId="0" applyNumberFormat="1" applyFont="1" applyBorder="1" applyAlignment="1">
      <alignment horizontal="left" vertical="center" wrapText="1"/>
    </xf>
    <xf numFmtId="0" fontId="36" fillId="0" borderId="33" xfId="0" applyFont="1" applyBorder="1" applyAlignment="1">
      <alignment horizontal="center" vertical="center" shrinkToFit="1"/>
    </xf>
    <xf numFmtId="14" fontId="36" fillId="0" borderId="20" xfId="0" applyNumberFormat="1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/>
    </xf>
    <xf numFmtId="0" fontId="26" fillId="0" borderId="23" xfId="0" applyFont="1" applyBorder="1">
      <alignment vertical="center"/>
    </xf>
    <xf numFmtId="0" fontId="26" fillId="0" borderId="20" xfId="0" applyFont="1" applyBorder="1">
      <alignment vertical="center"/>
    </xf>
    <xf numFmtId="14" fontId="36" fillId="0" borderId="37" xfId="0" applyNumberFormat="1" applyFont="1" applyBorder="1" applyAlignment="1">
      <alignment horizontal="left" vertical="center" wrapText="1"/>
    </xf>
    <xf numFmtId="14" fontId="36" fillId="0" borderId="33" xfId="0" applyNumberFormat="1" applyFont="1" applyBorder="1" applyAlignment="1">
      <alignment horizontal="center" vertical="center" wrapText="1"/>
    </xf>
    <xf numFmtId="0" fontId="37" fillId="0" borderId="23" xfId="0" applyFont="1" applyBorder="1" applyAlignment="1">
      <alignment horizontal="left" vertical="center"/>
    </xf>
    <xf numFmtId="0" fontId="37" fillId="0" borderId="23" xfId="0" applyFont="1" applyBorder="1" applyAlignment="1">
      <alignment horizontal="center" vertical="center" shrinkToFit="1"/>
    </xf>
    <xf numFmtId="0" fontId="37" fillId="0" borderId="38" xfId="0" applyFont="1" applyBorder="1" applyAlignment="1">
      <alignment horizontal="left" vertical="center"/>
    </xf>
    <xf numFmtId="14" fontId="36" fillId="0" borderId="33" xfId="0" applyNumberFormat="1" applyFont="1" applyBorder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0" fontId="37" fillId="0" borderId="23" xfId="0" applyFont="1" applyBorder="1" applyAlignment="1">
      <alignment horizontal="left" vertical="center" shrinkToFit="1"/>
    </xf>
    <xf numFmtId="0" fontId="37" fillId="0" borderId="38" xfId="0" applyFont="1" applyBorder="1" applyAlignment="1">
      <alignment horizontal="left" vertical="center" shrinkToFit="1"/>
    </xf>
    <xf numFmtId="0" fontId="37" fillId="13" borderId="0" xfId="0" applyFont="1" applyFill="1" applyAlignment="1">
      <alignment horizontal="left" vertical="center"/>
    </xf>
    <xf numFmtId="14" fontId="36" fillId="0" borderId="38" xfId="0" applyNumberFormat="1" applyFont="1" applyBorder="1" applyAlignment="1">
      <alignment horizontal="left" vertical="center" shrinkToFit="1"/>
    </xf>
    <xf numFmtId="0" fontId="37" fillId="13" borderId="23" xfId="0" applyFont="1" applyFill="1" applyBorder="1" applyAlignment="1">
      <alignment horizontal="left" vertical="center"/>
    </xf>
    <xf numFmtId="0" fontId="39" fillId="2" borderId="5" xfId="0" applyFont="1" applyFill="1" applyBorder="1" applyAlignment="1">
      <alignment horizontal="centerContinuous" vertical="center"/>
    </xf>
    <xf numFmtId="0" fontId="39" fillId="2" borderId="4" xfId="0" applyFont="1" applyFill="1" applyBorder="1" applyAlignment="1">
      <alignment horizontal="centerContinuous" vertical="center"/>
    </xf>
    <xf numFmtId="0" fontId="39" fillId="2" borderId="6" xfId="0" applyFont="1" applyFill="1" applyBorder="1" applyAlignment="1">
      <alignment horizontal="centerContinuous" vertical="center"/>
    </xf>
    <xf numFmtId="0" fontId="40" fillId="0" borderId="0" xfId="0" applyFont="1">
      <alignment vertical="center"/>
    </xf>
    <xf numFmtId="0" fontId="26" fillId="0" borderId="0" xfId="0" applyFont="1" applyAlignment="1">
      <alignment horizontal="left" vertical="center"/>
    </xf>
    <xf numFmtId="0" fontId="41" fillId="9" borderId="39" xfId="0" applyFont="1" applyFill="1" applyBorder="1" applyAlignment="1">
      <alignment horizontal="center" vertical="center" wrapText="1" readingOrder="1"/>
    </xf>
    <xf numFmtId="0" fontId="42" fillId="10" borderId="39" xfId="0" applyFont="1" applyFill="1" applyBorder="1" applyAlignment="1">
      <alignment horizontal="center" vertical="center" wrapText="1" readingOrder="1"/>
    </xf>
    <xf numFmtId="0" fontId="27" fillId="12" borderId="0" xfId="0" applyFont="1" applyFill="1" applyAlignment="1">
      <alignment horizontal="left" vertical="center"/>
    </xf>
    <xf numFmtId="0" fontId="43" fillId="0" borderId="39" xfId="0" applyFont="1" applyBorder="1" applyAlignment="1">
      <alignment horizontal="center" vertical="center" wrapText="1" readingOrder="1"/>
    </xf>
    <xf numFmtId="0" fontId="43" fillId="0" borderId="40" xfId="0" applyFont="1" applyBorder="1" applyAlignment="1">
      <alignment horizontal="center" vertical="center" wrapText="1" readingOrder="1"/>
    </xf>
    <xf numFmtId="0" fontId="43" fillId="0" borderId="0" xfId="0" applyFont="1" applyAlignment="1">
      <alignment vertical="center" wrapText="1" readingOrder="1"/>
    </xf>
    <xf numFmtId="0" fontId="43" fillId="0" borderId="0" xfId="0" applyFont="1" applyAlignment="1">
      <alignment horizontal="center" vertical="center" wrapText="1" readingOrder="1"/>
    </xf>
    <xf numFmtId="0" fontId="41" fillId="0" borderId="0" xfId="0" applyFont="1" applyAlignment="1">
      <alignment horizontal="center" vertical="center" wrapText="1" readingOrder="1"/>
    </xf>
    <xf numFmtId="0" fontId="43" fillId="13" borderId="39" xfId="0" applyFont="1" applyFill="1" applyBorder="1" applyAlignment="1">
      <alignment horizontal="center" vertical="center" wrapText="1" readingOrder="1"/>
    </xf>
    <xf numFmtId="0" fontId="35" fillId="13" borderId="14" xfId="0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 shrinkToFit="1"/>
    </xf>
    <xf numFmtId="0" fontId="36" fillId="0" borderId="1" xfId="0" applyFont="1" applyBorder="1" applyAlignment="1">
      <alignment horizontal="center" vertical="center" wrapText="1"/>
    </xf>
    <xf numFmtId="176" fontId="37" fillId="0" borderId="1" xfId="0" applyNumberFormat="1" applyFont="1" applyBorder="1" applyAlignment="1">
      <alignment horizontal="center" vertical="center"/>
    </xf>
    <xf numFmtId="176" fontId="37" fillId="0" borderId="26" xfId="0" applyNumberFormat="1" applyFont="1" applyBorder="1" applyAlignment="1">
      <alignment horizontal="center" vertical="center"/>
    </xf>
    <xf numFmtId="176" fontId="46" fillId="0" borderId="56" xfId="2" applyNumberFormat="1" applyFont="1" applyBorder="1" applyAlignment="1">
      <alignment horizontal="center" vertical="center"/>
    </xf>
    <xf numFmtId="0" fontId="37" fillId="0" borderId="56" xfId="0" applyFont="1" applyBorder="1" applyAlignment="1">
      <alignment horizontal="center" vertical="center"/>
    </xf>
    <xf numFmtId="176" fontId="37" fillId="0" borderId="17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/>
    </xf>
    <xf numFmtId="14" fontId="36" fillId="0" borderId="1" xfId="0" applyNumberFormat="1" applyFont="1" applyBorder="1" applyAlignment="1">
      <alignment horizontal="left" vertical="center" shrinkToFit="1"/>
    </xf>
    <xf numFmtId="176" fontId="36" fillId="0" borderId="1" xfId="0" applyNumberFormat="1" applyFont="1" applyBorder="1" applyAlignment="1">
      <alignment horizontal="center" vertical="center" wrapText="1"/>
    </xf>
    <xf numFmtId="176" fontId="36" fillId="0" borderId="26" xfId="0" applyNumberFormat="1" applyFont="1" applyBorder="1" applyAlignment="1">
      <alignment horizontal="center" vertical="center" wrapText="1"/>
    </xf>
    <xf numFmtId="0" fontId="36" fillId="0" borderId="56" xfId="0" applyFont="1" applyBorder="1" applyAlignment="1">
      <alignment horizontal="center" vertical="center" wrapText="1"/>
    </xf>
    <xf numFmtId="176" fontId="36" fillId="0" borderId="17" xfId="0" applyNumberFormat="1" applyFont="1" applyBorder="1" applyAlignment="1">
      <alignment horizontal="center" vertical="center" wrapText="1"/>
    </xf>
    <xf numFmtId="0" fontId="37" fillId="7" borderId="24" xfId="0" applyFont="1" applyFill="1" applyBorder="1" applyAlignment="1">
      <alignment horizontal="center" vertical="center"/>
    </xf>
    <xf numFmtId="0" fontId="37" fillId="7" borderId="1" xfId="0" applyFont="1" applyFill="1" applyBorder="1" applyAlignment="1">
      <alignment horizontal="left" vertical="center"/>
    </xf>
    <xf numFmtId="176" fontId="37" fillId="7" borderId="1" xfId="0" applyNumberFormat="1" applyFont="1" applyFill="1" applyBorder="1" applyAlignment="1">
      <alignment horizontal="center" vertical="center"/>
    </xf>
    <xf numFmtId="176" fontId="37" fillId="7" borderId="26" xfId="0" applyNumberFormat="1" applyFont="1" applyFill="1" applyBorder="1" applyAlignment="1">
      <alignment horizontal="center" vertical="center"/>
    </xf>
    <xf numFmtId="0" fontId="37" fillId="7" borderId="56" xfId="0" applyFont="1" applyFill="1" applyBorder="1" applyAlignment="1">
      <alignment horizontal="center" vertical="center"/>
    </xf>
    <xf numFmtId="176" fontId="37" fillId="7" borderId="17" xfId="0" applyNumberFormat="1" applyFont="1" applyFill="1" applyBorder="1" applyAlignment="1">
      <alignment horizontal="center" vertical="center"/>
    </xf>
    <xf numFmtId="14" fontId="36" fillId="0" borderId="1" xfId="0" applyNumberFormat="1" applyFont="1" applyBorder="1" applyAlignment="1">
      <alignment horizontal="left" vertical="center"/>
    </xf>
    <xf numFmtId="176" fontId="36" fillId="0" borderId="1" xfId="0" applyNumberFormat="1" applyFont="1" applyBorder="1" applyAlignment="1">
      <alignment horizontal="center" vertical="center"/>
    </xf>
    <xf numFmtId="176" fontId="38" fillId="0" borderId="26" xfId="0" applyNumberFormat="1" applyFont="1" applyBorder="1" applyAlignment="1">
      <alignment horizontal="center" vertical="center" shrinkToFit="1"/>
    </xf>
    <xf numFmtId="0" fontId="38" fillId="0" borderId="56" xfId="0" applyFont="1" applyBorder="1" applyAlignment="1">
      <alignment horizontal="center" vertical="center" shrinkToFit="1"/>
    </xf>
    <xf numFmtId="176" fontId="38" fillId="0" borderId="17" xfId="0" applyNumberFormat="1" applyFont="1" applyBorder="1" applyAlignment="1">
      <alignment horizontal="center" vertical="center" shrinkToFit="1"/>
    </xf>
    <xf numFmtId="14" fontId="36" fillId="0" borderId="1" xfId="0" applyNumberFormat="1" applyFont="1" applyBorder="1" applyAlignment="1">
      <alignment horizontal="left" vertical="center" wrapText="1"/>
    </xf>
    <xf numFmtId="176" fontId="38" fillId="0" borderId="1" xfId="0" applyNumberFormat="1" applyFont="1" applyBorder="1" applyAlignment="1">
      <alignment horizontal="center" vertical="center" shrinkToFit="1"/>
    </xf>
    <xf numFmtId="176" fontId="37" fillId="0" borderId="1" xfId="0" applyNumberFormat="1" applyFont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 shrinkToFit="1"/>
    </xf>
    <xf numFmtId="176" fontId="37" fillId="0" borderId="1" xfId="0" applyNumberFormat="1" applyFont="1" applyBorder="1" applyAlignment="1">
      <alignment horizontal="center" vertical="center" shrinkToFit="1"/>
    </xf>
    <xf numFmtId="176" fontId="37" fillId="0" borderId="26" xfId="0" applyNumberFormat="1" applyFont="1" applyBorder="1" applyAlignment="1">
      <alignment horizontal="center" vertical="center" shrinkToFit="1"/>
    </xf>
    <xf numFmtId="0" fontId="37" fillId="0" borderId="56" xfId="0" applyFont="1" applyBorder="1" applyAlignment="1">
      <alignment horizontal="center" vertical="center" shrinkToFit="1"/>
    </xf>
    <xf numFmtId="176" fontId="37" fillId="0" borderId="17" xfId="0" applyNumberFormat="1" applyFont="1" applyBorder="1" applyAlignment="1">
      <alignment horizontal="center" vertical="center" shrinkToFit="1"/>
    </xf>
    <xf numFmtId="176" fontId="37" fillId="0" borderId="26" xfId="0" applyNumberFormat="1" applyFont="1" applyBorder="1" applyAlignment="1">
      <alignment horizontal="center" vertical="center" wrapText="1"/>
    </xf>
    <xf numFmtId="0" fontId="37" fillId="0" borderId="56" xfId="0" applyFont="1" applyBorder="1" applyAlignment="1">
      <alignment horizontal="center" vertical="center" wrapText="1"/>
    </xf>
    <xf numFmtId="176" fontId="37" fillId="0" borderId="17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 vertical="center"/>
    </xf>
    <xf numFmtId="0" fontId="37" fillId="7" borderId="1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 wrapText="1" shrinkToFit="1"/>
    </xf>
    <xf numFmtId="176" fontId="46" fillId="7" borderId="56" xfId="2" applyNumberFormat="1" applyFont="1" applyFill="1" applyBorder="1" applyAlignment="1">
      <alignment horizontal="center" vertical="center"/>
    </xf>
    <xf numFmtId="0" fontId="37" fillId="7" borderId="17" xfId="0" applyFont="1" applyFill="1" applyBorder="1" applyAlignment="1">
      <alignment horizontal="center" vertical="center"/>
    </xf>
    <xf numFmtId="0" fontId="26" fillId="7" borderId="24" xfId="0" applyFont="1" applyFill="1" applyBorder="1" applyAlignment="1">
      <alignment horizontal="center" vertical="center"/>
    </xf>
    <xf numFmtId="0" fontId="37" fillId="7" borderId="56" xfId="0" applyFont="1" applyFill="1" applyBorder="1" applyAlignment="1">
      <alignment horizontal="center" vertical="center" shrinkToFit="1"/>
    </xf>
    <xf numFmtId="0" fontId="37" fillId="7" borderId="17" xfId="0" applyFont="1" applyFill="1" applyBorder="1" applyAlignment="1">
      <alignment horizontal="center" vertical="center" shrinkToFit="1"/>
    </xf>
    <xf numFmtId="0" fontId="37" fillId="7" borderId="32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 vertical="center"/>
    </xf>
    <xf numFmtId="14" fontId="36" fillId="7" borderId="23" xfId="0" applyNumberFormat="1" applyFont="1" applyFill="1" applyBorder="1" applyAlignment="1">
      <alignment horizontal="left" vertical="center"/>
    </xf>
    <xf numFmtId="176" fontId="36" fillId="7" borderId="23" xfId="0" applyNumberFormat="1" applyFont="1" applyFill="1" applyBorder="1" applyAlignment="1">
      <alignment horizontal="center" vertical="center"/>
    </xf>
    <xf numFmtId="176" fontId="38" fillId="7" borderId="20" xfId="0" applyNumberFormat="1" applyFont="1" applyFill="1" applyBorder="1" applyAlignment="1">
      <alignment horizontal="center" vertical="center" shrinkToFit="1"/>
    </xf>
    <xf numFmtId="0" fontId="38" fillId="7" borderId="0" xfId="0" applyFont="1" applyFill="1" applyAlignment="1">
      <alignment horizontal="center" vertical="center" shrinkToFit="1"/>
    </xf>
    <xf numFmtId="176" fontId="38" fillId="7" borderId="53" xfId="0" applyNumberFormat="1" applyFont="1" applyFill="1" applyBorder="1" applyAlignment="1">
      <alignment horizontal="center" vertical="center" shrinkToFit="1"/>
    </xf>
    <xf numFmtId="0" fontId="26" fillId="7" borderId="33" xfId="0" applyFont="1" applyFill="1" applyBorder="1" applyAlignment="1">
      <alignment horizontal="center" vertical="center"/>
    </xf>
    <xf numFmtId="0" fontId="26" fillId="7" borderId="23" xfId="0" applyFont="1" applyFill="1" applyBorder="1" applyAlignment="1">
      <alignment horizontal="center" vertical="center"/>
    </xf>
    <xf numFmtId="0" fontId="26" fillId="7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 shrinkToFit="1"/>
    </xf>
    <xf numFmtId="0" fontId="36" fillId="0" borderId="23" xfId="0" applyFont="1" applyBorder="1" applyAlignment="1">
      <alignment horizontal="center" vertical="center" shrinkToFit="1"/>
    </xf>
    <xf numFmtId="176" fontId="37" fillId="0" borderId="23" xfId="0" applyNumberFormat="1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176" fontId="37" fillId="0" borderId="53" xfId="0" applyNumberFormat="1" applyFont="1" applyBorder="1" applyAlignment="1">
      <alignment horizontal="center" vertical="center" shrinkToFit="1"/>
    </xf>
    <xf numFmtId="0" fontId="26" fillId="0" borderId="9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6" fillId="0" borderId="23" xfId="0" applyFont="1" applyBorder="1" applyAlignment="1">
      <alignment horizontal="left" vertical="center" shrinkToFit="1"/>
    </xf>
    <xf numFmtId="176" fontId="37" fillId="0" borderId="23" xfId="0" applyNumberFormat="1" applyFont="1" applyBorder="1" applyAlignment="1">
      <alignment horizontal="center" vertical="center"/>
    </xf>
    <xf numFmtId="176" fontId="37" fillId="0" borderId="20" xfId="0" applyNumberFormat="1" applyFont="1" applyBorder="1" applyAlignment="1">
      <alignment horizontal="center" vertical="center"/>
    </xf>
    <xf numFmtId="176" fontId="37" fillId="0" borderId="53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14" fontId="36" fillId="0" borderId="23" xfId="0" applyNumberFormat="1" applyFont="1" applyBorder="1" applyAlignment="1">
      <alignment horizontal="left" vertical="center" wrapText="1"/>
    </xf>
    <xf numFmtId="176" fontId="36" fillId="0" borderId="23" xfId="0" applyNumberFormat="1" applyFont="1" applyBorder="1" applyAlignment="1">
      <alignment horizontal="center" vertical="center" wrapText="1"/>
    </xf>
    <xf numFmtId="176" fontId="38" fillId="0" borderId="20" xfId="0" applyNumberFormat="1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6" fontId="38" fillId="0" borderId="53" xfId="0" applyNumberFormat="1" applyFont="1" applyBorder="1" applyAlignment="1">
      <alignment horizontal="center" vertical="center" shrinkToFit="1"/>
    </xf>
    <xf numFmtId="0" fontId="37" fillId="5" borderId="27" xfId="0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center" vertical="center"/>
    </xf>
    <xf numFmtId="176" fontId="37" fillId="6" borderId="2" xfId="0" applyNumberFormat="1" applyFont="1" applyFill="1" applyBorder="1" applyAlignment="1">
      <alignment horizontal="center" vertical="center"/>
    </xf>
    <xf numFmtId="176" fontId="37" fillId="6" borderId="22" xfId="0" applyNumberFormat="1" applyFont="1" applyFill="1" applyBorder="1" applyAlignment="1">
      <alignment horizontal="center" vertical="center"/>
    </xf>
    <xf numFmtId="176" fontId="37" fillId="6" borderId="45" xfId="0" applyNumberFormat="1" applyFont="1" applyFill="1" applyBorder="1" applyAlignment="1">
      <alignment horizontal="center" vertical="center"/>
    </xf>
    <xf numFmtId="0" fontId="37" fillId="6" borderId="45" xfId="0" applyFont="1" applyFill="1" applyBorder="1" applyAlignment="1">
      <alignment horizontal="center" vertical="center"/>
    </xf>
    <xf numFmtId="176" fontId="37" fillId="11" borderId="52" xfId="0" applyNumberFormat="1" applyFont="1" applyFill="1" applyBorder="1" applyAlignment="1">
      <alignment horizontal="center" vertical="center"/>
    </xf>
    <xf numFmtId="176" fontId="37" fillId="5" borderId="51" xfId="0" applyNumberFormat="1" applyFont="1" applyFill="1" applyBorder="1" applyAlignment="1">
      <alignment horizontal="center" vertical="center"/>
    </xf>
    <xf numFmtId="176" fontId="37" fillId="5" borderId="7" xfId="0" applyNumberFormat="1" applyFont="1" applyFill="1" applyBorder="1" applyAlignment="1">
      <alignment horizontal="center" vertical="center"/>
    </xf>
    <xf numFmtId="176" fontId="37" fillId="5" borderId="8" xfId="0" applyNumberFormat="1" applyFont="1" applyFill="1" applyBorder="1" applyAlignment="1">
      <alignment horizontal="center" vertical="center"/>
    </xf>
    <xf numFmtId="0" fontId="35" fillId="20" borderId="13" xfId="0" applyFont="1" applyFill="1" applyBorder="1" applyAlignment="1">
      <alignment horizontal="center" vertical="center"/>
    </xf>
    <xf numFmtId="0" fontId="35" fillId="20" borderId="14" xfId="0" applyFont="1" applyFill="1" applyBorder="1" applyAlignment="1">
      <alignment horizontal="center" vertical="center"/>
    </xf>
    <xf numFmtId="0" fontId="35" fillId="20" borderId="15" xfId="0" applyFont="1" applyFill="1" applyBorder="1" applyAlignment="1">
      <alignment horizontal="center" vertical="center"/>
    </xf>
    <xf numFmtId="0" fontId="37" fillId="21" borderId="24" xfId="0" applyFont="1" applyFill="1" applyBorder="1" applyAlignment="1">
      <alignment horizontal="center" vertical="center"/>
    </xf>
    <xf numFmtId="0" fontId="37" fillId="21" borderId="1" xfId="0" applyFont="1" applyFill="1" applyBorder="1" applyAlignment="1">
      <alignment horizontal="center" vertical="center"/>
    </xf>
    <xf numFmtId="14" fontId="36" fillId="21" borderId="1" xfId="0" applyNumberFormat="1" applyFont="1" applyFill="1" applyBorder="1" applyAlignment="1">
      <alignment horizontal="left" vertical="center" wrapText="1"/>
    </xf>
    <xf numFmtId="0" fontId="36" fillId="21" borderId="1" xfId="0" applyFont="1" applyFill="1" applyBorder="1" applyAlignment="1">
      <alignment horizontal="center" vertical="center" wrapText="1" shrinkToFit="1"/>
    </xf>
    <xf numFmtId="0" fontId="36" fillId="21" borderId="1" xfId="0" applyFont="1" applyFill="1" applyBorder="1" applyAlignment="1">
      <alignment horizontal="center" vertical="center" wrapText="1"/>
    </xf>
    <xf numFmtId="0" fontId="36" fillId="21" borderId="1" xfId="0" applyFont="1" applyFill="1" applyBorder="1" applyAlignment="1">
      <alignment horizontal="center" vertical="center" shrinkToFit="1"/>
    </xf>
    <xf numFmtId="176" fontId="36" fillId="21" borderId="1" xfId="0" applyNumberFormat="1" applyFont="1" applyFill="1" applyBorder="1" applyAlignment="1">
      <alignment horizontal="center" vertical="center" wrapText="1"/>
    </xf>
    <xf numFmtId="0" fontId="37" fillId="21" borderId="1" xfId="0" applyFont="1" applyFill="1" applyBorder="1" applyAlignment="1">
      <alignment horizontal="left" vertical="center"/>
    </xf>
    <xf numFmtId="176" fontId="37" fillId="21" borderId="1" xfId="0" applyNumberFormat="1" applyFont="1" applyFill="1" applyBorder="1" applyAlignment="1">
      <alignment horizontal="center" vertical="center"/>
    </xf>
    <xf numFmtId="9" fontId="45" fillId="0" borderId="1" xfId="1" applyFont="1" applyBorder="1" applyAlignment="1">
      <alignment horizontal="center" vertical="center"/>
    </xf>
    <xf numFmtId="0" fontId="45" fillId="0" borderId="26" xfId="0" applyFont="1" applyBorder="1" applyAlignment="1">
      <alignment horizontal="center" vertical="center"/>
    </xf>
    <xf numFmtId="0" fontId="44" fillId="0" borderId="1" xfId="2" applyNumberFormat="1" applyFont="1" applyBorder="1" applyAlignment="1">
      <alignment horizontal="center" vertical="center"/>
    </xf>
    <xf numFmtId="0" fontId="45" fillId="0" borderId="0" xfId="0" applyFont="1">
      <alignment vertical="center"/>
    </xf>
    <xf numFmtId="0" fontId="45" fillId="0" borderId="26" xfId="0" applyFont="1" applyBorder="1" applyAlignment="1">
      <alignment horizontal="center" vertical="center" wrapText="1"/>
    </xf>
    <xf numFmtId="0" fontId="45" fillId="4" borderId="9" xfId="0" applyFont="1" applyFill="1" applyBorder="1" applyAlignment="1">
      <alignment horizontal="center" vertical="center"/>
    </xf>
    <xf numFmtId="0" fontId="45" fillId="4" borderId="1" xfId="0" applyFont="1" applyFill="1" applyBorder="1" applyAlignment="1">
      <alignment horizontal="center" vertical="center"/>
    </xf>
    <xf numFmtId="9" fontId="45" fillId="4" borderId="1" xfId="1" applyFont="1" applyFill="1" applyBorder="1" applyAlignment="1">
      <alignment horizontal="center" vertical="center"/>
    </xf>
    <xf numFmtId="0" fontId="45" fillId="4" borderId="26" xfId="0" applyFont="1" applyFill="1" applyBorder="1" applyAlignment="1">
      <alignment horizontal="center" vertical="center"/>
    </xf>
    <xf numFmtId="0" fontId="26" fillId="5" borderId="57" xfId="0" applyFont="1" applyFill="1" applyBorder="1" applyAlignment="1">
      <alignment horizontal="center" vertical="center"/>
    </xf>
    <xf numFmtId="0" fontId="26" fillId="3" borderId="28" xfId="0" applyFont="1" applyFill="1" applyBorder="1" applyAlignment="1">
      <alignment horizontal="center" vertical="center"/>
    </xf>
    <xf numFmtId="0" fontId="26" fillId="3" borderId="29" xfId="0" applyFont="1" applyFill="1" applyBorder="1" applyAlignment="1">
      <alignment horizontal="center" vertical="center"/>
    </xf>
    <xf numFmtId="0" fontId="29" fillId="3" borderId="25" xfId="0" applyFont="1" applyFill="1" applyBorder="1" applyAlignment="1">
      <alignment horizontal="center" vertical="center"/>
    </xf>
    <xf numFmtId="0" fontId="29" fillId="3" borderId="63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26" fillId="6" borderId="44" xfId="0" applyFont="1" applyFill="1" applyBorder="1" applyAlignment="1">
      <alignment horizontal="center" vertical="center"/>
    </xf>
    <xf numFmtId="0" fontId="26" fillId="8" borderId="34" xfId="0" applyFont="1" applyFill="1" applyBorder="1" applyAlignment="1">
      <alignment horizontal="center" vertical="center"/>
    </xf>
    <xf numFmtId="0" fontId="26" fillId="8" borderId="43" xfId="0" applyFont="1" applyFill="1" applyBorder="1" applyAlignment="1">
      <alignment horizontal="center" vertical="center"/>
    </xf>
    <xf numFmtId="0" fontId="26" fillId="8" borderId="35" xfId="0" applyFont="1" applyFill="1" applyBorder="1" applyAlignment="1">
      <alignment horizontal="center" vertical="center"/>
    </xf>
    <xf numFmtId="0" fontId="26" fillId="5" borderId="31" xfId="0" applyFont="1" applyFill="1" applyBorder="1" applyAlignment="1">
      <alignment horizontal="center" vertical="center"/>
    </xf>
    <xf numFmtId="0" fontId="26" fillId="5" borderId="43" xfId="0" applyFont="1" applyFill="1" applyBorder="1" applyAlignment="1">
      <alignment horizontal="center" vertical="center"/>
    </xf>
    <xf numFmtId="0" fontId="26" fillId="5" borderId="46" xfId="0" applyFont="1" applyFill="1" applyBorder="1" applyAlignment="1">
      <alignment horizontal="center" vertical="center"/>
    </xf>
    <xf numFmtId="0" fontId="40" fillId="0" borderId="65" xfId="0" applyFont="1" applyBorder="1" applyAlignment="1">
      <alignment horizontal="centerContinuous" vertical="center"/>
    </xf>
    <xf numFmtId="0" fontId="40" fillId="0" borderId="66" xfId="0" applyFont="1" applyBorder="1" applyAlignment="1">
      <alignment horizontal="centerContinuous" vertical="center"/>
    </xf>
    <xf numFmtId="0" fontId="40" fillId="0" borderId="8" xfId="0" applyFont="1" applyBorder="1" applyAlignment="1">
      <alignment horizontal="centerContinuous" vertical="center"/>
    </xf>
    <xf numFmtId="3" fontId="40" fillId="0" borderId="51" xfId="0" applyNumberFormat="1" applyFont="1" applyBorder="1" applyAlignment="1">
      <alignment horizontal="centerContinuous" vertical="center"/>
    </xf>
    <xf numFmtId="3" fontId="40" fillId="0" borderId="8" xfId="0" applyNumberFormat="1" applyFont="1" applyBorder="1" applyAlignment="1">
      <alignment horizontal="centerContinuous" vertical="center"/>
    </xf>
    <xf numFmtId="0" fontId="26" fillId="0" borderId="11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68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177" fontId="26" fillId="0" borderId="10" xfId="0" applyNumberFormat="1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60" xfId="0" applyFont="1" applyBorder="1">
      <alignment vertical="center"/>
    </xf>
    <xf numFmtId="0" fontId="26" fillId="0" borderId="69" xfId="0" applyFont="1" applyBorder="1">
      <alignment vertical="center"/>
    </xf>
    <xf numFmtId="0" fontId="26" fillId="0" borderId="70" xfId="0" applyFont="1" applyBorder="1">
      <alignment vertical="center"/>
    </xf>
    <xf numFmtId="0" fontId="26" fillId="0" borderId="61" xfId="0" applyFont="1" applyBorder="1">
      <alignment vertical="center"/>
    </xf>
    <xf numFmtId="0" fontId="35" fillId="21" borderId="13" xfId="0" applyFont="1" applyFill="1" applyBorder="1" applyAlignment="1">
      <alignment horizontal="center" vertical="center"/>
    </xf>
    <xf numFmtId="0" fontId="35" fillId="21" borderId="14" xfId="0" applyFont="1" applyFill="1" applyBorder="1" applyAlignment="1">
      <alignment horizontal="center" vertical="center"/>
    </xf>
    <xf numFmtId="0" fontId="35" fillId="21" borderId="15" xfId="0" applyFont="1" applyFill="1" applyBorder="1" applyAlignment="1">
      <alignment horizontal="center" vertical="center"/>
    </xf>
    <xf numFmtId="0" fontId="35" fillId="22" borderId="13" xfId="0" applyFont="1" applyFill="1" applyBorder="1" applyAlignment="1">
      <alignment horizontal="center" vertical="center"/>
    </xf>
    <xf numFmtId="0" fontId="35" fillId="22" borderId="14" xfId="0" applyFont="1" applyFill="1" applyBorder="1" applyAlignment="1">
      <alignment horizontal="center" vertical="center"/>
    </xf>
    <xf numFmtId="0" fontId="35" fillId="22" borderId="25" xfId="0" applyFont="1" applyFill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177" fontId="26" fillId="0" borderId="8" xfId="0" applyNumberFormat="1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71" xfId="0" applyFont="1" applyBorder="1" applyAlignment="1">
      <alignment horizontal="center" vertical="center"/>
    </xf>
    <xf numFmtId="0" fontId="26" fillId="0" borderId="46" xfId="0" applyFont="1" applyBorder="1" applyAlignment="1">
      <alignment horizontal="center" vertical="center"/>
    </xf>
    <xf numFmtId="0" fontId="49" fillId="0" borderId="0" xfId="0" applyFont="1">
      <alignment vertical="center"/>
    </xf>
    <xf numFmtId="0" fontId="39" fillId="17" borderId="3" xfId="0" applyFont="1" applyFill="1" applyBorder="1" applyAlignment="1">
      <alignment horizontal="center" vertical="center"/>
    </xf>
    <xf numFmtId="0" fontId="37" fillId="23" borderId="56" xfId="0" applyFont="1" applyFill="1" applyBorder="1" applyAlignment="1">
      <alignment horizontal="center" vertical="center"/>
    </xf>
    <xf numFmtId="0" fontId="36" fillId="23" borderId="56" xfId="0" applyFont="1" applyFill="1" applyBorder="1" applyAlignment="1">
      <alignment horizontal="center" vertical="center" wrapText="1"/>
    </xf>
    <xf numFmtId="0" fontId="38" fillId="23" borderId="56" xfId="0" applyFont="1" applyFill="1" applyBorder="1" applyAlignment="1">
      <alignment horizontal="center" vertical="center" shrinkToFit="1"/>
    </xf>
    <xf numFmtId="0" fontId="37" fillId="23" borderId="56" xfId="0" applyFont="1" applyFill="1" applyBorder="1" applyAlignment="1">
      <alignment horizontal="center" vertical="center" shrinkToFit="1"/>
    </xf>
    <xf numFmtId="0" fontId="37" fillId="23" borderId="56" xfId="0" applyFont="1" applyFill="1" applyBorder="1" applyAlignment="1">
      <alignment horizontal="center" vertical="center" wrapText="1"/>
    </xf>
    <xf numFmtId="0" fontId="37" fillId="23" borderId="0" xfId="0" applyFont="1" applyFill="1" applyAlignment="1">
      <alignment horizontal="center" vertical="center" shrinkToFit="1"/>
    </xf>
    <xf numFmtId="177" fontId="26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0" fontId="0" fillId="23" borderId="45" xfId="0" applyFill="1" applyBorder="1" applyAlignment="1">
      <alignment horizontal="center" vertical="center" shrinkToFit="1"/>
    </xf>
    <xf numFmtId="14" fontId="37" fillId="0" borderId="1" xfId="0" applyNumberFormat="1" applyFont="1" applyBorder="1" applyAlignment="1">
      <alignment horizontal="left" vertical="center"/>
    </xf>
    <xf numFmtId="0" fontId="38" fillId="0" borderId="53" xfId="0" applyFont="1" applyBorder="1" applyAlignment="1">
      <alignment horizontal="center" vertical="center" shrinkToFit="1"/>
    </xf>
    <xf numFmtId="14" fontId="36" fillId="0" borderId="27" xfId="0" applyNumberFormat="1" applyFont="1" applyBorder="1" applyAlignment="1">
      <alignment horizontal="left" vertical="center" shrinkToFit="1"/>
    </xf>
    <xf numFmtId="0" fontId="19" fillId="0" borderId="54" xfId="0" applyFont="1" applyBorder="1" applyAlignment="1">
      <alignment horizontal="center" vertical="center" wrapText="1" readingOrder="1"/>
    </xf>
    <xf numFmtId="49" fontId="21" fillId="0" borderId="39" xfId="0" applyNumberFormat="1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 readingOrder="1"/>
    </xf>
    <xf numFmtId="49" fontId="21" fillId="0" borderId="54" xfId="0" applyNumberFormat="1" applyFont="1" applyBorder="1" applyAlignment="1">
      <alignment horizontal="center" vertical="center" wrapText="1"/>
    </xf>
    <xf numFmtId="0" fontId="50" fillId="0" borderId="0" xfId="0" pivotButton="1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51" fillId="12" borderId="0" xfId="0" applyFont="1" applyFill="1" applyAlignment="1">
      <alignment horizontal="left" vertical="center"/>
    </xf>
    <xf numFmtId="0" fontId="50" fillId="0" borderId="0" xfId="0" applyFont="1" applyAlignment="1">
      <alignment horizontal="left" vertical="center"/>
    </xf>
    <xf numFmtId="0" fontId="52" fillId="0" borderId="0" xfId="0" applyFont="1" applyAlignment="1">
      <alignment vertical="center" readingOrder="1"/>
    </xf>
    <xf numFmtId="0" fontId="53" fillId="0" borderId="0" xfId="0" applyFont="1" applyAlignment="1">
      <alignment horizontal="left" vertical="center" indent="1" readingOrder="1"/>
    </xf>
    <xf numFmtId="0" fontId="54" fillId="0" borderId="0" xfId="0" applyFont="1">
      <alignment vertical="center"/>
    </xf>
    <xf numFmtId="0" fontId="55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25" fillId="0" borderId="0" xfId="0" applyFont="1">
      <alignment vertical="center"/>
    </xf>
    <xf numFmtId="0" fontId="25" fillId="0" borderId="0" xfId="0" applyFont="1" applyAlignment="1">
      <alignment horizontal="left" vertical="center" indent="1"/>
    </xf>
    <xf numFmtId="0" fontId="56" fillId="0" borderId="0" xfId="0" applyFont="1">
      <alignment vertical="center"/>
    </xf>
    <xf numFmtId="0" fontId="0" fillId="0" borderId="0" xfId="0" applyAlignment="1">
      <alignment horizontal="left" vertical="center" indent="2"/>
    </xf>
    <xf numFmtId="0" fontId="57" fillId="0" borderId="0" xfId="0" applyFont="1" applyAlignment="1">
      <alignment horizontal="left" vertical="center" indent="2"/>
    </xf>
    <xf numFmtId="0" fontId="25" fillId="0" borderId="0" xfId="0" applyFont="1" applyAlignment="1">
      <alignment horizontal="left" vertical="center" indent="2"/>
    </xf>
    <xf numFmtId="0" fontId="58" fillId="0" borderId="0" xfId="0" applyFont="1" applyAlignment="1">
      <alignment horizontal="left" vertical="center" indent="1"/>
    </xf>
    <xf numFmtId="0" fontId="61" fillId="0" borderId="0" xfId="0" applyFont="1" applyAlignment="1">
      <alignment vertical="center" readingOrder="1"/>
    </xf>
    <xf numFmtId="0" fontId="62" fillId="0" borderId="0" xfId="0" applyFont="1" applyAlignment="1">
      <alignment vertical="center" readingOrder="1"/>
    </xf>
    <xf numFmtId="0" fontId="62" fillId="0" borderId="0" xfId="0" applyFont="1" applyAlignment="1">
      <alignment horizontal="left" vertical="center" indent="1" readingOrder="1"/>
    </xf>
    <xf numFmtId="0" fontId="64" fillId="0" borderId="0" xfId="0" applyFont="1" applyAlignment="1">
      <alignment vertical="center" readingOrder="1"/>
    </xf>
    <xf numFmtId="0" fontId="63" fillId="0" borderId="0" xfId="0" applyFont="1" applyAlignment="1">
      <alignment horizontal="left" vertical="center" indent="1" readingOrder="1"/>
    </xf>
    <xf numFmtId="0" fontId="65" fillId="0" borderId="0" xfId="0" applyFont="1" applyAlignment="1">
      <alignment horizontal="left" vertical="center" indent="2" readingOrder="1"/>
    </xf>
    <xf numFmtId="0" fontId="63" fillId="0" borderId="0" xfId="0" applyFont="1" applyAlignment="1">
      <alignment vertical="center" readingOrder="1"/>
    </xf>
    <xf numFmtId="0" fontId="65" fillId="0" borderId="0" xfId="0" applyFont="1" applyAlignment="1">
      <alignment vertical="center" readingOrder="1"/>
    </xf>
    <xf numFmtId="0" fontId="26" fillId="0" borderId="38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6" fillId="8" borderId="26" xfId="0" applyFont="1" applyFill="1" applyBorder="1" applyAlignment="1">
      <alignment horizontal="center" vertical="center"/>
    </xf>
    <xf numFmtId="177" fontId="26" fillId="0" borderId="64" xfId="0" applyNumberFormat="1" applyFont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26" fillId="5" borderId="32" xfId="0" applyFont="1" applyFill="1" applyBorder="1" applyAlignment="1">
      <alignment horizontal="center" vertical="center"/>
    </xf>
    <xf numFmtId="0" fontId="26" fillId="5" borderId="2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6" xfId="0" applyFont="1" applyFill="1" applyBorder="1" applyAlignment="1">
      <alignment horizontal="center" vertical="center"/>
    </xf>
    <xf numFmtId="0" fontId="37" fillId="23" borderId="32" xfId="0" applyFont="1" applyFill="1" applyBorder="1" applyAlignment="1">
      <alignment horizontal="center" vertical="center"/>
    </xf>
    <xf numFmtId="0" fontId="37" fillId="23" borderId="1" xfId="0" applyFont="1" applyFill="1" applyBorder="1" applyAlignment="1">
      <alignment horizontal="center" vertical="center"/>
    </xf>
    <xf numFmtId="14" fontId="37" fillId="23" borderId="1" xfId="0" applyNumberFormat="1" applyFont="1" applyFill="1" applyBorder="1" applyAlignment="1">
      <alignment horizontal="left" vertical="center"/>
    </xf>
    <xf numFmtId="0" fontId="36" fillId="23" borderId="1" xfId="0" applyFont="1" applyFill="1" applyBorder="1" applyAlignment="1">
      <alignment horizontal="center" vertical="center" wrapText="1" shrinkToFit="1"/>
    </xf>
    <xf numFmtId="0" fontId="36" fillId="23" borderId="1" xfId="0" applyFont="1" applyFill="1" applyBorder="1" applyAlignment="1">
      <alignment horizontal="center" vertical="center" wrapText="1"/>
    </xf>
    <xf numFmtId="0" fontId="36" fillId="23" borderId="23" xfId="0" applyFont="1" applyFill="1" applyBorder="1" applyAlignment="1">
      <alignment horizontal="center" vertical="center" shrinkToFit="1"/>
    </xf>
    <xf numFmtId="176" fontId="37" fillId="23" borderId="1" xfId="0" applyNumberFormat="1" applyFont="1" applyFill="1" applyBorder="1" applyAlignment="1">
      <alignment horizontal="center" vertical="center"/>
    </xf>
    <xf numFmtId="176" fontId="37" fillId="23" borderId="26" xfId="0" applyNumberFormat="1" applyFont="1" applyFill="1" applyBorder="1" applyAlignment="1">
      <alignment horizontal="center" vertical="center"/>
    </xf>
    <xf numFmtId="176" fontId="46" fillId="23" borderId="56" xfId="2" applyNumberFormat="1" applyFont="1" applyFill="1" applyBorder="1" applyAlignment="1">
      <alignment horizontal="center" vertical="center"/>
    </xf>
    <xf numFmtId="0" fontId="38" fillId="23" borderId="0" xfId="0" applyFont="1" applyFill="1" applyAlignment="1">
      <alignment horizontal="center" vertical="center" shrinkToFit="1"/>
    </xf>
    <xf numFmtId="0" fontId="38" fillId="23" borderId="53" xfId="0" applyFont="1" applyFill="1" applyBorder="1" applyAlignment="1">
      <alignment horizontal="center" vertical="center" shrinkToFit="1"/>
    </xf>
    <xf numFmtId="0" fontId="26" fillId="23" borderId="9" xfId="0" applyFont="1" applyFill="1" applyBorder="1" applyAlignment="1">
      <alignment horizontal="center" vertical="center"/>
    </xf>
    <xf numFmtId="0" fontId="26" fillId="23" borderId="1" xfId="0" applyFont="1" applyFill="1" applyBorder="1" applyAlignment="1">
      <alignment horizontal="center" vertical="center"/>
    </xf>
    <xf numFmtId="0" fontId="26" fillId="23" borderId="10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 shrinkToFit="1"/>
    </xf>
    <xf numFmtId="0" fontId="39" fillId="2" borderId="4" xfId="0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 readingOrder="1"/>
    </xf>
    <xf numFmtId="0" fontId="39" fillId="2" borderId="6" xfId="0" applyFont="1" applyFill="1" applyBorder="1" applyAlignment="1">
      <alignment horizontal="center" vertical="center"/>
    </xf>
    <xf numFmtId="0" fontId="43" fillId="0" borderId="40" xfId="0" applyFont="1" applyBorder="1" applyAlignment="1">
      <alignment horizontal="center" vertical="center" wrapText="1" readingOrder="1"/>
    </xf>
    <xf numFmtId="0" fontId="43" fillId="0" borderId="42" xfId="0" applyFont="1" applyBorder="1" applyAlignment="1">
      <alignment horizontal="center" vertical="center" wrapText="1" readingOrder="1"/>
    </xf>
    <xf numFmtId="0" fontId="43" fillId="0" borderId="41" xfId="0" applyFont="1" applyBorder="1" applyAlignment="1">
      <alignment horizontal="center" vertical="center" wrapText="1" readingOrder="1"/>
    </xf>
  </cellXfs>
  <cellStyles count="3">
    <cellStyle name="백분율" xfId="1" builtinId="5"/>
    <cellStyle name="표준" xfId="0" builtinId="0"/>
    <cellStyle name="하이퍼링크" xfId="2" builtinId="8"/>
  </cellStyles>
  <dxfs count="17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left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maj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나눔바른고딕"/>
        <family val="3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border diagonalUp="0" diagonalDown="0"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</dxf>
    <dxf>
      <font>
        <strike val="0"/>
        <outline val="0"/>
        <shadow val="0"/>
        <u/>
        <vertAlign val="baseline"/>
        <color theme="10"/>
        <name val="맑은 고딕"/>
        <family val="3"/>
        <charset val="129"/>
        <scheme val="major"/>
      </font>
      <numFmt numFmtId="176" formatCode="yy\.mm\.dd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178" formatCode="yy&quot;₩&quot;\.mm&quot;₩&quot;\.dd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/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color theme="0"/>
        <family val="3"/>
      </font>
    </dxf>
    <dxf>
      <fill>
        <patternFill patternType="solid">
          <bgColor theme="3" tint="9.9978637043366805E-2"/>
        </patternFill>
      </fill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font>
        <strike val="0"/>
        <outline val="0"/>
        <shadow val="0"/>
        <vertAlign val="baseline"/>
        <sz val="11"/>
        <name val="나눔고딕"/>
        <charset val="129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vertAlign val="baseline"/>
        <sz val="11"/>
        <name val="나눔고딕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고딕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나눔고딕"/>
        <charset val="129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나눔바른고딕"/>
        <family val="3"/>
        <charset val="129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numFmt numFmtId="177" formatCode="yyyy\.mm\.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</dxf>
    <dxf>
      <fill>
        <patternFill>
          <bgColor theme="0" tint="-4.9989318521683403E-2"/>
        </patternFill>
      </fill>
    </dxf>
    <dxf>
      <font>
        <b/>
        <i val="0"/>
        <color theme="1"/>
      </font>
    </dxf>
  </dxfs>
  <tableStyles count="1" defaultTableStyle="TableStyleMedium2" defaultPivotStyle="PivotStyleLight16">
    <tableStyle name="표 스타일 1" pivot="0" count="2" xr9:uid="{17F288CE-AE9E-4B73-8B3E-FA6DAB414174}">
      <tableStyleElement type="headerRow" dxfId="172"/>
      <tableStyleElement type="secondRowStripe" dxfId="171"/>
    </tableStyle>
  </tableStyles>
  <colors>
    <mruColors>
      <color rgb="FFCCAEF4"/>
      <color rgb="FF000066"/>
      <color rgb="FFFFFF99"/>
      <color rgb="FF0033CC"/>
      <color rgb="FF927A12"/>
      <color rgb="FFBB9C17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58509</xdr:colOff>
      <xdr:row>1</xdr:row>
      <xdr:rowOff>231320</xdr:rowOff>
    </xdr:from>
    <xdr:to>
      <xdr:col>3</xdr:col>
      <xdr:colOff>13606</xdr:colOff>
      <xdr:row>3</xdr:row>
      <xdr:rowOff>13605</xdr:rowOff>
    </xdr:to>
    <xdr:sp macro="[0]!검색창삭제" textlink="">
      <xdr:nvSpPr>
        <xdr:cNvPr id="2" name="직사각형 1">
          <a:extLst>
            <a:ext uri="{FF2B5EF4-FFF2-40B4-BE49-F238E27FC236}">
              <a16:creationId xmlns:a16="http://schemas.microsoft.com/office/drawing/2014/main" id="{EE41A3E1-6C7F-6D7E-C8BE-86FC12663CB6}"/>
            </a:ext>
          </a:extLst>
        </xdr:cNvPr>
        <xdr:cNvSpPr/>
      </xdr:nvSpPr>
      <xdr:spPr>
        <a:xfrm>
          <a:off x="725259" y="449034"/>
          <a:ext cx="893990" cy="32657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검색창삭제</a:t>
          </a:r>
          <a:endParaRPr lang="en-US" altLang="ko-K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45384</xdr:colOff>
      <xdr:row>0</xdr:row>
      <xdr:rowOff>32311</xdr:rowOff>
    </xdr:from>
    <xdr:to>
      <xdr:col>15</xdr:col>
      <xdr:colOff>313766</xdr:colOff>
      <xdr:row>0</xdr:row>
      <xdr:rowOff>216647</xdr:rowOff>
    </xdr:to>
    <xdr:sp macro="[0]!정렬표정렬_자동범위" textlink="">
      <xdr:nvSpPr>
        <xdr:cNvPr id="2" name="직사각형 1">
          <a:extLst>
            <a:ext uri="{FF2B5EF4-FFF2-40B4-BE49-F238E27FC236}">
              <a16:creationId xmlns:a16="http://schemas.microsoft.com/office/drawing/2014/main" id="{2CB97541-AB24-509B-5011-5C4463E44DDE}"/>
            </a:ext>
          </a:extLst>
        </xdr:cNvPr>
        <xdr:cNvSpPr/>
      </xdr:nvSpPr>
      <xdr:spPr>
        <a:xfrm>
          <a:off x="12170149" y="32311"/>
          <a:ext cx="955676" cy="18433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j-ea"/>
              <a:ea typeface="+mj-ea"/>
            </a:rPr>
            <a:t>정렬표 정렬</a:t>
          </a:r>
          <a:endParaRPr lang="en-US" altLang="ko-KR" sz="1100" b="1"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120649</xdr:colOff>
      <xdr:row>0</xdr:row>
      <xdr:rowOff>22225</xdr:rowOff>
    </xdr:from>
    <xdr:to>
      <xdr:col>18</xdr:col>
      <xdr:colOff>720724</xdr:colOff>
      <xdr:row>1</xdr:row>
      <xdr:rowOff>3175</xdr:rowOff>
    </xdr:to>
    <xdr:sp macro="[0]!학력정제" textlink="">
      <xdr:nvSpPr>
        <xdr:cNvPr id="2" name="직사각형 1">
          <a:extLst>
            <a:ext uri="{FF2B5EF4-FFF2-40B4-BE49-F238E27FC236}">
              <a16:creationId xmlns:a16="http://schemas.microsoft.com/office/drawing/2014/main" id="{9DCF1F18-F3EF-2089-9434-8E17E84C21B3}"/>
            </a:ext>
          </a:extLst>
        </xdr:cNvPr>
        <xdr:cNvSpPr/>
      </xdr:nvSpPr>
      <xdr:spPr>
        <a:xfrm>
          <a:off x="11036299" y="22225"/>
          <a:ext cx="600075" cy="285750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800" b="1">
              <a:latin typeface="맑은 고딕" panose="020B0503020000020004" pitchFamily="50" charset="-127"/>
              <a:ea typeface="맑은 고딕" panose="020B0503020000020004" pitchFamily="50" charset="-127"/>
            </a:rPr>
            <a:t>학력정제</a:t>
          </a:r>
        </a:p>
      </xdr:txBody>
    </xdr:sp>
    <xdr:clientData/>
  </xdr:twoCellAnchor>
  <xdr:twoCellAnchor editAs="oneCell">
    <xdr:from>
      <xdr:col>19</xdr:col>
      <xdr:colOff>9221</xdr:colOff>
      <xdr:row>13</xdr:row>
      <xdr:rowOff>82177</xdr:rowOff>
    </xdr:from>
    <xdr:to>
      <xdr:col>24</xdr:col>
      <xdr:colOff>262412</xdr:colOff>
      <xdr:row>23</xdr:row>
      <xdr:rowOff>210009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0C1C123-C70C-469D-BF74-DF96ABED9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30574" y="3003177"/>
          <a:ext cx="3360956" cy="2364153"/>
        </a:xfrm>
        <a:prstGeom prst="rect">
          <a:avLst/>
        </a:prstGeom>
      </xdr:spPr>
    </xdr:pic>
    <xdr:clientData/>
  </xdr:twoCellAnchor>
  <xdr:twoCellAnchor>
    <xdr:from>
      <xdr:col>18</xdr:col>
      <xdr:colOff>724647</xdr:colOff>
      <xdr:row>14</xdr:row>
      <xdr:rowOff>130940</xdr:rowOff>
    </xdr:from>
    <xdr:to>
      <xdr:col>20</xdr:col>
      <xdr:colOff>202856</xdr:colOff>
      <xdr:row>15</xdr:row>
      <xdr:rowOff>204785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48547D5-3CB9-4ADC-B357-8DCD6CAE4409}"/>
            </a:ext>
          </a:extLst>
        </xdr:cNvPr>
        <xdr:cNvSpPr txBox="1"/>
      </xdr:nvSpPr>
      <xdr:spPr>
        <a:xfrm>
          <a:off x="11698941" y="3276058"/>
          <a:ext cx="703386" cy="297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&lt;</a:t>
          </a:r>
          <a:r>
            <a:rPr lang="ko-KR" altLang="en-US" sz="1100" b="1">
              <a:solidFill>
                <a:srgbClr val="FF0000"/>
              </a:solidFill>
            </a:rPr>
            <a:t>예시</a:t>
          </a:r>
          <a:r>
            <a:rPr lang="en-US" altLang="ko-KR" sz="1100" b="1">
              <a:solidFill>
                <a:srgbClr val="FF0000"/>
              </a:solidFill>
            </a:rPr>
            <a:t>&gt;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27442</xdr:colOff>
      <xdr:row>0</xdr:row>
      <xdr:rowOff>30170</xdr:rowOff>
    </xdr:from>
    <xdr:to>
      <xdr:col>3</xdr:col>
      <xdr:colOff>594589</xdr:colOff>
      <xdr:row>0</xdr:row>
      <xdr:rowOff>210714</xdr:rowOff>
    </xdr:to>
    <xdr:sp macro="[0]!정렬표정렬_자동범위" textlink="">
      <xdr:nvSpPr>
        <xdr:cNvPr id="3" name="직사각형 2">
          <a:extLst>
            <a:ext uri="{FF2B5EF4-FFF2-40B4-BE49-F238E27FC236}">
              <a16:creationId xmlns:a16="http://schemas.microsoft.com/office/drawing/2014/main" id="{744A071C-832A-4BCE-ABBA-BBA62ED42B90}"/>
            </a:ext>
          </a:extLst>
        </xdr:cNvPr>
        <xdr:cNvSpPr/>
      </xdr:nvSpPr>
      <xdr:spPr>
        <a:xfrm>
          <a:off x="2238736" y="30170"/>
          <a:ext cx="567147" cy="18054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j-ea"/>
              <a:ea typeface="+mj-ea"/>
            </a:rPr>
            <a:t>정렬</a:t>
          </a:r>
          <a:endParaRPr lang="en-US" altLang="ko-KR" sz="1100" b="1">
            <a:latin typeface="+mj-ea"/>
            <a:ea typeface="+mj-ea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12700</xdr:colOff>
      <xdr:row>0</xdr:row>
      <xdr:rowOff>31749</xdr:rowOff>
    </xdr:from>
    <xdr:to>
      <xdr:col>21</xdr:col>
      <xdr:colOff>603250</xdr:colOff>
      <xdr:row>2</xdr:row>
      <xdr:rowOff>203200</xdr:rowOff>
    </xdr:to>
    <xdr:sp macro="[0]!자격증정제" textlink="">
      <xdr:nvSpPr>
        <xdr:cNvPr id="3" name="직사각형 2">
          <a:extLst>
            <a:ext uri="{FF2B5EF4-FFF2-40B4-BE49-F238E27FC236}">
              <a16:creationId xmlns:a16="http://schemas.microsoft.com/office/drawing/2014/main" id="{A42A6EAD-86CC-4AA2-8470-AD6D56C0B8FE}"/>
            </a:ext>
          </a:extLst>
        </xdr:cNvPr>
        <xdr:cNvSpPr/>
      </xdr:nvSpPr>
      <xdr:spPr>
        <a:xfrm>
          <a:off x="13520057" y="31749"/>
          <a:ext cx="590550" cy="452665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 b="1">
              <a:latin typeface="맑은 고딕" panose="020B0503020000020004" pitchFamily="50" charset="-127"/>
              <a:ea typeface="맑은 고딕" panose="020B0503020000020004" pitchFamily="50" charset="-127"/>
            </a:rPr>
            <a:t>자격증</a:t>
          </a:r>
          <a:endParaRPr lang="en-US" altLang="ko-KR" sz="800" b="1">
            <a:latin typeface="맑은 고딕" panose="020B0503020000020004" pitchFamily="50" charset="-127"/>
            <a:ea typeface="맑은 고딕" panose="020B0503020000020004" pitchFamily="50" charset="-127"/>
          </a:endParaRPr>
        </a:p>
        <a:p>
          <a:pPr algn="ctr"/>
          <a:r>
            <a:rPr lang="ko-KR" altLang="en-US" sz="800" b="1">
              <a:latin typeface="맑은 고딕" panose="020B0503020000020004" pitchFamily="50" charset="-127"/>
              <a:ea typeface="맑은 고딕" panose="020B0503020000020004" pitchFamily="50" charset="-127"/>
            </a:rPr>
            <a:t>정제</a:t>
          </a:r>
          <a:endParaRPr lang="en-US" altLang="ko-KR" sz="800" b="1"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/>
  </xdr:twoCellAnchor>
  <xdr:twoCellAnchor editAs="oneCell">
    <xdr:from>
      <xdr:col>22</xdr:col>
      <xdr:colOff>7209</xdr:colOff>
      <xdr:row>14</xdr:row>
      <xdr:rowOff>5541</xdr:rowOff>
    </xdr:from>
    <xdr:to>
      <xdr:col>27</xdr:col>
      <xdr:colOff>71050</xdr:colOff>
      <xdr:row>24</xdr:row>
      <xdr:rowOff>25078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6E74220-E8A5-29A6-425F-C2170EF2C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92132" y="3214733"/>
          <a:ext cx="3360956" cy="2364153"/>
        </a:xfrm>
        <a:prstGeom prst="rect">
          <a:avLst/>
        </a:prstGeom>
      </xdr:spPr>
    </xdr:pic>
    <xdr:clientData/>
  </xdr:twoCellAnchor>
  <xdr:twoCellAnchor>
    <xdr:from>
      <xdr:col>21</xdr:col>
      <xdr:colOff>634999</xdr:colOff>
      <xdr:row>15</xdr:row>
      <xdr:rowOff>53729</xdr:rowOff>
    </xdr:from>
    <xdr:to>
      <xdr:col>23</xdr:col>
      <xdr:colOff>19539</xdr:colOff>
      <xdr:row>16</xdr:row>
      <xdr:rowOff>78153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AFA6A4E-235C-EEC9-1F63-505F95691AD8}"/>
            </a:ext>
          </a:extLst>
        </xdr:cNvPr>
        <xdr:cNvSpPr txBox="1"/>
      </xdr:nvSpPr>
      <xdr:spPr>
        <a:xfrm>
          <a:off x="14160499" y="3487614"/>
          <a:ext cx="703386" cy="297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&lt;</a:t>
          </a:r>
          <a:r>
            <a:rPr lang="ko-KR" altLang="en-US" sz="1100" b="1">
              <a:solidFill>
                <a:srgbClr val="FF0000"/>
              </a:solidFill>
            </a:rPr>
            <a:t>예시</a:t>
          </a:r>
          <a:r>
            <a:rPr lang="en-US" altLang="ko-KR" sz="1100" b="1">
              <a:solidFill>
                <a:srgbClr val="FF0000"/>
              </a:solidFill>
            </a:rPr>
            <a:t>&gt;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00.%20&#44277;&#53685;/00.%20&#44060;&#51064;%20&#51064;&#48324;&#51088;&#47308;/kiba-506%20&#44608;&#54788;&#51652;/&#9733;&#51064;&#47141;&#44288;&#47532;/&#54617;&#47141;,%20&#51088;&#44201;&#51613;%20&#51221;&#47532;_26.02.13/&#54617;&#47141;__&#51088;&#44201;&#51613;_26_04_30_v7.xlsm" TargetMode="External"/><Relationship Id="rId2" Type="http://schemas.openxmlformats.org/officeDocument/2006/relationships/externalLinkPath" Target="file:///\\ecost3\kiba\00.%20&#44277;&#53685;\00.%20&#44060;&#51064;%20&#51064;&#48324;&#51088;&#47308;\kiba-506%20&#44608;&#54788;&#51652;\&#9733;&#51064;&#47141;&#44288;&#47532;\&#54617;&#47141;,%20&#51088;&#44201;&#51613;%20&#51221;&#47532;_26.02.13\&#54617;&#47141;__&#51088;&#44201;&#51613;_26_04_30_v7.xlsm" TargetMode="External"/><Relationship Id="rId1" Type="http://schemas.openxmlformats.org/officeDocument/2006/relationships/externalLinkPath" Target="/00.%20&#44277;&#53685;/00.%20&#44060;&#51064;%20&#51064;&#48324;&#51088;&#47308;/kiba-506%20&#44608;&#54788;&#51652;/&#9733;&#51064;&#47141;&#44288;&#47532;/&#54617;&#47141;,%20&#51088;&#44201;&#51613;%20&#51221;&#47532;_26.02.13/&#54617;&#47141;__&#51088;&#44201;&#51613;_26_04_30_v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검색"/>
      <sheetName val="검색 매뉴얼"/>
      <sheetName val="개인DB"/>
      <sheetName val="학력"/>
      <sheetName val="학력정제"/>
      <sheetName val="자격증"/>
      <sheetName val="자격증정제"/>
      <sheetName val="자격증DB"/>
      <sheetName val="정렬표"/>
      <sheetName val="유지보수 매뉴얼"/>
      <sheetName val="퇴사자"/>
      <sheetName val="업무별 코드분류표"/>
      <sheetName val="_img_temp"/>
    </sheetNames>
    <sheetDataSet>
      <sheetData sheetId="0" refreshError="1"/>
      <sheetData sheetId="1" refreshError="1"/>
      <sheetData sheetId="2" refreshError="1">
        <row r="1">
          <cell r="B1" t="str">
            <v>이름</v>
          </cell>
          <cell r="C1" t="str">
            <v>소속</v>
          </cell>
          <cell r="D1" t="str">
            <v>직책</v>
          </cell>
        </row>
        <row r="3">
          <cell r="B3" t="str">
            <v>강정구</v>
          </cell>
          <cell r="C3" t="str">
            <v>전략기획</v>
          </cell>
          <cell r="D3" t="str">
            <v>위원</v>
          </cell>
        </row>
        <row r="4">
          <cell r="B4" t="str">
            <v>권광민</v>
          </cell>
          <cell r="C4" t="str">
            <v>원가분석</v>
          </cell>
          <cell r="D4" t="str">
            <v>위원</v>
          </cell>
        </row>
        <row r="5">
          <cell r="B5" t="str">
            <v>김대식</v>
          </cell>
          <cell r="C5" t="str">
            <v>원가분석</v>
          </cell>
          <cell r="D5" t="str">
            <v>위원</v>
          </cell>
        </row>
        <row r="6">
          <cell r="B6" t="str">
            <v>김민선</v>
          </cell>
          <cell r="C6" t="str">
            <v>원장</v>
          </cell>
          <cell r="D6" t="str">
            <v>원장</v>
          </cell>
        </row>
        <row r="7">
          <cell r="B7" t="str">
            <v>김석표</v>
          </cell>
          <cell r="C7" t="str">
            <v>원가분석</v>
          </cell>
          <cell r="D7" t="str">
            <v>위원</v>
          </cell>
        </row>
        <row r="8">
          <cell r="B8" t="str">
            <v>김연화</v>
          </cell>
          <cell r="C8" t="str">
            <v>건설사업</v>
          </cell>
          <cell r="D8" t="str">
            <v>전임연구원</v>
          </cell>
        </row>
        <row r="9">
          <cell r="B9" t="str">
            <v>김재희</v>
          </cell>
          <cell r="C9" t="str">
            <v>품질관리</v>
          </cell>
          <cell r="D9" t="str">
            <v>위원</v>
          </cell>
        </row>
        <row r="10">
          <cell r="B10" t="str">
            <v>김종훈</v>
          </cell>
          <cell r="C10" t="str">
            <v>원가분석</v>
          </cell>
          <cell r="D10" t="str">
            <v>위원</v>
          </cell>
        </row>
        <row r="11">
          <cell r="B11" t="str">
            <v>김창수</v>
          </cell>
          <cell r="C11" t="str">
            <v>품질관리</v>
          </cell>
          <cell r="D11" t="str">
            <v>이사</v>
          </cell>
        </row>
        <row r="12">
          <cell r="B12" t="str">
            <v>김혜미</v>
          </cell>
          <cell r="C12" t="str">
            <v>갈등조정중재</v>
          </cell>
          <cell r="D12" t="str">
            <v>위원</v>
          </cell>
        </row>
        <row r="13">
          <cell r="B13" t="str">
            <v>박미야</v>
          </cell>
          <cell r="C13" t="str">
            <v>건설사업</v>
          </cell>
          <cell r="D13" t="str">
            <v>선임연구원</v>
          </cell>
        </row>
        <row r="14">
          <cell r="B14" t="str">
            <v>박판진</v>
          </cell>
          <cell r="C14" t="str">
            <v>품질관리</v>
          </cell>
          <cell r="D14" t="str">
            <v>위원</v>
          </cell>
        </row>
        <row r="15">
          <cell r="B15" t="str">
            <v>박희성</v>
          </cell>
          <cell r="C15" t="str">
            <v>원가분석</v>
          </cell>
          <cell r="D15" t="str">
            <v>위원</v>
          </cell>
        </row>
        <row r="16">
          <cell r="B16" t="str">
            <v>변정도</v>
          </cell>
          <cell r="C16" t="str">
            <v>원가분석</v>
          </cell>
          <cell r="D16" t="str">
            <v>위원</v>
          </cell>
        </row>
        <row r="17">
          <cell r="B17" t="str">
            <v>신광수</v>
          </cell>
          <cell r="C17" t="str">
            <v>원가분석</v>
          </cell>
          <cell r="D17" t="str">
            <v>위원</v>
          </cell>
        </row>
        <row r="18">
          <cell r="B18" t="str">
            <v>신동명</v>
          </cell>
          <cell r="C18" t="str">
            <v>갈등조정중재</v>
          </cell>
          <cell r="D18" t="str">
            <v>위원</v>
          </cell>
        </row>
        <row r="19">
          <cell r="B19" t="str">
            <v>유길상</v>
          </cell>
          <cell r="C19" t="str">
            <v>원가분석</v>
          </cell>
          <cell r="D19" t="str">
            <v>위원</v>
          </cell>
        </row>
        <row r="20">
          <cell r="B20" t="str">
            <v>유옥수</v>
          </cell>
          <cell r="C20" t="str">
            <v>원가분석</v>
          </cell>
          <cell r="D20" t="str">
            <v>위원</v>
          </cell>
        </row>
        <row r="21">
          <cell r="B21" t="str">
            <v>이규희</v>
          </cell>
          <cell r="C21" t="str">
            <v>원가분석</v>
          </cell>
          <cell r="D21" t="str">
            <v>위원</v>
          </cell>
        </row>
        <row r="22">
          <cell r="B22" t="str">
            <v>이길훈</v>
          </cell>
          <cell r="C22" t="str">
            <v>건설사업</v>
          </cell>
          <cell r="D22" t="str">
            <v>선임연구원</v>
          </cell>
        </row>
        <row r="23">
          <cell r="B23" t="str">
            <v>이동환</v>
          </cell>
          <cell r="C23" t="str">
            <v>원가분석</v>
          </cell>
          <cell r="D23" t="str">
            <v>위원</v>
          </cell>
        </row>
        <row r="24">
          <cell r="B24" t="str">
            <v>이병준</v>
          </cell>
          <cell r="C24" t="str">
            <v>건설사업</v>
          </cell>
          <cell r="D24" t="str">
            <v>부원장</v>
          </cell>
        </row>
        <row r="25">
          <cell r="B25" t="str">
            <v>장연주</v>
          </cell>
          <cell r="C25" t="str">
            <v>원가분석</v>
          </cell>
          <cell r="D25" t="str">
            <v>주임연구원</v>
          </cell>
        </row>
        <row r="26">
          <cell r="B26" t="str">
            <v>정영대</v>
          </cell>
          <cell r="C26" t="str">
            <v>갈등조정중재</v>
          </cell>
          <cell r="D26" t="str">
            <v>위원</v>
          </cell>
        </row>
        <row r="27">
          <cell r="B27" t="str">
            <v>정재훈</v>
          </cell>
          <cell r="C27" t="str">
            <v>학술사업</v>
          </cell>
          <cell r="D27" t="str">
            <v>위원</v>
          </cell>
        </row>
        <row r="28">
          <cell r="B28" t="str">
            <v>조형찬</v>
          </cell>
          <cell r="C28" t="str">
            <v>학술사업</v>
          </cell>
          <cell r="D28" t="str">
            <v>위원</v>
          </cell>
        </row>
        <row r="29">
          <cell r="B29" t="str">
            <v>최내현</v>
          </cell>
          <cell r="C29" t="str">
            <v>건설사업</v>
          </cell>
          <cell r="D29" t="str">
            <v>위원</v>
          </cell>
        </row>
        <row r="30">
          <cell r="B30" t="str">
            <v>최재운</v>
          </cell>
          <cell r="C30" t="str">
            <v>건설사업</v>
          </cell>
          <cell r="D30" t="str">
            <v>본부장</v>
          </cell>
        </row>
        <row r="31">
          <cell r="B31" t="str">
            <v>표순천</v>
          </cell>
          <cell r="C31" t="str">
            <v>품질관리</v>
          </cell>
          <cell r="D31" t="str">
            <v>위원</v>
          </cell>
        </row>
        <row r="32">
          <cell r="B32" t="str">
            <v>피욱환</v>
          </cell>
          <cell r="C32" t="str">
            <v>건설사업</v>
          </cell>
          <cell r="D32" t="str">
            <v>위원</v>
          </cell>
        </row>
        <row r="33">
          <cell r="B33" t="str">
            <v>하은정</v>
          </cell>
          <cell r="C33" t="str">
            <v>원가분석</v>
          </cell>
          <cell r="D33" t="str">
            <v>이사</v>
          </cell>
        </row>
        <row r="34">
          <cell r="B34" t="str">
            <v>황운희</v>
          </cell>
          <cell r="C34" t="str">
            <v>원가분석</v>
          </cell>
          <cell r="D34" t="str">
            <v>위원</v>
          </cell>
        </row>
        <row r="35">
          <cell r="B35" t="str">
            <v>김나경</v>
          </cell>
          <cell r="C35" t="str">
            <v>경영기획</v>
          </cell>
          <cell r="D35" t="str">
            <v>사원</v>
          </cell>
        </row>
        <row r="36">
          <cell r="B36" t="str">
            <v>김현진</v>
          </cell>
          <cell r="C36" t="str">
            <v>경영기획</v>
          </cell>
          <cell r="D36" t="str">
            <v>사원</v>
          </cell>
        </row>
        <row r="37">
          <cell r="B37" t="str">
            <v>강종균</v>
          </cell>
          <cell r="C37" t="str">
            <v>경영기획</v>
          </cell>
          <cell r="D37" t="str">
            <v>사원</v>
          </cell>
        </row>
        <row r="38">
          <cell r="B38" t="str">
            <v>배다현</v>
          </cell>
          <cell r="C38" t="str">
            <v>원가분석</v>
          </cell>
          <cell r="D38" t="str">
            <v>사원</v>
          </cell>
        </row>
        <row r="39">
          <cell r="B39" t="str">
            <v>배병권</v>
          </cell>
          <cell r="C39" t="str">
            <v>원가분석</v>
          </cell>
          <cell r="D39" t="str">
            <v>수석</v>
          </cell>
        </row>
        <row r="40">
          <cell r="B40" t="str">
            <v>김태욱</v>
          </cell>
          <cell r="C40" t="str">
            <v>원가분석</v>
          </cell>
          <cell r="D40" t="str">
            <v>사원</v>
          </cell>
        </row>
        <row r="41">
          <cell r="B41" t="str">
            <v>최한영</v>
          </cell>
          <cell r="C41" t="str">
            <v>원가분석</v>
          </cell>
          <cell r="D41" t="str">
            <v>사원</v>
          </cell>
        </row>
        <row r="42">
          <cell r="B42" t="str">
            <v>한재희</v>
          </cell>
          <cell r="C42" t="str">
            <v>학술연구</v>
          </cell>
          <cell r="D42" t="str">
            <v>상무</v>
          </cell>
        </row>
        <row r="43">
          <cell r="B43" t="str">
            <v>박수빈퇴사</v>
          </cell>
        </row>
        <row r="44">
          <cell r="B44" t="str">
            <v>김진이퇴사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G1" t="str">
            <v>원가</v>
          </cell>
        </row>
        <row r="2">
          <cell r="A2" t="str">
            <v>자격증명</v>
          </cell>
          <cell r="B2" t="str">
            <v>관련부처</v>
          </cell>
          <cell r="C2" t="str">
            <v>시행/발급기관</v>
          </cell>
          <cell r="E2" t="str">
            <v>구분</v>
          </cell>
          <cell r="F2" t="str">
            <v>비고</v>
          </cell>
          <cell r="G2" t="str">
            <v>KEY</v>
          </cell>
          <cell r="H2" t="str">
            <v>제조(CA)</v>
          </cell>
          <cell r="I2" t="str">
            <v>공사(CB)</v>
          </cell>
          <cell r="J2" t="str">
            <v>학술(CC)</v>
          </cell>
          <cell r="K2" t="str">
            <v>SW(CD)</v>
          </cell>
          <cell r="L2" t="str">
            <v>사후정산(CE)</v>
          </cell>
          <cell r="M2" t="str">
            <v>각종 수수료(CF)</v>
          </cell>
          <cell r="N2" t="str">
            <v>법원감정(CG)</v>
          </cell>
          <cell r="O2" t="str">
            <v>개발부담금</v>
          </cell>
          <cell r="P2" t="str">
            <v>갈등조정</v>
          </cell>
        </row>
        <row r="3">
          <cell r="A3" t="str">
            <v>BIM 운용전문가2급 건축</v>
          </cell>
          <cell r="B3" t="str">
            <v>-</v>
          </cell>
          <cell r="C3" t="str">
            <v>(사)한국비아이엠학회</v>
          </cell>
          <cell r="E3" t="str">
            <v>민간</v>
          </cell>
          <cell r="F3" t="str">
            <v>자격증</v>
          </cell>
          <cell r="G3" t="str">
            <v>CB-210</v>
          </cell>
          <cell r="I3" t="str">
            <v>CB-210</v>
          </cell>
          <cell r="N3" t="str">
            <v>CG-710</v>
          </cell>
        </row>
        <row r="4">
          <cell r="A4" t="str">
            <v>CISA(certified Information Systems Auditor)</v>
          </cell>
          <cell r="B4" t="str">
            <v>-</v>
          </cell>
          <cell r="C4" t="str">
            <v>(국제)정보시스템 감사통제협회(ISACA)</v>
          </cell>
          <cell r="E4" t="str">
            <v>외국</v>
          </cell>
          <cell r="F4" t="str">
            <v>자격증</v>
          </cell>
          <cell r="G4" t="str">
            <v>CD-410</v>
          </cell>
          <cell r="K4" t="str">
            <v>CD-410</v>
          </cell>
        </row>
        <row r="5">
          <cell r="A5" t="str">
            <v>ERP 물류 컨설턴트</v>
          </cell>
          <cell r="B5" t="str">
            <v>-</v>
          </cell>
          <cell r="C5" t="str">
            <v>한국공인회계사회</v>
          </cell>
          <cell r="E5" t="str">
            <v>민간</v>
          </cell>
          <cell r="F5" t="str">
            <v>자격증</v>
          </cell>
          <cell r="G5" t="str">
            <v>CC-310</v>
          </cell>
          <cell r="M5" t="str">
            <v>CF-600</v>
          </cell>
        </row>
        <row r="6">
          <cell r="A6" t="str">
            <v>컴퓨터활용능력 2급</v>
          </cell>
          <cell r="B6" t="str">
            <v>고용노동부</v>
          </cell>
          <cell r="C6" t="str">
            <v>대한상공회의소</v>
          </cell>
          <cell r="E6" t="str">
            <v>민간(국가)</v>
          </cell>
          <cell r="F6" t="str">
            <v>자격증</v>
          </cell>
          <cell r="G6" t="str">
            <v>CD-410</v>
          </cell>
          <cell r="M6" t="str">
            <v>CF-600</v>
          </cell>
        </row>
        <row r="7">
          <cell r="A7" t="str">
            <v>변호사</v>
          </cell>
          <cell r="B7" t="str">
            <v>법무부</v>
          </cell>
          <cell r="C7" t="str">
            <v>법무부</v>
          </cell>
          <cell r="E7" t="str">
            <v>전문자격</v>
          </cell>
          <cell r="F7" t="str">
            <v>자격증</v>
          </cell>
          <cell r="G7" t="str">
            <v>공통</v>
          </cell>
          <cell r="N7" t="str">
            <v>CG-710</v>
          </cell>
          <cell r="P7" t="str">
            <v>갈등조정</v>
          </cell>
        </row>
        <row r="8">
          <cell r="A8" t="str">
            <v>전자기사</v>
          </cell>
          <cell r="B8" t="str">
            <v>-</v>
          </cell>
          <cell r="C8" t="str">
            <v>한국기술검정공단</v>
          </cell>
          <cell r="E8" t="str">
            <v>기사</v>
          </cell>
          <cell r="F8" t="str">
            <v>자격증</v>
          </cell>
          <cell r="G8" t="str">
            <v>CA-110</v>
          </cell>
        </row>
        <row r="9">
          <cell r="A9" t="str">
            <v>FAT 1급</v>
          </cell>
          <cell r="B9" t="str">
            <v>금융위원회</v>
          </cell>
          <cell r="C9" t="str">
            <v>한국공인회계사회</v>
          </cell>
          <cell r="E9" t="str">
            <v>민간(국가)</v>
          </cell>
          <cell r="F9" t="str">
            <v>자격증</v>
          </cell>
          <cell r="G9" t="str">
            <v>CA-110</v>
          </cell>
          <cell r="H9" t="str">
            <v>CA-110</v>
          </cell>
        </row>
        <row r="10">
          <cell r="A10" t="str">
            <v>FAT 2급</v>
          </cell>
          <cell r="B10" t="str">
            <v>금융위원회</v>
          </cell>
          <cell r="C10" t="str">
            <v>한국공인회계사회</v>
          </cell>
          <cell r="E10" t="str">
            <v>민간(국가)</v>
          </cell>
          <cell r="F10" t="str">
            <v>자격증</v>
          </cell>
          <cell r="G10" t="str">
            <v>기타</v>
          </cell>
          <cell r="H10" t="str">
            <v>CA-110</v>
          </cell>
        </row>
        <row r="11">
          <cell r="A11" t="str">
            <v>ISO 14001 2015(환경)</v>
          </cell>
          <cell r="B11" t="str">
            <v>-</v>
          </cell>
          <cell r="C11" t="str">
            <v>IQCS</v>
          </cell>
          <cell r="E11" t="str">
            <v>민간</v>
          </cell>
          <cell r="F11" t="str">
            <v>자격증</v>
          </cell>
          <cell r="G11" t="str">
            <v>CA-110</v>
          </cell>
          <cell r="H11" t="str">
            <v>CA-110</v>
          </cell>
          <cell r="J11" t="str">
            <v>CC-310</v>
          </cell>
        </row>
        <row r="12">
          <cell r="A12" t="str">
            <v>ISO 9000 2000(경영)</v>
          </cell>
          <cell r="B12" t="str">
            <v>-</v>
          </cell>
          <cell r="C12" t="str">
            <v>IRCA</v>
          </cell>
          <cell r="E12" t="str">
            <v>민간</v>
          </cell>
          <cell r="F12" t="str">
            <v>자격증</v>
          </cell>
          <cell r="G12" t="str">
            <v>CA-110</v>
          </cell>
          <cell r="H12" t="str">
            <v>CA-110</v>
          </cell>
          <cell r="J12" t="str">
            <v>CC-310</v>
          </cell>
        </row>
        <row r="13">
          <cell r="A13" t="str">
            <v>KOLAS 평가사</v>
          </cell>
          <cell r="B13" t="str">
            <v>-</v>
          </cell>
          <cell r="C13" t="str">
            <v>한국인정기구</v>
          </cell>
          <cell r="E13" t="str">
            <v>민간</v>
          </cell>
          <cell r="F13" t="str">
            <v>자격증</v>
          </cell>
          <cell r="G13" t="str">
            <v>CA-110</v>
          </cell>
          <cell r="H13" t="str">
            <v>CA-110</v>
          </cell>
          <cell r="M13" t="str">
            <v>CF-600</v>
          </cell>
        </row>
        <row r="14">
          <cell r="A14" t="str">
            <v>M&amp;A지도사</v>
          </cell>
          <cell r="B14" t="str">
            <v>-</v>
          </cell>
          <cell r="C14" t="str">
            <v>(사)한국M&amp;A컨설팅협회</v>
          </cell>
          <cell r="E14" t="str">
            <v>민간</v>
          </cell>
          <cell r="F14" t="str">
            <v>자격증</v>
          </cell>
          <cell r="G14" t="str">
            <v>CC-310</v>
          </cell>
          <cell r="J14" t="str">
            <v>CC-310</v>
          </cell>
          <cell r="M14" t="str">
            <v>CF-600</v>
          </cell>
        </row>
        <row r="15">
          <cell r="A15" t="str">
            <v>PMP(Project Management Institute)</v>
          </cell>
          <cell r="B15" t="str">
            <v>-</v>
          </cell>
          <cell r="C15" t="str">
            <v>미국 PMI</v>
          </cell>
          <cell r="E15" t="str">
            <v>외국</v>
          </cell>
          <cell r="F15" t="str">
            <v>자격증</v>
          </cell>
          <cell r="G15" t="str">
            <v>공통</v>
          </cell>
          <cell r="H15" t="str">
            <v>CA-110</v>
          </cell>
          <cell r="I15" t="str">
            <v>CB-210</v>
          </cell>
          <cell r="N15" t="str">
            <v>CG-710</v>
          </cell>
        </row>
        <row r="16">
          <cell r="A16" t="str">
            <v>R&amp;A Level 2 Rules School</v>
          </cell>
          <cell r="B16" t="str">
            <v>-</v>
          </cell>
          <cell r="C16" t="str">
            <v>대한골프협회</v>
          </cell>
          <cell r="E16" t="str">
            <v>민간</v>
          </cell>
          <cell r="F16" t="str">
            <v>자격증</v>
          </cell>
          <cell r="G16" t="str">
            <v>기타</v>
          </cell>
          <cell r="K16" t="str">
            <v>CD-410</v>
          </cell>
          <cell r="M16" t="str">
            <v>CF-600</v>
          </cell>
        </row>
        <row r="17">
          <cell r="A17" t="str">
            <v>SW프로세스품질인증심사원</v>
          </cell>
          <cell r="B17" t="str">
            <v>-</v>
          </cell>
          <cell r="C17" t="str">
            <v>정보통신산업진흥원</v>
          </cell>
          <cell r="E17" t="str">
            <v>민간</v>
          </cell>
          <cell r="F17" t="str">
            <v>자격증</v>
          </cell>
          <cell r="G17" t="str">
            <v>CD-410</v>
          </cell>
          <cell r="K17" t="str">
            <v>CD-410</v>
          </cell>
        </row>
        <row r="18">
          <cell r="A18" t="str">
            <v>ERP 인사 정보관리사 2급</v>
          </cell>
          <cell r="B18" t="str">
            <v>과학기술정보통신부</v>
          </cell>
          <cell r="C18" t="str">
            <v>한국생산성본부</v>
          </cell>
          <cell r="E18" t="str">
            <v>민간(국가)</v>
          </cell>
          <cell r="F18" t="str">
            <v>자격증</v>
          </cell>
          <cell r="G18" t="str">
            <v>기타</v>
          </cell>
          <cell r="J18" t="str">
            <v>CC-310</v>
          </cell>
          <cell r="M18" t="str">
            <v>CF-600</v>
          </cell>
          <cell r="O18" t="str">
            <v xml:space="preserve"> </v>
          </cell>
        </row>
        <row r="19">
          <cell r="A19" t="str">
            <v>ERP 회계 정보관리사 2급</v>
          </cell>
          <cell r="B19" t="str">
            <v>과학기술정보통신부</v>
          </cell>
          <cell r="C19" t="str">
            <v>한국생산성본부</v>
          </cell>
          <cell r="E19" t="str">
            <v>민간(국가)</v>
          </cell>
          <cell r="F19" t="str">
            <v>자격증</v>
          </cell>
          <cell r="G19" t="str">
            <v>기타</v>
          </cell>
          <cell r="L19" t="str">
            <v>CE-500</v>
          </cell>
        </row>
        <row r="20">
          <cell r="A20" t="str">
            <v>갈등조정전문가 1급</v>
          </cell>
          <cell r="B20" t="str">
            <v>-</v>
          </cell>
          <cell r="C20" t="str">
            <v>한국갈등조정중재그룹</v>
          </cell>
          <cell r="E20" t="str">
            <v>민간</v>
          </cell>
          <cell r="F20" t="str">
            <v>자격증</v>
          </cell>
          <cell r="G20" t="str">
            <v>공통</v>
          </cell>
          <cell r="H20" t="str">
            <v>CA-110</v>
          </cell>
          <cell r="I20" t="str">
            <v>CB-210</v>
          </cell>
          <cell r="J20" t="str">
            <v>CC-310</v>
          </cell>
          <cell r="K20" t="str">
            <v>CD-410</v>
          </cell>
          <cell r="N20" t="str">
            <v>CG-710</v>
          </cell>
          <cell r="P20" t="str">
            <v>갈등조정</v>
          </cell>
        </row>
        <row r="21">
          <cell r="A21" t="str">
            <v>건설안전기사</v>
          </cell>
          <cell r="B21" t="str">
            <v>-</v>
          </cell>
          <cell r="C21" t="str">
            <v>한국산업인력공단</v>
          </cell>
          <cell r="E21" t="str">
            <v>기사</v>
          </cell>
          <cell r="F21" t="str">
            <v>자격증</v>
          </cell>
          <cell r="G21" t="str">
            <v>CB-210</v>
          </cell>
          <cell r="I21" t="str">
            <v>CB-210</v>
          </cell>
        </row>
        <row r="22">
          <cell r="A22" t="str">
            <v>건설안전기술사</v>
          </cell>
          <cell r="B22" t="str">
            <v>고용노동부</v>
          </cell>
          <cell r="C22" t="str">
            <v>한국산업인력공단</v>
          </cell>
          <cell r="E22" t="str">
            <v>기술사</v>
          </cell>
          <cell r="F22" t="str">
            <v>자격증</v>
          </cell>
          <cell r="G22" t="str">
            <v>CB-210</v>
          </cell>
          <cell r="I22" t="str">
            <v>CB-210</v>
          </cell>
        </row>
        <row r="23">
          <cell r="A23" t="str">
            <v>건축기사</v>
          </cell>
          <cell r="B23" t="str">
            <v>국토교통부</v>
          </cell>
          <cell r="C23" t="str">
            <v>한국산업인력공단</v>
          </cell>
          <cell r="E23" t="str">
            <v>국가기술자격</v>
          </cell>
          <cell r="F23" t="str">
            <v>자격증</v>
          </cell>
          <cell r="G23" t="str">
            <v>CB-210</v>
          </cell>
          <cell r="I23" t="str">
            <v>CB-210</v>
          </cell>
        </row>
        <row r="24">
          <cell r="A24" t="str">
            <v>건축시공기술사</v>
          </cell>
          <cell r="B24" t="str">
            <v>국토교통부</v>
          </cell>
          <cell r="C24" t="str">
            <v>한국산업인력공단</v>
          </cell>
          <cell r="E24" t="str">
            <v>국가기술자격</v>
          </cell>
          <cell r="F24" t="str">
            <v>자격증</v>
          </cell>
          <cell r="G24" t="str">
            <v>CB-210</v>
          </cell>
          <cell r="I24" t="str">
            <v>CB-210</v>
          </cell>
          <cell r="N24" t="str">
            <v>CG-710</v>
          </cell>
        </row>
        <row r="25">
          <cell r="A25" t="str">
            <v>경영지도사</v>
          </cell>
          <cell r="B25" t="str">
            <v>-</v>
          </cell>
          <cell r="C25" t="str">
            <v>중소벤처기업부장관</v>
          </cell>
          <cell r="E25" t="str">
            <v>-</v>
          </cell>
          <cell r="F25" t="str">
            <v>등록증</v>
          </cell>
          <cell r="G25" t="str">
            <v>공통</v>
          </cell>
          <cell r="H25" t="str">
            <v>CA-110</v>
          </cell>
          <cell r="I25" t="str">
            <v>CB-210</v>
          </cell>
          <cell r="J25" t="str">
            <v>CC-310</v>
          </cell>
          <cell r="K25" t="str">
            <v>CD-410</v>
          </cell>
          <cell r="L25" t="str">
            <v>CE-500</v>
          </cell>
          <cell r="M25" t="str">
            <v>CF-600</v>
          </cell>
        </row>
        <row r="26">
          <cell r="A26" t="str">
            <v>공인노무사</v>
          </cell>
          <cell r="B26" t="str">
            <v>고용노동부</v>
          </cell>
          <cell r="C26" t="str">
            <v>한국산업인력공단</v>
          </cell>
          <cell r="E26" t="str">
            <v>기사</v>
          </cell>
          <cell r="F26" t="str">
            <v>자격증</v>
          </cell>
          <cell r="G26" t="str">
            <v>공통</v>
          </cell>
          <cell r="H26" t="str">
            <v>CA-110</v>
          </cell>
          <cell r="I26" t="str">
            <v>CB-210</v>
          </cell>
          <cell r="J26" t="str">
            <v>CC-310</v>
          </cell>
          <cell r="K26" t="str">
            <v>CD-410</v>
          </cell>
          <cell r="M26" t="str">
            <v>CF-600</v>
          </cell>
          <cell r="N26" t="str">
            <v>CG-710</v>
          </cell>
          <cell r="P26" t="str">
            <v>갈등조정</v>
          </cell>
        </row>
        <row r="27">
          <cell r="A27" t="str">
            <v>공인원가분석사</v>
          </cell>
          <cell r="B27" t="str">
            <v>기획재정부</v>
          </cell>
          <cell r="C27" t="str">
            <v>한국원가관리협회</v>
          </cell>
          <cell r="E27" t="str">
            <v>민간(국가)</v>
          </cell>
          <cell r="F27" t="str">
            <v>등록증</v>
          </cell>
          <cell r="G27" t="str">
            <v>공통</v>
          </cell>
          <cell r="H27" t="str">
            <v>CA-110</v>
          </cell>
          <cell r="I27" t="str">
            <v>CB-210</v>
          </cell>
          <cell r="J27" t="str">
            <v>CC-310</v>
          </cell>
          <cell r="K27" t="str">
            <v>CD-410</v>
          </cell>
          <cell r="L27" t="str">
            <v>CE-500</v>
          </cell>
          <cell r="M27" t="str">
            <v>CF-600</v>
          </cell>
          <cell r="N27" t="str">
            <v>CG-710</v>
          </cell>
          <cell r="O27" t="str">
            <v>CH-800</v>
          </cell>
        </row>
        <row r="28">
          <cell r="A28" t="str">
            <v>공인중개사</v>
          </cell>
          <cell r="B28" t="str">
            <v>국토교통부</v>
          </cell>
          <cell r="C28" t="str">
            <v>한국산업인력공단</v>
          </cell>
          <cell r="E28" t="str">
            <v>전문자격</v>
          </cell>
          <cell r="F28" t="str">
            <v>자격증</v>
          </cell>
          <cell r="G28" t="str">
            <v>CB-210</v>
          </cell>
          <cell r="I28" t="str">
            <v>CB-210</v>
          </cell>
          <cell r="M28" t="str">
            <v>CF-600</v>
          </cell>
        </row>
        <row r="29">
          <cell r="A29" t="str">
            <v>공인회계사</v>
          </cell>
          <cell r="B29" t="str">
            <v>-</v>
          </cell>
          <cell r="C29" t="str">
            <v>한국공인회계사회</v>
          </cell>
          <cell r="E29" t="str">
            <v>-</v>
          </cell>
          <cell r="F29" t="str">
            <v>등록증</v>
          </cell>
          <cell r="G29" t="str">
            <v>공통</v>
          </cell>
          <cell r="H29" t="str">
            <v>CA-110</v>
          </cell>
          <cell r="I29" t="str">
            <v>CB-210</v>
          </cell>
          <cell r="J29" t="str">
            <v>CC-310</v>
          </cell>
          <cell r="K29" t="str">
            <v>CD-410</v>
          </cell>
          <cell r="L29" t="str">
            <v>CE-500</v>
          </cell>
          <cell r="M29" t="str">
            <v>CF-600</v>
          </cell>
        </row>
        <row r="30">
          <cell r="A30" t="str">
            <v>국제경영컨설턴트(CMC)</v>
          </cell>
          <cell r="B30" t="str">
            <v>-</v>
          </cell>
          <cell r="C30" t="str">
            <v>한국경영기술지도사회</v>
          </cell>
          <cell r="E30" t="str">
            <v>민간</v>
          </cell>
          <cell r="F30" t="str">
            <v>자격증</v>
          </cell>
          <cell r="G30" t="str">
            <v>CC-310</v>
          </cell>
          <cell r="J30" t="str">
            <v>CC-310</v>
          </cell>
          <cell r="M30" t="str">
            <v>CF-600</v>
          </cell>
        </row>
        <row r="31">
          <cell r="A31" t="str">
            <v>금속기사</v>
          </cell>
          <cell r="B31" t="str">
            <v>산업통상자원부</v>
          </cell>
          <cell r="C31" t="str">
            <v>한국산업인력공단</v>
          </cell>
          <cell r="E31" t="str">
            <v>국가기술자격</v>
          </cell>
          <cell r="F31" t="str">
            <v>자격증</v>
          </cell>
          <cell r="G31" t="str">
            <v>CA-110</v>
          </cell>
          <cell r="H31" t="str">
            <v>CA-110</v>
          </cell>
          <cell r="I31" t="str">
            <v>CB-210</v>
          </cell>
          <cell r="M31" t="str">
            <v>CF-600</v>
          </cell>
        </row>
        <row r="32">
          <cell r="A32" t="str">
            <v>기능점수측정전문가(K-CFPS)</v>
          </cell>
          <cell r="B32" t="str">
            <v>-</v>
          </cell>
          <cell r="C32" t="str">
            <v>한국소프트웨어측정원</v>
          </cell>
          <cell r="E32" t="str">
            <v>민간</v>
          </cell>
          <cell r="F32" t="str">
            <v>자격증</v>
          </cell>
          <cell r="G32" t="str">
            <v>CD-410</v>
          </cell>
          <cell r="K32" t="str">
            <v>CD-410</v>
          </cell>
        </row>
        <row r="33">
          <cell r="A33" t="str">
            <v>기술거래사</v>
          </cell>
          <cell r="B33" t="str">
            <v>산업통상자원부</v>
          </cell>
          <cell r="C33" t="str">
            <v>(사)기술거래사회</v>
          </cell>
          <cell r="E33" t="str">
            <v>민간</v>
          </cell>
          <cell r="F33" t="str">
            <v>등록증</v>
          </cell>
          <cell r="G33" t="str">
            <v>CC-310</v>
          </cell>
          <cell r="J33" t="str">
            <v>CC-310</v>
          </cell>
          <cell r="M33" t="str">
            <v>CF-600</v>
          </cell>
        </row>
        <row r="34">
          <cell r="A34" t="str">
            <v>데이터 사이언티스트 능력 인증(DSAC)</v>
          </cell>
          <cell r="B34" t="str">
            <v>-</v>
          </cell>
          <cell r="C34" t="str">
            <v>한국생산성본부</v>
          </cell>
          <cell r="E34" t="str">
            <v>민간</v>
          </cell>
          <cell r="F34" t="str">
            <v>자격증</v>
          </cell>
          <cell r="G34" t="str">
            <v>CD-410</v>
          </cell>
          <cell r="K34" t="str">
            <v>CD-410</v>
          </cell>
        </row>
        <row r="35">
          <cell r="A35" t="str">
            <v>ERP 회계 컨설턴트</v>
          </cell>
          <cell r="B35" t="str">
            <v>-</v>
          </cell>
          <cell r="C35" t="str">
            <v>한국공인회계사회</v>
          </cell>
          <cell r="E35" t="str">
            <v>민간</v>
          </cell>
          <cell r="F35" t="str">
            <v>자격증</v>
          </cell>
          <cell r="G35" t="str">
            <v>기타</v>
          </cell>
          <cell r="L35" t="str">
            <v>CE-500</v>
          </cell>
        </row>
        <row r="36">
          <cell r="A36" t="str">
            <v>물류관리사</v>
          </cell>
          <cell r="B36" t="str">
            <v>국토교통부</v>
          </cell>
          <cell r="C36" t="str">
            <v>한국산업인력공단</v>
          </cell>
          <cell r="E36" t="str">
            <v>전문자격</v>
          </cell>
          <cell r="F36" t="str">
            <v>자격증</v>
          </cell>
          <cell r="G36" t="str">
            <v>CA-110</v>
          </cell>
          <cell r="H36" t="str">
            <v>CA-110</v>
          </cell>
          <cell r="L36" t="str">
            <v>CE-500</v>
          </cell>
          <cell r="M36" t="str">
            <v>CF-600</v>
          </cell>
        </row>
        <row r="37">
          <cell r="A37" t="str">
            <v>가맹거래사</v>
          </cell>
          <cell r="B37" t="str">
            <v>공정거래위원회</v>
          </cell>
          <cell r="C37" t="str">
            <v>한국산업인력공단</v>
          </cell>
          <cell r="E37" t="str">
            <v>전문자격</v>
          </cell>
          <cell r="F37" t="str">
            <v>자격증</v>
          </cell>
          <cell r="G37" t="str">
            <v>기타</v>
          </cell>
          <cell r="M37" t="str">
            <v>CF-600</v>
          </cell>
        </row>
        <row r="38">
          <cell r="A38" t="str">
            <v>간호사</v>
          </cell>
          <cell r="B38" t="str">
            <v>보건복지부</v>
          </cell>
          <cell r="C38" t="str">
            <v>보건복지부</v>
          </cell>
          <cell r="E38" t="str">
            <v>타기관</v>
          </cell>
          <cell r="F38" t="str">
            <v>면허증</v>
          </cell>
          <cell r="G38" t="str">
            <v>기타</v>
          </cell>
          <cell r="M38" t="str">
            <v>CF-600</v>
          </cell>
          <cell r="P38" t="str">
            <v>갈등조정</v>
          </cell>
        </row>
        <row r="39">
          <cell r="A39" t="str">
            <v>보험심사평가사1급</v>
          </cell>
          <cell r="B39" t="str">
            <v>보건복지부</v>
          </cell>
          <cell r="C39" t="str">
            <v>한국자격검정평가진흥원</v>
          </cell>
          <cell r="E39" t="str">
            <v>민간</v>
          </cell>
          <cell r="F39" t="str">
            <v>자격증</v>
          </cell>
          <cell r="G39" t="str">
            <v>기타</v>
          </cell>
          <cell r="M39" t="str">
            <v>CF-600</v>
          </cell>
        </row>
        <row r="40">
          <cell r="A40" t="str">
            <v>보험심사평가사2급</v>
          </cell>
          <cell r="B40" t="str">
            <v>보건복지부</v>
          </cell>
          <cell r="C40" t="str">
            <v>(사)한국의료행정실무협회</v>
          </cell>
          <cell r="E40" t="str">
            <v>민간</v>
          </cell>
          <cell r="F40" t="str">
            <v>자격증</v>
          </cell>
          <cell r="G40" t="str">
            <v>기타</v>
          </cell>
          <cell r="M40" t="str">
            <v>CF-600</v>
          </cell>
        </row>
        <row r="41">
          <cell r="A41" t="str">
            <v>사회보험사1급</v>
          </cell>
          <cell r="B41" t="str">
            <v>보건복지부</v>
          </cell>
          <cell r="C41" t="str">
            <v>사회보험사협회</v>
          </cell>
          <cell r="E41" t="str">
            <v>민간</v>
          </cell>
          <cell r="F41" t="str">
            <v>자격증</v>
          </cell>
          <cell r="G41" t="str">
            <v>기타</v>
          </cell>
          <cell r="M41" t="str">
            <v>CF-600</v>
          </cell>
        </row>
        <row r="42">
          <cell r="A42" t="str">
            <v>사회보험사2급</v>
          </cell>
          <cell r="B42" t="str">
            <v>보건복지부</v>
          </cell>
          <cell r="C42" t="str">
            <v>사회보험사협회</v>
          </cell>
          <cell r="E42" t="str">
            <v>민간</v>
          </cell>
          <cell r="F42" t="str">
            <v>자격증</v>
          </cell>
          <cell r="G42" t="str">
            <v>기타</v>
          </cell>
          <cell r="M42" t="str">
            <v>CF-600</v>
          </cell>
        </row>
        <row r="43">
          <cell r="A43" t="str">
            <v>산업안전기사</v>
          </cell>
          <cell r="B43" t="str">
            <v>고용노동부</v>
          </cell>
          <cell r="C43" t="str">
            <v>한국산업인력공단</v>
          </cell>
          <cell r="E43" t="str">
            <v>전문자격</v>
          </cell>
          <cell r="F43" t="str">
            <v>자격증</v>
          </cell>
          <cell r="G43" t="str">
            <v>CA-110</v>
          </cell>
          <cell r="H43" t="str">
            <v>CA-110</v>
          </cell>
          <cell r="M43" t="str">
            <v>CF-600</v>
          </cell>
          <cell r="N43" t="str">
            <v>CG-710</v>
          </cell>
        </row>
        <row r="44">
          <cell r="A44" t="str">
            <v>산업카운슬러1급</v>
          </cell>
          <cell r="B44" t="str">
            <v>고용노동부</v>
          </cell>
          <cell r="C44" t="str">
            <v>한국산업카운슬러협회</v>
          </cell>
          <cell r="E44" t="str">
            <v>민간</v>
          </cell>
          <cell r="F44" t="str">
            <v>자격증</v>
          </cell>
          <cell r="G44" t="str">
            <v>CC-310</v>
          </cell>
          <cell r="J44" t="str">
            <v>CC-310</v>
          </cell>
          <cell r="M44" t="str">
            <v>CF-600</v>
          </cell>
          <cell r="N44" t="str">
            <v>CG-710</v>
          </cell>
          <cell r="P44" t="str">
            <v>갈등조정</v>
          </cell>
        </row>
        <row r="45">
          <cell r="A45" t="str">
            <v>세무사</v>
          </cell>
          <cell r="B45" t="str">
            <v>국세청</v>
          </cell>
          <cell r="C45" t="str">
            <v>한국산업인력공단</v>
          </cell>
          <cell r="E45" t="str">
            <v>전문자격</v>
          </cell>
          <cell r="F45" t="str">
            <v>자격증</v>
          </cell>
          <cell r="G45" t="str">
            <v>CC-310</v>
          </cell>
          <cell r="J45" t="str">
            <v>CC-310</v>
          </cell>
          <cell r="L45" t="str">
            <v>CE-500</v>
          </cell>
        </row>
        <row r="46">
          <cell r="A46" t="str">
            <v>소방기술자 (기계 특급, 전기 고급)</v>
          </cell>
          <cell r="B46" t="str">
            <v>-</v>
          </cell>
          <cell r="C46" t="str">
            <v>한국소방시설협회</v>
          </cell>
          <cell r="E46" t="str">
            <v>민간</v>
          </cell>
          <cell r="F46" t="str">
            <v>자격증</v>
          </cell>
          <cell r="G46" t="str">
            <v>CB-210</v>
          </cell>
          <cell r="I46" t="str">
            <v>CB-210</v>
          </cell>
          <cell r="M46" t="str">
            <v>CF-600</v>
          </cell>
          <cell r="N46" t="str">
            <v>CG-710</v>
          </cell>
        </row>
        <row r="47">
          <cell r="A47" t="str">
            <v>소방설비기사(기계분야)</v>
          </cell>
          <cell r="B47" t="str">
            <v>-</v>
          </cell>
          <cell r="C47" t="str">
            <v>한국산업인력공단</v>
          </cell>
          <cell r="E47" t="str">
            <v>-</v>
          </cell>
          <cell r="F47" t="str">
            <v>자격증</v>
          </cell>
          <cell r="G47" t="str">
            <v>CB-210</v>
          </cell>
          <cell r="I47" t="str">
            <v>CB-210</v>
          </cell>
          <cell r="N47" t="str">
            <v>CG-710</v>
          </cell>
        </row>
        <row r="48">
          <cell r="A48" t="str">
            <v>사회복지사2급</v>
          </cell>
          <cell r="B48" t="str">
            <v>보건복지부</v>
          </cell>
          <cell r="C48" t="str">
            <v>한국사회복지사협회</v>
          </cell>
          <cell r="E48" t="str">
            <v>민간</v>
          </cell>
          <cell r="F48" t="str">
            <v>자격증</v>
          </cell>
          <cell r="G48" t="str">
            <v>기타</v>
          </cell>
          <cell r="M48" t="str">
            <v>CF-600</v>
          </cell>
        </row>
        <row r="49">
          <cell r="A49" t="str">
            <v>수목치료기술자</v>
          </cell>
          <cell r="B49" t="str">
            <v>산림청</v>
          </cell>
          <cell r="C49" t="str">
            <v>산림청</v>
          </cell>
          <cell r="E49" t="str">
            <v>민간</v>
          </cell>
          <cell r="F49" t="str">
            <v>자격증</v>
          </cell>
          <cell r="G49" t="str">
            <v>CC-310</v>
          </cell>
          <cell r="J49" t="str">
            <v>CC-310</v>
          </cell>
          <cell r="M49" t="str">
            <v>CF-600</v>
          </cell>
        </row>
        <row r="50">
          <cell r="A50" t="str">
            <v>식물보호산업기사</v>
          </cell>
          <cell r="B50" t="str">
            <v>농촌진흥청</v>
          </cell>
          <cell r="C50" t="str">
            <v>한국산업인력공단</v>
          </cell>
          <cell r="E50" t="str">
            <v>산업기사</v>
          </cell>
          <cell r="F50" t="str">
            <v>자격증</v>
          </cell>
          <cell r="G50" t="str">
            <v>CC-310</v>
          </cell>
          <cell r="J50" t="str">
            <v>CC-310</v>
          </cell>
          <cell r="M50" t="str">
            <v>CF-600</v>
          </cell>
        </row>
        <row r="51">
          <cell r="A51" t="str">
            <v>신용분석사</v>
          </cell>
          <cell r="B51" t="str">
            <v>금융위원회</v>
          </cell>
          <cell r="C51" t="str">
            <v>한국금융연수원</v>
          </cell>
          <cell r="E51" t="str">
            <v>민간(국가)</v>
          </cell>
          <cell r="F51" t="str">
            <v>자격증</v>
          </cell>
          <cell r="G51" t="str">
            <v>CC-310</v>
          </cell>
          <cell r="J51" t="str">
            <v>CC-310</v>
          </cell>
        </row>
        <row r="52">
          <cell r="A52" t="str">
            <v>약용식물관리사</v>
          </cell>
          <cell r="B52" t="str">
            <v>-</v>
          </cell>
          <cell r="C52" t="str">
            <v>한국자격개발원</v>
          </cell>
          <cell r="E52" t="str">
            <v>민간</v>
          </cell>
          <cell r="F52" t="str">
            <v>자격증</v>
          </cell>
          <cell r="G52" t="str">
            <v>CC-310</v>
          </cell>
          <cell r="J52" t="str">
            <v>CC-310</v>
          </cell>
          <cell r="M52" t="str">
            <v>CF-600</v>
          </cell>
        </row>
        <row r="53">
          <cell r="A53" t="str">
            <v>에너지관리산업기사</v>
          </cell>
          <cell r="B53" t="str">
            <v>산업통상자원부</v>
          </cell>
          <cell r="C53" t="str">
            <v>한국산업인력공단</v>
          </cell>
          <cell r="E53" t="str">
            <v>산업기사</v>
          </cell>
          <cell r="F53" t="str">
            <v>자격증</v>
          </cell>
          <cell r="G53" t="str">
            <v>CA-110</v>
          </cell>
          <cell r="H53" t="str">
            <v>CA-110</v>
          </cell>
          <cell r="I53" t="str">
            <v>CB-210</v>
          </cell>
          <cell r="M53" t="str">
            <v>CF-600</v>
          </cell>
        </row>
        <row r="54">
          <cell r="A54" t="str">
            <v>웹디자인개발기능사</v>
          </cell>
          <cell r="B54" t="str">
            <v>-</v>
          </cell>
          <cell r="C54" t="str">
            <v>한국산업인력공단</v>
          </cell>
          <cell r="E54" t="str">
            <v>기능사</v>
          </cell>
          <cell r="F54" t="str">
            <v>자격증</v>
          </cell>
          <cell r="G54" t="str">
            <v>CD-410</v>
          </cell>
          <cell r="J54" t="str">
            <v>CC-310</v>
          </cell>
          <cell r="K54" t="str">
            <v>CD-410</v>
          </cell>
        </row>
        <row r="55">
          <cell r="A55" t="str">
            <v>소형선박조종사(해기사)</v>
          </cell>
          <cell r="B55" t="str">
            <v>인천지방해양수산청</v>
          </cell>
          <cell r="C55" t="str">
            <v>인천지방해양수산청</v>
          </cell>
          <cell r="E55" t="str">
            <v>-</v>
          </cell>
          <cell r="F55" t="str">
            <v>면허증</v>
          </cell>
          <cell r="G55" t="str">
            <v>기타</v>
          </cell>
          <cell r="M55" t="str">
            <v>CF-600</v>
          </cell>
        </row>
        <row r="56">
          <cell r="A56" t="str">
            <v>유통관리사1급</v>
          </cell>
          <cell r="B56" t="str">
            <v>산업통상자원부</v>
          </cell>
          <cell r="C56" t="str">
            <v>대한상공회의소</v>
          </cell>
          <cell r="E56" t="str">
            <v>타기관</v>
          </cell>
          <cell r="F56" t="str">
            <v>자격증</v>
          </cell>
          <cell r="G56" t="str">
            <v>CA-110</v>
          </cell>
          <cell r="H56" t="str">
            <v>CA-110</v>
          </cell>
          <cell r="J56" t="str">
            <v>CC-310</v>
          </cell>
          <cell r="M56" t="str">
            <v>CF-600</v>
          </cell>
        </row>
        <row r="57">
          <cell r="A57" t="str">
            <v>일반기계기사</v>
          </cell>
          <cell r="B57" t="str">
            <v>산업통상자원부</v>
          </cell>
          <cell r="C57" t="str">
            <v>한국산업인력공단</v>
          </cell>
          <cell r="E57" t="str">
            <v>기사</v>
          </cell>
          <cell r="F57" t="str">
            <v>자격증</v>
          </cell>
          <cell r="G57" t="str">
            <v>CA-110</v>
          </cell>
          <cell r="H57" t="str">
            <v>CA-110</v>
          </cell>
          <cell r="I57" t="str">
            <v>CB-210</v>
          </cell>
        </row>
        <row r="58">
          <cell r="A58" t="str">
            <v>자동차진단평가사2급</v>
          </cell>
          <cell r="B58" t="str">
            <v>국토교통부</v>
          </cell>
          <cell r="C58" t="str">
            <v>한국자동차진단보증협회</v>
          </cell>
          <cell r="E58" t="str">
            <v>민간(국가)</v>
          </cell>
          <cell r="F58" t="str">
            <v>자격증</v>
          </cell>
          <cell r="G58" t="str">
            <v>CA-110</v>
          </cell>
          <cell r="H58" t="str">
            <v>CA-110</v>
          </cell>
          <cell r="M58" t="str">
            <v>CF-600</v>
          </cell>
        </row>
        <row r="59">
          <cell r="A59" t="str">
            <v>유기농업기사</v>
          </cell>
          <cell r="B59" t="str">
            <v>농림축산식품부</v>
          </cell>
          <cell r="C59" t="str">
            <v>한국산업인력공단</v>
          </cell>
          <cell r="E59" t="str">
            <v>기사</v>
          </cell>
          <cell r="F59" t="str">
            <v>자격증</v>
          </cell>
          <cell r="G59" t="str">
            <v>기타</v>
          </cell>
          <cell r="M59" t="str">
            <v>CF-600</v>
          </cell>
        </row>
        <row r="60">
          <cell r="A60" t="str">
            <v>재경관리사</v>
          </cell>
          <cell r="B60" t="str">
            <v>금융위원회</v>
          </cell>
          <cell r="C60" t="str">
            <v>삼일회계법인</v>
          </cell>
          <cell r="E60" t="str">
            <v>민간(국가)</v>
          </cell>
          <cell r="F60" t="str">
            <v>자격증</v>
          </cell>
          <cell r="G60" t="str">
            <v>기타</v>
          </cell>
          <cell r="L60" t="str">
            <v>CE-500</v>
          </cell>
        </row>
        <row r="61">
          <cell r="A61" t="str">
            <v>재난관리지도사</v>
          </cell>
          <cell r="B61" t="str">
            <v>-</v>
          </cell>
          <cell r="C61" t="str">
            <v>(사)한국비시피협회</v>
          </cell>
          <cell r="E61" t="str">
            <v>민간</v>
          </cell>
          <cell r="F61" t="str">
            <v>자격증</v>
          </cell>
          <cell r="G61" t="str">
            <v>기타</v>
          </cell>
          <cell r="M61" t="str">
            <v>CF-600</v>
          </cell>
        </row>
        <row r="62">
          <cell r="A62" t="str">
            <v>전산응용건축제도기능사</v>
          </cell>
          <cell r="B62" t="str">
            <v>-</v>
          </cell>
          <cell r="C62" t="str">
            <v>한국산업인력공단</v>
          </cell>
          <cell r="E62" t="str">
            <v>기능사</v>
          </cell>
          <cell r="F62" t="str">
            <v>자격증</v>
          </cell>
          <cell r="G62" t="str">
            <v>CB-210</v>
          </cell>
          <cell r="I62" t="str">
            <v>CB-210</v>
          </cell>
        </row>
        <row r="63">
          <cell r="A63" t="str">
            <v>전산회계 1급</v>
          </cell>
          <cell r="B63" t="str">
            <v>-</v>
          </cell>
          <cell r="C63" t="str">
            <v>한국세무사회</v>
          </cell>
          <cell r="E63" t="str">
            <v>민간(국가)</v>
          </cell>
          <cell r="F63" t="str">
            <v>자격증</v>
          </cell>
          <cell r="G63" t="str">
            <v>CC-310</v>
          </cell>
          <cell r="H63" t="str">
            <v>CA-110</v>
          </cell>
          <cell r="I63" t="str">
            <v>CB-210</v>
          </cell>
          <cell r="L63" t="str">
            <v>CE-500</v>
          </cell>
        </row>
        <row r="64">
          <cell r="A64" t="str">
            <v>전산세무 2급</v>
          </cell>
          <cell r="B64" t="str">
            <v>-</v>
          </cell>
          <cell r="C64" t="str">
            <v>한국세무사회</v>
          </cell>
          <cell r="E64" t="str">
            <v>민간(국가)</v>
          </cell>
          <cell r="F64" t="str">
            <v>자격증</v>
          </cell>
          <cell r="G64" t="str">
            <v>기타</v>
          </cell>
          <cell r="L64" t="str">
            <v>CE-500</v>
          </cell>
        </row>
        <row r="65">
          <cell r="A65" t="str">
            <v>전자계산기제어산업기사</v>
          </cell>
          <cell r="B65" t="str">
            <v>과학기술정보통신부/산업통상자원부</v>
          </cell>
          <cell r="C65" t="str">
            <v>한국산업인력공단</v>
          </cell>
          <cell r="E65" t="str">
            <v>산업기사</v>
          </cell>
          <cell r="F65" t="str">
            <v>자격증</v>
          </cell>
          <cell r="G65" t="str">
            <v>CA-110</v>
          </cell>
          <cell r="H65" t="str">
            <v>CA-110</v>
          </cell>
          <cell r="I65" t="str">
            <v>CB-210</v>
          </cell>
        </row>
        <row r="66">
          <cell r="A66" t="str">
            <v>전산회계 2급</v>
          </cell>
          <cell r="B66" t="str">
            <v>고용노동부</v>
          </cell>
          <cell r="C66" t="str">
            <v>한국세무사회</v>
          </cell>
          <cell r="E66" t="str">
            <v>민간(국가)</v>
          </cell>
          <cell r="F66" t="str">
            <v>자격증</v>
          </cell>
          <cell r="G66" t="str">
            <v>기타</v>
          </cell>
          <cell r="L66" t="str">
            <v>CE-500</v>
          </cell>
        </row>
        <row r="67">
          <cell r="A67" t="str">
            <v>정보처리기사</v>
          </cell>
          <cell r="B67" t="str">
            <v>과학기술정보통신부</v>
          </cell>
          <cell r="C67" t="str">
            <v>한국산업인력공단</v>
          </cell>
          <cell r="E67" t="str">
            <v>기사</v>
          </cell>
          <cell r="F67" t="str">
            <v>자격증</v>
          </cell>
          <cell r="G67" t="str">
            <v>CD-410</v>
          </cell>
          <cell r="K67" t="str">
            <v>CD-410</v>
          </cell>
        </row>
        <row r="68">
          <cell r="A68" t="str">
            <v>정보처리산업기사</v>
          </cell>
          <cell r="B68" t="str">
            <v>과학기술정보통신부</v>
          </cell>
          <cell r="C68" t="str">
            <v>한국산업인력공단</v>
          </cell>
          <cell r="E68" t="str">
            <v>산업기사</v>
          </cell>
          <cell r="F68" t="str">
            <v>자격증</v>
          </cell>
          <cell r="G68" t="str">
            <v>CD-410</v>
          </cell>
          <cell r="K68" t="str">
            <v>CD-410</v>
          </cell>
        </row>
        <row r="69">
          <cell r="A69" t="str">
            <v>정비사업전문관리사</v>
          </cell>
          <cell r="B69" t="str">
            <v>-</v>
          </cell>
          <cell r="C69" t="str">
            <v>주거환경연구원</v>
          </cell>
          <cell r="E69" t="str">
            <v>민간</v>
          </cell>
          <cell r="F69" t="str">
            <v>자격증</v>
          </cell>
          <cell r="G69" t="str">
            <v>CB-210</v>
          </cell>
          <cell r="I69" t="str">
            <v>CB-210</v>
          </cell>
          <cell r="N69" t="str">
            <v>CG-710</v>
          </cell>
        </row>
        <row r="70">
          <cell r="A70" t="str">
            <v>정책분석평가사1급</v>
          </cell>
          <cell r="B70" t="str">
            <v>행정안전부</v>
          </cell>
          <cell r="C70" t="str">
            <v>한국공공정책평가협회</v>
          </cell>
          <cell r="E70" t="str">
            <v>민간</v>
          </cell>
          <cell r="F70" t="str">
            <v>자격증</v>
          </cell>
          <cell r="G70" t="str">
            <v>CC-310</v>
          </cell>
          <cell r="J70" t="str">
            <v>CC-310</v>
          </cell>
          <cell r="M70" t="str">
            <v>CF-600</v>
          </cell>
        </row>
        <row r="71">
          <cell r="A71" t="str">
            <v>조달계약사</v>
          </cell>
          <cell r="B71" t="str">
            <v>조달청</v>
          </cell>
          <cell r="C71" t="str">
            <v>(사)한국경영기술지도사회</v>
          </cell>
          <cell r="E71" t="str">
            <v>민간</v>
          </cell>
          <cell r="F71" t="str">
            <v>자격증</v>
          </cell>
          <cell r="G71" t="str">
            <v>CA-110</v>
          </cell>
          <cell r="H71" t="str">
            <v>CA-110</v>
          </cell>
        </row>
        <row r="72">
          <cell r="A72" t="str">
            <v>창업보육전문매니저</v>
          </cell>
          <cell r="B72" t="str">
            <v>-</v>
          </cell>
          <cell r="C72" t="str">
            <v>(사)한국창업보육협회</v>
          </cell>
          <cell r="E72" t="str">
            <v>민간</v>
          </cell>
          <cell r="F72" t="str">
            <v>자격증</v>
          </cell>
          <cell r="G72" t="str">
            <v>CC-310</v>
          </cell>
          <cell r="J72" t="str">
            <v>CC-310</v>
          </cell>
        </row>
        <row r="73">
          <cell r="A73" t="str">
            <v>채용면접관 자격인증서</v>
          </cell>
          <cell r="B73" t="str">
            <v>-</v>
          </cell>
          <cell r="C73" t="str">
            <v>한국채용면접관인증원</v>
          </cell>
          <cell r="E73" t="str">
            <v>민간</v>
          </cell>
          <cell r="F73" t="str">
            <v>자격증</v>
          </cell>
          <cell r="G73" t="str">
            <v>CC-310</v>
          </cell>
          <cell r="J73" t="str">
            <v>CC-310</v>
          </cell>
          <cell r="M73" t="str">
            <v>CF-600</v>
          </cell>
        </row>
        <row r="74">
          <cell r="A74" t="str">
            <v>초경량비행장치 조종자</v>
          </cell>
          <cell r="B74" t="str">
            <v>한국교통안전공단</v>
          </cell>
          <cell r="C74" t="str">
            <v>한국교통안전공단</v>
          </cell>
          <cell r="E74" t="str">
            <v>-</v>
          </cell>
          <cell r="F74" t="str">
            <v>면허증</v>
          </cell>
          <cell r="G74" t="str">
            <v>기타</v>
          </cell>
          <cell r="M74" t="str">
            <v>CF-600</v>
          </cell>
        </row>
        <row r="75">
          <cell r="A75" t="str">
            <v>컴퓨터그래픽기능사</v>
          </cell>
          <cell r="B75" t="str">
            <v>-</v>
          </cell>
          <cell r="C75" t="str">
            <v>한국산업인력공단</v>
          </cell>
          <cell r="E75" t="str">
            <v>기능사</v>
          </cell>
          <cell r="F75" t="str">
            <v>자격증</v>
          </cell>
          <cell r="G75" t="str">
            <v>CD-410</v>
          </cell>
          <cell r="K75" t="str">
            <v>CD-410</v>
          </cell>
        </row>
        <row r="76">
          <cell r="A76" t="str">
            <v>동력수상레저기구조종 일반조종1급</v>
          </cell>
          <cell r="B76" t="str">
            <v>해양경찰청</v>
          </cell>
          <cell r="C76" t="str">
            <v>해양경찰청</v>
          </cell>
          <cell r="E76" t="str">
            <v>-</v>
          </cell>
          <cell r="F76" t="str">
            <v>면허증</v>
          </cell>
          <cell r="G76" t="str">
            <v>CA-110</v>
          </cell>
          <cell r="M76" t="str">
            <v>CF-600</v>
          </cell>
        </row>
        <row r="77">
          <cell r="A77" t="str">
            <v>평생교육사2급</v>
          </cell>
          <cell r="B77" t="str">
            <v>교육부</v>
          </cell>
          <cell r="C77" t="str">
            <v>교육부</v>
          </cell>
          <cell r="E77" t="str">
            <v>타기관</v>
          </cell>
          <cell r="F77" t="str">
            <v>자격증</v>
          </cell>
          <cell r="G77" t="str">
            <v>CC-310</v>
          </cell>
          <cell r="J77" t="str">
            <v>CC-310</v>
          </cell>
        </row>
        <row r="78">
          <cell r="A78" t="str">
            <v>품질경영기사</v>
          </cell>
          <cell r="B78" t="str">
            <v>산업통상자원부</v>
          </cell>
          <cell r="C78" t="str">
            <v>한국산업인력공단</v>
          </cell>
          <cell r="E78" t="str">
            <v>국가기술자격</v>
          </cell>
          <cell r="F78" t="str">
            <v>자격증</v>
          </cell>
          <cell r="G78" t="str">
            <v>CA-110</v>
          </cell>
          <cell r="H78" t="str">
            <v>CA-110</v>
          </cell>
          <cell r="M78" t="str">
            <v>CF-600</v>
          </cell>
        </row>
        <row r="79">
          <cell r="A79" t="str">
            <v>품질관리기술사</v>
          </cell>
          <cell r="B79" t="str">
            <v>산업통상자원부</v>
          </cell>
          <cell r="C79" t="str">
            <v>한국산업인력공단</v>
          </cell>
          <cell r="E79" t="str">
            <v>국가기술자격</v>
          </cell>
          <cell r="F79" t="str">
            <v>자격증</v>
          </cell>
          <cell r="G79" t="str">
            <v>CA-110</v>
          </cell>
          <cell r="H79" t="str">
            <v>CA-110</v>
          </cell>
          <cell r="M79" t="str">
            <v>CF-600</v>
          </cell>
        </row>
        <row r="80">
          <cell r="A80" t="str">
            <v>품질경영시스템 인증심사원</v>
          </cell>
          <cell r="B80" t="str">
            <v>-</v>
          </cell>
          <cell r="C80" t="str">
            <v>한국심사자격인증원</v>
          </cell>
          <cell r="E80" t="str">
            <v>-</v>
          </cell>
          <cell r="F80" t="str">
            <v>자격증</v>
          </cell>
          <cell r="G80" t="str">
            <v>CA-110</v>
          </cell>
          <cell r="H80" t="str">
            <v>CA-110</v>
          </cell>
          <cell r="M80" t="str">
            <v>CF-600</v>
          </cell>
        </row>
        <row r="81">
          <cell r="A81" t="str">
            <v>화공안전기술사</v>
          </cell>
          <cell r="B81" t="str">
            <v>-</v>
          </cell>
          <cell r="C81" t="str">
            <v>한국산업인력공단</v>
          </cell>
          <cell r="E81" t="str">
            <v>-</v>
          </cell>
          <cell r="F81" t="str">
            <v>자격증</v>
          </cell>
          <cell r="G81" t="str">
            <v>CA-110</v>
          </cell>
          <cell r="H81" t="str">
            <v>CA-110</v>
          </cell>
          <cell r="I81" t="str">
            <v>CB-210</v>
          </cell>
          <cell r="M81" t="str">
            <v>CF-600</v>
          </cell>
        </row>
        <row r="82">
          <cell r="A82" t="str">
            <v>PMP(프로젝트관리전문가) 1급</v>
          </cell>
          <cell r="B82" t="str">
            <v>-</v>
          </cell>
          <cell r="C82" t="str">
            <v>한국자격검정평가진흥원</v>
          </cell>
          <cell r="E82" t="str">
            <v>-</v>
          </cell>
          <cell r="F82" t="str">
            <v>자격증</v>
          </cell>
          <cell r="G82" t="str">
            <v>공통</v>
          </cell>
          <cell r="H82" t="str">
            <v>CA-110</v>
          </cell>
          <cell r="I82" t="str">
            <v>CB-210</v>
          </cell>
          <cell r="N82" t="str">
            <v>CG-710</v>
          </cell>
        </row>
        <row r="83">
          <cell r="A83" t="str">
            <v>ISO27001_SGS심사원</v>
          </cell>
          <cell r="B83" t="str">
            <v>-</v>
          </cell>
          <cell r="C83" t="str">
            <v>SGS United Kingdom Ltd</v>
          </cell>
          <cell r="E83" t="str">
            <v>-</v>
          </cell>
          <cell r="F83" t="str">
            <v>자격증</v>
          </cell>
          <cell r="G83" t="str">
            <v>공통</v>
          </cell>
        </row>
        <row r="84">
          <cell r="A84" t="str">
            <v>건설사업관리전문가(CMP)</v>
          </cell>
          <cell r="B84" t="str">
            <v>-</v>
          </cell>
          <cell r="C84" t="str">
            <v>한국기술사회</v>
          </cell>
          <cell r="E84" t="str">
            <v>-</v>
          </cell>
          <cell r="F84" t="str">
            <v>자격증</v>
          </cell>
          <cell r="G84" t="str">
            <v>CB-210</v>
          </cell>
          <cell r="I84" t="str">
            <v>CB-210</v>
          </cell>
        </row>
        <row r="85">
          <cell r="A85" t="str">
            <v>ERP 생산 정보관리사 2급</v>
          </cell>
          <cell r="B85" t="str">
            <v>과학기술정보통신부</v>
          </cell>
          <cell r="C85" t="str">
            <v>한국생산성본부</v>
          </cell>
          <cell r="E85" t="str">
            <v>민간(국가)</v>
          </cell>
          <cell r="F85" t="str">
            <v>자격증</v>
          </cell>
          <cell r="G85" t="str">
            <v>기타</v>
          </cell>
          <cell r="H85" t="str">
            <v>CA-110</v>
          </cell>
        </row>
        <row r="86">
          <cell r="A86" t="str">
            <v>워드프로세서</v>
          </cell>
          <cell r="B86" t="str">
            <v>고용노동부</v>
          </cell>
          <cell r="C86" t="str">
            <v>대한상공회의소</v>
          </cell>
          <cell r="E86" t="str">
            <v>민간(국가)</v>
          </cell>
          <cell r="F86" t="str">
            <v>자격증</v>
          </cell>
          <cell r="G86" t="str">
            <v>CD-410</v>
          </cell>
          <cell r="K86" t="str">
            <v>CD-410</v>
          </cell>
        </row>
        <row r="87">
          <cell r="A87" t="str">
            <v>전산회계운용사 3급</v>
          </cell>
          <cell r="B87" t="str">
            <v>고용노동부</v>
          </cell>
          <cell r="C87" t="str">
            <v>대한상공회의소</v>
          </cell>
          <cell r="E87" t="str">
            <v>민간(국가)</v>
          </cell>
          <cell r="F87" t="str">
            <v>자격증</v>
          </cell>
          <cell r="G87" t="str">
            <v>기타</v>
          </cell>
        </row>
        <row r="88">
          <cell r="A88" t="str">
            <v>ITQ(정보기술자격)_구 TIQ인터넷 실무능력 자격증</v>
          </cell>
          <cell r="B88" t="str">
            <v>동아일보</v>
          </cell>
          <cell r="C88" t="str">
            <v>한국생산성본부(KPC)</v>
          </cell>
          <cell r="E88" t="str">
            <v>민간(국가)</v>
          </cell>
          <cell r="F88" t="str">
            <v>자격증</v>
          </cell>
          <cell r="G88" t="str">
            <v>CD-410</v>
          </cell>
          <cell r="K88" t="str">
            <v>CD-410</v>
          </cell>
        </row>
        <row r="89">
          <cell r="A89" t="str">
            <v>간호조무사</v>
          </cell>
          <cell r="B89" t="str">
            <v>보건복지부</v>
          </cell>
          <cell r="C89" t="str">
            <v>보건복지부</v>
          </cell>
          <cell r="E89" t="str">
            <v>전문자격</v>
          </cell>
          <cell r="F89" t="str">
            <v>자격증</v>
          </cell>
          <cell r="G89" t="str">
            <v>기타</v>
          </cell>
        </row>
        <row r="90">
          <cell r="A90" t="str">
            <v>요양보호사</v>
          </cell>
          <cell r="B90" t="str">
            <v>보건복지부</v>
          </cell>
          <cell r="C90" t="str">
            <v>보건복지부</v>
          </cell>
          <cell r="E90" t="str">
            <v>전문자격</v>
          </cell>
          <cell r="F90" t="str">
            <v>자격증</v>
          </cell>
          <cell r="G90" t="str">
            <v>기타</v>
          </cell>
        </row>
        <row r="91">
          <cell r="A91" t="str">
            <v>회계관리2급</v>
          </cell>
          <cell r="B91" t="str">
            <v>삼일회계법인</v>
          </cell>
          <cell r="C91" t="str">
            <v>삼일회계법인</v>
          </cell>
          <cell r="E91" t="str">
            <v>민간(국가)</v>
          </cell>
          <cell r="F91" t="str">
            <v>자격증</v>
          </cell>
          <cell r="G91" t="str">
            <v>기타</v>
          </cell>
        </row>
        <row r="92">
          <cell r="A92" t="str">
            <v>시설원예기사</v>
          </cell>
          <cell r="B92" t="str">
            <v>농촌진흥청</v>
          </cell>
          <cell r="C92" t="str">
            <v>한국산업인력공단</v>
          </cell>
          <cell r="E92" t="str">
            <v>국가기술자격</v>
          </cell>
          <cell r="F92" t="str">
            <v>자격증</v>
          </cell>
          <cell r="G92" t="str">
            <v>기타</v>
          </cell>
        </row>
        <row r="93">
          <cell r="A93" t="str">
            <v>스마트농업관리사</v>
          </cell>
          <cell r="B93" t="str">
            <v>한국농업기술진흥원</v>
          </cell>
          <cell r="C93" t="str">
            <v>농림축산식품부</v>
          </cell>
          <cell r="E93" t="str">
            <v>전문자격</v>
          </cell>
          <cell r="F93" t="str">
            <v>자격증</v>
          </cell>
          <cell r="G93" t="str">
            <v>기타</v>
          </cell>
        </row>
        <row r="94">
          <cell r="A94" t="str">
            <v>무역영어1급</v>
          </cell>
          <cell r="B94" t="str">
            <v>산업통상자원부</v>
          </cell>
          <cell r="C94" t="str">
            <v>대한상공회의소</v>
          </cell>
          <cell r="E94" t="str">
            <v>민간(국가)</v>
          </cell>
          <cell r="F94" t="str">
            <v>자격증</v>
          </cell>
        </row>
        <row r="95">
          <cell r="A95" t="str">
            <v>구매 자재관리사</v>
          </cell>
          <cell r="B95" t="str">
            <v>산업통상자원부</v>
          </cell>
          <cell r="C95" t="str">
            <v>(사)한국구매자재관리협회</v>
          </cell>
          <cell r="E95" t="str">
            <v>민간(국가)</v>
          </cell>
          <cell r="F95" t="str">
            <v>자격증</v>
          </cell>
          <cell r="G95" t="str">
            <v>CA-110</v>
          </cell>
          <cell r="H95" t="str">
            <v>CA-110</v>
          </cell>
        </row>
        <row r="96">
          <cell r="A96" t="str">
            <v>구매공급전문가</v>
          </cell>
          <cell r="B96" t="str">
            <v>산업통상자원부</v>
          </cell>
          <cell r="C96" t="str">
            <v>미국 공급관리협회인</v>
          </cell>
          <cell r="E96" t="str">
            <v>외국</v>
          </cell>
          <cell r="F96" t="str">
            <v>자격증</v>
          </cell>
          <cell r="G96" t="str">
            <v>CA-110</v>
          </cell>
          <cell r="H96" t="str">
            <v>CA-110</v>
          </cell>
        </row>
        <row r="97">
          <cell r="A97" t="str">
            <v>6시그마 블랙밸트</v>
          </cell>
          <cell r="C97" t="str">
            <v>동부제강주식회사</v>
          </cell>
          <cell r="F97" t="str">
            <v>등록증</v>
          </cell>
        </row>
        <row r="98">
          <cell r="A98" t="str">
            <v>OCP_오라클 데이터베이스 관리자</v>
          </cell>
          <cell r="C98" t="str">
            <v>Oracle Corporation</v>
          </cell>
          <cell r="E98" t="str">
            <v>외국</v>
          </cell>
          <cell r="F98" t="str">
            <v>자격증</v>
          </cell>
          <cell r="G98" t="str">
            <v>CD-410</v>
          </cell>
        </row>
        <row r="99">
          <cell r="A99" t="str">
            <v>MCSE_MCDBA</v>
          </cell>
          <cell r="C99" t="str">
            <v>Microsoft Corporation</v>
          </cell>
          <cell r="E99" t="str">
            <v>외국</v>
          </cell>
          <cell r="F99" t="str">
            <v>자격증</v>
          </cell>
          <cell r="G99" t="str">
            <v>CD-410</v>
          </cell>
        </row>
        <row r="100">
          <cell r="A100" t="str">
            <v>MCDBA_마이크로소프트 데이터베이스 관리자</v>
          </cell>
          <cell r="C100" t="str">
            <v>Microsoft Corporation</v>
          </cell>
          <cell r="E100" t="str">
            <v>외국</v>
          </cell>
          <cell r="F100" t="str">
            <v>자격증</v>
          </cell>
          <cell r="G100" t="str">
            <v>CD-410</v>
          </cell>
        </row>
        <row r="101">
          <cell r="A101" t="str">
            <v>기업·기술가치평가사</v>
          </cell>
          <cell r="B101" t="str">
            <v>산업통상자원부</v>
          </cell>
          <cell r="C101" t="str">
            <v>(사)한국기업·기술가치평가협회</v>
          </cell>
          <cell r="E101" t="str">
            <v>민간</v>
          </cell>
          <cell r="F101" t="str">
            <v>자격증</v>
          </cell>
        </row>
        <row r="102">
          <cell r="A102" t="str">
            <v>사회조사분석사 2급</v>
          </cell>
          <cell r="B102" t="str">
            <v>통계청</v>
          </cell>
          <cell r="C102" t="str">
            <v>한국산업인력공단</v>
          </cell>
          <cell r="E102" t="str">
            <v>국가기술자격</v>
          </cell>
          <cell r="F102" t="str">
            <v>자격증</v>
          </cell>
        </row>
        <row r="103">
          <cell r="A103" t="str">
            <v>수질환경기사 1급(수질)</v>
          </cell>
          <cell r="C103" t="str">
            <v>한국직업훈련관리공단</v>
          </cell>
          <cell r="E103" t="str">
            <v>국가기술자격</v>
          </cell>
          <cell r="F103" t="str">
            <v>자격증</v>
          </cell>
        </row>
        <row r="104">
          <cell r="A104" t="str">
            <v>대기환경기사 2급(수질 대기)</v>
          </cell>
          <cell r="C104" t="str">
            <v>한국직업훈련관리공단</v>
          </cell>
          <cell r="E104" t="str">
            <v>국가기술자격</v>
          </cell>
          <cell r="F104" t="str">
            <v>자격증</v>
          </cell>
        </row>
        <row r="105">
          <cell r="A105" t="str">
            <v>위생사(2급)</v>
          </cell>
          <cell r="B105" t="str">
            <v>한국보건의료인국가시험원</v>
          </cell>
          <cell r="C105" t="str">
            <v>보건복지부</v>
          </cell>
          <cell r="F105" t="str">
            <v>면허증</v>
          </cell>
        </row>
        <row r="106">
          <cell r="A106" t="str">
            <v>대기환경산업기사</v>
          </cell>
          <cell r="B106" t="str">
            <v>환경부</v>
          </cell>
          <cell r="C106" t="str">
            <v>한국산업인력공단</v>
          </cell>
          <cell r="E106" t="str">
            <v>국가기술자격</v>
          </cell>
          <cell r="F106" t="str">
            <v>자격증</v>
          </cell>
        </row>
        <row r="107">
          <cell r="A107" t="str">
            <v>수질환경기사</v>
          </cell>
          <cell r="B107" t="str">
            <v>환경부</v>
          </cell>
          <cell r="C107" t="str">
            <v>한국산업인력공단</v>
          </cell>
          <cell r="E107" t="str">
            <v>국가기술자격</v>
          </cell>
          <cell r="F107" t="str">
            <v>자격증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042.532522569447" createdVersion="8" refreshedVersion="8" minRefreshableVersion="3" recordCount="118" xr:uid="{9E181C3F-1847-4A3A-9EC3-E1CA7E35ACD1}">
  <cacheSource type="worksheet">
    <worksheetSource name="자격증입력"/>
  </cacheSource>
  <cacheFields count="23">
    <cacheField name="이름" numFmtId="0">
      <sharedItems/>
    </cacheField>
    <cacheField name="소속" numFmtId="0">
      <sharedItems/>
    </cacheField>
    <cacheField name="직책" numFmtId="0">
      <sharedItems/>
    </cacheField>
    <cacheField name="자격증" numFmtId="0">
      <sharedItems count="80">
        <s v="공인원가분석사"/>
        <s v="변호사"/>
        <s v="공인노무사"/>
        <s v="공인회계사"/>
        <s v="경영지도사"/>
        <s v="갈등조정전문가 1급"/>
        <s v="PMP(Project Management Institute)"/>
        <s v="조달계약사"/>
        <s v="물류관리사"/>
        <s v="품질관리기술사"/>
        <s v="화공안전기술사"/>
        <s v="산업안전기사"/>
        <s v="일반기계기사"/>
        <s v="전자기사"/>
        <s v="품질경영기사"/>
        <s v="유통관리사1급"/>
        <s v="금속기사"/>
        <s v="에너지관리산업기사"/>
        <s v="전자계산기제어산업기사"/>
        <s v="품질경영시스템 인증심사원"/>
        <s v="KOLAS 평가사"/>
        <s v="자동차진단평가사2급"/>
        <s v="동력수상레저기구조종 일반조종1급"/>
        <s v="ISO 9000 2000(경영)"/>
        <s v="ISO 14001 2015(환경)"/>
        <s v="FAT 1급"/>
        <s v="건축시공기술사"/>
        <s v="정비사업전문관리사"/>
        <s v="건설안전기술사"/>
        <s v="건축기사"/>
        <s v="소방설비기사(기계분야)"/>
        <s v="건설안전기사"/>
        <s v="BIM 운용전문가2급 건축"/>
        <s v="공인중개사"/>
        <s v="전산응용건축제도기능사"/>
        <s v="기술거래사"/>
        <s v="국제경영컨설턴트(CMC)"/>
        <s v="수목치료기술자"/>
        <s v="평생교육사2급"/>
        <s v="식물보호산업기사"/>
        <s v="창업보육전문매니저"/>
        <s v="산업카운슬러1급"/>
        <s v="M&amp;A지도사"/>
        <s v="ERP 물류 컨설턴트"/>
        <s v="채용면접관 자격인증서"/>
        <s v="신용분석사"/>
        <s v="약용식물관리사"/>
        <s v="기능점수측정전문가(K-CFPS)"/>
        <s v="정보처리기사"/>
        <s v="CISA(certified Information Systems Auditor)"/>
        <s v="데이터 사이언티스트 능력 인증(DSAC)"/>
        <s v="SW프로세스품질인증심사원"/>
        <s v="컴퓨터그래픽기능사"/>
        <s v="컴퓨터활용능력 2급"/>
        <s v="웹디자인개발기능사"/>
        <s v="정보처리산업기사"/>
        <s v="가맹거래사"/>
        <s v="사회복지사2급"/>
        <s v="재경관리사"/>
        <s v="보험심사평가사1급"/>
        <s v="ERP 회계 컨설턴트"/>
        <s v="재난관리지도사"/>
        <s v="유기농업기사"/>
        <s v="간호사"/>
        <s v="사회보험사2급"/>
        <s v="R&amp;A Level 2 Rules School"/>
        <s v="소형선박조종사(해기사)"/>
        <s v="FAT 2급"/>
        <s v="초경량비행장치 조종자"/>
        <s v="ERP 회계 정보관리사 2급"/>
        <s v="ERP 인사 정보관리사 2급"/>
        <s v="전산회계 2급"/>
        <s v="보험심사평가사2급"/>
        <s v="사회보험사1급"/>
        <s v="ISO27001_SGS심사원"/>
        <s v="PMP(프로젝트관리전문가) 1급"/>
        <s v="건설사업관리전문가(CMP)"/>
        <s v="세무사"/>
        <s v="소방기술자 (기계 특급, 전기 고급)"/>
        <s v="정책분석평가사1급"/>
      </sharedItems>
    </cacheField>
    <cacheField name="구분" numFmtId="0">
      <sharedItems/>
    </cacheField>
    <cacheField name="관련부처" numFmtId="0">
      <sharedItems/>
    </cacheField>
    <cacheField name="시행/발급기관" numFmtId="0">
      <sharedItems containsBlank="1"/>
    </cacheField>
    <cacheField name="비고" numFmtId="0">
      <sharedItems/>
    </cacheField>
    <cacheField name="취득일" numFmtId="176">
      <sharedItems containsDate="1" containsMixedTypes="1" minDate="1974-06-28T00:00:00" maxDate="2025-06-14T00:00:00"/>
    </cacheField>
    <cacheField name="등록일" numFmtId="176">
      <sharedItems containsDate="1" containsBlank="1" containsMixedTypes="1" minDate="1977-02-07T00:00:00" maxDate="2027-11-29T00:00:00"/>
    </cacheField>
    <cacheField name="유효기간" numFmtId="176">
      <sharedItems containsDate="1" containsBlank="1" containsMixedTypes="1" minDate="2009-02-22T00:00:00" maxDate="2031-01-01T00:00:00"/>
    </cacheField>
    <cacheField name="LINK" numFmtId="176">
      <sharedItems/>
    </cacheField>
    <cacheField name="파일명" numFmtId="0">
      <sharedItems/>
    </cacheField>
    <cacheField name="KEY" numFmtId="0">
      <sharedItems count="8">
        <s v="공통"/>
        <s v="제조(CA)"/>
        <s v="공사(CB)"/>
        <s v="학술(CC)"/>
        <s v="SW(CD)"/>
        <s v="기타"/>
        <s v="미지정" u="1"/>
        <s v="" u="1"/>
      </sharedItems>
    </cacheField>
    <cacheField name="제조(CA)" numFmtId="0">
      <sharedItems/>
    </cacheField>
    <cacheField name="공사(CB)" numFmtId="0">
      <sharedItems/>
    </cacheField>
    <cacheField name="학술(CC)" numFmtId="0">
      <sharedItems/>
    </cacheField>
    <cacheField name="SW(CD)" numFmtId="0">
      <sharedItems/>
    </cacheField>
    <cacheField name="사후정산(CE)" numFmtId="0">
      <sharedItems/>
    </cacheField>
    <cacheField name="각종 수수료(CF)" numFmtId="0">
      <sharedItems/>
    </cacheField>
    <cacheField name="법원감정(CG)" numFmtId="0">
      <sharedItems/>
    </cacheField>
    <cacheField name="개발부담금" numFmtId="0">
      <sharedItems/>
    </cacheField>
    <cacheField name="갈등조정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042.53540335648" createdVersion="8" refreshedVersion="8" minRefreshableVersion="3" recordCount="64" xr:uid="{C6FC5F9A-CFF4-411A-A536-E47C275972B3}">
  <cacheSource type="worksheet">
    <worksheetSource name="학력입력"/>
  </cacheSource>
  <cacheFields count="10">
    <cacheField name="이름" numFmtId="0">
      <sharedItems containsBlank="1" count="38">
        <s v="유길상"/>
        <s v="황운희"/>
        <s v="김창수"/>
        <s v="김민선"/>
        <s v="신광수"/>
        <s v="정영대"/>
        <s v="권광민"/>
        <s v="김대식"/>
        <s v="박판진"/>
        <s v="피욱환"/>
        <s v="정재훈"/>
        <s v="표순천"/>
        <s v="신동명"/>
        <s v="이병준"/>
        <s v="하은정"/>
        <s v="조형찬"/>
        <s v="박미야"/>
        <s v="이남일"/>
        <s v="최내현"/>
        <s v="최재운"/>
        <s v="김종훈"/>
        <s v="변정도"/>
        <s v="이길훈"/>
        <s v="김용전"/>
        <s v="유옥수"/>
        <s v="이규희"/>
        <s v="이동환"/>
        <s v="박희성"/>
        <s v="김혜미"/>
        <s v="장연주"/>
        <s v="김연화"/>
        <m/>
        <s v="김원식" u="1"/>
        <s v="김광수" u="1"/>
        <s v="박상동" u="1"/>
        <s v="손경호" u="1"/>
        <s v="안영아" u="1"/>
        <s v="홍수연" u="1"/>
      </sharedItems>
    </cacheField>
    <cacheField name="소속" numFmtId="0">
      <sharedItems containsBlank="1"/>
    </cacheField>
    <cacheField name="직책" numFmtId="0">
      <sharedItems containsBlank="1"/>
    </cacheField>
    <cacheField name="학력" numFmtId="0">
      <sharedItems containsBlank="1" count="7">
        <s v="박사"/>
        <s v="석사"/>
        <s v="학사"/>
        <s v="전문학사"/>
        <s v="고졸"/>
        <m/>
        <s v="학사(재)" u="1"/>
      </sharedItems>
    </cacheField>
    <cacheField name="학위" numFmtId="0">
      <sharedItems containsBlank="1" count="23">
        <s v="공학박사"/>
        <s v="이학박사"/>
        <s v="동양철학박사"/>
        <s v="경영학석사"/>
        <s v="공학석사"/>
        <s v="컨설팅학석사"/>
        <s v="법학석사"/>
        <s v="행정학석사"/>
        <s v="신학석사"/>
        <s v="공학사"/>
        <s v="건축학사"/>
        <s v="경영학사"/>
        <s v="경제학사"/>
        <s v="보건행정학사"/>
        <s v="이학사"/>
        <s v="신학사"/>
        <s v="행정학사"/>
        <s v="문학사"/>
        <s v="농학사"/>
        <s v="간호학사"/>
        <s v="공학전문학사"/>
        <s v="세무회계학사"/>
        <m/>
      </sharedItems>
    </cacheField>
    <cacheField name="학교명" numFmtId="9">
      <sharedItems containsBlank="1"/>
    </cacheField>
    <cacheField name="학부(과)" numFmtId="0">
      <sharedItems containsBlank="1"/>
    </cacheField>
    <cacheField name="전공" numFmtId="0">
      <sharedItems containsBlank="1"/>
    </cacheField>
    <cacheField name="원본 LINK" numFmtId="0">
      <sharedItems containsBlank="1"/>
    </cacheField>
    <cacheField name="파일명" numFmtId="0">
      <sharedItems containsBlank="1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s v="김민선"/>
    <s v="원장"/>
    <s v="원장"/>
    <x v="0"/>
    <s v="민간(국가)"/>
    <s v="기획재정부"/>
    <s v="한국원가관리협회"/>
    <s v="등록증"/>
    <d v="2014-09-30T00:00:00"/>
    <d v="2024-09-30T00:00:00"/>
    <d v="2029-09-29T00:00:00"/>
    <s v="PDF"/>
    <s v="공인원가분석사_김민선"/>
    <x v="0"/>
    <s v="제조(CA)"/>
    <s v="공사(CB)"/>
    <s v="학술(CC)"/>
    <s v="SW(CD)"/>
    <s v="사후정산(CE)"/>
    <s v="각종 수수료(CF)"/>
    <s v="법원감정(CG)"/>
    <s v="개발부담금"/>
    <s v=""/>
  </r>
  <r>
    <s v="권광민"/>
    <s v="원가분석"/>
    <s v="위원"/>
    <x v="0"/>
    <s v="민간(국가)"/>
    <s v="기획재정부"/>
    <s v="한국원가관리협회"/>
    <s v="등록증"/>
    <d v="2015-06-12T00:00:00"/>
    <d v="2025-06-24T00:00:00"/>
    <d v="2030-06-11T00:00:00"/>
    <s v="PDF"/>
    <s v="공인원가분석사_권광민"/>
    <x v="0"/>
    <s v="제조(CA)"/>
    <s v="공사(CB)"/>
    <s v="학술(CC)"/>
    <s v="SW(CD)"/>
    <s v="사후정산(CE)"/>
    <s v="각종 수수료(CF)"/>
    <s v="법원감정(CG)"/>
    <s v="개발부담금"/>
    <s v=""/>
  </r>
  <r>
    <s v="김석표"/>
    <s v="원가분석"/>
    <s v="위원"/>
    <x v="0"/>
    <s v="민간(국가)"/>
    <s v="기획재정부"/>
    <s v="한국원가관리협회"/>
    <s v="등록증"/>
    <d v="2023-11-11T00:00:00"/>
    <d v="2023-11-14T00:00:00"/>
    <d v="2028-11-10T00:00:00"/>
    <s v="PDF"/>
    <s v="공인원가분석사_김석표"/>
    <x v="0"/>
    <s v="제조(CA)"/>
    <s v="공사(CB)"/>
    <s v="학술(CC)"/>
    <s v="SW(CD)"/>
    <s v="사후정산(CE)"/>
    <s v="각종 수수료(CF)"/>
    <s v="법원감정(CG)"/>
    <s v="개발부담금"/>
    <s v=""/>
  </r>
  <r>
    <s v="이규희"/>
    <s v="원가분석"/>
    <s v="위원"/>
    <x v="0"/>
    <s v="민간(국가)"/>
    <s v="기획재정부"/>
    <s v="한국원가관리협회"/>
    <s v="등록증"/>
    <d v="2018-11-09T00:00:00"/>
    <d v="2024-01-23T00:00:00"/>
    <d v="2028-11-08T00:00:00"/>
    <s v="PDF"/>
    <s v="공인원가분석사_이규희"/>
    <x v="0"/>
    <s v="제조(CA)"/>
    <s v="공사(CB)"/>
    <s v="학술(CC)"/>
    <s v="SW(CD)"/>
    <s v="사후정산(CE)"/>
    <s v="각종 수수료(CF)"/>
    <s v="법원감정(CG)"/>
    <s v="개발부담금"/>
    <s v=""/>
  </r>
  <r>
    <s v="이동환"/>
    <s v="원가분석"/>
    <s v="위원"/>
    <x v="0"/>
    <s v="민간(국가)"/>
    <s v="기획재정부"/>
    <s v="한국원가관리협회"/>
    <s v="등록증"/>
    <d v="2015-06-12T00:00:00"/>
    <d v="2025-06-12T00:00:00"/>
    <d v="2030-06-11T00:00:00"/>
    <s v="PDF"/>
    <s v="공인원가분석사_이동환"/>
    <x v="0"/>
    <s v="제조(CA)"/>
    <s v="공사(CB)"/>
    <s v="학술(CC)"/>
    <s v="SW(CD)"/>
    <s v="사후정산(CE)"/>
    <s v="각종 수수료(CF)"/>
    <s v="법원감정(CG)"/>
    <s v="개발부담금"/>
    <s v=""/>
  </r>
  <r>
    <s v="하은정"/>
    <s v="원가분석"/>
    <s v="이사"/>
    <x v="0"/>
    <s v="민간(국가)"/>
    <s v="기획재정부"/>
    <s v="한국원가관리협회"/>
    <s v="등록증"/>
    <d v="2015-04-10T00:00:00"/>
    <d v="2025-04-10T00:00:00"/>
    <d v="2030-04-09T00:00:00"/>
    <s v="PDF"/>
    <s v="공인원가분석사_하은정"/>
    <x v="0"/>
    <s v="제조(CA)"/>
    <s v="공사(CB)"/>
    <s v="학술(CC)"/>
    <s v="SW(CD)"/>
    <s v="사후정산(CE)"/>
    <s v="각종 수수료(CF)"/>
    <s v="법원감정(CG)"/>
    <s v="개발부담금"/>
    <s v=""/>
  </r>
  <r>
    <s v="김창수"/>
    <s v="품질관리"/>
    <s v="이사"/>
    <x v="0"/>
    <s v="민간(국가)"/>
    <s v="기획재정부"/>
    <s v="한국원가관리협회"/>
    <s v="등록증"/>
    <d v="2021-06-11T00:00:00"/>
    <d v="2021-06-11T00:00:00"/>
    <d v="2026-06-10T00:00:00"/>
    <s v="PDF"/>
    <s v="공인원가분석사_김창수"/>
    <x v="0"/>
    <s v="제조(CA)"/>
    <s v="공사(CB)"/>
    <s v="학술(CC)"/>
    <s v="SW(CD)"/>
    <s v="사후정산(CE)"/>
    <s v="각종 수수료(CF)"/>
    <s v="법원감정(CG)"/>
    <s v="개발부담금"/>
    <s v=""/>
  </r>
  <r>
    <s v="김재희"/>
    <s v="품질관리"/>
    <s v="위원"/>
    <x v="0"/>
    <s v="민간(국가)"/>
    <s v="기획재정부"/>
    <s v="한국원가관리협회"/>
    <s v="등록증"/>
    <d v="2016-12-09T00:00:00"/>
    <d v="2021-11-04T00:00:00"/>
    <d v="2026-12-08T00:00:00"/>
    <s v="PDF"/>
    <s v="공인원가분석사_김재희"/>
    <x v="0"/>
    <s v="제조(CA)"/>
    <s v="공사(CB)"/>
    <s v="학술(CC)"/>
    <s v="SW(CD)"/>
    <s v="사후정산(CE)"/>
    <s v="각종 수수료(CF)"/>
    <s v="법원감정(CG)"/>
    <s v="개발부담금"/>
    <s v=""/>
  </r>
  <r>
    <s v="박판진"/>
    <s v="품질관리"/>
    <s v="위원"/>
    <x v="0"/>
    <s v="민간(국가)"/>
    <s v="기획재정부"/>
    <s v="한국원가관리협회"/>
    <s v="등록증"/>
    <d v="2015-06-12T00:00:00"/>
    <d v="2025-06-12T00:00:00"/>
    <d v="2030-06-11T00:00:00"/>
    <s v="PDF"/>
    <s v="공인원가분석사_박판진"/>
    <x v="0"/>
    <s v="제조(CA)"/>
    <s v="공사(CB)"/>
    <s v="학술(CC)"/>
    <s v="SW(CD)"/>
    <s v="사후정산(CE)"/>
    <s v="각종 수수료(CF)"/>
    <s v="법원감정(CG)"/>
    <s v="개발부담금"/>
    <s v=""/>
  </r>
  <r>
    <s v="표순천"/>
    <s v="품질관리"/>
    <s v="위원"/>
    <x v="0"/>
    <s v="민간(국가)"/>
    <s v="기획재정부"/>
    <s v="한국원가관리협회"/>
    <s v="등록증"/>
    <d v="2016-12-09T00:00:00"/>
    <d v="2022-06-28T00:00:00"/>
    <d v="2026-12-08T00:00:00"/>
    <s v="PDF"/>
    <s v="공인원가분석사_표순천"/>
    <x v="0"/>
    <s v="제조(CA)"/>
    <s v="공사(CB)"/>
    <s v="학술(CC)"/>
    <s v="SW(CD)"/>
    <s v="사후정산(CE)"/>
    <s v="각종 수수료(CF)"/>
    <s v="법원감정(CG)"/>
    <s v="개발부담금"/>
    <s v=""/>
  </r>
  <r>
    <s v="조형찬"/>
    <s v="학술사업"/>
    <s v="위원"/>
    <x v="0"/>
    <s v="민간(국가)"/>
    <s v="기획재정부"/>
    <s v="한국원가관리협회"/>
    <s v="등록증"/>
    <d v="2025-05-30T00:00:00"/>
    <d v="2025-06-10T00:00:00"/>
    <d v="2030-05-29T00:00:00"/>
    <s v="PDF"/>
    <s v="공인원가분석사_조형찬"/>
    <x v="0"/>
    <s v="제조(CA)"/>
    <s v="공사(CB)"/>
    <s v="학술(CC)"/>
    <s v="SW(CD)"/>
    <s v="사후정산(CE)"/>
    <s v="각종 수수료(CF)"/>
    <s v="법원감정(CG)"/>
    <s v="개발부담금"/>
    <s v=""/>
  </r>
  <r>
    <s v="정영대"/>
    <s v="갈등조정중재"/>
    <s v="위원"/>
    <x v="1"/>
    <s v="전문자격"/>
    <s v="법무부"/>
    <s v="법무부"/>
    <s v="자격증"/>
    <d v="2004-12-24T00:00:00"/>
    <m/>
    <m/>
    <s v="PDF"/>
    <s v="변호사_정영대"/>
    <x v="0"/>
    <s v=""/>
    <s v=""/>
    <s v=""/>
    <s v=""/>
    <s v=""/>
    <s v=""/>
    <s v="법원감정(CG)"/>
    <s v=""/>
    <s v="갈등조정"/>
  </r>
  <r>
    <s v="신동명"/>
    <s v="갈등조정중재"/>
    <s v="위원"/>
    <x v="2"/>
    <s v="기사"/>
    <s v="고용노동부"/>
    <s v="한국산업인력공단"/>
    <s v="자격증"/>
    <d v="2009-10-19T00:00:00"/>
    <m/>
    <m/>
    <s v="PDF"/>
    <s v="공인노무사_신동명"/>
    <x v="0"/>
    <s v="제조(CA)"/>
    <s v="공사(CB)"/>
    <s v="학술(CC)"/>
    <s v="SW(CD)"/>
    <s v=""/>
    <s v="각종 수수료(CF)"/>
    <s v="법원감정(CG)"/>
    <s v=""/>
    <s v="갈등조정"/>
  </r>
  <r>
    <s v="유옥수"/>
    <s v="원가분석"/>
    <s v="위원"/>
    <x v="3"/>
    <s v="-"/>
    <s v="-"/>
    <s v="한국공인회계사회"/>
    <s v="등록증"/>
    <d v="2003-05-20T00:00:00"/>
    <d v="2023-05-20T00:00:00"/>
    <d v="2028-05-19T00:00:00"/>
    <s v="PDF"/>
    <s v="공인회계사_유옥수"/>
    <x v="0"/>
    <s v="제조(CA)"/>
    <s v="공사(CB)"/>
    <s v="학술(CC)"/>
    <s v="SW(CD)"/>
    <s v="사후정산(CE)"/>
    <s v="각종 수수료(CF)"/>
    <s v=""/>
    <s v=""/>
    <s v=""/>
  </r>
  <r>
    <s v="김민선"/>
    <s v="원장"/>
    <s v="원장"/>
    <x v="4"/>
    <s v="-"/>
    <s v="-"/>
    <s v="중소벤처기업부장관"/>
    <s v="등록증"/>
    <d v="2005-07-25T00:00:00"/>
    <d v="2026-01-01T00:00:00"/>
    <d v="2030-12-31T00:00:00"/>
    <s v="PDF"/>
    <s v="경영지도사_김민선"/>
    <x v="0"/>
    <s v="제조(CA)"/>
    <s v="공사(CB)"/>
    <s v="학술(CC)"/>
    <s v="SW(CD)"/>
    <s v="사후정산(CE)"/>
    <s v="각종 수수료(CF)"/>
    <s v=""/>
    <s v=""/>
    <s v=""/>
  </r>
  <r>
    <s v="변정도"/>
    <s v="원가분석"/>
    <s v="위원"/>
    <x v="4"/>
    <s v="-"/>
    <s v="-"/>
    <s v="중소벤처기업부장관"/>
    <s v="등록증"/>
    <d v="2004-10-27T00:00:00"/>
    <s v="25.01.01"/>
    <s v="29.12.31"/>
    <s v="PDF"/>
    <s v="경영지도사_변정도"/>
    <x v="0"/>
    <s v="제조(CA)"/>
    <s v="공사(CB)"/>
    <s v="학술(CC)"/>
    <s v="SW(CD)"/>
    <s v="사후정산(CE)"/>
    <s v="각종 수수료(CF)"/>
    <s v=""/>
    <s v=""/>
    <s v=""/>
  </r>
  <r>
    <s v="이규희"/>
    <s v="원가분석"/>
    <s v="위원"/>
    <x v="4"/>
    <s v="-"/>
    <s v="-"/>
    <s v="중소벤처기업부장관"/>
    <s v="등록증"/>
    <d v="2014-10-08T00:00:00"/>
    <m/>
    <m/>
    <s v="PDF"/>
    <s v="경영지도사_이규희"/>
    <x v="0"/>
    <s v="제조(CA)"/>
    <s v="공사(CB)"/>
    <s v="학술(CC)"/>
    <s v="SW(CD)"/>
    <s v="사후정산(CE)"/>
    <s v="각종 수수료(CF)"/>
    <s v=""/>
    <s v=""/>
    <s v=""/>
  </r>
  <r>
    <s v="박판진"/>
    <s v="품질관리"/>
    <s v="위원"/>
    <x v="4"/>
    <s v="-"/>
    <s v="-"/>
    <s v="중소벤처기업부장관"/>
    <s v="등록증"/>
    <d v="2015-01-01T00:00:00"/>
    <d v="2020-01-01T00:00:00"/>
    <d v="2029-12-31T00:00:00"/>
    <s v="PDF"/>
    <s v="경영지도사_박판진"/>
    <x v="0"/>
    <s v="제조(CA)"/>
    <s v="공사(CB)"/>
    <s v="학술(CC)"/>
    <s v="SW(CD)"/>
    <s v="사후정산(CE)"/>
    <s v="각종 수수료(CF)"/>
    <s v=""/>
    <s v=""/>
    <s v=""/>
  </r>
  <r>
    <s v="표순천"/>
    <s v="품질관리"/>
    <s v="위원"/>
    <x v="4"/>
    <s v="-"/>
    <s v="-"/>
    <s v="중소벤처기업부장관"/>
    <s v="등록증"/>
    <d v="2016-10-05T00:00:00"/>
    <d v="2023-01-01T00:00:00"/>
    <d v="2027-12-31T00:00:00"/>
    <s v="PDF"/>
    <s v="경영지도사_표순천"/>
    <x v="0"/>
    <s v="제조(CA)"/>
    <s v="공사(CB)"/>
    <s v="학술(CC)"/>
    <s v="SW(CD)"/>
    <s v="사후정산(CE)"/>
    <s v="각종 수수료(CF)"/>
    <s v=""/>
    <s v=""/>
    <s v=""/>
  </r>
  <r>
    <s v="정재훈"/>
    <s v="학술사업"/>
    <s v="위원"/>
    <x v="4"/>
    <s v="-"/>
    <s v="-"/>
    <s v="중소벤처기업부장관"/>
    <s v="등록증"/>
    <d v="2023-01-01T00:00:00"/>
    <d v="2023-01-01T00:00:00"/>
    <d v="2027-12-31T00:00:00"/>
    <s v="PDF"/>
    <s v="경영지도사_정재훈"/>
    <x v="0"/>
    <s v="제조(CA)"/>
    <s v="공사(CB)"/>
    <s v="학술(CC)"/>
    <s v="SW(CD)"/>
    <s v="사후정산(CE)"/>
    <s v="각종 수수료(CF)"/>
    <s v=""/>
    <s v=""/>
    <s v=""/>
  </r>
  <r>
    <s v="조형찬"/>
    <s v="학술사업"/>
    <s v="위원"/>
    <x v="4"/>
    <s v="-"/>
    <s v="-"/>
    <s v="중소벤처기업부장관"/>
    <s v="등록증"/>
    <d v="2022-01-01T00:00:00"/>
    <d v="2022-01-01T00:00:00"/>
    <d v="2026-12-31T00:00:00"/>
    <s v="PDF"/>
    <s v="경영지도사_조형찬"/>
    <x v="0"/>
    <s v="제조(CA)"/>
    <s v="공사(CB)"/>
    <s v="학술(CC)"/>
    <s v="SW(CD)"/>
    <s v="사후정산(CE)"/>
    <s v="각종 수수료(CF)"/>
    <s v=""/>
    <s v=""/>
    <s v=""/>
  </r>
  <r>
    <s v="김민선"/>
    <s v="원장"/>
    <s v="원장"/>
    <x v="5"/>
    <s v="민간"/>
    <s v="-"/>
    <s v="한국갈등조정중재그룹"/>
    <s v="자격증"/>
    <d v="2024-11-16T00:00:00"/>
    <m/>
    <m/>
    <s v="PDF"/>
    <s v="갈등조정전문가 1급_김민선"/>
    <x v="0"/>
    <s v="제조(CA)"/>
    <s v="공사(CB)"/>
    <s v="학술(CC)"/>
    <s v="SW(CD)"/>
    <s v=""/>
    <s v=""/>
    <s v="법원감정(CG)"/>
    <s v=""/>
    <s v="갈등조정"/>
  </r>
  <r>
    <s v="이병준"/>
    <s v="건설사업"/>
    <s v="부원장"/>
    <x v="5"/>
    <s v="민간"/>
    <s v="-"/>
    <s v="한국갈등조정중재그룹"/>
    <s v="자격증"/>
    <d v="2024-11-16T00:00:00"/>
    <m/>
    <m/>
    <s v="PDF"/>
    <s v="갈등조정전문가 1급_이병준"/>
    <x v="0"/>
    <s v="제조(CA)"/>
    <s v="공사(CB)"/>
    <s v="학술(CC)"/>
    <s v="SW(CD)"/>
    <s v=""/>
    <s v=""/>
    <s v="법원감정(CG)"/>
    <s v=""/>
    <s v="갈등조정"/>
  </r>
  <r>
    <s v="김혜미"/>
    <s v="갈등조정중재"/>
    <s v="위원"/>
    <x v="5"/>
    <s v="민간"/>
    <s v="-"/>
    <s v="한국갈등조정중재그룹"/>
    <s v="자격증"/>
    <d v="2024-11-16T00:00:00"/>
    <m/>
    <m/>
    <s v="PDF"/>
    <s v="갈등조정전문가 1급_김혜미"/>
    <x v="0"/>
    <s v="제조(CA)"/>
    <s v="공사(CB)"/>
    <s v="학술(CC)"/>
    <s v="SW(CD)"/>
    <s v=""/>
    <s v=""/>
    <s v="법원감정(CG)"/>
    <s v=""/>
    <s v="갈등조정"/>
  </r>
  <r>
    <s v="정영대"/>
    <s v="갈등조정중재"/>
    <s v="위원"/>
    <x v="5"/>
    <s v="민간"/>
    <s v="-"/>
    <s v="한국갈등조정중재그룹"/>
    <s v="자격증"/>
    <d v="2024-11-16T00:00:00"/>
    <m/>
    <m/>
    <s v="PDF"/>
    <s v="갈등조정전문가 1급_정영대"/>
    <x v="0"/>
    <s v="제조(CA)"/>
    <s v="공사(CB)"/>
    <s v="학술(CC)"/>
    <s v="SW(CD)"/>
    <s v=""/>
    <s v=""/>
    <s v="법원감정(CG)"/>
    <s v=""/>
    <s v="갈등조정"/>
  </r>
  <r>
    <s v="최내현"/>
    <s v="건설사업"/>
    <s v="위원"/>
    <x v="6"/>
    <s v="외국"/>
    <s v="-"/>
    <s v="미국 PMI"/>
    <s v="자격증"/>
    <d v="1999-11-27T00:00:00"/>
    <m/>
    <m/>
    <s v="PDF"/>
    <s v="PMP(Project Management Institute)_최내현"/>
    <x v="0"/>
    <s v="제조(CA)"/>
    <s v="공사(CB)"/>
    <s v=""/>
    <s v=""/>
    <s v=""/>
    <s v=""/>
    <s v="법원감정(CG)"/>
    <s v=""/>
    <s v=""/>
  </r>
  <r>
    <s v="김민선"/>
    <s v="원장"/>
    <s v="원장"/>
    <x v="7"/>
    <s v="민간"/>
    <s v="조달청"/>
    <s v="(사)한국경영기술지도사회"/>
    <s v="자격증"/>
    <d v="2006-01-06T00:00:00"/>
    <m/>
    <m/>
    <s v="PDF"/>
    <s v="조달계약사_김민선"/>
    <x v="1"/>
    <s v="제조(CA)"/>
    <s v=""/>
    <s v=""/>
    <s v=""/>
    <s v=""/>
    <s v=""/>
    <s v=""/>
    <s v=""/>
    <s v=""/>
  </r>
  <r>
    <s v="김창수"/>
    <s v="품질관리"/>
    <s v="이사"/>
    <x v="8"/>
    <s v="전문자격"/>
    <s v="국토교통부"/>
    <s v="한국산업인력공단"/>
    <s v="자격증"/>
    <d v="2020-08-19T00:00:00"/>
    <m/>
    <m/>
    <s v="PDF"/>
    <s v="물류관리사_김창수"/>
    <x v="1"/>
    <s v="제조(CA)"/>
    <s v=""/>
    <s v=""/>
    <s v=""/>
    <s v="사후정산(CE)"/>
    <s v="각종 수수료(CF)"/>
    <s v=""/>
    <s v=""/>
    <s v=""/>
  </r>
  <r>
    <s v="박판진"/>
    <s v="품질관리"/>
    <s v="위원"/>
    <x v="8"/>
    <s v="전문자격"/>
    <s v="국토교통부"/>
    <s v="한국산업인력공단"/>
    <s v="자격증"/>
    <d v="2017-08-02T00:00:00"/>
    <m/>
    <m/>
    <s v="PDF"/>
    <s v="물류관리사_박판진"/>
    <x v="1"/>
    <s v="제조(CA)"/>
    <s v=""/>
    <s v=""/>
    <s v=""/>
    <s v="사후정산(CE)"/>
    <s v="각종 수수료(CF)"/>
    <s v=""/>
    <s v=""/>
    <s v=""/>
  </r>
  <r>
    <s v="유길상"/>
    <s v="원가분석"/>
    <s v="위원"/>
    <x v="9"/>
    <s v="국가기술자격"/>
    <s v="산업통상자원부"/>
    <s v="한국산업인력공단"/>
    <s v="자격증"/>
    <d v="2014-11-14T00:00:00"/>
    <m/>
    <m/>
    <s v="PDF"/>
    <s v="품질관리기술사_유길상"/>
    <x v="1"/>
    <s v="제조(CA)"/>
    <s v=""/>
    <s v=""/>
    <s v=""/>
    <s v=""/>
    <s v="각종 수수료(CF)"/>
    <s v=""/>
    <s v=""/>
    <s v=""/>
  </r>
  <r>
    <s v="유길상"/>
    <s v="원가분석"/>
    <s v="위원"/>
    <x v="10"/>
    <s v="-"/>
    <s v="-"/>
    <s v="한국산업인력공단"/>
    <s v="자격증"/>
    <d v="2012-05-18T00:00:00"/>
    <d v="2012-05-18T00:00:00"/>
    <m/>
    <s v="PDF"/>
    <s v="화공안전기술사_유길상"/>
    <x v="1"/>
    <s v="제조(CA)"/>
    <s v="공사(CB)"/>
    <s v=""/>
    <s v=""/>
    <s v=""/>
    <s v="각종 수수료(CF)"/>
    <s v=""/>
    <s v=""/>
    <s v=""/>
  </r>
  <r>
    <s v="김연화"/>
    <s v="건설사업"/>
    <s v="전임연구원"/>
    <x v="11"/>
    <s v="전문자격"/>
    <s v="고용노동부"/>
    <s v="한국산업인력공단"/>
    <s v="자격증"/>
    <d v="2025-06-13T00:00:00"/>
    <m/>
    <m/>
    <s v="PDF"/>
    <s v="산업안전기사_김연화"/>
    <x v="1"/>
    <s v="제조(CA)"/>
    <s v=""/>
    <s v=""/>
    <s v=""/>
    <s v=""/>
    <s v="각종 수수료(CF)"/>
    <s v="법원감정(CG)"/>
    <s v=""/>
    <s v=""/>
  </r>
  <r>
    <s v="유길상"/>
    <s v="원가분석"/>
    <s v="위원"/>
    <x v="11"/>
    <s v="전문자격"/>
    <s v="고용노동부"/>
    <s v="한국산업인력공단"/>
    <s v="자격증"/>
    <d v="1983-08-22T00:00:00"/>
    <d v="1983-08-23T00:00:00"/>
    <m/>
    <s v="PDF"/>
    <s v="산업안전기사_유길상"/>
    <x v="1"/>
    <s v="제조(CA)"/>
    <s v=""/>
    <s v=""/>
    <s v=""/>
    <s v=""/>
    <s v="각종 수수료(CF)"/>
    <s v="법원감정(CG)"/>
    <s v=""/>
    <s v=""/>
  </r>
  <r>
    <s v="정재훈"/>
    <s v="학술사업"/>
    <s v="위원"/>
    <x v="11"/>
    <s v="전문자격"/>
    <s v="고용노동부"/>
    <s v="한국산업인력공단"/>
    <s v="자격증"/>
    <d v="2024-09-10T00:00:00"/>
    <m/>
    <m/>
    <s v="PDF"/>
    <s v="산업안전기사_정재훈"/>
    <x v="1"/>
    <s v="제조(CA)"/>
    <s v=""/>
    <s v=""/>
    <s v=""/>
    <s v=""/>
    <s v="각종 수수료(CF)"/>
    <s v="법원감정(CG)"/>
    <s v=""/>
    <s v=""/>
  </r>
  <r>
    <s v="신광수"/>
    <s v="원가분석"/>
    <s v="위원"/>
    <x v="12"/>
    <s v="기사"/>
    <s v="산업통상자원부"/>
    <s v="한국산업인력공단"/>
    <s v="자격증"/>
    <d v="1997-05-14T00:00:00"/>
    <m/>
    <m/>
    <s v="PDF"/>
    <s v="일반기계기사_신광수"/>
    <x v="1"/>
    <s v="제조(CA)"/>
    <s v="공사(CB)"/>
    <s v=""/>
    <s v=""/>
    <s v=""/>
    <s v=""/>
    <s v=""/>
    <s v=""/>
    <s v=""/>
  </r>
  <r>
    <s v="황운희"/>
    <s v="원가분석"/>
    <s v="위원"/>
    <x v="13"/>
    <s v="기사"/>
    <s v="-"/>
    <s v="한국기술검정공단"/>
    <s v="자격증"/>
    <d v="2009-04-30T00:00:00"/>
    <m/>
    <m/>
    <s v="PDF"/>
    <s v="전자기사_황운희"/>
    <x v="1"/>
    <s v=""/>
    <s v=""/>
    <s v=""/>
    <s v=""/>
    <s v=""/>
    <s v=""/>
    <s v=""/>
    <s v=""/>
    <s v=""/>
  </r>
  <r>
    <s v="변정도"/>
    <s v="원가분석"/>
    <s v="위원"/>
    <x v="14"/>
    <s v="국가기술자격"/>
    <s v="산업통상자원부"/>
    <s v="한국산업인력공단"/>
    <s v="자격증"/>
    <d v="1983-11-14T00:00:00"/>
    <m/>
    <m/>
    <s v="PDF"/>
    <s v="품질경영기사_변정도"/>
    <x v="1"/>
    <s v="제조(CA)"/>
    <s v=""/>
    <s v=""/>
    <s v=""/>
    <s v=""/>
    <s v="각종 수수료(CF)"/>
    <s v=""/>
    <s v=""/>
    <s v=""/>
  </r>
  <r>
    <s v="박판진"/>
    <s v="품질관리"/>
    <s v="위원"/>
    <x v="15"/>
    <s v="타기관"/>
    <s v="산업통상자원부"/>
    <s v="대한상공회의소"/>
    <s v="자격증"/>
    <d v="2017-08-02T00:00:00"/>
    <m/>
    <m/>
    <s v="PDF"/>
    <s v="유통관리사1급_박판진"/>
    <x v="1"/>
    <s v="제조(CA)"/>
    <s v=""/>
    <s v="학술(CC)"/>
    <s v=""/>
    <s v=""/>
    <s v="각종 수수료(CF)"/>
    <s v=""/>
    <s v=""/>
    <s v=""/>
  </r>
  <r>
    <s v="김종훈"/>
    <s v="원가분석"/>
    <s v="위원"/>
    <x v="16"/>
    <s v="국가기술자격"/>
    <s v="산업통상자원부"/>
    <s v="한국산업인력공단"/>
    <s v="자격증"/>
    <d v="1977-02-17T00:00:00"/>
    <d v="1977-02-07T00:00:00"/>
    <m/>
    <s v="PDF"/>
    <s v="금속기사_김종훈"/>
    <x v="1"/>
    <s v="제조(CA)"/>
    <s v="공사(CB)"/>
    <s v=""/>
    <s v=""/>
    <s v=""/>
    <s v="각종 수수료(CF)"/>
    <s v=""/>
    <s v=""/>
    <s v=""/>
  </r>
  <r>
    <s v="신광수"/>
    <s v="원가분석"/>
    <s v="위원"/>
    <x v="17"/>
    <s v="산업기사"/>
    <s v="산업통상자원부"/>
    <s v="한국산업인력공단"/>
    <s v="자격증"/>
    <d v="1974-06-28T00:00:00"/>
    <m/>
    <m/>
    <s v="PDF"/>
    <s v="에너지관리산업기사_신광수"/>
    <x v="1"/>
    <s v="제조(CA)"/>
    <s v="공사(CB)"/>
    <s v=""/>
    <s v=""/>
    <s v=""/>
    <s v="각종 수수료(CF)"/>
    <s v=""/>
    <s v=""/>
    <s v=""/>
  </r>
  <r>
    <s v="김대식"/>
    <s v="원가분석"/>
    <s v="위원"/>
    <x v="18"/>
    <s v="산업기사"/>
    <s v="과학기술정보통신부/산업통상자원부"/>
    <s v="한국산업인력공단"/>
    <s v="자격증"/>
    <d v="1997-06-09T00:00:00"/>
    <m/>
    <m/>
    <s v="PDF"/>
    <s v="전자계산기제어산업기사_김대식"/>
    <x v="1"/>
    <s v="제조(CA)"/>
    <s v="공사(CB)"/>
    <s v=""/>
    <s v=""/>
    <s v=""/>
    <s v=""/>
    <s v=""/>
    <s v=""/>
    <s v=""/>
  </r>
  <r>
    <s v="유길상"/>
    <s v="원가분석"/>
    <s v="위원"/>
    <x v="19"/>
    <s v="-"/>
    <s v="-"/>
    <s v="한국심사자격인증원"/>
    <s v="자격증"/>
    <d v="1985-07-29T00:00:00"/>
    <d v="1985-07-30T00:00:00"/>
    <m/>
    <s v="PDF"/>
    <s v="품질경영시스템 인증심사원_유길상"/>
    <x v="1"/>
    <s v="제조(CA)"/>
    <s v=""/>
    <s v=""/>
    <s v=""/>
    <s v=""/>
    <s v="각종 수수료(CF)"/>
    <s v=""/>
    <s v=""/>
    <s v=""/>
  </r>
  <r>
    <s v="유길상"/>
    <s v="원가분석"/>
    <s v="위원"/>
    <x v="20"/>
    <s v="민간"/>
    <s v="-"/>
    <s v="한국인정기구"/>
    <s v="자격증"/>
    <d v="2022-10-12T00:00:00"/>
    <m/>
    <d v="2025-10-11T00:00:00"/>
    <s v="PDF"/>
    <s v="KOLAS 평가사_유길상"/>
    <x v="1"/>
    <s v="제조(CA)"/>
    <s v=""/>
    <s v=""/>
    <s v=""/>
    <s v=""/>
    <s v="각종 수수료(CF)"/>
    <s v=""/>
    <s v=""/>
    <s v=""/>
  </r>
  <r>
    <s v="김민선"/>
    <s v="원장"/>
    <s v="원장"/>
    <x v="21"/>
    <s v="민간(국가)"/>
    <s v="국토교통부"/>
    <s v="한국자동차진단보증협회"/>
    <s v="자격증"/>
    <d v="2017-11-05T00:00:00"/>
    <m/>
    <m/>
    <s v="PDF"/>
    <s v="자동차진단평가사2급_김민선"/>
    <x v="1"/>
    <s v="제조(CA)"/>
    <s v=""/>
    <s v=""/>
    <s v=""/>
    <s v=""/>
    <s v="각종 수수료(CF)"/>
    <s v=""/>
    <s v=""/>
    <s v=""/>
  </r>
  <r>
    <s v="김민선"/>
    <s v="원장"/>
    <s v="원장"/>
    <x v="22"/>
    <s v="-"/>
    <s v="해양경찰청"/>
    <s v="해양경찰청"/>
    <s v="면허증"/>
    <d v="2017-10-25T00:00:00"/>
    <d v="2025-04-24T00:00:00"/>
    <m/>
    <s v="PDF"/>
    <s v="동력수상레저기구조종 일반조종1급_김민선"/>
    <x v="1"/>
    <s v=""/>
    <s v=""/>
    <s v=""/>
    <s v=""/>
    <s v=""/>
    <s v="각종 수수료(CF)"/>
    <s v=""/>
    <s v=""/>
    <s v=""/>
  </r>
  <r>
    <s v="김민선"/>
    <s v="원장"/>
    <s v="원장"/>
    <x v="23"/>
    <s v="민간"/>
    <s v="-"/>
    <s v="IRCA"/>
    <s v="자격증"/>
    <d v="2019-04-25T00:00:00"/>
    <m/>
    <m/>
    <s v="PDF"/>
    <s v="ISO 9000 2000(경영)_김민선"/>
    <x v="1"/>
    <s v="제조(CA)"/>
    <s v=""/>
    <s v="학술(CC)"/>
    <s v=""/>
    <s v=""/>
    <s v=""/>
    <s v=""/>
    <s v=""/>
    <s v=""/>
  </r>
  <r>
    <s v="김민선"/>
    <s v="원장"/>
    <s v="원장"/>
    <x v="24"/>
    <s v="민간"/>
    <s v="-"/>
    <s v="IQCS"/>
    <s v="자격증"/>
    <d v="2019-04-25T00:00:00"/>
    <m/>
    <m/>
    <s v="PDF"/>
    <s v="ISO 14001 2015(환경)_김민선"/>
    <x v="1"/>
    <s v="제조(CA)"/>
    <s v=""/>
    <s v="학술(CC)"/>
    <s v=""/>
    <s v=""/>
    <s v=""/>
    <s v=""/>
    <s v=""/>
    <s v=""/>
  </r>
  <r>
    <s v="장연주"/>
    <s v="원가분석"/>
    <s v="주임연구원"/>
    <x v="25"/>
    <s v="민간(국가)"/>
    <s v="금융위원회"/>
    <s v="한국공인회계사회"/>
    <s v="자격증"/>
    <d v="2023-11-25T00:00:00"/>
    <m/>
    <d v="2028-11-24T00:00:00"/>
    <s v="PDF"/>
    <s v="FAT 1급_장연주"/>
    <x v="1"/>
    <s v="제조(CA)"/>
    <s v=""/>
    <s v=""/>
    <s v=""/>
    <s v=""/>
    <s v=""/>
    <s v=""/>
    <s v=""/>
    <s v=""/>
  </r>
  <r>
    <s v="이병준"/>
    <s v="건설사업"/>
    <s v="부원장"/>
    <x v="26"/>
    <s v="국가기술자격"/>
    <s v="국토교통부"/>
    <s v="한국산업인력공단"/>
    <s v="자격증"/>
    <d v="1996-08-05T00:00:00"/>
    <m/>
    <m/>
    <s v="PDF"/>
    <s v="건축시공기술사_이병준"/>
    <x v="2"/>
    <s v=""/>
    <s v="공사(CB)"/>
    <s v=""/>
    <s v=""/>
    <s v=""/>
    <s v=""/>
    <s v="법원감정(CG)"/>
    <s v=""/>
    <s v=""/>
  </r>
  <r>
    <s v="피욱환"/>
    <s v="건설사업"/>
    <s v="위원"/>
    <x v="26"/>
    <s v="국가기술자격"/>
    <s v="국토교통부"/>
    <s v="한국산업인력공단"/>
    <s v="자격증"/>
    <d v="1990-12-28T00:00:00"/>
    <m/>
    <m/>
    <s v="PDF"/>
    <s v="건축시공기술사_피욱환"/>
    <x v="2"/>
    <s v=""/>
    <s v="공사(CB)"/>
    <s v=""/>
    <s v=""/>
    <s v=""/>
    <s v=""/>
    <s v="법원감정(CG)"/>
    <s v=""/>
    <s v=""/>
  </r>
  <r>
    <s v="강정구"/>
    <s v="전략기획"/>
    <s v="위원"/>
    <x v="26"/>
    <s v="국가기술자격"/>
    <s v="국토교통부"/>
    <s v="한국산업인력공단"/>
    <s v="자격증"/>
    <d v="2009-11-23T00:00:00"/>
    <m/>
    <m/>
    <s v="PDF"/>
    <s v="건축시공기술사_강정구"/>
    <x v="2"/>
    <s v=""/>
    <s v="공사(CB)"/>
    <s v=""/>
    <s v=""/>
    <s v=""/>
    <s v=""/>
    <s v="법원감정(CG)"/>
    <s v=""/>
    <s v=""/>
  </r>
  <r>
    <s v="김민선"/>
    <s v="원장"/>
    <s v="원장"/>
    <x v="27"/>
    <s v="민간"/>
    <s v="-"/>
    <s v="주거환경연구원"/>
    <s v="자격증"/>
    <d v="2025-02-12T00:00:00"/>
    <m/>
    <m/>
    <s v="PDF"/>
    <s v="정비사업전문관리사_김민선"/>
    <x v="2"/>
    <s v=""/>
    <s v="공사(CB)"/>
    <s v=""/>
    <s v=""/>
    <s v=""/>
    <s v=""/>
    <s v="법원감정(CG)"/>
    <s v=""/>
    <s v=""/>
  </r>
  <r>
    <s v="피욱환"/>
    <s v="건설사업"/>
    <s v="위원"/>
    <x v="28"/>
    <s v="기술사"/>
    <s v="고용노동부"/>
    <s v="한국산업인력공단"/>
    <s v="자격증"/>
    <d v="1987-08-04T00:00:00"/>
    <m/>
    <m/>
    <s v="PDF"/>
    <s v="건설안전기술사_피욱환"/>
    <x v="2"/>
    <s v=""/>
    <s v="공사(CB)"/>
    <s v=""/>
    <s v=""/>
    <s v=""/>
    <s v=""/>
    <s v=""/>
    <s v=""/>
    <s v=""/>
  </r>
  <r>
    <s v="김연화"/>
    <s v="건설사업"/>
    <s v="전임연구원"/>
    <x v="29"/>
    <s v="국가기술자격"/>
    <s v="국토교통부"/>
    <s v="한국산업인력공단"/>
    <s v="자격증"/>
    <d v="2020-09-11T00:00:00"/>
    <m/>
    <m/>
    <s v="PDF"/>
    <s v="건축기사_김연화"/>
    <x v="2"/>
    <s v=""/>
    <s v="공사(CB)"/>
    <s v=""/>
    <s v=""/>
    <s v=""/>
    <s v=""/>
    <s v=""/>
    <s v=""/>
    <s v=""/>
  </r>
  <r>
    <s v="박미야"/>
    <s v="건설사업"/>
    <s v="선임연구원"/>
    <x v="29"/>
    <s v="국가기술자격"/>
    <s v="국토교통부"/>
    <s v="한국산업인력공단"/>
    <s v="자격증"/>
    <d v="1999-07-05T00:00:00"/>
    <m/>
    <m/>
    <s v="PDF"/>
    <s v="건축기사_박미야"/>
    <x v="2"/>
    <s v=""/>
    <s v="공사(CB)"/>
    <s v=""/>
    <s v=""/>
    <s v=""/>
    <s v=""/>
    <s v=""/>
    <s v=""/>
    <s v=""/>
  </r>
  <r>
    <s v="이남일"/>
    <s v="건설사업"/>
    <s v="책임연구원"/>
    <x v="29"/>
    <s v="국가기술자격"/>
    <s v="국토교통부"/>
    <s v="한국산업인력공단"/>
    <s v="자격증"/>
    <d v="2011-09-02T00:00:00"/>
    <m/>
    <m/>
    <s v="PDF"/>
    <s v="건축기사_이남일"/>
    <x v="2"/>
    <s v=""/>
    <s v="공사(CB)"/>
    <s v=""/>
    <s v=""/>
    <s v=""/>
    <s v=""/>
    <s v=""/>
    <s v=""/>
    <s v=""/>
  </r>
  <r>
    <s v="이병준"/>
    <s v="건설사업"/>
    <s v="부원장"/>
    <x v="29"/>
    <s v="국가기술자격"/>
    <s v="국토교통부"/>
    <s v="한국산업인력공단"/>
    <s v="자격증"/>
    <d v="1988-12-29T00:00:00"/>
    <m/>
    <m/>
    <s v="PDF"/>
    <s v="건축기사_이병준"/>
    <x v="2"/>
    <s v=""/>
    <s v="공사(CB)"/>
    <s v=""/>
    <s v=""/>
    <s v=""/>
    <s v=""/>
    <s v=""/>
    <s v=""/>
    <s v=""/>
  </r>
  <r>
    <s v="유길상"/>
    <s v="원가분석"/>
    <s v="위원"/>
    <x v="30"/>
    <s v="-"/>
    <s v="-"/>
    <s v="한국산업인력공단"/>
    <s v="자격증"/>
    <d v="1982-11-08T00:00:00"/>
    <d v="2009-12-08T00:00:00"/>
    <m/>
    <s v="PDF"/>
    <s v="소방설비기사(기계분야)_유길상"/>
    <x v="2"/>
    <s v=""/>
    <s v="공사(CB)"/>
    <s v=""/>
    <s v=""/>
    <s v=""/>
    <s v=""/>
    <s v="법원감정(CG)"/>
    <s v=""/>
    <s v=""/>
  </r>
  <r>
    <s v="김연화"/>
    <s v="건설사업"/>
    <s v="전임연구원"/>
    <x v="31"/>
    <s v="기사"/>
    <s v="-"/>
    <s v="한국산업인력공단"/>
    <s v="자격증"/>
    <d v="2022-09-02T00:00:00"/>
    <m/>
    <m/>
    <s v="PDF"/>
    <s v="건설안전기사_김연화"/>
    <x v="2"/>
    <s v=""/>
    <s v="공사(CB)"/>
    <s v=""/>
    <s v=""/>
    <s v=""/>
    <s v=""/>
    <s v=""/>
    <s v=""/>
    <s v=""/>
  </r>
  <r>
    <s v="김민선"/>
    <s v="원장"/>
    <s v="원장"/>
    <x v="32"/>
    <s v="민간"/>
    <s v="-"/>
    <s v="(사)한국비아이엠학회"/>
    <s v="자격증"/>
    <d v="2020-03-04T00:00:00"/>
    <m/>
    <m/>
    <s v="PDF"/>
    <s v="BIM 운용전문가2급 건축_김민선"/>
    <x v="2"/>
    <s v=""/>
    <s v="공사(CB)"/>
    <s v=""/>
    <s v=""/>
    <s v=""/>
    <s v=""/>
    <s v="법원감정(CG)"/>
    <s v=""/>
    <s v=""/>
  </r>
  <r>
    <s v="이규희"/>
    <s v="원가분석"/>
    <s v="위원"/>
    <x v="33"/>
    <s v="전문자격"/>
    <s v="국토교통부"/>
    <s v="한국산업인력공단"/>
    <s v="자격증"/>
    <d v="1985-11-21T00:00:00"/>
    <m/>
    <m/>
    <s v="PDF"/>
    <s v="공인중개사_이규희"/>
    <x v="2"/>
    <s v=""/>
    <s v="공사(CB)"/>
    <s v=""/>
    <s v=""/>
    <s v=""/>
    <s v="각종 수수료(CF)"/>
    <s v=""/>
    <s v=""/>
    <s v=""/>
  </r>
  <r>
    <s v="김연화"/>
    <s v="건설사업"/>
    <s v="전임연구원"/>
    <x v="34"/>
    <s v="기능사"/>
    <s v="-"/>
    <s v="한국산업인력공단"/>
    <s v="자격증"/>
    <d v="2017-04-14T00:00:00"/>
    <m/>
    <m/>
    <s v="PDF"/>
    <s v="전산응용건축제도기능사_김연화"/>
    <x v="2"/>
    <s v=""/>
    <s v="공사(CB)"/>
    <s v=""/>
    <s v=""/>
    <s v=""/>
    <s v=""/>
    <s v=""/>
    <s v=""/>
    <s v=""/>
  </r>
  <r>
    <s v="김민선"/>
    <s v="원장"/>
    <s v="원장"/>
    <x v="35"/>
    <s v="민간"/>
    <s v="산업통상자원부"/>
    <s v="(사)기술거래사회"/>
    <s v="등록증"/>
    <d v="2014-06-16T00:00:00"/>
    <d v="2019-12-27T00:00:00"/>
    <m/>
    <s v="PDF"/>
    <s v="기술거래사_김민선"/>
    <x v="3"/>
    <s v=""/>
    <s v=""/>
    <s v="학술(CC)"/>
    <s v=""/>
    <s v=""/>
    <s v="각종 수수료(CF)"/>
    <s v=""/>
    <s v=""/>
    <s v=""/>
  </r>
  <r>
    <s v="하은정"/>
    <s v="원가분석"/>
    <s v="이사"/>
    <x v="35"/>
    <s v="민간"/>
    <s v="산업통상자원부"/>
    <s v="(사)기술거래사회"/>
    <s v="등록증"/>
    <d v="2014-06-16T00:00:00"/>
    <d v="2019-12-27T00:00:00"/>
    <m/>
    <s v="PDF"/>
    <s v="기술거래사_하은정"/>
    <x v="3"/>
    <s v=""/>
    <s v=""/>
    <s v="학술(CC)"/>
    <s v=""/>
    <s v=""/>
    <s v="각종 수수료(CF)"/>
    <s v=""/>
    <s v=""/>
    <s v=""/>
  </r>
  <r>
    <s v="김민선"/>
    <s v="원장"/>
    <s v="원장"/>
    <x v="36"/>
    <s v="민간"/>
    <s v="-"/>
    <s v="한국경영기술지도사회"/>
    <s v="자격증"/>
    <d v="2018-01-01T00:00:00"/>
    <m/>
    <d v="2020-12-31T00:00:00"/>
    <s v="PDF"/>
    <s v="국제경영컨설턴트(CMC)_김민선"/>
    <x v="3"/>
    <s v=""/>
    <s v=""/>
    <s v="학술(CC)"/>
    <s v=""/>
    <s v=""/>
    <s v="각종 수수료(CF)"/>
    <s v=""/>
    <s v=""/>
    <s v=""/>
  </r>
  <r>
    <s v="김민선"/>
    <s v="원장"/>
    <s v="원장"/>
    <x v="37"/>
    <s v="민간"/>
    <s v="산림청"/>
    <s v="산림청"/>
    <s v="자격증"/>
    <d v="2020-08-11T00:00:00"/>
    <m/>
    <m/>
    <s v="PDF"/>
    <s v="수목치료기술자_김민선"/>
    <x v="3"/>
    <s v=""/>
    <s v=""/>
    <s v="학술(CC)"/>
    <s v=""/>
    <s v=""/>
    <s v="각종 수수료(CF)"/>
    <s v=""/>
    <s v=""/>
    <s v=""/>
  </r>
  <r>
    <s v="하은정"/>
    <s v="원가분석"/>
    <s v="이사"/>
    <x v="37"/>
    <s v="민간"/>
    <s v="산림청"/>
    <s v="산림청"/>
    <s v="자격증"/>
    <d v="2021-09-16T00:00:00"/>
    <m/>
    <m/>
    <s v="PDF"/>
    <s v="수목치료기술자_하은정"/>
    <x v="3"/>
    <s v=""/>
    <s v=""/>
    <s v="학술(CC)"/>
    <s v=""/>
    <s v=""/>
    <s v="각종 수수료(CF)"/>
    <s v=""/>
    <s v=""/>
    <s v=""/>
  </r>
  <r>
    <s v="김민선"/>
    <s v="원장"/>
    <s v="원장"/>
    <x v="38"/>
    <s v="타기관"/>
    <s v="교육부"/>
    <s v="교육부"/>
    <s v="자격증"/>
    <d v="2018-08-31T00:00:00"/>
    <m/>
    <m/>
    <s v="PDF"/>
    <s v="평생교육사2급_김민선"/>
    <x v="3"/>
    <s v=""/>
    <s v=""/>
    <s v="학술(CC)"/>
    <s v=""/>
    <s v=""/>
    <s v=""/>
    <s v=""/>
    <s v=""/>
    <s v=""/>
  </r>
  <r>
    <s v="하은정"/>
    <s v="원가분석"/>
    <s v="이사"/>
    <x v="38"/>
    <s v="타기관"/>
    <s v="교육부"/>
    <s v="교육부"/>
    <s v="자격증"/>
    <d v="2018-08-13T00:00:00"/>
    <m/>
    <m/>
    <s v="PDF"/>
    <s v="평생교육사2급_하은정"/>
    <x v="3"/>
    <s v=""/>
    <s v=""/>
    <s v="학술(CC)"/>
    <s v=""/>
    <s v=""/>
    <s v=""/>
    <s v=""/>
    <s v=""/>
    <s v=""/>
  </r>
  <r>
    <s v="김민선"/>
    <s v="원장"/>
    <s v="원장"/>
    <x v="39"/>
    <s v="산업기사"/>
    <s v="농촌진흥청"/>
    <s v="한국산업인력공단"/>
    <s v="자격증"/>
    <d v="2022-12-16T00:00:00"/>
    <m/>
    <m/>
    <s v="PDF"/>
    <s v="식물보호산업기사_김민선"/>
    <x v="3"/>
    <s v=""/>
    <s v=""/>
    <s v="학술(CC)"/>
    <s v=""/>
    <s v=""/>
    <s v="각종 수수료(CF)"/>
    <s v=""/>
    <s v=""/>
    <s v=""/>
  </r>
  <r>
    <s v="신광수"/>
    <s v="원가분석"/>
    <s v="위원"/>
    <x v="39"/>
    <s v="산업기사"/>
    <s v="농촌진흥청"/>
    <m/>
    <s v="자격증"/>
    <d v="2023-11-15T00:00:00"/>
    <m/>
    <m/>
    <s v="PDF"/>
    <s v="식물보호산업기사_신광수"/>
    <x v="3"/>
    <s v=""/>
    <s v=""/>
    <s v="학술(CC)"/>
    <s v=""/>
    <s v=""/>
    <s v="각종 수수료(CF)"/>
    <s v=""/>
    <s v=""/>
    <s v=""/>
  </r>
  <r>
    <s v="김민선"/>
    <s v="원장"/>
    <s v="원장"/>
    <x v="40"/>
    <s v="민간"/>
    <s v="-"/>
    <s v="(사)한국창업보육협회"/>
    <s v="자격증"/>
    <d v="2024-06-30T00:00:00"/>
    <m/>
    <d v="2029-12-31T00:00:00"/>
    <s v="PDF"/>
    <s v="창업보육전문매니저_김민선"/>
    <x v="3"/>
    <s v=""/>
    <s v=""/>
    <s v="학술(CC)"/>
    <s v=""/>
    <s v=""/>
    <s v=""/>
    <s v=""/>
    <s v=""/>
    <s v=""/>
  </r>
  <r>
    <s v="김민선"/>
    <s v="원장"/>
    <s v="원장"/>
    <x v="41"/>
    <s v="민간"/>
    <s v="고용노동부"/>
    <s v="한국산업카운슬러협회"/>
    <s v="자격증"/>
    <d v="2016-05-21T00:00:00"/>
    <d v="2016-05-21T00:00:00"/>
    <d v="2019-05-20T00:00:00"/>
    <s v="PDF"/>
    <s v="산업카운슬러1급_김민선"/>
    <x v="3"/>
    <s v=""/>
    <s v=""/>
    <s v="학술(CC)"/>
    <s v=""/>
    <s v=""/>
    <s v="각종 수수료(CF)"/>
    <s v="법원감정(CG)"/>
    <s v=""/>
    <s v="갈등조정"/>
  </r>
  <r>
    <s v="김민선"/>
    <s v="원장"/>
    <s v="원장"/>
    <x v="42"/>
    <s v="민간"/>
    <s v="-"/>
    <s v="(사)한국M&amp;A컨설팅협회"/>
    <s v="자격증"/>
    <d v="2007-03-30T00:00:00"/>
    <m/>
    <m/>
    <s v="PDF"/>
    <s v="M&amp;A지도사_김민선"/>
    <x v="3"/>
    <s v=""/>
    <s v=""/>
    <s v="학술(CC)"/>
    <s v=""/>
    <s v=""/>
    <s v="각종 수수료(CF)"/>
    <s v=""/>
    <s v=""/>
    <s v=""/>
  </r>
  <r>
    <s v="김민선"/>
    <s v="원장"/>
    <s v="원장"/>
    <x v="43"/>
    <s v="민간"/>
    <s v="-"/>
    <s v="한국공인회계사회"/>
    <s v="자격증"/>
    <d v="2004-07-01T00:00:00"/>
    <m/>
    <m/>
    <s v="PDF"/>
    <s v="ERP 물류 컨설턴트_김민선"/>
    <x v="3"/>
    <s v=""/>
    <s v=""/>
    <s v=""/>
    <s v=""/>
    <s v=""/>
    <s v="각종 수수료(CF)"/>
    <s v=""/>
    <s v=""/>
    <s v=""/>
  </r>
  <r>
    <s v="김민선"/>
    <s v="원장"/>
    <s v="원장"/>
    <x v="44"/>
    <s v="민간"/>
    <s v="-"/>
    <s v="한국채용면접관인증원"/>
    <s v="자격증"/>
    <d v="2017-12-08T00:00:00"/>
    <m/>
    <m/>
    <s v="PDF"/>
    <s v="채용면접관 자격인증서_김민선"/>
    <x v="3"/>
    <s v=""/>
    <s v=""/>
    <s v="학술(CC)"/>
    <s v=""/>
    <s v=""/>
    <s v="각종 수수료(CF)"/>
    <s v=""/>
    <s v=""/>
    <s v=""/>
  </r>
  <r>
    <s v="표순천"/>
    <s v="품질관리"/>
    <s v="위원"/>
    <x v="45"/>
    <s v="민간(국가)"/>
    <s v="금융위원회"/>
    <s v="한국금융연수원"/>
    <s v="자격증"/>
    <d v="1990-07-16T00:00:00"/>
    <m/>
    <m/>
    <s v="PDF"/>
    <s v="신용분석사_표순천"/>
    <x v="3"/>
    <s v=""/>
    <s v=""/>
    <s v="학술(CC)"/>
    <s v=""/>
    <s v=""/>
    <s v=""/>
    <s v=""/>
    <s v=""/>
    <s v=""/>
  </r>
  <r>
    <s v="신광수"/>
    <s v="원가분석"/>
    <s v="위원"/>
    <x v="46"/>
    <s v="민간"/>
    <s v="-"/>
    <s v="한국자격개발원"/>
    <s v="자격증"/>
    <d v="2006-02-23T00:00:00"/>
    <m/>
    <d v="2009-02-22T00:00:00"/>
    <s v="PDF"/>
    <s v="약용식물관리사_신광수"/>
    <x v="3"/>
    <s v=""/>
    <s v=""/>
    <s v="학술(CC)"/>
    <s v=""/>
    <s v=""/>
    <s v="각종 수수료(CF)"/>
    <s v=""/>
    <s v=""/>
    <s v=""/>
  </r>
  <r>
    <s v="김민선"/>
    <s v="원장"/>
    <s v="원장"/>
    <x v="47"/>
    <s v="민간"/>
    <s v="-"/>
    <s v="한국소프트웨어측정원"/>
    <s v="자격증"/>
    <d v="2020-02-28T00:00:00"/>
    <m/>
    <m/>
    <s v="PDF"/>
    <s v="기능점수측정전문가(K-CFPS)_김민선"/>
    <x v="4"/>
    <s v=""/>
    <s v=""/>
    <s v=""/>
    <s v="SW(CD)"/>
    <s v=""/>
    <s v=""/>
    <s v=""/>
    <s v=""/>
    <s v=""/>
  </r>
  <r>
    <s v="박희성"/>
    <s v="원가분석"/>
    <s v="위원"/>
    <x v="47"/>
    <s v="민간"/>
    <s v="-"/>
    <s v="한국소프트웨어측정원"/>
    <s v="자격증"/>
    <d v="2019-06-21T00:00:00"/>
    <m/>
    <m/>
    <s v="PDF"/>
    <s v="기능점수측정전문가(K-CFPS)_박희성"/>
    <x v="4"/>
    <s v=""/>
    <s v=""/>
    <s v=""/>
    <s v="SW(CD)"/>
    <s v=""/>
    <s v=""/>
    <s v=""/>
    <s v=""/>
    <s v=""/>
  </r>
  <r>
    <s v="김대식"/>
    <s v="원가분석"/>
    <s v="위원"/>
    <x v="48"/>
    <s v="기사"/>
    <s v="과학기술정보통신부"/>
    <s v="한국산업인력공단"/>
    <s v="자격증"/>
    <d v="2004-08-16T00:00:00"/>
    <m/>
    <m/>
    <s v="PDF"/>
    <s v="정보처리기사_김대식"/>
    <x v="4"/>
    <s v=""/>
    <s v=""/>
    <s v=""/>
    <s v="SW(CD)"/>
    <s v=""/>
    <s v=""/>
    <s v=""/>
    <s v=""/>
    <s v=""/>
  </r>
  <r>
    <s v="박희성"/>
    <s v="원가분석"/>
    <s v="위원"/>
    <x v="49"/>
    <s v="외국"/>
    <s v="-"/>
    <s v="(국제)정보시스템 감사통제협회(ISACA)"/>
    <s v="자격증"/>
    <d v="2001-09-12T00:00:00"/>
    <m/>
    <m/>
    <s v="PDF"/>
    <s v="CISA(certified Information Systems Auditor)_박희성"/>
    <x v="4"/>
    <s v=""/>
    <s v=""/>
    <s v=""/>
    <s v="SW(CD)"/>
    <s v=""/>
    <s v=""/>
    <s v=""/>
    <s v=""/>
    <s v=""/>
  </r>
  <r>
    <s v="김민선"/>
    <s v="원장"/>
    <s v="원장"/>
    <x v="50"/>
    <s v="민간"/>
    <s v="-"/>
    <s v="한국생산성본부"/>
    <s v="자격증"/>
    <d v="2018-12-21T00:00:00"/>
    <m/>
    <m/>
    <s v="PDF"/>
    <s v="데이터 사이언티스트 능력 인증(DSAC)_김민선"/>
    <x v="4"/>
    <s v=""/>
    <s v=""/>
    <s v=""/>
    <s v="SW(CD)"/>
    <s v=""/>
    <s v=""/>
    <s v=""/>
    <s v=""/>
    <s v=""/>
  </r>
  <r>
    <s v="박희성"/>
    <s v="원가분석"/>
    <s v="위원"/>
    <x v="51"/>
    <s v="민간"/>
    <s v="-"/>
    <s v="정보통신산업진흥원"/>
    <s v="자격증"/>
    <d v="2013-06-11T00:00:00"/>
    <m/>
    <m/>
    <s v="PDF"/>
    <s v="SW프로세스품질인증심사원_박희성"/>
    <x v="4"/>
    <s v=""/>
    <s v=""/>
    <s v=""/>
    <s v="SW(CD)"/>
    <s v=""/>
    <s v=""/>
    <s v=""/>
    <s v=""/>
    <s v=""/>
  </r>
  <r>
    <s v="김연화"/>
    <s v="건설사업"/>
    <s v="전임연구원"/>
    <x v="52"/>
    <s v="기능사"/>
    <s v="-"/>
    <s v="한국산업인력공단"/>
    <s v="자격증"/>
    <d v="2013-06-28T00:00:00"/>
    <m/>
    <m/>
    <s v="PDF"/>
    <s v="컴퓨터그래픽기능사_김연화"/>
    <x v="4"/>
    <s v=""/>
    <s v=""/>
    <s v=""/>
    <s v="SW(CD)"/>
    <s v=""/>
    <s v=""/>
    <s v=""/>
    <s v=""/>
    <s v=""/>
  </r>
  <r>
    <s v="장연주"/>
    <s v="원가분석"/>
    <s v="주임연구원"/>
    <x v="53"/>
    <s v="서비스"/>
    <s v="고용노동부"/>
    <s v="대한상공회의소"/>
    <s v="자격증"/>
    <d v="2024-03-01T00:00:00"/>
    <m/>
    <m/>
    <s v="PDF"/>
    <s v="컴퓨터활용능력 2급_장연주"/>
    <x v="4"/>
    <s v=""/>
    <s v=""/>
    <s v=""/>
    <s v=""/>
    <s v=""/>
    <s v="각종 수수료(CF)"/>
    <s v=""/>
    <s v=""/>
    <s v=""/>
  </r>
  <r>
    <s v="김연화"/>
    <s v="건설사업"/>
    <s v="전임연구원"/>
    <x v="54"/>
    <s v="기능사"/>
    <s v="-"/>
    <s v="한국산업인력공단"/>
    <s v="자격증"/>
    <d v="2013-12-27T00:00:00"/>
    <m/>
    <m/>
    <s v="PDF"/>
    <s v="웹디자인개발기능사_김연화"/>
    <x v="4"/>
    <s v=""/>
    <s v=""/>
    <s v="학술(CC)"/>
    <s v="SW(CD)"/>
    <s v=""/>
    <s v=""/>
    <s v=""/>
    <s v=""/>
    <s v=""/>
  </r>
  <r>
    <s v="김대식"/>
    <s v="원가분석"/>
    <s v="위원"/>
    <x v="55"/>
    <s v="산업기사"/>
    <s v="과학기술정보통신부"/>
    <s v="한국산업인력공단"/>
    <s v="자격증"/>
    <d v="1997-09-29T00:00:00"/>
    <m/>
    <m/>
    <s v="PDF"/>
    <s v="정보처리산업기사_김대식"/>
    <x v="4"/>
    <s v=""/>
    <s v=""/>
    <s v=""/>
    <s v="SW(CD)"/>
    <s v=""/>
    <s v=""/>
    <s v=""/>
    <s v=""/>
    <s v=""/>
  </r>
  <r>
    <s v="이규희"/>
    <s v="원가분석"/>
    <s v="위원"/>
    <x v="56"/>
    <s v="전문자격"/>
    <s v="공정거래위원회"/>
    <s v="한국산업인력공단"/>
    <s v="자격증"/>
    <d v="2019-12-30T00:00:00"/>
    <m/>
    <m/>
    <s v="PDF"/>
    <s v="가맹거래사_이규희"/>
    <x v="5"/>
    <s v=""/>
    <s v=""/>
    <s v=""/>
    <s v=""/>
    <s v=""/>
    <s v="각종 수수료(CF)"/>
    <s v=""/>
    <s v=""/>
    <s v=""/>
  </r>
  <r>
    <s v="표순천"/>
    <s v="품질관리"/>
    <s v="위원"/>
    <x v="56"/>
    <s v="전문자격"/>
    <s v="공정거래위원회"/>
    <s v="한국산업인력공단"/>
    <s v="자격증"/>
    <d v="2021-03-11T00:00:00"/>
    <d v="2021-03-11T00:00:00"/>
    <d v="2026-03-10T00:00:00"/>
    <s v="PDF"/>
    <s v="가맹거래사_표순천"/>
    <x v="5"/>
    <s v=""/>
    <s v=""/>
    <s v=""/>
    <s v=""/>
    <s v=""/>
    <s v="각종 수수료(CF)"/>
    <s v=""/>
    <s v=""/>
    <s v=""/>
  </r>
  <r>
    <s v="정영대"/>
    <s v="갈등조정중재"/>
    <s v="위원"/>
    <x v="56"/>
    <s v="전문자격"/>
    <s v="공정거래위원회"/>
    <s v="한국산업인력공단"/>
    <s v="자격증"/>
    <d v="2011-12-29T00:00:00"/>
    <m/>
    <m/>
    <s v="PDF"/>
    <s v="가맹거래사_정영대"/>
    <x v="5"/>
    <s v=""/>
    <s v=""/>
    <s v=""/>
    <s v=""/>
    <s v=""/>
    <s v="각종 수수료(CF)"/>
    <s v=""/>
    <s v=""/>
    <s v=""/>
  </r>
  <r>
    <s v="김민선"/>
    <s v="원장"/>
    <s v="원장"/>
    <x v="57"/>
    <s v="민간"/>
    <s v="보건복지부"/>
    <s v="한국사회복지사협회"/>
    <s v="자격증"/>
    <d v="2016-01-19T00:00:00"/>
    <m/>
    <m/>
    <s v="PDF"/>
    <s v="사회복지사2급_김민선"/>
    <x v="5"/>
    <s v=""/>
    <s v=""/>
    <s v=""/>
    <s v=""/>
    <s v=""/>
    <s v="각종 수수료(CF)"/>
    <s v=""/>
    <s v=""/>
    <s v=""/>
  </r>
  <r>
    <s v="하은정"/>
    <s v="원가분석"/>
    <s v="이사"/>
    <x v="57"/>
    <s v="민간"/>
    <s v="보건복지부"/>
    <s v="한국사회복지사협회"/>
    <s v="자격증"/>
    <d v="2016-01-19T00:00:00"/>
    <m/>
    <m/>
    <s v="PDF"/>
    <s v="사회복지사2급_하은정"/>
    <x v="5"/>
    <s v=""/>
    <s v=""/>
    <s v=""/>
    <s v=""/>
    <s v=""/>
    <s v="각종 수수료(CF)"/>
    <s v=""/>
    <s v=""/>
    <s v=""/>
  </r>
  <r>
    <s v="김민선"/>
    <s v="원장"/>
    <s v="원장"/>
    <x v="58"/>
    <s v="민간(국가)"/>
    <s v="금융위원회"/>
    <s v="삼일회계법인"/>
    <s v="자격증"/>
    <d v="2003-10-06T00:00:00"/>
    <m/>
    <m/>
    <s v="PDF"/>
    <s v="재경관리사_김민선"/>
    <x v="5"/>
    <s v=""/>
    <s v=""/>
    <s v=""/>
    <s v=""/>
    <s v="사후정산(CE)"/>
    <s v=""/>
    <s v=""/>
    <s v=""/>
    <s v=""/>
  </r>
  <r>
    <s v="김용전"/>
    <s v="원가분석"/>
    <s v="연구원"/>
    <x v="58"/>
    <s v="민간(국가)"/>
    <s v="금융위원회"/>
    <s v="삼일회계법인"/>
    <s v="자격증"/>
    <d v="2024-08-02T00:00:00"/>
    <m/>
    <m/>
    <s v="PDF"/>
    <s v="재경관리사_김용전"/>
    <x v="5"/>
    <s v=""/>
    <s v=""/>
    <s v=""/>
    <s v=""/>
    <s v="사후정산(CE)"/>
    <s v=""/>
    <s v=""/>
    <s v=""/>
    <s v=""/>
  </r>
  <r>
    <s v="김민선"/>
    <s v="원장"/>
    <s v="원장"/>
    <x v="59"/>
    <s v="민간"/>
    <s v="보건복지부"/>
    <s v="한국자격검정평가진흥원"/>
    <s v="자격증"/>
    <d v="2018-10-24T00:00:00"/>
    <m/>
    <m/>
    <s v="PDF"/>
    <s v="보험심사평가사1급_김민선"/>
    <x v="5"/>
    <s v=""/>
    <s v=""/>
    <s v=""/>
    <s v=""/>
    <s v=""/>
    <s v="각종 수수료(CF)"/>
    <s v=""/>
    <s v=""/>
    <s v=""/>
  </r>
  <r>
    <s v="하은정"/>
    <s v="원가분석"/>
    <s v="이사"/>
    <x v="59"/>
    <s v="민간"/>
    <s v="보건복지부"/>
    <s v="한국자격검정평가진흥원"/>
    <s v="자격증"/>
    <d v="2018-10-24T00:00:00"/>
    <m/>
    <m/>
    <s v="PDF"/>
    <s v="보험심사평가사1급_하은정"/>
    <x v="5"/>
    <s v=""/>
    <s v=""/>
    <s v=""/>
    <s v=""/>
    <s v=""/>
    <s v="각종 수수료(CF)"/>
    <s v=""/>
    <s v=""/>
    <s v=""/>
  </r>
  <r>
    <s v="김민선"/>
    <s v="원장"/>
    <s v="원장"/>
    <x v="60"/>
    <s v="민간"/>
    <s v="-"/>
    <s v="한국공인회계사회"/>
    <s v="자격증"/>
    <d v="2004-05-06T00:00:00"/>
    <m/>
    <m/>
    <s v="PDF"/>
    <s v="ERP 회계 컨설턴트_김민선"/>
    <x v="5"/>
    <s v=""/>
    <s v=""/>
    <s v=""/>
    <s v=""/>
    <s v="사후정산(CE)"/>
    <s v=""/>
    <s v=""/>
    <s v=""/>
    <s v=""/>
  </r>
  <r>
    <s v="김민선"/>
    <s v="원장"/>
    <s v="원장"/>
    <x v="61"/>
    <s v="민간"/>
    <s v="-"/>
    <s v="(사)한국비시피협회"/>
    <s v="자격증"/>
    <d v="2015-04-03T00:00:00"/>
    <m/>
    <m/>
    <s v="PDF"/>
    <s v="재난관리지도사_김민선"/>
    <x v="5"/>
    <s v=""/>
    <s v=""/>
    <s v=""/>
    <s v=""/>
    <s v=""/>
    <s v="각종 수수료(CF)"/>
    <s v=""/>
    <s v=""/>
    <s v=""/>
  </r>
  <r>
    <s v="신광수"/>
    <s v="원가분석"/>
    <s v="위원"/>
    <x v="62"/>
    <s v="기사"/>
    <s v="농림축산식품부"/>
    <s v="한국산업인력공단"/>
    <s v="자격증"/>
    <d v="2012-11-23T00:00:00"/>
    <m/>
    <m/>
    <s v="PDF"/>
    <s v="유기농업기사_신광수"/>
    <x v="5"/>
    <s v=""/>
    <s v=""/>
    <s v=""/>
    <s v=""/>
    <s v=""/>
    <s v="각종 수수료(CF)"/>
    <s v=""/>
    <s v=""/>
    <s v=""/>
  </r>
  <r>
    <s v="김혜미"/>
    <s v="갈등조정중재"/>
    <s v="위원"/>
    <x v="63"/>
    <s v="타기관"/>
    <s v="보건복지부"/>
    <s v="보건복지부"/>
    <s v="면허증"/>
    <d v="2002-04-19T00:00:00"/>
    <m/>
    <m/>
    <s v="PDF"/>
    <s v="간호사_김혜미"/>
    <x v="5"/>
    <s v=""/>
    <s v=""/>
    <s v=""/>
    <s v=""/>
    <s v=""/>
    <s v="각종 수수료(CF)"/>
    <s v=""/>
    <s v=""/>
    <s v="갈등조정"/>
  </r>
  <r>
    <s v="김민선"/>
    <s v="원장"/>
    <s v="원장"/>
    <x v="64"/>
    <s v="민간"/>
    <s v="보건복지부"/>
    <s v="사회보험사협회"/>
    <s v="자격증"/>
    <d v="2011-07-28T00:00:00"/>
    <m/>
    <m/>
    <s v="PDF"/>
    <s v="사회보험사2급_김민선"/>
    <x v="5"/>
    <s v=""/>
    <s v=""/>
    <s v=""/>
    <s v=""/>
    <s v=""/>
    <s v="각종 수수료(CF)"/>
    <s v=""/>
    <s v=""/>
    <s v=""/>
  </r>
  <r>
    <s v="김민선"/>
    <s v="원장"/>
    <s v="원장"/>
    <x v="65"/>
    <s v="민간"/>
    <s v="-"/>
    <s v="대한골프협회"/>
    <s v="자격증"/>
    <d v="2017-11-16T00:00:00"/>
    <m/>
    <m/>
    <s v="PDF"/>
    <s v="R&amp;A Level 2 Rules School_김민선"/>
    <x v="5"/>
    <s v=""/>
    <s v=""/>
    <s v=""/>
    <s v="SW(CD)"/>
    <s v=""/>
    <s v="각종 수수료(CF)"/>
    <s v=""/>
    <s v=""/>
    <s v=""/>
  </r>
  <r>
    <s v="김민선"/>
    <s v="원장"/>
    <s v="원장"/>
    <x v="66"/>
    <s v="-"/>
    <s v="인천지방해양수산청"/>
    <s v="인천지방해양수산청"/>
    <s v="면허증"/>
    <d v="2017-11-30T00:00:00"/>
    <d v="2027-11-28T00:00:00"/>
    <m/>
    <s v="PDF"/>
    <s v="소형선박조종사(해기사)_김민선"/>
    <x v="5"/>
    <s v=""/>
    <s v=""/>
    <s v=""/>
    <s v=""/>
    <s v=""/>
    <s v="각종 수수료(CF)"/>
    <s v=""/>
    <s v=""/>
    <s v=""/>
  </r>
  <r>
    <s v="장연주"/>
    <s v="원가분석"/>
    <s v="주임연구원"/>
    <x v="67"/>
    <s v="민간(국가)"/>
    <s v="금융위원회"/>
    <s v="한국공인회계사회"/>
    <s v="자격증"/>
    <d v="2023-10-28T00:00:00"/>
    <m/>
    <d v="2028-10-27T00:00:00"/>
    <s v="PDF"/>
    <s v="FAT 2급_장연주"/>
    <x v="5"/>
    <s v="제조(CA)"/>
    <s v=""/>
    <s v=""/>
    <s v=""/>
    <s v=""/>
    <s v=""/>
    <s v=""/>
    <s v=""/>
    <s v=""/>
  </r>
  <r>
    <s v="김민선"/>
    <s v="원장"/>
    <s v="원장"/>
    <x v="68"/>
    <s v="-"/>
    <s v="한국교통안전공단"/>
    <s v="한국교통안전공단"/>
    <s v="면허증"/>
    <d v="2020-01-20T00:00:00"/>
    <m/>
    <m/>
    <s v="PDF"/>
    <s v="초경량비행장치 조종자_김민선"/>
    <x v="5"/>
    <s v=""/>
    <s v=""/>
    <s v=""/>
    <s v=""/>
    <s v=""/>
    <s v="각종 수수료(CF)"/>
    <s v=""/>
    <s v=""/>
    <s v=""/>
  </r>
  <r>
    <s v="장연주"/>
    <s v="원가분석"/>
    <s v="주임연구원"/>
    <x v="69"/>
    <s v="민간(국가)"/>
    <s v="과학기술정보통신부"/>
    <s v="한국생산성본부"/>
    <s v="자격증"/>
    <d v="2023-10-10T00:00:00"/>
    <m/>
    <m/>
    <s v="PDF"/>
    <s v="ERP 회계 정보관리사 2급_장연주"/>
    <x v="5"/>
    <s v=""/>
    <s v=""/>
    <s v=""/>
    <s v=""/>
    <s v="사후정산(CE)"/>
    <s v=""/>
    <s v=""/>
    <s v=""/>
    <s v=""/>
  </r>
  <r>
    <s v="장연주"/>
    <s v="원가분석"/>
    <s v="주임연구원"/>
    <x v="70"/>
    <s v="민간(국가)"/>
    <s v="과학기술정보통신부"/>
    <s v="한국생산성본부"/>
    <s v="자격증"/>
    <d v="2023-04-11T00:00:00"/>
    <m/>
    <m/>
    <s v="PDF"/>
    <s v="ERP 인사 정보관리사 2급_장연주"/>
    <x v="5"/>
    <s v=""/>
    <s v=""/>
    <s v="학술(CC)"/>
    <s v=""/>
    <s v=""/>
    <s v="각종 수수료(CF)"/>
    <s v=""/>
    <s v=" "/>
    <s v=""/>
  </r>
  <r>
    <s v="장연주"/>
    <s v="원가분석"/>
    <s v="주임연구원"/>
    <x v="71"/>
    <s v="민간(국가)"/>
    <s v="고용노동부"/>
    <s v="한국세무사회"/>
    <s v="자격증"/>
    <d v="2023-10-26T00:00:00"/>
    <d v="2023-10-26T00:00:00"/>
    <d v="2028-10-25T00:00:00"/>
    <s v="PDF"/>
    <s v="전산회계 2급_장연주"/>
    <x v="5"/>
    <s v=""/>
    <s v=""/>
    <s v=""/>
    <s v=""/>
    <s v="사후정산(CE)"/>
    <s v=""/>
    <s v=""/>
    <s v=""/>
    <s v=""/>
  </r>
  <r>
    <s v="김민선"/>
    <s v="원장"/>
    <s v="원장"/>
    <x v="72"/>
    <s v="민간"/>
    <s v="보건복지부"/>
    <s v="(사)한국의료행정실무협회"/>
    <s v="자격증"/>
    <d v="2018-12-19T00:00:00"/>
    <m/>
    <d v="2023-12-18T00:00:00"/>
    <s v="PDF"/>
    <s v="보험심사평가사2급_김민선"/>
    <x v="5"/>
    <s v=""/>
    <s v=""/>
    <s v=""/>
    <s v=""/>
    <s v=""/>
    <s v="각종 수수료(CF)"/>
    <s v=""/>
    <s v=""/>
    <s v=""/>
  </r>
  <r>
    <s v="김민선"/>
    <s v="원장"/>
    <s v="원장"/>
    <x v="73"/>
    <s v="민간"/>
    <s v="보건복지부"/>
    <s v="사회보험사협회"/>
    <s v="자격증"/>
    <d v="2017-08-08T00:00:00"/>
    <m/>
    <m/>
    <s v="PDF"/>
    <s v="사회보험사1급_김민선"/>
    <x v="5"/>
    <s v=""/>
    <s v=""/>
    <s v=""/>
    <s v=""/>
    <s v=""/>
    <s v="각종 수수료(CF)"/>
    <s v=""/>
    <s v=""/>
    <s v=""/>
  </r>
  <r>
    <s v="박희성"/>
    <s v="원가분석"/>
    <s v="위원"/>
    <x v="74"/>
    <s v="-"/>
    <s v="-"/>
    <s v="SGS United Kingdom Ltd"/>
    <s v="자격증"/>
    <d v="2009-09-27T00:00:00"/>
    <m/>
    <m/>
    <s v="PDF"/>
    <s v="ISO27001_SGS심사원_박희성"/>
    <x v="0"/>
    <s v=""/>
    <s v=""/>
    <s v=""/>
    <s v=""/>
    <s v=""/>
    <s v=""/>
    <s v=""/>
    <s v=""/>
    <s v=""/>
  </r>
  <r>
    <s v="최재운"/>
    <s v="건설사업"/>
    <s v="본부장"/>
    <x v="75"/>
    <s v="-"/>
    <s v="-"/>
    <s v="한국자격검정평가진흥원"/>
    <s v="자격증"/>
    <s v="25.01.20"/>
    <m/>
    <m/>
    <s v="PDF"/>
    <s v="PMP(프로젝트관리전문가) 1급_최재운"/>
    <x v="0"/>
    <s v="제조(CA)"/>
    <s v="공사(CB)"/>
    <s v=""/>
    <s v=""/>
    <s v=""/>
    <s v=""/>
    <s v="법원감정(CG)"/>
    <s v=""/>
    <s v=""/>
  </r>
  <r>
    <s v="이병준"/>
    <s v="건설사업"/>
    <s v="부원장"/>
    <x v="76"/>
    <s v="-"/>
    <s v="-"/>
    <s v="한국기술사회"/>
    <s v="자격증"/>
    <s v="11.06.29"/>
    <m/>
    <m/>
    <s v="PDF"/>
    <s v="건설사업관리전문가(CMP)_이병준"/>
    <x v="2"/>
    <s v=""/>
    <s v="공사(CB)"/>
    <s v=""/>
    <s v=""/>
    <s v=""/>
    <s v=""/>
    <s v=""/>
    <s v=""/>
    <s v=""/>
  </r>
  <r>
    <s v="정영대"/>
    <s v="갈등조정중재"/>
    <s v="위원"/>
    <x v="77"/>
    <s v="전문자격"/>
    <s v="국세청"/>
    <s v="한국산업인력공단"/>
    <s v="자격증"/>
    <d v="2008-10-08T00:00:00"/>
    <m/>
    <m/>
    <s v="PDF"/>
    <s v="세무사_정영대"/>
    <x v="3"/>
    <s v=""/>
    <s v=""/>
    <s v="학술(CC)"/>
    <s v=""/>
    <s v="사후정산(CE)"/>
    <s v=""/>
    <s v=""/>
    <s v=""/>
    <s v=""/>
  </r>
  <r>
    <s v="이병준"/>
    <s v="건설사업"/>
    <s v="부원장"/>
    <x v="78"/>
    <s v="민간"/>
    <s v="-"/>
    <s v="한국소방시설협회"/>
    <s v="자격증"/>
    <d v="2022-03-22T00:00:00"/>
    <m/>
    <m/>
    <s v="PDF"/>
    <s v="소방기술자 (기계 특급, 전기 고급)_이병준"/>
    <x v="2"/>
    <s v=""/>
    <s v="공사(CB)"/>
    <s v=""/>
    <s v=""/>
    <s v=""/>
    <s v="각종 수수료(CF)"/>
    <s v="법원감정(CG)"/>
    <s v=""/>
    <s v=""/>
  </r>
  <r>
    <s v="김민선"/>
    <s v="원장"/>
    <s v="원장"/>
    <x v="79"/>
    <s v="민간"/>
    <s v="행정안전부"/>
    <s v="한국공공정책평가협회"/>
    <s v="자격증"/>
    <d v="2018-12-22T00:00:00"/>
    <m/>
    <m/>
    <s v="PDF"/>
    <s v="정책분석평가사1급_김민선"/>
    <x v="3"/>
    <s v=""/>
    <s v=""/>
    <s v="학술(CC)"/>
    <s v=""/>
    <s v=""/>
    <s v="각종 수수료(CF)"/>
    <s v=""/>
    <s v=""/>
    <s v=""/>
  </r>
  <r>
    <s v="하은정"/>
    <s v="원가분석"/>
    <s v="이사"/>
    <x v="79"/>
    <s v="민간"/>
    <s v="행정안전부"/>
    <s v="한국공공정책평가협회"/>
    <s v="자격증"/>
    <d v="2018-12-22T00:00:00"/>
    <m/>
    <m/>
    <s v="PDF"/>
    <s v="정책분석평가사1급_하은정"/>
    <x v="3"/>
    <s v=""/>
    <s v=""/>
    <s v="학술(CC)"/>
    <s v=""/>
    <s v=""/>
    <s v="각종 수수료(CF)"/>
    <s v="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s v="원가분석"/>
    <s v="위원"/>
    <x v="0"/>
    <x v="0"/>
    <s v="전북대학교 대학원"/>
    <s v="화학공학과"/>
    <s v="공업화학전공"/>
    <s v="PDF"/>
    <s v="박사_공학박사_전북대학교 대학원_유길상"/>
  </r>
  <r>
    <x v="1"/>
    <s v="원가분석"/>
    <s v="위원"/>
    <x v="0"/>
    <x v="0"/>
    <s v="성균관대학교 대학원"/>
    <s v="전자공학과"/>
    <s v="전자공학전공"/>
    <s v="PDF"/>
    <s v="박사_공학박사_성균관대학교 대학원_황운희"/>
  </r>
  <r>
    <x v="2"/>
    <s v="품질관리"/>
    <s v="이사"/>
    <x v="0"/>
    <x v="0"/>
    <s v="아주대학교 대학원"/>
    <s v="시스템공학과"/>
    <s v="시스템공학전공"/>
    <s v="PDF"/>
    <s v="박사_공학박사_아주대학교 대학원_김창수"/>
  </r>
  <r>
    <x v="3"/>
    <s v="원장"/>
    <s v="원장"/>
    <x v="0"/>
    <x v="1"/>
    <s v="을지대학교 대학원"/>
    <s v="의료IT마케팅학과"/>
    <s v="의료IT마케팅학전공"/>
    <s v="PDF"/>
    <s v="박사_이학박사_을지대학교 대학원_김민선"/>
  </r>
  <r>
    <x v="4"/>
    <s v="원가분석"/>
    <s v="위원"/>
    <x v="0"/>
    <x v="1"/>
    <s v="건국대학교 일반대학원"/>
    <s v="분자생명공학과"/>
    <s v="분자생명공학전공"/>
    <s v="PDF"/>
    <s v="박사_이학박사_건국대학교 일반대학원_신광수"/>
  </r>
  <r>
    <x v="5"/>
    <s v="갈등조정중재"/>
    <s v="위원"/>
    <x v="0"/>
    <x v="2"/>
    <s v="동방문화대학원대학교"/>
    <m/>
    <s v="동양철학전공"/>
    <s v="PDF"/>
    <s v="박사_동양철학박사_동방문화대학원대학교_정영대"/>
  </r>
  <r>
    <x v="3"/>
    <s v="원장"/>
    <s v="원장"/>
    <x v="1"/>
    <x v="3"/>
    <s v="연세대학교 정경대학원"/>
    <m/>
    <s v="경영학전공"/>
    <s v="PDF"/>
    <s v="석사_경영학석사_연세대학교 정경대학원_김민선"/>
  </r>
  <r>
    <x v="6"/>
    <s v="원가분석"/>
    <s v="위원"/>
    <x v="1"/>
    <x v="3"/>
    <s v="연세대학교 정경대학원"/>
    <m/>
    <s v="경영학전공"/>
    <s v="PDF"/>
    <s v="석사_경영학석사_연세대학교 정경대학원_권광민"/>
  </r>
  <r>
    <x v="7"/>
    <s v="원가분석"/>
    <s v="위원"/>
    <x v="1"/>
    <x v="3"/>
    <s v="숭실대학교 경영대학원"/>
    <s v="전문경영학과"/>
    <m/>
    <s v="PDF"/>
    <s v="석사_경영학석사_숭실대학교 경영대학원_김대식"/>
  </r>
  <r>
    <x v="4"/>
    <s v="원가분석"/>
    <s v="위원"/>
    <x v="1"/>
    <x v="3"/>
    <s v="중앙대학교 국제경영대학원"/>
    <s v="국제경영학과"/>
    <m/>
    <s v="PDF"/>
    <s v="석사_경영학석사_중앙대학교 국제경영대학원_신광수"/>
  </r>
  <r>
    <x v="8"/>
    <s v="품질관리"/>
    <s v="위원"/>
    <x v="1"/>
    <x v="3"/>
    <s v="호서대학교 글로벌창업대학원"/>
    <s v="창업컨설턴트학과"/>
    <m/>
    <s v="PDF"/>
    <s v="석사_경영학석사_호서대학교 글로벌창업대학원_박판진"/>
  </r>
  <r>
    <x v="9"/>
    <s v="건설사업"/>
    <s v="위원"/>
    <x v="1"/>
    <x v="4"/>
    <s v="경북대학교 산업대학원"/>
    <s v="산업공학과"/>
    <s v="건축공학전공"/>
    <s v="PDF"/>
    <s v="석사_공학석사_경북대학교 산업대학원_피욱환"/>
  </r>
  <r>
    <x v="0"/>
    <s v="원가분석"/>
    <s v="위원"/>
    <x v="1"/>
    <x v="4"/>
    <s v="전북대학교 대학원"/>
    <s v="화학공학과"/>
    <s v="공업화학전공"/>
    <s v="PDF"/>
    <s v="석사_공학석사_전북대학교 대학원_유길상"/>
  </r>
  <r>
    <x v="1"/>
    <s v="원가분석"/>
    <s v="위원"/>
    <x v="1"/>
    <x v="4"/>
    <s v="경북대학교 대학원"/>
    <s v="전자공학과"/>
    <m/>
    <s v="PDF"/>
    <s v="석사_공학석사_경북대학교 대학원_황운희"/>
  </r>
  <r>
    <x v="2"/>
    <s v="품질관리"/>
    <s v="이사"/>
    <x v="1"/>
    <x v="4"/>
    <s v="서울대학교 대학원"/>
    <s v="기계설계학과"/>
    <s v="기계설계학전공"/>
    <s v="PDF"/>
    <s v="석사_공학석사_서울대학교 대학원_김창수"/>
  </r>
  <r>
    <x v="10"/>
    <s v="학술사업"/>
    <s v="위원"/>
    <x v="1"/>
    <x v="4"/>
    <s v="서울대학교 대학원"/>
    <s v="조선해양공학과"/>
    <s v="조선해양공학전공"/>
    <s v="PDF"/>
    <s v="석사_공학석사_서울대학교 대학원_정재훈"/>
  </r>
  <r>
    <x v="11"/>
    <s v="품질관리"/>
    <s v="위원"/>
    <x v="1"/>
    <x v="5"/>
    <s v="한성대학교 지식서비스&amp;컨설팅대학원"/>
    <s v="지식서비스&amp;컨설팅학과"/>
    <s v="매니지먼트컨설팅전공"/>
    <s v="PDF"/>
    <s v="석사_컨설팅학석사_한성대학교 지식서비스&amp;컨설팅대학원_표순천"/>
  </r>
  <r>
    <x v="12"/>
    <s v="갈등조정중재"/>
    <s v="위원"/>
    <x v="1"/>
    <x v="5"/>
    <s v="한성대학교 지식서비스&amp;컨설팅대학원"/>
    <s v="지식서비스&amp;컨설팅학과"/>
    <s v="매니지먼트컨설팅전공"/>
    <s v="PDF"/>
    <s v="석사_컨설팅학석사_한성대학교 지식서비스&amp;컨설팅대학원_신동명"/>
  </r>
  <r>
    <x v="13"/>
    <s v="건설사업"/>
    <s v="부원장"/>
    <x v="1"/>
    <x v="6"/>
    <s v="광운대학교 건설법무대학원"/>
    <s v="건설법무학과"/>
    <s v="건설소송실무전공"/>
    <s v="PDF"/>
    <s v="석사_법학석사_광운대학교 건설법무대학원_이병준"/>
  </r>
  <r>
    <x v="14"/>
    <s v="원가분석"/>
    <s v="이사"/>
    <x v="1"/>
    <x v="7"/>
    <s v="동국대학교 행정대학원"/>
    <s v="행정학과"/>
    <s v="행정학전공"/>
    <s v="PDF"/>
    <s v="석사_행정학석사_동국대학교 행정대학원_하은정"/>
  </r>
  <r>
    <x v="5"/>
    <s v="갈등조정중재"/>
    <s v="위원"/>
    <x v="1"/>
    <x v="8"/>
    <s v="한신대학교 신학대학원"/>
    <s v="신학과"/>
    <s v="실천신학전공"/>
    <s v="PDF"/>
    <s v="석사_신학석사_한신대학교 신학대학원_정영대"/>
  </r>
  <r>
    <x v="15"/>
    <s v="학술사업"/>
    <s v="위원"/>
    <x v="1"/>
    <x v="8"/>
    <s v="한신대학교 대학원"/>
    <s v="신학과"/>
    <s v="기독교윤리전공"/>
    <s v="PDF"/>
    <s v="석사_신학석사_한신대학교 대학원_조형찬"/>
  </r>
  <r>
    <x v="3"/>
    <s v="원장"/>
    <s v="원장"/>
    <x v="2"/>
    <x v="9"/>
    <s v="한양사이버대학교"/>
    <m/>
    <s v="디지털건축도시공학(주전공)_x000a_/전기전자공학전공(복수전공)"/>
    <s v="PDF"/>
    <s v="학사_공학사_한양사이버대학교_김민선"/>
  </r>
  <r>
    <x v="16"/>
    <s v="건설사업"/>
    <s v="선임연구원"/>
    <x v="2"/>
    <x v="9"/>
    <s v="경상국립대학교"/>
    <s v="건축공학과"/>
    <m/>
    <s v="PDF"/>
    <s v="학사_공학사_경상국립대학교_박미야"/>
  </r>
  <r>
    <x v="17"/>
    <s v="건설사업"/>
    <s v="책임연구원"/>
    <x v="2"/>
    <x v="9"/>
    <s v="세종대학교"/>
    <s v="공학부"/>
    <s v="건축공학전공"/>
    <s v="PDF"/>
    <s v="학사_공학사_세종대학교_이남일"/>
  </r>
  <r>
    <x v="13"/>
    <s v="건설사업"/>
    <s v="부원장"/>
    <x v="2"/>
    <x v="9"/>
    <s v="한양사이버대학교"/>
    <m/>
    <s v="디지털건축도시공학전공"/>
    <s v="PDF"/>
    <s v="학사_공학사_한양사이버대학교_이병준"/>
  </r>
  <r>
    <x v="18"/>
    <s v="건설사업"/>
    <s v="위원"/>
    <x v="2"/>
    <x v="9"/>
    <s v="호원대학교"/>
    <m/>
    <s v="토목공학전공"/>
    <s v="PDF"/>
    <s v="학사_공학사_호원대학교_최내현"/>
  </r>
  <r>
    <x v="19"/>
    <s v="건설사업"/>
    <s v="본부장"/>
    <x v="2"/>
    <x v="9"/>
    <s v="단국대학교"/>
    <s v="건축공학과"/>
    <m/>
    <s v="PDF"/>
    <s v="학사_공학사_단국대학교_최재운"/>
  </r>
  <r>
    <x v="20"/>
    <s v="원가분석"/>
    <s v="위원"/>
    <x v="2"/>
    <x v="9"/>
    <s v="연세대학교 이공대학"/>
    <s v="금속공학과"/>
    <s v="금속공학전공"/>
    <s v="PDF"/>
    <s v="학사_공학사_연세대학교 이공대학_김종훈"/>
  </r>
  <r>
    <x v="21"/>
    <s v="원가분석"/>
    <s v="위원"/>
    <x v="2"/>
    <x v="9"/>
    <s v="인하대학교 공과대학"/>
    <s v="공학과"/>
    <s v="기계공학전공"/>
    <s v="PDF"/>
    <s v="학사_공학사_인하대학교 공과대학_변정도"/>
  </r>
  <r>
    <x v="4"/>
    <s v="원가분석"/>
    <s v="위원"/>
    <x v="2"/>
    <x v="9"/>
    <s v="영남대학교 공과대학"/>
    <s v="기계공학과"/>
    <m/>
    <s v="PDF"/>
    <s v="학사_공학사_영남대학교 공과대학_신광수"/>
  </r>
  <r>
    <x v="0"/>
    <s v="원가분석"/>
    <s v="위원"/>
    <x v="2"/>
    <x v="9"/>
    <s v="전북대학교 공과대학"/>
    <m/>
    <s v="화학공학전공"/>
    <s v="PDF"/>
    <s v="학사_공학사_전북대학교 공과대학_유길상"/>
  </r>
  <r>
    <x v="1"/>
    <s v="원가분석"/>
    <s v="위원"/>
    <x v="2"/>
    <x v="9"/>
    <s v="경북대학교 공과대학"/>
    <s v="전자공학과"/>
    <m/>
    <s v="PDF"/>
    <s v="학사_공학사_경북대학교 공과대학_황운희"/>
  </r>
  <r>
    <x v="2"/>
    <s v="품질관리"/>
    <s v="이사"/>
    <x v="2"/>
    <x v="9"/>
    <s v="서울대학교 공과대학"/>
    <s v="기계공학과"/>
    <m/>
    <s v="PDF"/>
    <s v="학사_공학사_서울대학교 공과대학_김창수"/>
  </r>
  <r>
    <x v="10"/>
    <s v="학술사업"/>
    <s v="위원"/>
    <x v="2"/>
    <x v="9"/>
    <s v="서울대학교 공과대학"/>
    <s v="조선해양공학과"/>
    <m/>
    <s v="PDF"/>
    <s v="학사_공학사_서울대학교 공과대학_정재훈"/>
  </r>
  <r>
    <x v="22"/>
    <s v="건설사업"/>
    <s v="선임연구원"/>
    <x v="2"/>
    <x v="10"/>
    <s v="경기과학기술대학교"/>
    <s v="건축인테리어학과"/>
    <m/>
    <s v="PDF"/>
    <s v="학사_건축학사_경기과학기술대학교_이길훈"/>
  </r>
  <r>
    <x v="3"/>
    <s v="원장"/>
    <s v="원장"/>
    <x v="2"/>
    <x v="11"/>
    <s v="건양대학교"/>
    <s v="세무학과"/>
    <s v="세무학"/>
    <s v="PDF"/>
    <s v="학사_경영학사_건양대학교_김민선"/>
  </r>
  <r>
    <x v="6"/>
    <s v="원가분석"/>
    <s v="위원"/>
    <x v="2"/>
    <x v="11"/>
    <s v="순천향대학교 글로벌경영대학"/>
    <s v="경영학부"/>
    <s v="경영학전공"/>
    <s v="PDF"/>
    <s v="학사_경영학사_순천향대학교 글로벌경영대학_권광민"/>
  </r>
  <r>
    <x v="23"/>
    <s v="원가분석"/>
    <s v="연구원"/>
    <x v="2"/>
    <x v="11"/>
    <s v="중앙대학교"/>
    <m/>
    <m/>
    <s v="PDF"/>
    <s v="학사_경영학사_중앙대학교_김용전"/>
  </r>
  <r>
    <x v="24"/>
    <s v="원가분석"/>
    <s v="위원"/>
    <x v="2"/>
    <x v="11"/>
    <s v="한양대학교 경상대학"/>
    <s v="경영학과"/>
    <m/>
    <s v="PDF"/>
    <s v="학사_경영학사_한양대학교 경상대학_유옥수"/>
  </r>
  <r>
    <x v="25"/>
    <s v="원가분석"/>
    <s v="위원"/>
    <x v="2"/>
    <x v="11"/>
    <s v="강원대학교 경영대학"/>
    <s v="경영학과"/>
    <s v="경영학전공"/>
    <s v="PDF"/>
    <s v="학사_경영학사_강원대학교 경영대학_이규희"/>
  </r>
  <r>
    <x v="26"/>
    <s v="원가분석"/>
    <s v="위원"/>
    <x v="2"/>
    <x v="11"/>
    <s v="한국방송통신대학교"/>
    <s v="경영학과"/>
    <m/>
    <s v="PDF"/>
    <s v="학사_경영학사_한국방송통신대학교_이동환"/>
  </r>
  <r>
    <x v="27"/>
    <s v="원가분석"/>
    <s v="위원"/>
    <x v="2"/>
    <x v="12"/>
    <s v="한남대학교"/>
    <m/>
    <s v="경제학전공"/>
    <s v="PDF"/>
    <s v="학사_경제학사_한남대학교_박희성"/>
  </r>
  <r>
    <x v="8"/>
    <s v="품질관리"/>
    <s v="위원"/>
    <x v="2"/>
    <x v="12"/>
    <s v="전남대학교 상과대학"/>
    <s v="경제학과"/>
    <m/>
    <s v="PDF"/>
    <s v="학사_경제학사_전남대학교 상과대학_박판진"/>
  </r>
  <r>
    <x v="11"/>
    <s v="품질관리"/>
    <s v="위원"/>
    <x v="2"/>
    <x v="12"/>
    <s v="강원대학교 경영대학"/>
    <s v="경제학과"/>
    <m/>
    <s v="PDF"/>
    <s v="학사_경제학사_강원대학교 경영대학_표순천"/>
  </r>
  <r>
    <x v="12"/>
    <s v="갈등조정중재"/>
    <s v="위원"/>
    <x v="2"/>
    <x v="12"/>
    <s v="성균관대학교"/>
    <s v="경제학부"/>
    <s v="경제학전공"/>
    <s v="PDF"/>
    <s v="학사_경제학사_성균관대학교_신동명"/>
  </r>
  <r>
    <x v="14"/>
    <s v="원가분석"/>
    <s v="이사"/>
    <x v="2"/>
    <x v="13"/>
    <s v="한양사이버대학교"/>
    <m/>
    <s v="보건행정학전공"/>
    <s v="PDF"/>
    <s v="학사_보건행정학사_한양사이버대학교_하은정"/>
  </r>
  <r>
    <x v="7"/>
    <s v="원가분석"/>
    <s v="위원"/>
    <x v="2"/>
    <x v="14"/>
    <s v="국가평생교육진흥원"/>
    <m/>
    <s v="컴퓨터과학전공"/>
    <s v="PDF"/>
    <s v="학사_이학사_국가평생교육진흥원_김대식"/>
  </r>
  <r>
    <x v="5"/>
    <s v="갈등조정중재"/>
    <s v="위원"/>
    <x v="2"/>
    <x v="15"/>
    <s v="한신대학교 신학대학"/>
    <s v="신학과"/>
    <m/>
    <s v="PDF"/>
    <s v="학사_신학사_한신대학교 신학대학_정영대"/>
  </r>
  <r>
    <x v="15"/>
    <s v="학술사업"/>
    <s v="위원"/>
    <x v="2"/>
    <x v="15"/>
    <s v="한신대학교 신학대학"/>
    <s v="신학과"/>
    <s v="신학전공"/>
    <s v="PDF"/>
    <s v="학사_신학사_한신대학교 신학대학_조형찬"/>
  </r>
  <r>
    <x v="3"/>
    <s v="원장"/>
    <s v="원장"/>
    <x v="2"/>
    <x v="16"/>
    <s v="국가평생교육진흥원"/>
    <m/>
    <s v="사회복지학전공"/>
    <s v="PDF"/>
    <s v="학사_행정학사_국가평생교육진흥원_김민선"/>
  </r>
  <r>
    <x v="4"/>
    <s v="원가분석"/>
    <s v="위원"/>
    <x v="2"/>
    <x v="17"/>
    <s v="한국방송통신대학교"/>
    <s v="영어영문학과"/>
    <m/>
    <s v="PDF"/>
    <s v="학사_문학사_한국방송통신대학교_신광수"/>
  </r>
  <r>
    <x v="3"/>
    <s v="원장"/>
    <s v="원장"/>
    <x v="2"/>
    <x v="18"/>
    <s v="한국방송통신대학교"/>
    <s v="농학과"/>
    <m/>
    <s v="PDF"/>
    <s v="학사_농학사_한국방송통신대학교_김민선"/>
  </r>
  <r>
    <x v="4"/>
    <s v="원가분석"/>
    <s v="위원"/>
    <x v="2"/>
    <x v="18"/>
    <s v="한국방송통신대학교"/>
    <s v="농학과"/>
    <m/>
    <s v="PDF"/>
    <s v="학사_농학사_한국방송통신대학교_신광수"/>
  </r>
  <r>
    <x v="28"/>
    <s v="갈등조정중재"/>
    <s v="위원"/>
    <x v="2"/>
    <x v="19"/>
    <s v="서울보건대학교(현 을지대학교)"/>
    <s v="간호과"/>
    <m/>
    <s v="PDF"/>
    <s v="학사_간호학사_서울보건대학교(현 을지대학교)_김혜미"/>
  </r>
  <r>
    <x v="29"/>
    <s v="원가분석"/>
    <s v="주임연구원"/>
    <x v="3"/>
    <x v="20"/>
    <s v="서일대학교"/>
    <s v="정보통신공학과"/>
    <m/>
    <s v="PDF"/>
    <s v="전문학사_공학전문학사_서일대학교_장연주"/>
  </r>
  <r>
    <x v="14"/>
    <s v="원가분석"/>
    <s v="이사"/>
    <x v="2"/>
    <x v="21"/>
    <s v="서해대학교"/>
    <s v="세무회계과"/>
    <m/>
    <s v="PDF"/>
    <s v="학사_세무회계학사_서해대학교_하은정"/>
  </r>
  <r>
    <x v="30"/>
    <s v="건설사업"/>
    <s v="전임연구원"/>
    <x v="4"/>
    <x v="22"/>
    <m/>
    <m/>
    <m/>
    <s v="PDF"/>
    <s v="고졸___김연화"/>
  </r>
  <r>
    <x v="31"/>
    <m/>
    <m/>
    <x v="5"/>
    <x v="22"/>
    <m/>
    <m/>
    <m/>
    <m/>
    <m/>
  </r>
  <r>
    <x v="31"/>
    <m/>
    <m/>
    <x v="5"/>
    <x v="22"/>
    <m/>
    <m/>
    <m/>
    <m/>
    <m/>
  </r>
  <r>
    <x v="31"/>
    <m/>
    <m/>
    <x v="5"/>
    <x v="22"/>
    <m/>
    <m/>
    <m/>
    <m/>
    <m/>
  </r>
  <r>
    <x v="31"/>
    <m/>
    <m/>
    <x v="5"/>
    <x v="22"/>
    <m/>
    <m/>
    <m/>
    <m/>
    <m/>
  </r>
  <r>
    <x v="31"/>
    <m/>
    <m/>
    <x v="5"/>
    <x v="22"/>
    <m/>
    <m/>
    <m/>
    <m/>
    <m/>
  </r>
  <r>
    <x v="31"/>
    <m/>
    <m/>
    <x v="5"/>
    <x v="22"/>
    <m/>
    <m/>
    <m/>
    <s v="PDF"/>
    <s v="___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CD183-3248-4237-B58F-1D7DD8CCA903}" name="피벗 테이블2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rowHeaderCaption="구분/소속/이름">
  <location ref="A3:B93" firstHeaderRow="1" firstDataRow="1" firstDataCol="1"/>
  <pivotFields count="10">
    <pivotField axis="axisRow" dataField="1" showAll="0">
      <items count="39">
        <item x="6"/>
        <item m="1" x="33"/>
        <item x="7"/>
        <item x="3"/>
        <item x="30"/>
        <item x="23"/>
        <item m="1" x="32"/>
        <item x="20"/>
        <item x="2"/>
        <item x="28"/>
        <item x="16"/>
        <item m="1" x="34"/>
        <item x="8"/>
        <item x="27"/>
        <item x="21"/>
        <item m="1" x="35"/>
        <item x="4"/>
        <item x="12"/>
        <item m="1" x="36"/>
        <item x="0"/>
        <item x="24"/>
        <item x="25"/>
        <item x="22"/>
        <item x="17"/>
        <item x="26"/>
        <item x="13"/>
        <item x="29"/>
        <item x="5"/>
        <item x="10"/>
        <item x="15"/>
        <item x="18"/>
        <item x="11"/>
        <item x="9"/>
        <item x="14"/>
        <item m="1" x="37"/>
        <item x="1"/>
        <item x="19"/>
        <item x="31"/>
        <item t="default"/>
      </items>
    </pivotField>
    <pivotField showAll="0"/>
    <pivotField showAll="0"/>
    <pivotField axis="axisRow" showAll="0">
      <items count="8">
        <item x="0"/>
        <item x="1"/>
        <item x="2"/>
        <item x="3"/>
        <item m="1" x="6"/>
        <item x="4"/>
        <item x="5"/>
        <item t="default"/>
      </items>
    </pivotField>
    <pivotField axis="axisRow" showAll="0">
      <items count="24">
        <item x="19"/>
        <item x="10"/>
        <item x="11"/>
        <item x="3"/>
        <item x="12"/>
        <item x="0"/>
        <item x="9"/>
        <item x="4"/>
        <item x="20"/>
        <item x="18"/>
        <item x="2"/>
        <item x="17"/>
        <item x="6"/>
        <item x="13"/>
        <item x="21"/>
        <item x="15"/>
        <item x="8"/>
        <item x="1"/>
        <item x="14"/>
        <item x="5"/>
        <item x="16"/>
        <item x="7"/>
        <item n="(비어 있음)" x="22"/>
        <item t="default"/>
      </items>
    </pivotField>
    <pivotField showAll="0"/>
    <pivotField showAll="0"/>
    <pivotField showAll="0"/>
    <pivotField showAll="0"/>
    <pivotField showAll="0"/>
  </pivotFields>
  <rowFields count="3">
    <field x="3"/>
    <field x="4"/>
    <field x="0"/>
  </rowFields>
  <rowItems count="90">
    <i>
      <x/>
    </i>
    <i r="1">
      <x v="5"/>
    </i>
    <i r="2">
      <x v="8"/>
    </i>
    <i r="2">
      <x v="19"/>
    </i>
    <i r="2">
      <x v="35"/>
    </i>
    <i r="1">
      <x v="10"/>
    </i>
    <i r="2">
      <x v="27"/>
    </i>
    <i r="1">
      <x v="17"/>
    </i>
    <i r="2">
      <x v="3"/>
    </i>
    <i r="2">
      <x v="16"/>
    </i>
    <i>
      <x v="1"/>
    </i>
    <i r="1">
      <x v="3"/>
    </i>
    <i r="2">
      <x/>
    </i>
    <i r="2">
      <x v="2"/>
    </i>
    <i r="2">
      <x v="3"/>
    </i>
    <i r="2">
      <x v="12"/>
    </i>
    <i r="2">
      <x v="16"/>
    </i>
    <i r="1">
      <x v="7"/>
    </i>
    <i r="2">
      <x v="8"/>
    </i>
    <i r="2">
      <x v="19"/>
    </i>
    <i r="2">
      <x v="28"/>
    </i>
    <i r="2">
      <x v="32"/>
    </i>
    <i r="2">
      <x v="35"/>
    </i>
    <i r="1">
      <x v="12"/>
    </i>
    <i r="2">
      <x v="25"/>
    </i>
    <i r="1">
      <x v="16"/>
    </i>
    <i r="2">
      <x v="27"/>
    </i>
    <i r="2">
      <x v="29"/>
    </i>
    <i r="1">
      <x v="19"/>
    </i>
    <i r="2">
      <x v="17"/>
    </i>
    <i r="2">
      <x v="31"/>
    </i>
    <i r="1">
      <x v="21"/>
    </i>
    <i r="2">
      <x v="33"/>
    </i>
    <i>
      <x v="2"/>
    </i>
    <i r="1">
      <x/>
    </i>
    <i r="2">
      <x v="9"/>
    </i>
    <i r="1">
      <x v="1"/>
    </i>
    <i r="2">
      <x v="22"/>
    </i>
    <i r="1">
      <x v="2"/>
    </i>
    <i r="2">
      <x/>
    </i>
    <i r="2">
      <x v="3"/>
    </i>
    <i r="2">
      <x v="5"/>
    </i>
    <i r="2">
      <x v="20"/>
    </i>
    <i r="2">
      <x v="21"/>
    </i>
    <i r="2">
      <x v="24"/>
    </i>
    <i r="1">
      <x v="4"/>
    </i>
    <i r="2">
      <x v="12"/>
    </i>
    <i r="2">
      <x v="13"/>
    </i>
    <i r="2">
      <x v="17"/>
    </i>
    <i r="2">
      <x v="31"/>
    </i>
    <i r="1">
      <x v="6"/>
    </i>
    <i r="2">
      <x v="3"/>
    </i>
    <i r="2">
      <x v="7"/>
    </i>
    <i r="2">
      <x v="8"/>
    </i>
    <i r="2">
      <x v="10"/>
    </i>
    <i r="2">
      <x v="14"/>
    </i>
    <i r="2">
      <x v="16"/>
    </i>
    <i r="2">
      <x v="19"/>
    </i>
    <i r="2">
      <x v="23"/>
    </i>
    <i r="2">
      <x v="25"/>
    </i>
    <i r="2">
      <x v="28"/>
    </i>
    <i r="2">
      <x v="30"/>
    </i>
    <i r="2">
      <x v="35"/>
    </i>
    <i r="2">
      <x v="36"/>
    </i>
    <i r="1">
      <x v="9"/>
    </i>
    <i r="2">
      <x v="3"/>
    </i>
    <i r="2">
      <x v="16"/>
    </i>
    <i r="1">
      <x v="11"/>
    </i>
    <i r="2">
      <x v="16"/>
    </i>
    <i r="1">
      <x v="13"/>
    </i>
    <i r="2">
      <x v="33"/>
    </i>
    <i r="1">
      <x v="14"/>
    </i>
    <i r="2">
      <x v="33"/>
    </i>
    <i r="1">
      <x v="15"/>
    </i>
    <i r="2">
      <x v="27"/>
    </i>
    <i r="2">
      <x v="29"/>
    </i>
    <i r="1">
      <x v="18"/>
    </i>
    <i r="2">
      <x v="2"/>
    </i>
    <i r="1">
      <x v="20"/>
    </i>
    <i r="2">
      <x v="3"/>
    </i>
    <i>
      <x v="3"/>
    </i>
    <i r="1">
      <x v="8"/>
    </i>
    <i r="2">
      <x v="26"/>
    </i>
    <i>
      <x v="5"/>
    </i>
    <i r="1">
      <x v="22"/>
    </i>
    <i r="2">
      <x v="4"/>
    </i>
    <i>
      <x v="6"/>
    </i>
    <i r="1">
      <x v="22"/>
    </i>
    <i r="2">
      <x v="37"/>
    </i>
    <i t="grand">
      <x/>
    </i>
  </rowItems>
  <colItems count="1">
    <i/>
  </colItems>
  <dataFields count="1">
    <dataField name="개수" fld="0" subtotal="count" baseField="0" baseItem="0"/>
  </dataFields>
  <formats count="51"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3" type="button" dataOnly="0" labelOnly="1" outline="0" axis="axisRow" fieldPosition="0"/>
    </format>
    <format dxfId="138">
      <pivotArea dataOnly="0" labelOnly="1" fieldPosition="0">
        <references count="1">
          <reference field="3" count="0"/>
        </references>
      </pivotArea>
    </format>
    <format dxfId="137">
      <pivotArea dataOnly="0" labelOnly="1" grandRow="1" outline="0" fieldPosition="0"/>
    </format>
    <format dxfId="136">
      <pivotArea dataOnly="0" labelOnly="1" outline="0" axis="axisValues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outline="0" axis="axisValues" fieldPosition="0"/>
    </format>
    <format dxfId="132">
      <pivotArea field="3" type="button" dataOnly="0" labelOnly="1" outline="0" axis="axisRow" fieldPosition="0"/>
    </format>
    <format dxfId="131">
      <pivotArea dataOnly="0" labelOnly="1" fieldPosition="0">
        <references count="1">
          <reference field="3" count="0"/>
        </references>
      </pivotArea>
    </format>
    <format dxfId="130">
      <pivotArea dataOnly="0" labelOnly="1" grandRow="1" outline="0" fieldPosition="0"/>
    </format>
    <format dxfId="129">
      <pivotArea dataOnly="0" labelOnly="1" fieldPosition="0">
        <references count="1">
          <reference field="3" count="0"/>
        </references>
      </pivotArea>
    </format>
    <format dxfId="128">
      <pivotArea dataOnly="0" labelOnly="1" fieldPosition="0">
        <references count="1">
          <reference field="3" count="0"/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3" type="button" dataOnly="0" labelOnly="1" outline="0" axis="axisRow" fieldPosition="0"/>
    </format>
    <format dxfId="124">
      <pivotArea dataOnly="0" labelOnly="1" fieldPosition="0">
        <references count="1">
          <reference field="3" count="0"/>
        </references>
      </pivotArea>
    </format>
    <format dxfId="123">
      <pivotArea dataOnly="0" labelOnly="1" grandRow="1" outline="0" fieldPosition="0"/>
    </format>
    <format dxfId="122">
      <pivotArea dataOnly="0" labelOnly="1" fieldPosition="0">
        <references count="2">
          <reference field="3" count="1" selected="0">
            <x v="0"/>
          </reference>
          <reference field="4" count="3">
            <x v="5"/>
            <x v="10"/>
            <x v="17"/>
          </reference>
        </references>
      </pivotArea>
    </format>
    <format dxfId="121">
      <pivotArea dataOnly="0" labelOnly="1" fieldPosition="0">
        <references count="2">
          <reference field="3" count="1" selected="0">
            <x v="1"/>
          </reference>
          <reference field="4" count="6">
            <x v="3"/>
            <x v="7"/>
            <x v="12"/>
            <x v="16"/>
            <x v="19"/>
            <x v="21"/>
          </reference>
        </references>
      </pivotArea>
    </format>
    <format dxfId="120">
      <pivotArea dataOnly="0" labelOnly="1" fieldPosition="0">
        <references count="2">
          <reference field="3" count="1" selected="0">
            <x v="2"/>
          </reference>
          <reference field="4" count="12">
            <x v="0"/>
            <x v="1"/>
            <x v="2"/>
            <x v="4"/>
            <x v="6"/>
            <x v="9"/>
            <x v="11"/>
            <x v="13"/>
            <x v="14"/>
            <x v="15"/>
            <x v="18"/>
            <x v="20"/>
          </reference>
        </references>
      </pivotArea>
    </format>
    <format dxfId="119">
      <pivotArea dataOnly="0" labelOnly="1" fieldPosition="0">
        <references count="2">
          <reference field="3" count="1" selected="0">
            <x v="3"/>
          </reference>
          <reference field="4" count="1">
            <x v="8"/>
          </reference>
        </references>
      </pivotArea>
    </format>
    <format dxfId="118">
      <pivotArea dataOnly="0" labelOnly="1" fieldPosition="0">
        <references count="2">
          <reference field="3" count="1" selected="0">
            <x v="5"/>
          </reference>
          <reference field="4" count="1">
            <x v="22"/>
          </reference>
        </references>
      </pivotArea>
    </format>
    <format dxfId="117">
      <pivotArea dataOnly="0" labelOnly="1" fieldPosition="0">
        <references count="2">
          <reference field="3" count="1" selected="0">
            <x v="6"/>
          </reference>
          <reference field="4" count="1">
            <x v="22"/>
          </reference>
        </references>
      </pivotArea>
    </format>
    <format dxfId="116">
      <pivotArea dataOnly="0" labelOnly="1" fieldPosition="0">
        <references count="3">
          <reference field="0" count="3">
            <x v="8"/>
            <x v="19"/>
            <x v="35"/>
          </reference>
          <reference field="3" count="1" selected="0">
            <x v="0"/>
          </reference>
          <reference field="4" count="1" selected="0">
            <x v="5"/>
          </reference>
        </references>
      </pivotArea>
    </format>
    <format dxfId="115">
      <pivotArea dataOnly="0" labelOnly="1" fieldPosition="0">
        <references count="3">
          <reference field="0" count="1">
            <x v="27"/>
          </reference>
          <reference field="3" count="1" selected="0">
            <x v="0"/>
          </reference>
          <reference field="4" count="1" selected="0">
            <x v="10"/>
          </reference>
        </references>
      </pivotArea>
    </format>
    <format dxfId="114">
      <pivotArea dataOnly="0" labelOnly="1" fieldPosition="0">
        <references count="3">
          <reference field="0" count="2">
            <x v="3"/>
            <x v="1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13">
      <pivotArea dataOnly="0" labelOnly="1" fieldPosition="0">
        <references count="3">
          <reference field="0" count="5">
            <x v="0"/>
            <x v="2"/>
            <x v="3"/>
            <x v="12"/>
            <x v="16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112">
      <pivotArea dataOnly="0" labelOnly="1" fieldPosition="0">
        <references count="3">
          <reference field="0" count="5">
            <x v="8"/>
            <x v="19"/>
            <x v="28"/>
            <x v="32"/>
            <x v="35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111">
      <pivotArea dataOnly="0" labelOnly="1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12"/>
          </reference>
        </references>
      </pivotArea>
    </format>
    <format dxfId="110">
      <pivotArea dataOnly="0" labelOnly="1" fieldPosition="0">
        <references count="3">
          <reference field="0" count="2">
            <x v="27"/>
            <x v="29"/>
          </reference>
          <reference field="3" count="1" selected="0">
            <x v="1"/>
          </reference>
          <reference field="4" count="1" selected="0">
            <x v="16"/>
          </reference>
        </references>
      </pivotArea>
    </format>
    <format dxfId="109">
      <pivotArea dataOnly="0" labelOnly="1" fieldPosition="0">
        <references count="3">
          <reference field="0" count="2">
            <x v="17"/>
            <x v="31"/>
          </reference>
          <reference field="3" count="1" selected="0">
            <x v="1"/>
          </reference>
          <reference field="4" count="1" selected="0">
            <x v="19"/>
          </reference>
        </references>
      </pivotArea>
    </format>
    <format dxfId="108">
      <pivotArea dataOnly="0" labelOnly="1" fieldPosition="0">
        <references count="3">
          <reference field="0" count="1">
            <x v="33"/>
          </reference>
          <reference field="3" count="1" selected="0">
            <x v="1"/>
          </reference>
          <reference field="4" count="1" selected="0">
            <x v="21"/>
          </reference>
        </references>
      </pivotArea>
    </format>
    <format dxfId="107">
      <pivotArea dataOnly="0" labelOnly="1" fieldPosition="0">
        <references count="3">
          <reference field="0" count="1">
            <x v="9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106">
      <pivotArea dataOnly="0" labelOnly="1" fieldPosition="0">
        <references count="3">
          <reference field="0" count="1">
            <x v="22"/>
          </reference>
          <reference field="3" count="1" selected="0">
            <x v="2"/>
          </reference>
          <reference field="4" count="1" selected="0">
            <x v="1"/>
          </reference>
        </references>
      </pivotArea>
    </format>
    <format dxfId="105">
      <pivotArea dataOnly="0" labelOnly="1" fieldPosition="0">
        <references count="3">
          <reference field="0" count="6">
            <x v="0"/>
            <x v="3"/>
            <x v="5"/>
            <x v="20"/>
            <x v="21"/>
            <x v="24"/>
          </reference>
          <reference field="3" count="1" selected="0">
            <x v="2"/>
          </reference>
          <reference field="4" count="1" selected="0">
            <x v="2"/>
          </reference>
        </references>
      </pivotArea>
    </format>
    <format dxfId="104">
      <pivotArea dataOnly="0" labelOnly="1" fieldPosition="0">
        <references count="3">
          <reference field="0" count="4">
            <x v="12"/>
            <x v="13"/>
            <x v="17"/>
            <x v="31"/>
          </reference>
          <reference field="3" count="1" selected="0">
            <x v="2"/>
          </reference>
          <reference field="4" count="1" selected="0">
            <x v="4"/>
          </reference>
        </references>
      </pivotArea>
    </format>
    <format dxfId="103">
      <pivotArea dataOnly="0" labelOnly="1" fieldPosition="0">
        <references count="3">
          <reference field="0" count="13">
            <x v="3"/>
            <x v="7"/>
            <x v="8"/>
            <x v="10"/>
            <x v="14"/>
            <x v="16"/>
            <x v="19"/>
            <x v="23"/>
            <x v="25"/>
            <x v="28"/>
            <x v="30"/>
            <x v="35"/>
            <x v="36"/>
          </reference>
          <reference field="3" count="1" selected="0">
            <x v="2"/>
          </reference>
          <reference field="4" count="1" selected="0">
            <x v="6"/>
          </reference>
        </references>
      </pivotArea>
    </format>
    <format dxfId="102">
      <pivotArea dataOnly="0" labelOnly="1" fieldPosition="0">
        <references count="3">
          <reference field="0" count="2">
            <x v="3"/>
            <x v="16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101">
      <pivotArea dataOnly="0" labelOnly="1" fieldPosition="0">
        <references count="3">
          <reference field="0" count="1">
            <x v="16"/>
          </reference>
          <reference field="3" count="1" selected="0">
            <x v="2"/>
          </reference>
          <reference field="4" count="1" selected="0">
            <x v="11"/>
          </reference>
        </references>
      </pivotArea>
    </format>
    <format dxfId="100">
      <pivotArea dataOnly="0" labelOnly="1" fieldPosition="0">
        <references count="3">
          <reference field="0" count="1">
            <x v="33"/>
          </reference>
          <reference field="3" count="1" selected="0">
            <x v="2"/>
          </reference>
          <reference field="4" count="1" selected="0">
            <x v="13"/>
          </reference>
        </references>
      </pivotArea>
    </format>
    <format dxfId="99">
      <pivotArea dataOnly="0" labelOnly="1" fieldPosition="0">
        <references count="3">
          <reference field="0" count="1">
            <x v="33"/>
          </reference>
          <reference field="3" count="1" selected="0">
            <x v="2"/>
          </reference>
          <reference field="4" count="1" selected="0">
            <x v="14"/>
          </reference>
        </references>
      </pivotArea>
    </format>
    <format dxfId="98">
      <pivotArea dataOnly="0" labelOnly="1" fieldPosition="0">
        <references count="3">
          <reference field="0" count="2">
            <x v="27"/>
            <x v="29"/>
          </reference>
          <reference field="3" count="1" selected="0">
            <x v="2"/>
          </reference>
          <reference field="4" count="1" selected="0">
            <x v="15"/>
          </reference>
        </references>
      </pivotArea>
    </format>
    <format dxfId="97">
      <pivotArea dataOnly="0" labelOnly="1" fieldPosition="0">
        <references count="3">
          <reference field="0" count="1">
            <x v="2"/>
          </reference>
          <reference field="3" count="1" selected="0">
            <x v="2"/>
          </reference>
          <reference field="4" count="1" selected="0">
            <x v="18"/>
          </reference>
        </references>
      </pivotArea>
    </format>
    <format dxfId="96">
      <pivotArea dataOnly="0" labelOnly="1" fieldPosition="0">
        <references count="3">
          <reference field="0" count="1">
            <x v="3"/>
          </reference>
          <reference field="3" count="1" selected="0">
            <x v="2"/>
          </reference>
          <reference field="4" count="1" selected="0">
            <x v="20"/>
          </reference>
        </references>
      </pivotArea>
    </format>
    <format dxfId="95">
      <pivotArea dataOnly="0" labelOnly="1" fieldPosition="0">
        <references count="3">
          <reference field="0" count="1">
            <x v="26"/>
          </reference>
          <reference field="3" count="1" selected="0">
            <x v="3"/>
          </reference>
          <reference field="4" count="1" selected="0">
            <x v="8"/>
          </reference>
        </references>
      </pivotArea>
    </format>
    <format dxfId="94">
      <pivotArea dataOnly="0" labelOnly="1" fieldPosition="0">
        <references count="3">
          <reference field="0" count="1">
            <x v="4"/>
          </reference>
          <reference field="3" count="1" selected="0">
            <x v="5"/>
          </reference>
          <reference field="4" count="1" selected="0">
            <x v="22"/>
          </reference>
        </references>
      </pivotArea>
    </format>
    <format dxfId="93">
      <pivotArea dataOnly="0" labelOnly="1" fieldPosition="0">
        <references count="3">
          <reference field="0" count="1">
            <x v="37"/>
          </reference>
          <reference field="3" count="1" selected="0">
            <x v="6"/>
          </reference>
          <reference field="4" count="1" selected="0">
            <x v="22"/>
          </reference>
        </references>
      </pivotArea>
    </format>
    <format dxfId="92">
      <pivotArea dataOnly="0" labelOnly="1" outline="0" axis="axisValues" fieldPosition="0"/>
    </format>
    <format dxfId="91">
      <pivotArea dataOnly="0" labelOnly="1" fieldPosition="0">
        <references count="2">
          <reference field="3" count="1" selected="0">
            <x v="5"/>
          </reference>
          <reference field="4" count="1">
            <x v="22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D02EE4-4241-4948-8438-5C39C86E3DB8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rowHeaderCaption="KEY">
  <location ref="A3:B90" firstHeaderRow="1" firstDataRow="1" firstDataCol="1"/>
  <pivotFields count="23">
    <pivotField dataField="1" showAll="0"/>
    <pivotField showAll="0"/>
    <pivotField showAll="0"/>
    <pivotField axis="axisRow" showAll="0">
      <items count="81">
        <item x="32"/>
        <item x="49"/>
        <item x="43"/>
        <item x="70"/>
        <item x="69"/>
        <item x="60"/>
        <item x="25"/>
        <item x="67"/>
        <item x="24"/>
        <item x="23"/>
        <item x="74"/>
        <item x="20"/>
        <item x="42"/>
        <item x="6"/>
        <item x="75"/>
        <item x="65"/>
        <item x="51"/>
        <item x="56"/>
        <item x="63"/>
        <item x="5"/>
        <item x="76"/>
        <item x="31"/>
        <item x="28"/>
        <item x="29"/>
        <item x="26"/>
        <item x="4"/>
        <item x="2"/>
        <item x="0"/>
        <item x="33"/>
        <item x="3"/>
        <item x="36"/>
        <item x="16"/>
        <item x="47"/>
        <item x="35"/>
        <item x="50"/>
        <item x="22"/>
        <item x="8"/>
        <item x="1"/>
        <item x="59"/>
        <item x="72"/>
        <item x="73"/>
        <item x="64"/>
        <item x="57"/>
        <item x="11"/>
        <item x="41"/>
        <item x="77"/>
        <item x="78"/>
        <item x="30"/>
        <item x="66"/>
        <item x="37"/>
        <item x="39"/>
        <item x="45"/>
        <item x="46"/>
        <item x="17"/>
        <item x="54"/>
        <item x="62"/>
        <item x="15"/>
        <item x="12"/>
        <item x="21"/>
        <item x="58"/>
        <item x="61"/>
        <item x="34"/>
        <item x="71"/>
        <item x="18"/>
        <item x="13"/>
        <item x="48"/>
        <item x="55"/>
        <item x="27"/>
        <item x="79"/>
        <item x="7"/>
        <item x="40"/>
        <item x="44"/>
        <item x="68"/>
        <item x="52"/>
        <item x="53"/>
        <item x="38"/>
        <item x="14"/>
        <item x="19"/>
        <item x="9"/>
        <item x="10"/>
        <item t="default"/>
      </items>
    </pivotField>
    <pivotField showAll="0"/>
    <pivotField showAll="0"/>
    <pivotField showAll="0"/>
    <pivotField showAll="0"/>
    <pivotField numFmtId="176" showAll="0"/>
    <pivotField showAll="0"/>
    <pivotField showAll="0"/>
    <pivotField showAll="0"/>
    <pivotField showAll="0"/>
    <pivotField axis="axisRow" showAll="0">
      <items count="9">
        <item x="0"/>
        <item m="1" x="7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3"/>
    <field x="3"/>
  </rowFields>
  <rowItems count="87">
    <i>
      <x/>
    </i>
    <i r="1">
      <x v="10"/>
    </i>
    <i r="1">
      <x v="13"/>
    </i>
    <i r="1">
      <x v="14"/>
    </i>
    <i r="1">
      <x v="19"/>
    </i>
    <i r="1">
      <x v="25"/>
    </i>
    <i r="1">
      <x v="26"/>
    </i>
    <i r="1">
      <x v="27"/>
    </i>
    <i r="1">
      <x v="29"/>
    </i>
    <i r="1">
      <x v="37"/>
    </i>
    <i>
      <x v="2"/>
    </i>
    <i r="1">
      <x v="6"/>
    </i>
    <i r="1">
      <x v="8"/>
    </i>
    <i r="1">
      <x v="9"/>
    </i>
    <i r="1">
      <x v="11"/>
    </i>
    <i r="1">
      <x v="31"/>
    </i>
    <i r="1">
      <x v="35"/>
    </i>
    <i r="1">
      <x v="36"/>
    </i>
    <i r="1">
      <x v="43"/>
    </i>
    <i r="1">
      <x v="53"/>
    </i>
    <i r="1">
      <x v="56"/>
    </i>
    <i r="1">
      <x v="57"/>
    </i>
    <i r="1">
      <x v="58"/>
    </i>
    <i r="1">
      <x v="63"/>
    </i>
    <i r="1">
      <x v="64"/>
    </i>
    <i r="1">
      <x v="69"/>
    </i>
    <i r="1">
      <x v="76"/>
    </i>
    <i r="1">
      <x v="77"/>
    </i>
    <i r="1">
      <x v="78"/>
    </i>
    <i r="1">
      <x v="79"/>
    </i>
    <i>
      <x v="3"/>
    </i>
    <i r="1">
      <x/>
    </i>
    <i r="1">
      <x v="20"/>
    </i>
    <i r="1">
      <x v="21"/>
    </i>
    <i r="1">
      <x v="22"/>
    </i>
    <i r="1">
      <x v="23"/>
    </i>
    <i r="1">
      <x v="24"/>
    </i>
    <i r="1">
      <x v="28"/>
    </i>
    <i r="1">
      <x v="46"/>
    </i>
    <i r="1">
      <x v="47"/>
    </i>
    <i r="1">
      <x v="61"/>
    </i>
    <i r="1">
      <x v="67"/>
    </i>
    <i>
      <x v="4"/>
    </i>
    <i r="1">
      <x v="2"/>
    </i>
    <i r="1">
      <x v="12"/>
    </i>
    <i r="1">
      <x v="30"/>
    </i>
    <i r="1">
      <x v="33"/>
    </i>
    <i r="1">
      <x v="44"/>
    </i>
    <i r="1">
      <x v="45"/>
    </i>
    <i r="1">
      <x v="49"/>
    </i>
    <i r="1">
      <x v="50"/>
    </i>
    <i r="1">
      <x v="51"/>
    </i>
    <i r="1">
      <x v="52"/>
    </i>
    <i r="1">
      <x v="68"/>
    </i>
    <i r="1">
      <x v="70"/>
    </i>
    <i r="1">
      <x v="71"/>
    </i>
    <i r="1">
      <x v="75"/>
    </i>
    <i>
      <x v="5"/>
    </i>
    <i r="1">
      <x v="1"/>
    </i>
    <i r="1">
      <x v="16"/>
    </i>
    <i r="1">
      <x v="32"/>
    </i>
    <i r="1">
      <x v="34"/>
    </i>
    <i r="1">
      <x v="54"/>
    </i>
    <i r="1">
      <x v="65"/>
    </i>
    <i r="1">
      <x v="66"/>
    </i>
    <i r="1">
      <x v="73"/>
    </i>
    <i r="1">
      <x v="74"/>
    </i>
    <i>
      <x v="6"/>
    </i>
    <i r="1">
      <x v="3"/>
    </i>
    <i r="1">
      <x v="4"/>
    </i>
    <i r="1">
      <x v="5"/>
    </i>
    <i r="1">
      <x v="7"/>
    </i>
    <i r="1">
      <x v="15"/>
    </i>
    <i r="1">
      <x v="17"/>
    </i>
    <i r="1">
      <x v="18"/>
    </i>
    <i r="1">
      <x v="38"/>
    </i>
    <i r="1">
      <x v="39"/>
    </i>
    <i r="1">
      <x v="40"/>
    </i>
    <i r="1">
      <x v="41"/>
    </i>
    <i r="1">
      <x v="42"/>
    </i>
    <i r="1">
      <x v="48"/>
    </i>
    <i r="1">
      <x v="55"/>
    </i>
    <i r="1">
      <x v="59"/>
    </i>
    <i r="1">
      <x v="60"/>
    </i>
    <i r="1">
      <x v="62"/>
    </i>
    <i r="1">
      <x v="72"/>
    </i>
    <i t="grand">
      <x/>
    </i>
  </rowItems>
  <colItems count="1">
    <i/>
  </colItems>
  <dataFields count="1">
    <dataField name="개수" fld="0" subtotal="count" baseField="11" baseItem="0" numFmtId="49"/>
  </dataFields>
  <formats count="32">
    <format dxfId="62">
      <pivotArea outline="0" collapsedLevelsAreSubtotals="1" fieldPosition="0"/>
    </format>
    <format dxfId="61">
      <pivotArea dataOnly="0" labelOnly="1" outline="0" axis="axisValues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3" type="button" dataOnly="0" labelOnly="1" outline="0" axis="axisRow" fieldPosition="0"/>
    </format>
    <format dxfId="57">
      <pivotArea dataOnly="0" labelOnly="1" fieldPosition="0">
        <references count="1">
          <reference field="13" count="0"/>
        </references>
      </pivotArea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3" type="button" dataOnly="0" labelOnly="1" outline="0" axis="axisRow" fieldPosition="0"/>
    </format>
    <format dxfId="51">
      <pivotArea dataOnly="0" labelOnly="1" fieldPosition="0">
        <references count="1">
          <reference field="13" count="0"/>
        </references>
      </pivotArea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3" type="button" dataOnly="0" labelOnly="1" outline="0" axis="axisRow" fieldPosition="0"/>
    </format>
    <format dxfId="45">
      <pivotArea dataOnly="0" labelOnly="1" fieldPosition="0">
        <references count="1">
          <reference field="13" count="0"/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3" type="button" dataOnly="0" labelOnly="1" outline="0" axis="axisRow" fieldPosition="0"/>
    </format>
    <format dxfId="39">
      <pivotArea dataOnly="0" labelOnly="1" fieldPosition="0">
        <references count="1">
          <reference field="13" count="0"/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  <format dxfId="33">
      <pivotArea field="13" type="button" dataOnly="0" labelOnly="1" outline="0" axis="axisRow" fieldPosition="0"/>
    </format>
    <format dxfId="32">
      <pivotArea dataOnly="0" labelOnly="1" fieldPosition="0">
        <references count="1">
          <reference field="13" count="0"/>
        </references>
      </pivotArea>
    </format>
    <format dxfId="31">
      <pivotArea dataOnly="0" labelOnly="1" grandRow="1" outline="0" fieldPosition="0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F2D26D-6E1A-4163-833E-6CFEFD2C19D1}" name="개인DB" displayName="개인DB" ref="A1:J43" totalsRowShown="0" headerRowDxfId="170" dataDxfId="168" headerRowBorderDxfId="169" tableBorderDxfId="167">
  <autoFilter ref="A1:J43" xr:uid="{A4F0D8C6-23F1-4C14-A165-D97D608994FF}"/>
  <sortState xmlns:xlrd2="http://schemas.microsoft.com/office/spreadsheetml/2017/richdata2" ref="A2:J43">
    <sortCondition ref="B1:B43"/>
  </sortState>
  <tableColumns count="10">
    <tableColumn id="1" xr3:uid="{38058D7B-113E-4B64-B8FE-5D01D7F3897D}" name="4대보험상" dataDxfId="166"/>
    <tableColumn id="3" xr3:uid="{E47EB52D-1618-4061-84DC-17FE3DE2E96F}" name="이름" dataDxfId="165"/>
    <tableColumn id="4" xr3:uid="{C3EAFD9E-64CC-472C-81CE-9312DBF8D966}" name="소속" dataDxfId="164"/>
    <tableColumn id="5" xr3:uid="{68762660-EDB4-4BF2-AA1F-1F1707EAC03E}" name="직책" dataDxfId="163"/>
    <tableColumn id="10" xr3:uid="{9DC776C2-000C-428B-B086-3B0B189FFFF9}" name="전화번호" dataDxfId="162"/>
    <tableColumn id="8" xr3:uid="{24ADFA7D-6AE9-43A7-8DB9-A6DCA43429CE}" name="입사일" dataDxfId="161"/>
    <tableColumn id="6" xr3:uid="{2A22BF4D-FFFF-4616-81FF-76B210A27C30}" name="학력" dataDxfId="160"/>
    <tableColumn id="7" xr3:uid="{26CA580B-B20F-47E8-B4F7-B9284577EB61}" name="자격증" dataDxfId="159"/>
    <tableColumn id="9" xr3:uid="{3B0D05CF-85C4-4D4B-9C99-983BC9E6F4A7}" name="명함" dataDxfId="158"/>
    <tableColumn id="11" xr3:uid="{073E8AAB-D9A1-4731-B609-51CD2BF6F774}" name="출입증" dataDxfId="157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830E16-96A2-49B1-A1F7-F1E04BA0C828}" name="학력입력" displayName="학력입력" ref="A1:K66" totalsRowShown="0" headerRowDxfId="156" dataDxfId="154" headerRowBorderDxfId="155" tableBorderDxfId="153">
  <autoFilter ref="A1:K66" xr:uid="{1D830E16-96A2-49B1-A1F7-F1E04BA0C828}"/>
  <sortState xmlns:xlrd2="http://schemas.microsoft.com/office/spreadsheetml/2017/richdata2" ref="A2:K65">
    <sortCondition ref="B1:B65"/>
  </sortState>
  <tableColumns count="11">
    <tableColumn id="1" xr3:uid="{AFC12D82-F67F-41C2-A4D6-B4435CDB0896}" name="이름" dataDxfId="152"/>
    <tableColumn id="2" xr3:uid="{DD901878-E909-4EF7-A104-2C6FDD3EBF96}" name="소속" dataDxfId="151">
      <calculatedColumnFormula>IFERROR(INDEX(개인DB!C:C, MATCH($A2, 개인DB!B:B, 0)), "")</calculatedColumnFormula>
    </tableColumn>
    <tableColumn id="3" xr3:uid="{DC1A67F5-D823-4B7F-8620-0B3B2602CA46}" name="직책" dataDxfId="150">
      <calculatedColumnFormula>IFERROR(INDEX(개인DB!D:D, MATCH($A2, 개인DB!B:B, 0)), "")</calculatedColumnFormula>
    </tableColumn>
    <tableColumn id="4" xr3:uid="{C55CD4DF-D841-4918-94E4-8E7D5D2A477B}" name="학력" dataDxfId="149"/>
    <tableColumn id="5" xr3:uid="{2725EBDA-B8F9-4743-B19D-C2D7CE6C2F0B}" name="학위" dataDxfId="148"/>
    <tableColumn id="6" xr3:uid="{C0EDB446-3313-4701-B0D9-5A1879D4BDC3}" name="학교명" dataDxfId="147" dataCellStyle="백분율"/>
    <tableColumn id="7" xr3:uid="{626B1C28-F36A-4913-A54C-9CFAE009E93B}" name="학부(과)" dataDxfId="146"/>
    <tableColumn id="8" xr3:uid="{0E05664D-FF72-483B-B146-19498F350B2C}" name="전공" dataDxfId="145"/>
    <tableColumn id="11" xr3:uid="{9CD11553-CE9F-43DB-85D8-4BF089BDA400}" name="비고" dataDxfId="144"/>
    <tableColumn id="9" xr3:uid="{DD08AA90-E6E9-4EEF-AABD-DEA5F82C95A6}" name="원본 LINK" dataDxfId="143">
      <calculatedColumnFormula>HYPERLINK("재직자\" &amp; A2 &amp; "\학력\" &amp; D2 &amp; "_" &amp; E2&amp; "_" &amp; F2&amp; "_" &amp; A2 &amp; ".pdf", "PDF")</calculatedColumnFormula>
    </tableColumn>
    <tableColumn id="10" xr3:uid="{E7580094-9808-4287-AA0C-19270051A2C4}" name="파일명" dataDxfId="142">
      <calculatedColumnFormula>학력입력[[#This Row],[학력]]&amp;"_"&amp;학력입력[[#This Row],[학위]]&amp;"_"&amp;학력입력[[#This Row],[학교명]]&amp;"_"&amp;학력입력[[#This Row],[이름]]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B6D3BF-32F8-4B28-8D37-3D6BF51EAF46}" name="자격증입력" displayName="자격증입력" ref="A1:W129" totalsRowShown="0" headerRowDxfId="90" dataDxfId="88" headerRowBorderDxfId="89" tableBorderDxfId="87" totalsRowBorderDxfId="86">
  <autoFilter ref="A1:W129" xr:uid="{EF8A648B-9D06-45C5-9F9B-1554E544B5FA}"/>
  <sortState xmlns:xlrd2="http://schemas.microsoft.com/office/spreadsheetml/2017/richdata2" ref="A2:W119">
    <sortCondition ref="A1:A119"/>
  </sortState>
  <tableColumns count="23">
    <tableColumn id="1" xr3:uid="{7EFB5FA4-76EC-4D83-9A38-7C71AD4CE407}" name="이름" dataDxfId="85"/>
    <tableColumn id="2" xr3:uid="{FA7EE17F-349E-4DB7-A4C1-DC718C255841}" name="소속" dataDxfId="84">
      <calculatedColumnFormula>IFERROR(INDEX(개인DB!C:C, MATCH($A2, 개인DB!B:B, 0)), "")</calculatedColumnFormula>
    </tableColumn>
    <tableColumn id="3" xr3:uid="{2E6F6574-77DA-45F4-919A-586793037DED}" name="직책" dataDxfId="83">
      <calculatedColumnFormula>IFERROR(INDEX(개인DB!D:D, MATCH($A2, 개인DB!B:B, 0)), "")</calculatedColumnFormula>
    </tableColumn>
    <tableColumn id="4" xr3:uid="{51A34D70-F019-4BDE-B554-90E47CEA6B4D}" name="자격증" dataDxfId="82"/>
    <tableColumn id="5" xr3:uid="{80608CD8-655C-4DE5-8495-F396D5F1BFD0}" name="구분" dataDxfId="81"/>
    <tableColumn id="6" xr3:uid="{7150C945-18E5-4DFA-AAE8-87026303AA81}" name="관련부처" dataDxfId="80"/>
    <tableColumn id="7" xr3:uid="{599208C0-1585-4747-A436-C1E6E3C3C48A}" name="시행/발급기관" dataDxfId="79"/>
    <tableColumn id="8" xr3:uid="{480C8C09-7617-46DD-A92C-7E5AB31AE9C5}" name="비고" dataDxfId="78"/>
    <tableColumn id="9" xr3:uid="{EED836E8-5F19-4F27-93B9-070C96CE46C7}" name="취득일" dataDxfId="77"/>
    <tableColumn id="10" xr3:uid="{79D9F9F0-251A-4617-B7C6-0831484807A3}" name="등록일" dataDxfId="76"/>
    <tableColumn id="11" xr3:uid="{8EA617C5-AE1F-4454-A7D6-C41C30819C66}" name="유효기간" dataDxfId="75"/>
    <tableColumn id="12" xr3:uid="{FC8AAA4D-7B5A-4227-B9AF-29877E82A501}" name="LINK" dataDxfId="74" dataCellStyle="하이퍼링크">
      <calculatedColumnFormula>HYPERLINK("학력, 자격증-excel 연동 파일\" &amp; A2 &amp; "\자격증\" &amp; D2 &amp; "_" &amp; A2 &amp; ".pdf", "PDF")</calculatedColumnFormula>
    </tableColumn>
    <tableColumn id="23" xr3:uid="{C600113E-864D-4CEF-B30C-B794A0F4850F}" name="파일명" dataDxfId="73">
      <calculatedColumnFormula>D2&amp;"_"&amp;A2</calculatedColumnFormula>
    </tableColumn>
    <tableColumn id="22" xr3:uid="{98D2A48D-BA77-4CAC-9EC2-B4F9F99E1933}" name="KEY" dataDxfId="72">
      <calculatedColumnFormula>IFERROR(IF(INDEX(자격증DB!G:G, MATCH($D2, 자격증DB!$A:$A, 0))=0, "", INDEX(자격증DB!G:G, MATCH($D2, 자격증DB!$A:$A, 0))), "")</calculatedColumnFormula>
    </tableColumn>
    <tableColumn id="13" xr3:uid="{51BB79FC-64E0-46A8-8B12-124D1E117048}" name="제조(CA)" dataDxfId="71">
      <calculatedColumnFormula>IFERROR(IF(INDEX(자격증DB!H:H, MATCH($D2, 자격증DB!$A:$A, 0))=0, "", INDEX(자격증DB!H:H, MATCH($D2, 자격증DB!$A:$A, 0))), "")</calculatedColumnFormula>
    </tableColumn>
    <tableColumn id="14" xr3:uid="{F3239E38-F2AA-4BB5-B4F3-3120C26CF8A5}" name="공사(CB)" dataDxfId="70">
      <calculatedColumnFormula>IFERROR(IF(INDEX(자격증DB!I:I, MATCH($D2, 자격증DB!$A:$A, 0))=0, "", INDEX(자격증DB!I:I, MATCH($D2, 자격증DB!$A:$A, 0))), "")</calculatedColumnFormula>
    </tableColumn>
    <tableColumn id="15" xr3:uid="{48EB542B-B078-4E0E-8180-043305DB8084}" name="학술(CC)" dataDxfId="69">
      <calculatedColumnFormula>IFERROR(IF(INDEX(자격증DB!J:J, MATCH($D2, 자격증DB!$A:$A, 0))=0, "", INDEX(자격증DB!J:J, MATCH($D2, 자격증DB!$A:$A, 0))), "")</calculatedColumnFormula>
    </tableColumn>
    <tableColumn id="16" xr3:uid="{126A12E9-6F15-4380-8C57-850E44EB2F8F}" name="SW(CD)" dataDxfId="68">
      <calculatedColumnFormula>IFERROR(IF(INDEX(자격증DB!K:K, MATCH($D2, 자격증DB!$A:$A, 0))=0, "", INDEX(자격증DB!K:K, MATCH($D2, 자격증DB!$A:$A, 0))), "")</calculatedColumnFormula>
    </tableColumn>
    <tableColumn id="17" xr3:uid="{193B1ED8-9489-42E5-892E-6F7C8074026F}" name="사후정산(CE)" dataDxfId="67">
      <calculatedColumnFormula>IFERROR(IF(INDEX(자격증DB!L:L, MATCH($D2, 자격증DB!$A:$A, 0))=0, "", INDEX(자격증DB!L:L, MATCH($D2, 자격증DB!$A:$A, 0))), "")</calculatedColumnFormula>
    </tableColumn>
    <tableColumn id="18" xr3:uid="{1F268577-1FBD-4D15-A6A3-F7FD4B093B39}" name="각종 수수료(CF)" dataDxfId="66">
      <calculatedColumnFormula>IFERROR(IF(INDEX(자격증DB!M:M, MATCH($D2, 자격증DB!$A:$A, 0))=0, "", INDEX(자격증DB!M:M, MATCH($D2, 자격증DB!$A:$A, 0))), "")</calculatedColumnFormula>
    </tableColumn>
    <tableColumn id="19" xr3:uid="{CEE7557B-47D9-45A3-A430-0D203D3B93C7}" name="법원감정(CG)" dataDxfId="65">
      <calculatedColumnFormula>IFERROR(IF(INDEX(자격증DB!N:N, MATCH($D2, 자격증DB!$A:$A, 0))=0, "", INDEX(자격증DB!N:N, MATCH($D2, 자격증DB!$A:$A, 0))), "")</calculatedColumnFormula>
    </tableColumn>
    <tableColumn id="20" xr3:uid="{B7E1AD7F-7133-4724-B021-E95FBE6640D4}" name="개발부담금" dataDxfId="64">
      <calculatedColumnFormula>IFERROR(IF(INDEX(자격증DB!O:O, MATCH($D2, 자격증DB!$A:$A, 0))=0, "", INDEX(자격증DB!O:O, MATCH($D2, 자격증DB!$A:$A, 0))), "")</calculatedColumnFormula>
    </tableColumn>
    <tableColumn id="21" xr3:uid="{B3E90366-3C9D-4EE4-BF99-F25D94FD610A}" name="갈등조정" dataDxfId="63">
      <calculatedColumnFormula>IFERROR(IF(INDEX(자격증DB!P:P, MATCH($D2, 자격증DB!$A:$A, 0))=0, "", INDEX(자격증DB!P:P, MATCH($D2, 자격증DB!$A:$A, 0))), "")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DE8136-A410-497B-A486-FB1B330BBB1B}" name="자격증DB" displayName="자격증DB" ref="A2:P87" totalsRowShown="0" headerRowDxfId="30" dataDxfId="28" headerRowBorderDxfId="29" tableBorderDxfId="27">
  <autoFilter ref="A2:P87" xr:uid="{DBDE8136-A410-497B-A486-FB1B330BBB1B}"/>
  <sortState xmlns:xlrd2="http://schemas.microsoft.com/office/spreadsheetml/2017/richdata2" ref="A7:P29">
    <sortCondition ref="G2:G81"/>
  </sortState>
  <tableColumns count="16">
    <tableColumn id="1" xr3:uid="{B485F765-C5D8-40D9-A080-926D0DBA4387}" name="자격증명" dataDxfId="26"/>
    <tableColumn id="2" xr3:uid="{5FB61320-9F4B-4D56-AC39-F04B74E1233B}" name="관련부처" dataDxfId="25"/>
    <tableColumn id="3" xr3:uid="{C33B5361-808E-4727-B290-E873E40ABA0C}" name="시행/발급기관" dataDxfId="24"/>
    <tableColumn id="20" xr3:uid="{EFE24F77-966C-44FF-9954-6BF3AED2B458}" name="순서구분" dataDxfId="23"/>
    <tableColumn id="4" xr3:uid="{A3CCD5DC-4BF8-4FA3-84E4-13A8465FDF7C}" name="구분" dataDxfId="22"/>
    <tableColumn id="5" xr3:uid="{75A8E8B7-F401-4809-AEBB-DFEC2B7DA229}" name="비고" dataDxfId="21"/>
    <tableColumn id="6" xr3:uid="{15EF80DF-F16F-4EA5-B736-2FF4AEEEF56D}" name="KEY" dataDxfId="20"/>
    <tableColumn id="18" xr3:uid="{0E1B89E5-97D6-49F1-8C43-278344ED4D25}" name="제조(CA)" dataDxfId="19"/>
    <tableColumn id="7" xr3:uid="{2D1C2622-D710-4609-9FB8-710709DF4BCD}" name="공사(CB)" dataDxfId="18"/>
    <tableColumn id="8" xr3:uid="{23141574-B72E-46C9-801F-DFC708E7FB03}" name="학술(CC)" dataDxfId="17"/>
    <tableColumn id="9" xr3:uid="{1BD1D8D0-2BF2-470F-A3FA-CBDF9297EF02}" name="SW(CD)" dataDxfId="16"/>
    <tableColumn id="10" xr3:uid="{B8AE9DC0-84A3-4D31-B738-514DF39E32A4}" name="사후정산(CE)" dataDxfId="15"/>
    <tableColumn id="13" xr3:uid="{404CEC13-5E8B-462D-BB4A-5D8F7F797766}" name="각종 수수료(CF)" dataDxfId="14"/>
    <tableColumn id="11" xr3:uid="{2AA00C52-3FCE-456B-ACF7-370D32404528}" name="법원감정(CG)" dataDxfId="13"/>
    <tableColumn id="15" xr3:uid="{20566250-60AA-45CA-9420-2FB8739783FB}" name="개발부담금" dataDxfId="12"/>
    <tableColumn id="14" xr3:uid="{7B6E35B4-560C-4228-A1C4-49F63A4B97E1}" name="갈등조정" dataDxfId="1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2DB87-E3B8-48E7-827F-6001B51A8193}">
  <sheetPr codeName="Sheet8">
    <tabColor rgb="FFFFFF00"/>
    <pageSetUpPr fitToPage="1"/>
  </sheetPr>
  <dimension ref="B1:U49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4" sqref="E4"/>
    </sheetView>
  </sheetViews>
  <sheetFormatPr defaultColWidth="9" defaultRowHeight="16.5"/>
  <cols>
    <col min="1" max="1" width="4" style="77" customWidth="1"/>
    <col min="2" max="2" width="4.75" style="76" customWidth="1"/>
    <col min="3" max="3" width="12.25" style="76" customWidth="1"/>
    <col min="4" max="4" width="29.875" style="77" customWidth="1"/>
    <col min="5" max="5" width="12.25" style="77" customWidth="1"/>
    <col min="6" max="6" width="19.125" style="77" customWidth="1"/>
    <col min="7" max="7" width="25.875" style="77" customWidth="1"/>
    <col min="8" max="8" width="14.125" style="77" customWidth="1"/>
    <col min="9" max="9" width="12.625" style="77" customWidth="1"/>
    <col min="10" max="10" width="12" style="77" customWidth="1"/>
    <col min="11" max="11" width="12.375" style="76" customWidth="1"/>
    <col min="12" max="12" width="20.625" style="77" customWidth="1"/>
    <col min="13" max="13" width="11" style="77" customWidth="1"/>
    <col min="14" max="15" width="6.625" style="77" customWidth="1"/>
    <col min="16" max="16" width="10" style="77" customWidth="1"/>
    <col min="17" max="17" width="11.375" style="77" customWidth="1"/>
    <col min="18" max="18" width="30.875" style="77" customWidth="1"/>
    <col min="19" max="19" width="17.875" style="77" customWidth="1"/>
    <col min="20" max="20" width="48.5" style="77" customWidth="1"/>
    <col min="21" max="21" width="11.125" style="77" customWidth="1"/>
    <col min="22" max="16384" width="9" style="77"/>
  </cols>
  <sheetData>
    <row r="1" spans="2:21" ht="17.25" thickBot="1"/>
    <row r="2" spans="2:21" ht="20.25" customHeight="1" thickBot="1">
      <c r="E2" s="360" t="s">
        <v>638</v>
      </c>
      <c r="F2" s="78" t="s">
        <v>613</v>
      </c>
      <c r="G2" s="79"/>
      <c r="H2" s="80"/>
      <c r="L2" s="81" t="s">
        <v>634</v>
      </c>
      <c r="P2" s="82" t="s">
        <v>635</v>
      </c>
      <c r="R2" s="82" t="s">
        <v>636</v>
      </c>
    </row>
    <row r="3" spans="2:21" ht="22.5" customHeight="1" thickBot="1">
      <c r="E3" s="83" t="s">
        <v>614</v>
      </c>
      <c r="F3" s="84" t="s">
        <v>2</v>
      </c>
      <c r="G3" s="85" t="s">
        <v>4</v>
      </c>
      <c r="H3" s="86" t="s">
        <v>470</v>
      </c>
      <c r="L3" s="83" t="s">
        <v>52</v>
      </c>
      <c r="P3" s="83" t="s">
        <v>156</v>
      </c>
      <c r="R3" s="83" t="s">
        <v>196</v>
      </c>
    </row>
    <row r="4" spans="2:21" ht="25.5" customHeight="1" thickBot="1">
      <c r="C4" s="359" t="s">
        <v>637</v>
      </c>
      <c r="E4" s="87"/>
      <c r="F4" s="88" t="str">
        <f>IFERROR(INDEX(개인DB!C:C, MATCH($E4, 개인DB!$B:$B, 0)), "")</f>
        <v/>
      </c>
      <c r="G4" s="88" t="str">
        <f>IFERROR(INDEX(개인DB!D:D, MATCH($E4, 개인DB!$B:$B, 0)), "")</f>
        <v/>
      </c>
      <c r="H4" s="89" t="str">
        <f>IFERROR(INDEX(개인DB!F:F, MATCH($E4, 개인DB!$B:$B, 0)), "")</f>
        <v/>
      </c>
      <c r="L4" s="87"/>
      <c r="P4" s="87"/>
      <c r="R4" s="87"/>
      <c r="S4" s="382"/>
    </row>
    <row r="5" spans="2:21" ht="21.75" customHeight="1" thickBot="1">
      <c r="C5" s="383" t="s">
        <v>726</v>
      </c>
    </row>
    <row r="6" spans="2:21" s="93" customFormat="1" ht="23.25" customHeight="1" thickBot="1">
      <c r="B6" s="90" t="s">
        <v>661</v>
      </c>
      <c r="C6" s="91"/>
      <c r="D6" s="91"/>
      <c r="E6" s="91"/>
      <c r="F6" s="91"/>
      <c r="G6" s="91"/>
      <c r="H6" s="91"/>
      <c r="I6" s="91"/>
      <c r="J6" s="91"/>
      <c r="K6" s="91"/>
      <c r="L6" s="92"/>
      <c r="N6" s="90" t="s">
        <v>662</v>
      </c>
      <c r="O6" s="91"/>
      <c r="P6" s="91"/>
      <c r="Q6" s="91"/>
      <c r="R6" s="91"/>
      <c r="S6" s="91"/>
      <c r="T6" s="91"/>
      <c r="U6" s="92"/>
    </row>
    <row r="7" spans="2:21" ht="24.75" customHeight="1" thickBot="1">
      <c r="B7" s="94"/>
      <c r="C7" s="95" t="s">
        <v>1</v>
      </c>
      <c r="D7" s="96" t="s">
        <v>52</v>
      </c>
      <c r="E7" s="96" t="s">
        <v>53</v>
      </c>
      <c r="F7" s="96" t="s">
        <v>54</v>
      </c>
      <c r="G7" s="96" t="s">
        <v>55</v>
      </c>
      <c r="H7" s="97" t="s">
        <v>61</v>
      </c>
      <c r="I7" s="98" t="s">
        <v>56</v>
      </c>
      <c r="J7" s="99" t="s">
        <v>57</v>
      </c>
      <c r="K7" s="99" t="s">
        <v>58</v>
      </c>
      <c r="L7" s="100" t="s">
        <v>612</v>
      </c>
      <c r="N7" s="101"/>
      <c r="O7" s="102" t="s">
        <v>1</v>
      </c>
      <c r="P7" s="102" t="s">
        <v>156</v>
      </c>
      <c r="Q7" s="102" t="s">
        <v>196</v>
      </c>
      <c r="R7" s="103" t="s">
        <v>157</v>
      </c>
      <c r="S7" s="102" t="s">
        <v>158</v>
      </c>
      <c r="T7" s="102" t="s">
        <v>159</v>
      </c>
      <c r="U7" s="104" t="s">
        <v>612</v>
      </c>
    </row>
    <row r="8" spans="2:21" ht="20.100000000000001" customHeight="1">
      <c r="B8" s="105">
        <v>1</v>
      </c>
      <c r="C8" s="105" t="str">
        <f>_xlfn.LET(_xlpm.res, IF(AND($E$4&lt;&gt;"", $L$4&lt;&gt;""), "검색창 삭제",
 IF($E$4&lt;&gt;"", IFERROR(INDEX(자격증!A:A, MATCH($E$4&amp;"_자격증_"&amp;$B8, 자격증!$Y:$Y, 0)), "-"),
 IF($L$4&lt;&gt;"", IFERROR(INDEX(자격증!A:A, MATCH($L$4&amp;"_자격증_"&amp;$B8, 자격증!$Z:$Z, 0)), "-"), "-"))), IF(OR(_xlpm.res=0, _xlpm.res=""), "-", _xlpm.res))</f>
        <v>-</v>
      </c>
      <c r="D8" s="106" t="str">
        <f>_xlfn.LET(_xlpm.res, IF(AND($E$4&lt;&gt;"", $L$4&lt;&gt;""), "검색창 삭제",
 IF($E$4&lt;&gt;"", IFERROR(INDEX(자격증!D:D, MATCH($E$4&amp;"_자격증_"&amp;$B8, 자격증!$Y:$Y, 0)), "-"),
 IF($L$4&lt;&gt;"", IFERROR(INDEX(자격증!D:D, MATCH($L$4&amp;"_자격증_"&amp;$B8, 자격증!$Z:$Z, 0)), "-"), "-"))), IF(OR(_xlpm.res=0, _xlpm.res=""), "-", _xlpm.res))</f>
        <v>-</v>
      </c>
      <c r="E8" s="105" t="str">
        <f>_xlfn.LET(_xlpm.res, IF(AND($E$4&lt;&gt;"", $L$4&lt;&gt;""), "검색창 삭제",
 IF($E$4&lt;&gt;"", IFERROR(INDEX(자격증!E:E, MATCH($E$4&amp;"_자격증_"&amp;$B8, 자격증!$Y:$Y, 0)), "-"),
 IF($L$4&lt;&gt;"", IFERROR(INDEX(자격증!E:E, MATCH($L$4&amp;"_자격증_"&amp;$B8, 자격증!$Z:$Z, 0)), "-"), "-"))), IF(OR(_xlpm.res=0, _xlpm.res=""), "-", _xlpm.res))</f>
        <v>-</v>
      </c>
      <c r="F8" s="105" t="str">
        <f>_xlfn.LET(_xlpm.res, IF(AND($E$4&lt;&gt;"", $L$4&lt;&gt;""), "검색창 삭제",
 IF($E$4&lt;&gt;"", IFERROR(INDEX(자격증!F:F, MATCH($E$4&amp;"_자격증_"&amp;$B8, 자격증!$Y:$Y, 0)), "-"),
 IF($L$4&lt;&gt;"", IFERROR(INDEX(자격증!F:F, MATCH($L$4&amp;"_자격증_"&amp;$B8, 자격증!$Z:$Z, 0)), "-"), "-"))), IF(OR(_xlpm.res=0, _xlpm.res=""), "-", _xlpm.res))</f>
        <v>-</v>
      </c>
      <c r="G8" s="105" t="str">
        <f>_xlfn.LET(_xlpm.res, IF(AND($E$4&lt;&gt;"", $L$4&lt;&gt;""), "검색창 삭제",
 IF($E$4&lt;&gt;"", IFERROR(INDEX(자격증!G:G, MATCH($E$4&amp;"_자격증_"&amp;$B8, 자격증!$Y:$Y, 0)), "-"),
 IF($L$4&lt;&gt;"", IFERROR(INDEX(자격증!G:G, MATCH($L$4&amp;"_자격증_"&amp;$B8, 자격증!$Z:$Z, 0)), "-"), "-"))), IF(OR(_xlpm.res=0, _xlpm.res=""), "-", _xlpm.res))</f>
        <v>-</v>
      </c>
      <c r="H8" s="105" t="str">
        <f>_xlfn.LET(_xlpm.res, IF(AND($E$4&lt;&gt;"", $L$4&lt;&gt;""), "검색창 삭제",
 IF($E$4&lt;&gt;"", IFERROR(INDEX(자격증!H:H, MATCH($E$4&amp;"_자격증_"&amp;$B8, 자격증!$Y:$Y, 0)), "-"),
 IF($L$4&lt;&gt;"", IFERROR(INDEX(자격증!H:H, MATCH($L$4&amp;"_자격증_"&amp;$B8, 자격증!$Z:$Z, 0)), "-"), "-"))), IF(OR(_xlpm.res=0, _xlpm.res=""), "-", _xlpm.res))</f>
        <v>-</v>
      </c>
      <c r="I8" s="367" t="str">
        <f>_xlfn.LET(_xlpm.res, IF(AND($E$4&lt;&gt;"", $L$4&lt;&gt;""), "검색창 삭제",
 IF($E$4&lt;&gt;"", IFERROR(INDEX(자격증!I:I, MATCH($E$4&amp;"_자격증_"&amp;$B8, 자격증!$Y:$Y, 0)), "-"),
 IF($L$4&lt;&gt;"", IFERROR(INDEX(자격증!I:I, MATCH($L$4&amp;"_자격증_"&amp;$B8, 자격증!$Z:$Z, 0)), "-"), "-"))), IF(OR(_xlpm.res=0, _xlpm.res=""), "-", _xlpm.res))</f>
        <v>-</v>
      </c>
      <c r="J8" s="367" t="str">
        <f>_xlfn.LET(_xlpm.res, IF(AND($E$4&lt;&gt;"", $L$4&lt;&gt;""), "검색창 삭제",
 IF($E$4&lt;&gt;"", IFERROR(INDEX(자격증!J:J, MATCH($E$4&amp;"_자격증_"&amp;$B8, 자격증!$Y:$Y, 0)), "-"),
 IF($L$4&lt;&gt;"", IFERROR(INDEX(자격증!J:J, MATCH($L$4&amp;"_자격증_"&amp;$B8, 자격증!$Z:$Z, 0)), "-"), "-"))), IF(OR(_xlpm.res=0, _xlpm.res=""), "-", _xlpm.res))</f>
        <v>-</v>
      </c>
      <c r="K8" s="367" t="str">
        <f>_xlfn.LET(_xlpm.res, IF(AND($E$4&lt;&gt;"", $L$4&lt;&gt;""), "검색창 삭제",
 IF($E$4&lt;&gt;"", IFERROR(INDEX(자격증!K:K, MATCH($E$4&amp;"_자격증_"&amp;$B8, 자격증!$Y:$Y, 0)), "-"),
 IF($L$4&lt;&gt;"", IFERROR(INDEX(자격증!K:K, MATCH($L$4&amp;"_자격증_"&amp;$B8, 자격증!$Z:$Z, 0)), "-"), "-"))), IF(OR(_xlpm.res=0, _xlpm.res=""), "-", _xlpm.res))</f>
        <v>-</v>
      </c>
      <c r="L8" s="105" t="str">
        <f>IF(AND($E$4&lt;&gt;"", $L$4&lt;&gt;""), "검색창 삭제",
 IF($E$4&lt;&gt;"", IFERROR(HYPERLINK("학력, 자격증-excel 연동 파일\" &amp; $E$4 &amp; "\자격증\" &amp; INDEX(자격증!D:D, MATCH($E$4&amp;"_자격증_"&amp;$B8, 자격증!$Y:$Y, 0)) &amp; "_" &amp; $E$4 &amp; ".pdf", "PDF 열기"), "-"),
 IF($L$4&lt;&gt;"", IFERROR(HYPERLINK("학력, 자격증-excel 연동 파일\" &amp; $C8 &amp; "\자격증\" &amp; INDEX(자격증!D:D, MATCH($D8&amp;"_자격증_"&amp;$B8, 자격증!$Z:$Z, 0)) &amp; "_" &amp; $C8 &amp; ".pdf", "PDF 열기"), "-"), "")))</f>
        <v/>
      </c>
      <c r="N8" s="105">
        <v>1</v>
      </c>
      <c r="O8" s="105" t="str">
        <f>_xlfn.LET(_xlpm.res, IF(COUNTA($E$4, $P$4, $R$4) &gt;= 2, "검색창 삭제",
 IF($E$4&lt;&gt;"", IFERROR(INDEX(학력!A:A, MATCH($E$4&amp;"_학력_"&amp;$N8, 학력!$L:$L, 0)), "-"),
 IF($P$4&lt;&gt;"", IFERROR(INDEX(학력!A:A, MATCH($P$4&amp;"_학력_"&amp;$N8, 학력!$N:$N, 0)), "-"),
 IF($R$4&lt;&gt;"", IFERROR(INDEX(학력!A:A, MATCH($R$4&amp;"_학력_"&amp;$N8, 학력!$M:$M, 0)), "-"), "-")))), IF(OR(_xlpm.res=0, _xlpm.res=""), "-", _xlpm.res))</f>
        <v>-</v>
      </c>
      <c r="P8" s="105" t="str">
        <f>_xlfn.LET(_xlpm.res, IF(COUNTA($E$4, $P$4, $R$4) &gt;= 2, "검색창 삭제",
 IF($E$4&lt;&gt;"", IFERROR(INDEX(학력!D:D, MATCH($E$4&amp;"_학력_"&amp;$N8, 학력!$L:$L, 0)), "-"),
 IF($P$4&lt;&gt;"", IFERROR(INDEX(학력!D:D, MATCH($P$4&amp;"_학력_"&amp;$N8, 학력!$N:$N, 0)), "-"),
 IF($R$4&lt;&gt;"", IFERROR(INDEX(학력!D:D, MATCH($R$4&amp;"_학력_"&amp;$N8, 학력!$M:$M, 0)), "-"), "-")))), IF(OR(_xlpm.res=0, _xlpm.res=""), "-", _xlpm.res))</f>
        <v>-</v>
      </c>
      <c r="Q8" s="105" t="str">
        <f>_xlfn.LET(_xlpm.res, IF(COUNTA($E$4, $P$4, $R$4) &gt;= 2, "검색창 삭제",
 IF($E$4&lt;&gt;"", IFERROR(INDEX(학력!E:E, MATCH($E$4&amp;"_학력_"&amp;$N8, 학력!$L:$L, 0)), "-"),
 IF($P$4&lt;&gt;"", IFERROR(INDEX(학력!E:E, MATCH($P$4&amp;"_학력_"&amp;$N8, 학력!$N:$N, 0)), "-"),
 IF($R$4&lt;&gt;"", IFERROR(INDEX(학력!E:E, MATCH($R$4&amp;"_학력_"&amp;$N8, 학력!$M:$M, 0)), "-"), "-")))), IF(OR(_xlpm.res=0, _xlpm.res=""), "-", _xlpm.res))</f>
        <v>-</v>
      </c>
      <c r="R8" s="105" t="str">
        <f>_xlfn.LET(_xlpm.res, IF(COUNTA($E$4, $P$4, $R$4) &gt;= 2, "검색창 삭제",
 IF($E$4&lt;&gt;"", IFERROR(INDEX(학력!F:F, MATCH($E$4&amp;"_학력_"&amp;$N8, 학력!$L:$L, 0)), "-"),
 IF($P$4&lt;&gt;"", IFERROR(INDEX(학력!F:F, MATCH($P$4&amp;"_학력_"&amp;$N8, 학력!$N:$N, 0)), "-"),
 IF($R$4&lt;&gt;"", IFERROR(INDEX(학력!F:F, MATCH($R$4&amp;"_학력_"&amp;$N8, 학력!$M:$M, 0)), "-"), "-")))), IF(OR(_xlpm.res=0, _xlpm.res=""), "-", _xlpm.res))</f>
        <v>-</v>
      </c>
      <c r="S8" s="105" t="str">
        <f>_xlfn.LET(
    _xlpm.result,
    IF(COUNTA($E$4, $P$4, $R$4) &gt;= 2, "검색창 삭제",
        IF($E$4&lt;&gt;"", IFERROR(INDEX(학력!G:G, MATCH($E$4&amp;"_학력_"&amp;$N8, 학력!$L:$L, 0)), "-"),
        IF($P$4&lt;&gt;"", IFERROR(INDEX(학력!G:G, MATCH($P$4&amp;"_학력_"&amp;$N8, 학력!$N:$N, 0)), "-"),
        IF($R$4&lt;&gt;"", IFERROR(INDEX(학력!G:G, MATCH($R$4&amp;"_학력_"&amp;$N8, 학력!$M:$M, 0)), "-"), "-")))
    ),
    IF(OR(_xlpm.result=0, _xlpm.result=""), "-", _xlpm.result)
)</f>
        <v>-</v>
      </c>
      <c r="T8" s="107" t="str">
        <f>_xlfn.LET(_xlpm.res, IF(COUNTA($E$4, $P$4, $R$4) &gt;= 2, "검색창 삭제",
 IF($E$4&lt;&gt;"", IFERROR(INDEX(학력!H:H, MATCH($E$4&amp;"_학력_"&amp;$N8, 학력!$L:$L, 0)), "-"),
 IF($P$4&lt;&gt;"", IFERROR(INDEX(학력!H:H, MATCH($P$4&amp;"_학력_"&amp;$N8, 학력!$N:$N, 0)), "-"),
 IF($R$4&lt;&gt;"", IFERROR(INDEX(학력!H:H, MATCH($R$4&amp;"_학력_"&amp;$N8, 학력!$M:$M, 0)), "-"), "-")))), IF(OR(_xlpm.res=0, _xlpm.res=""), "-", _xlpm.res))</f>
        <v>-</v>
      </c>
      <c r="U8" s="105" t="str">
        <f>_xlfn.LET(_xlpm.res, IF(COUNTA($E$4, $P$4, $R$4) &gt;= 2, "검색창 삭제",
 IF($E$4&lt;&gt;"", IFERROR(HYPERLINK("학력, 자격증-excel 연동 파일\" &amp; $E$4 &amp; "\학력\" &amp; INDEX(학력!D:D, MATCH($E$4&amp;"_학력_"&amp;$N8, 학력!$L:$L, 0)) &amp; "_" &amp; INDEX(학력!E:E, MATCH($E$4&amp;"_학력_"&amp;$N8, 학력!$L:$L, 0)) &amp; "_" &amp; INDEX(학력!F:F, MATCH($E$4&amp;"_학력_"&amp;$N8, 학력!$L:$L, 0)) &amp; "_" &amp; $E$4 &amp; ".pdf", "PDF"), "-"),
 IF($P$4&lt;&gt;"", IFERROR(HYPERLINK("학력, 자격증-excel 연동 파일\" &amp; INDEX(학력!A:A, MATCH($P$4&amp;"_학력_"&amp;$N8, 학력!$N:$N, 0)) &amp; "\학력\" &amp; INDEX(학력!D:D, MATCH($P$4&amp;"_학력_"&amp;$N8, 학력!$N:$N, 0)) &amp; "_" &amp; INDEX(학력!E:E, MATCH($P$4&amp;"_학력_"&amp;$N8, 학력!$N:$N, 0)) &amp; "_" &amp; INDEX(학력!F:F, MATCH($P$4&amp;"_학력_"&amp;$N8, 학력!$N:$N, 0)) &amp; "_" &amp; INDEX(학력!A:A, MATCH($P$4&amp;"_학력_"&amp;$N8, 학력!$N:$N, 0)) &amp; ".pdf", "PDF"), "-"),
 IF($R$4&lt;&gt;"", IFERROR(HYPERLINK("학력, 자격증-excel 연동 파일\" &amp; INDEX(학력!A:A, MATCH($R$4&amp;"_학력_"&amp;$N8, 학력!$M:$M, 0)) &amp; "\학력\" &amp; INDEX(학력!D:D, MATCH($R$4&amp;"_학력_"&amp;$N8, 학력!$M:$M, 0)) &amp; "_" &amp; INDEX(학력!E:E, MATCH($R$4&amp;"_학력_"&amp;$N8, 학력!$M:$M, 0)) &amp; "_" &amp; INDEX(학력!F:F, MATCH($R$4&amp;"_학력_"&amp;$N8, 학력!$M:$M, 0)) &amp; "_" &amp; INDEX(학력!A:A, MATCH($R$4&amp;"_학력_"&amp;$N8, 학력!$M:$M, 0)) &amp; ".pdf", "PDF"), "-"), "-")))),
 IF(OR(_xlpm.res=0, _xlpm.res=""), "-", _xlpm.res))</f>
        <v>-</v>
      </c>
    </row>
    <row r="9" spans="2:21" ht="20.100000000000001" customHeight="1">
      <c r="B9" s="108">
        <v>2</v>
      </c>
      <c r="C9" s="105" t="str">
        <f>_xlfn.LET(_xlpm.res, IF(AND($E$4&lt;&gt;"", $L$4&lt;&gt;""), "검색창 삭제",
 IF($E$4&lt;&gt;"", IFERROR(INDEX(자격증!A:A, MATCH($E$4&amp;"_자격증_"&amp;$B9, 자격증!$Y:$Y, 0)), "-"),
 IF($L$4&lt;&gt;"", IFERROR(INDEX(자격증!A:A, MATCH($L$4&amp;"_자격증_"&amp;$B9, 자격증!$Z:$Z, 0)), "-"), "-"))), IF(OR(_xlpm.res=0, _xlpm.res=""), "-", _xlpm.res))</f>
        <v>-</v>
      </c>
      <c r="D9" s="106" t="str">
        <f>_xlfn.LET(_xlpm.res, IF(AND($E$4&lt;&gt;"", $L$4&lt;&gt;""), "검색창 삭제",
 IF($E$4&lt;&gt;"", IFERROR(INDEX(자격증!D:D, MATCH($E$4&amp;"_자격증_"&amp;$B9, 자격증!$Y:$Y, 0)), "-"),
 IF($L$4&lt;&gt;"", IFERROR(INDEX(자격증!D:D, MATCH($L$4&amp;"_자격증_"&amp;$B9, 자격증!$Z:$Z, 0)), "-"), "-"))), IF(OR(_xlpm.res=0, _xlpm.res=""), "-", _xlpm.res))</f>
        <v>-</v>
      </c>
      <c r="E9" s="105" t="str">
        <f>_xlfn.LET(_xlpm.res, IF(AND($E$4&lt;&gt;"", $L$4&lt;&gt;""), "검색창 삭제",
 IF($E$4&lt;&gt;"", IFERROR(INDEX(자격증!E:E, MATCH($E$4&amp;"_자격증_"&amp;$B9, 자격증!$Y:$Y, 0)), "-"),
 IF($L$4&lt;&gt;"", IFERROR(INDEX(자격증!E:E, MATCH($L$4&amp;"_자격증_"&amp;$B9, 자격증!$Z:$Z, 0)), "-"), "-"))), IF(OR(_xlpm.res=0, _xlpm.res=""), "-", _xlpm.res))</f>
        <v>-</v>
      </c>
      <c r="F9" s="105" t="str">
        <f>_xlfn.LET(_xlpm.res, IF(AND($E$4&lt;&gt;"", $L$4&lt;&gt;""), "검색창 삭제",
 IF($E$4&lt;&gt;"", IFERROR(INDEX(자격증!F:F, MATCH($E$4&amp;"_자격증_"&amp;$B9, 자격증!$Y:$Y, 0)), "-"),
 IF($L$4&lt;&gt;"", IFERROR(INDEX(자격증!F:F, MATCH($L$4&amp;"_자격증_"&amp;$B9, 자격증!$Z:$Z, 0)), "-"), "-"))), IF(OR(_xlpm.res=0, _xlpm.res=""), "-", _xlpm.res))</f>
        <v>-</v>
      </c>
      <c r="G9" s="105" t="str">
        <f>_xlfn.LET(_xlpm.res, IF(AND($E$4&lt;&gt;"", $L$4&lt;&gt;""), "검색창 삭제",
 IF($E$4&lt;&gt;"", IFERROR(INDEX(자격증!G:G, MATCH($E$4&amp;"_자격증_"&amp;$B9, 자격증!$Y:$Y, 0)), "-"),
 IF($L$4&lt;&gt;"", IFERROR(INDEX(자격증!G:G, MATCH($L$4&amp;"_자격증_"&amp;$B9, 자격증!$Z:$Z, 0)), "-"), "-"))), IF(OR(_xlpm.res=0, _xlpm.res=""), "-", _xlpm.res))</f>
        <v>-</v>
      </c>
      <c r="H9" s="105" t="str">
        <f>_xlfn.LET(_xlpm.res, IF(AND($E$4&lt;&gt;"", $L$4&lt;&gt;""), "검색창 삭제",
 IF($E$4&lt;&gt;"", IFERROR(INDEX(자격증!H:H, MATCH($E$4&amp;"_자격증_"&amp;$B9, 자격증!$Y:$Y, 0)), "-"),
 IF($L$4&lt;&gt;"", IFERROR(INDEX(자격증!H:H, MATCH($L$4&amp;"_자격증_"&amp;$B9, 자격증!$Z:$Z, 0)), "-"), "-"))), IF(OR(_xlpm.res=0, _xlpm.res=""), "-", _xlpm.res))</f>
        <v>-</v>
      </c>
      <c r="I9" s="367" t="str">
        <f>_xlfn.LET(_xlpm.res, IF(AND($E$4&lt;&gt;"", $L$4&lt;&gt;""), "검색창 삭제",
 IF($E$4&lt;&gt;"", IFERROR(INDEX(자격증!I:I, MATCH($E$4&amp;"_자격증_"&amp;$B9, 자격증!$Y:$Y, 0)), "-"),
 IF($L$4&lt;&gt;"", IFERROR(INDEX(자격증!I:I, MATCH($L$4&amp;"_자격증_"&amp;$B9, 자격증!$Z:$Z, 0)), "-"), "-"))), IF(OR(_xlpm.res=0, _xlpm.res=""), "-", _xlpm.res))</f>
        <v>-</v>
      </c>
      <c r="J9" s="367" t="str">
        <f>_xlfn.LET(_xlpm.res, IF(AND($E$4&lt;&gt;"", $L$4&lt;&gt;""), "검색창 삭제",
 IF($E$4&lt;&gt;"", IFERROR(INDEX(자격증!J:J, MATCH($E$4&amp;"_자격증_"&amp;$B9, 자격증!$Y:$Y, 0)), "-"),
 IF($L$4&lt;&gt;"", IFERROR(INDEX(자격증!J:J, MATCH($L$4&amp;"_자격증_"&amp;$B9, 자격증!$Z:$Z, 0)), "-"), "-"))), IF(OR(_xlpm.res=0, _xlpm.res=""), "-", _xlpm.res))</f>
        <v>-</v>
      </c>
      <c r="K9" s="367" t="str">
        <f>_xlfn.LET(_xlpm.res, IF(AND($E$4&lt;&gt;"", $L$4&lt;&gt;""), "검색창 삭제",
 IF($E$4&lt;&gt;"", IFERROR(INDEX(자격증!K:K, MATCH($E$4&amp;"_자격증_"&amp;$B9, 자격증!$Y:$Y, 0)), "-"),
 IF($L$4&lt;&gt;"", IFERROR(INDEX(자격증!K:K, MATCH($L$4&amp;"_자격증_"&amp;$B9, 자격증!$Z:$Z, 0)), "-"), "-"))), IF(OR(_xlpm.res=0, _xlpm.res=""), "-", _xlpm.res))</f>
        <v>-</v>
      </c>
      <c r="L9" s="105" t="str">
        <f>IF(AND($E$4&lt;&gt;"", $L$4&lt;&gt;""), "검색창 삭제",
 IF($E$4&lt;&gt;"", IFERROR(HYPERLINK("학력, 자격증-excel 연동 파일\" &amp; $E$4 &amp; "\자격증\" &amp; INDEX(자격증!D:D, MATCH($E$4&amp;"_자격증_"&amp;$B9, 자격증!$Y:$Y, 0)) &amp; "_" &amp; $E$4 &amp; ".pdf", "PDF 열기"), "-"),
 IF($L$4&lt;&gt;"", IFERROR(HYPERLINK("학력, 자격증-excel 연동 파일\" &amp; $C9 &amp; "\자격증\" &amp; INDEX(자격증!D:D, MATCH($D9&amp;"_자격증_"&amp;$B9, 자격증!$Z:$Z, 0)) &amp; "_" &amp; $C9 &amp; ".pdf", "PDF 열기"), "-"), "")))</f>
        <v/>
      </c>
      <c r="N9" s="108">
        <v>2</v>
      </c>
      <c r="O9" s="105" t="str">
        <f>_xlfn.LET(_xlpm.res, IF(COUNTA($E$4, $P$4, $R$4) &gt;= 2, "검색창 삭제",
 IF($E$4&lt;&gt;"", IFERROR(INDEX(학력!A:A, MATCH($E$4&amp;"_학력_"&amp;$N9, 학력!$L:$L, 0)), "-"),
 IF($P$4&lt;&gt;"", IFERROR(INDEX(학력!A:A, MATCH($P$4&amp;"_학력_"&amp;$N9, 학력!$N:$N, 0)), "-"),
 IF($R$4&lt;&gt;"", IFERROR(INDEX(학력!A:A, MATCH($R$4&amp;"_학력_"&amp;$N9, 학력!$M:$M, 0)), "-"), "-")))), IF(OR(_xlpm.res=0, _xlpm.res=""), "-", _xlpm.res))</f>
        <v>-</v>
      </c>
      <c r="P9" s="105" t="str">
        <f>_xlfn.LET(_xlpm.res, IF(COUNTA($E$4, $P$4, $R$4) &gt;= 2, "검색창 삭제",
 IF($E$4&lt;&gt;"", IFERROR(INDEX(학력!D:D, MATCH($E$4&amp;"_학력_"&amp;$N9, 학력!$L:$L, 0)), "-"),
 IF($P$4&lt;&gt;"", IFERROR(INDEX(학력!D:D, MATCH($P$4&amp;"_학력_"&amp;$N9, 학력!$N:$N, 0)), "-"),
 IF($R$4&lt;&gt;"", IFERROR(INDEX(학력!D:D, MATCH($R$4&amp;"_학력_"&amp;$N9, 학력!$M:$M, 0)), "-"), "-")))), IF(OR(_xlpm.res=0, _xlpm.res=""), "-", _xlpm.res))</f>
        <v>-</v>
      </c>
      <c r="Q9" s="105" t="str">
        <f>_xlfn.LET(_xlpm.res, IF(COUNTA($E$4, $P$4, $R$4) &gt;= 2, "검색창 삭제",
 IF($E$4&lt;&gt;"", IFERROR(INDEX(학력!E:E, MATCH($E$4&amp;"_학력_"&amp;$N9, 학력!$L:$L, 0)), "-"),
 IF($P$4&lt;&gt;"", IFERROR(INDEX(학력!E:E, MATCH($P$4&amp;"_학력_"&amp;$N9, 학력!$N:$N, 0)), "-"),
 IF($R$4&lt;&gt;"", IFERROR(INDEX(학력!E:E, MATCH($R$4&amp;"_학력_"&amp;$N9, 학력!$M:$M, 0)), "-"), "-")))), IF(OR(_xlpm.res=0, _xlpm.res=""), "-", _xlpm.res))</f>
        <v>-</v>
      </c>
      <c r="R9" s="105" t="str">
        <f>_xlfn.LET(_xlpm.res, IF(COUNTA($E$4, $P$4, $R$4) &gt;= 2, "검색창 삭제",
 IF($E$4&lt;&gt;"", IFERROR(INDEX(학력!F:F, MATCH($E$4&amp;"_학력_"&amp;$N9, 학력!$L:$L, 0)), "-"),
 IF($P$4&lt;&gt;"", IFERROR(INDEX(학력!F:F, MATCH($P$4&amp;"_학력_"&amp;$N9, 학력!$N:$N, 0)), "-"),
 IF($R$4&lt;&gt;"", IFERROR(INDEX(학력!F:F, MATCH($R$4&amp;"_학력_"&amp;$N9, 학력!$M:$M, 0)), "-"), "-")))), IF(OR(_xlpm.res=0, _xlpm.res=""), "-", _xlpm.res))</f>
        <v>-</v>
      </c>
      <c r="S9" s="105" t="str">
        <f>_xlfn.LET(
    _xlpm.result,
    IF(COUNTA($E$4, $P$4, $R$4) &gt;= 2, "검색창 삭제",
        IF($E$4&lt;&gt;"", IFERROR(INDEX(학력!G:G, MATCH($E$4&amp;"_학력_"&amp;$N9, 학력!$L:$L, 0)), "-"),
        IF($P$4&lt;&gt;"", IFERROR(INDEX(학력!G:G, MATCH($P$4&amp;"_학력_"&amp;$N9, 학력!$N:$N, 0)), "-"),
        IF($R$4&lt;&gt;"", IFERROR(INDEX(학력!G:G, MATCH($R$4&amp;"_학력_"&amp;$N9, 학력!$M:$M, 0)), "-"), "-")))
    ),
    IF(OR(_xlpm.result=0, _xlpm.result=""), "-", _xlpm.result)
)</f>
        <v>-</v>
      </c>
      <c r="T9" s="107" t="str">
        <f>_xlfn.LET(_xlpm.res, IF(COUNTA($E$4, $P$4, $R$4) &gt;= 2, "검색창 삭제",
 IF($E$4&lt;&gt;"", IFERROR(INDEX(학력!H:H, MATCH($E$4&amp;"_학력_"&amp;$N9, 학력!$L:$L, 0)), "-"),
 IF($P$4&lt;&gt;"", IFERROR(INDEX(학력!H:H, MATCH($P$4&amp;"_학력_"&amp;$N9, 학력!$N:$N, 0)), "-"),
 IF($R$4&lt;&gt;"", IFERROR(INDEX(학력!H:H, MATCH($R$4&amp;"_학력_"&amp;$N9, 학력!$M:$M, 0)), "-"), "-")))), IF(OR(_xlpm.res=0, _xlpm.res=""), "-", _xlpm.res))</f>
        <v>-</v>
      </c>
      <c r="U9" s="105" t="str">
        <f>_xlfn.LET(_xlpm.res, IF(COUNTA($E$4, $P$4, $R$4) &gt;= 2, "검색창 삭제",
 IF($E$4&lt;&gt;"", IFERROR(HYPERLINK("학력, 자격증-excel 연동 파일\" &amp; $E$4 &amp; "\학력\" &amp; INDEX(학력!D:D, MATCH($E$4&amp;"_학력_"&amp;$N9, 학력!$L:$L, 0)) &amp; "_" &amp; INDEX(학력!E:E, MATCH($E$4&amp;"_학력_"&amp;$N9, 학력!$L:$L, 0)) &amp; "_" &amp; INDEX(학력!F:F, MATCH($E$4&amp;"_학력_"&amp;$N9, 학력!$L:$L, 0)) &amp; "_" &amp; $E$4 &amp; ".pdf", "PDF"), "-"),
 IF($P$4&lt;&gt;"", IFERROR(HYPERLINK("학력, 자격증-excel 연동 파일\" &amp; INDEX(학력!A:A, MATCH($P$4&amp;"_학력_"&amp;$N9, 학력!$N:$N, 0)) &amp; "\학력\" &amp; INDEX(학력!D:D, MATCH($P$4&amp;"_학력_"&amp;$N9, 학력!$N:$N, 0)) &amp; "_" &amp; INDEX(학력!E:E, MATCH($P$4&amp;"_학력_"&amp;$N9, 학력!$N:$N, 0)) &amp; "_" &amp; INDEX(학력!F:F, MATCH($P$4&amp;"_학력_"&amp;$N9, 학력!$N:$N, 0)) &amp; "_" &amp; INDEX(학력!A:A, MATCH($P$4&amp;"_학력_"&amp;$N9, 학력!$N:$N, 0)) &amp; ".pdf", "PDF"), "-"),
 IF($R$4&lt;&gt;"", IFERROR(HYPERLINK("학력, 자격증-excel 연동 파일\" &amp; INDEX(학력!A:A, MATCH($R$4&amp;"_학력_"&amp;$N9, 학력!$M:$M, 0)) &amp; "\학력\" &amp; INDEX(학력!D:D, MATCH($R$4&amp;"_학력_"&amp;$N9, 학력!$M:$M, 0)) &amp; "_" &amp; INDEX(학력!E:E, MATCH($R$4&amp;"_학력_"&amp;$N9, 학력!$M:$M, 0)) &amp; "_" &amp; INDEX(학력!F:F, MATCH($R$4&amp;"_학력_"&amp;$N9, 학력!$M:$M, 0)) &amp; "_" &amp; INDEX(학력!A:A, MATCH($R$4&amp;"_학력_"&amp;$N9, 학력!$M:$M, 0)) &amp; ".pdf", "PDF"), "-"), "-")))),
 IF(OR(_xlpm.res=0, _xlpm.res=""), "-", _xlpm.res))</f>
        <v>-</v>
      </c>
    </row>
    <row r="10" spans="2:21" ht="20.100000000000001" customHeight="1">
      <c r="B10" s="108">
        <v>3</v>
      </c>
      <c r="C10" s="105" t="str">
        <f>_xlfn.LET(_xlpm.res, IF(AND($E$4&lt;&gt;"", $L$4&lt;&gt;""), "검색창 삭제",
 IF($E$4&lt;&gt;"", IFERROR(INDEX(자격증!A:A, MATCH($E$4&amp;"_자격증_"&amp;$B10, 자격증!$Y:$Y, 0)), "-"),
 IF($L$4&lt;&gt;"", IFERROR(INDEX(자격증!A:A, MATCH($L$4&amp;"_자격증_"&amp;$B10, 자격증!$Z:$Z, 0)), "-"), "-"))), IF(OR(_xlpm.res=0, _xlpm.res=""), "-", _xlpm.res))</f>
        <v>-</v>
      </c>
      <c r="D10" s="106" t="str">
        <f>_xlfn.LET(_xlpm.res, IF(AND($E$4&lt;&gt;"", $L$4&lt;&gt;""), "검색창 삭제",
 IF($E$4&lt;&gt;"", IFERROR(INDEX(자격증!D:D, MATCH($E$4&amp;"_자격증_"&amp;$B10, 자격증!$Y:$Y, 0)), "-"),
 IF($L$4&lt;&gt;"", IFERROR(INDEX(자격증!D:D, MATCH($L$4&amp;"_자격증_"&amp;$B10, 자격증!$Z:$Z, 0)), "-"), "-"))), IF(OR(_xlpm.res=0, _xlpm.res=""), "-", _xlpm.res))</f>
        <v>-</v>
      </c>
      <c r="E10" s="105" t="str">
        <f>_xlfn.LET(_xlpm.res, IF(AND($E$4&lt;&gt;"", $L$4&lt;&gt;""), "검색창 삭제",
 IF($E$4&lt;&gt;"", IFERROR(INDEX(자격증!E:E, MATCH($E$4&amp;"_자격증_"&amp;$B10, 자격증!$Y:$Y, 0)), "-"),
 IF($L$4&lt;&gt;"", IFERROR(INDEX(자격증!E:E, MATCH($L$4&amp;"_자격증_"&amp;$B10, 자격증!$Z:$Z, 0)), "-"), "-"))), IF(OR(_xlpm.res=0, _xlpm.res=""), "-", _xlpm.res))</f>
        <v>-</v>
      </c>
      <c r="F10" s="105" t="str">
        <f>_xlfn.LET(_xlpm.res, IF(AND($E$4&lt;&gt;"", $L$4&lt;&gt;""), "검색창 삭제",
 IF($E$4&lt;&gt;"", IFERROR(INDEX(자격증!F:F, MATCH($E$4&amp;"_자격증_"&amp;$B10, 자격증!$Y:$Y, 0)), "-"),
 IF($L$4&lt;&gt;"", IFERROR(INDEX(자격증!F:F, MATCH($L$4&amp;"_자격증_"&amp;$B10, 자격증!$Z:$Z, 0)), "-"), "-"))), IF(OR(_xlpm.res=0, _xlpm.res=""), "-", _xlpm.res))</f>
        <v>-</v>
      </c>
      <c r="G10" s="105" t="str">
        <f>_xlfn.LET(_xlpm.res, IF(AND($E$4&lt;&gt;"", $L$4&lt;&gt;""), "검색창 삭제",
 IF($E$4&lt;&gt;"", IFERROR(INDEX(자격증!G:G, MATCH($E$4&amp;"_자격증_"&amp;$B10, 자격증!$Y:$Y, 0)), "-"),
 IF($L$4&lt;&gt;"", IFERROR(INDEX(자격증!G:G, MATCH($L$4&amp;"_자격증_"&amp;$B10, 자격증!$Z:$Z, 0)), "-"), "-"))), IF(OR(_xlpm.res=0, _xlpm.res=""), "-", _xlpm.res))</f>
        <v>-</v>
      </c>
      <c r="H10" s="105" t="str">
        <f>_xlfn.LET(_xlpm.res, IF(AND($E$4&lt;&gt;"", $L$4&lt;&gt;""), "검색창 삭제",
 IF($E$4&lt;&gt;"", IFERROR(INDEX(자격증!H:H, MATCH($E$4&amp;"_자격증_"&amp;$B10, 자격증!$Y:$Y, 0)), "-"),
 IF($L$4&lt;&gt;"", IFERROR(INDEX(자격증!H:H, MATCH($L$4&amp;"_자격증_"&amp;$B10, 자격증!$Z:$Z, 0)), "-"), "-"))), IF(OR(_xlpm.res=0, _xlpm.res=""), "-", _xlpm.res))</f>
        <v>-</v>
      </c>
      <c r="I10" s="367" t="str">
        <f>_xlfn.LET(_xlpm.res, IF(AND($E$4&lt;&gt;"", $L$4&lt;&gt;""), "검색창 삭제",
 IF($E$4&lt;&gt;"", IFERROR(INDEX(자격증!I:I, MATCH($E$4&amp;"_자격증_"&amp;$B10, 자격증!$Y:$Y, 0)), "-"),
 IF($L$4&lt;&gt;"", IFERROR(INDEX(자격증!I:I, MATCH($L$4&amp;"_자격증_"&amp;$B10, 자격증!$Z:$Z, 0)), "-"), "-"))), IF(OR(_xlpm.res=0, _xlpm.res=""), "-", _xlpm.res))</f>
        <v>-</v>
      </c>
      <c r="J10" s="367" t="str">
        <f>_xlfn.LET(_xlpm.res, IF(AND($E$4&lt;&gt;"", $L$4&lt;&gt;""), "검색창 삭제",
 IF($E$4&lt;&gt;"", IFERROR(INDEX(자격증!J:J, MATCH($E$4&amp;"_자격증_"&amp;$B10, 자격증!$Y:$Y, 0)), "-"),
 IF($L$4&lt;&gt;"", IFERROR(INDEX(자격증!J:J, MATCH($L$4&amp;"_자격증_"&amp;$B10, 자격증!$Z:$Z, 0)), "-"), "-"))), IF(OR(_xlpm.res=0, _xlpm.res=""), "-", _xlpm.res))</f>
        <v>-</v>
      </c>
      <c r="K10" s="367" t="str">
        <f>_xlfn.LET(_xlpm.res, IF(AND($E$4&lt;&gt;"", $L$4&lt;&gt;""), "검색창 삭제",
 IF($E$4&lt;&gt;"", IFERROR(INDEX(자격증!K:K, MATCH($E$4&amp;"_자격증_"&amp;$B10, 자격증!$Y:$Y, 0)), "-"),
 IF($L$4&lt;&gt;"", IFERROR(INDEX(자격증!K:K, MATCH($L$4&amp;"_자격증_"&amp;$B10, 자격증!$Z:$Z, 0)), "-"), "-"))), IF(OR(_xlpm.res=0, _xlpm.res=""), "-", _xlpm.res))</f>
        <v>-</v>
      </c>
      <c r="L10" s="105" t="str">
        <f>IF(AND($E$4&lt;&gt;"", $L$4&lt;&gt;""), "검색창 삭제",
 IF($E$4&lt;&gt;"", IFERROR(HYPERLINK("학력, 자격증-excel 연동 파일\" &amp; $E$4 &amp; "\자격증\" &amp; INDEX(자격증!D:D, MATCH($E$4&amp;"_자격증_"&amp;$B10, 자격증!$Y:$Y, 0)) &amp; "_" &amp; $E$4 &amp; ".pdf", "PDF 열기"), "-"),
 IF($L$4&lt;&gt;"", IFERROR(HYPERLINK("학력, 자격증-excel 연동 파일\" &amp; $C10 &amp; "\자격증\" &amp; INDEX(자격증!D:D, MATCH($D10&amp;"_자격증_"&amp;$B10, 자격증!$Z:$Z, 0)) &amp; "_" &amp; $C10 &amp; ".pdf", "PDF 열기"), "-"), "")))</f>
        <v/>
      </c>
      <c r="N10" s="108">
        <v>3</v>
      </c>
      <c r="O10" s="105" t="str">
        <f>_xlfn.LET(_xlpm.res, IF(COUNTA($E$4, $P$4, $R$4) &gt;= 2, "검색창 삭제",
 IF($E$4&lt;&gt;"", IFERROR(INDEX(학력!A:A, MATCH($E$4&amp;"_학력_"&amp;$N10, 학력!$L:$L, 0)), "-"),
 IF($P$4&lt;&gt;"", IFERROR(INDEX(학력!A:A, MATCH($P$4&amp;"_학력_"&amp;$N10, 학력!$N:$N, 0)), "-"),
 IF($R$4&lt;&gt;"", IFERROR(INDEX(학력!A:A, MATCH($R$4&amp;"_학력_"&amp;$N10, 학력!$M:$M, 0)), "-"), "-")))), IF(OR(_xlpm.res=0, _xlpm.res=""), "-", _xlpm.res))</f>
        <v>-</v>
      </c>
      <c r="P10" s="105" t="str">
        <f>_xlfn.LET(_xlpm.res, IF(COUNTA($E$4, $P$4, $R$4) &gt;= 2, "검색창 삭제",
 IF($E$4&lt;&gt;"", IFERROR(INDEX(학력!D:D, MATCH($E$4&amp;"_학력_"&amp;$N10, 학력!$L:$L, 0)), "-"),
 IF($P$4&lt;&gt;"", IFERROR(INDEX(학력!D:D, MATCH($P$4&amp;"_학력_"&amp;$N10, 학력!$N:$N, 0)), "-"),
 IF($R$4&lt;&gt;"", IFERROR(INDEX(학력!D:D, MATCH($R$4&amp;"_학력_"&amp;$N10, 학력!$M:$M, 0)), "-"), "-")))), IF(OR(_xlpm.res=0, _xlpm.res=""), "-", _xlpm.res))</f>
        <v>-</v>
      </c>
      <c r="Q10" s="105" t="str">
        <f>_xlfn.LET(_xlpm.res, IF(COUNTA($E$4, $P$4, $R$4) &gt;= 2, "검색창 삭제",
 IF($E$4&lt;&gt;"", IFERROR(INDEX(학력!E:E, MATCH($E$4&amp;"_학력_"&amp;$N10, 학력!$L:$L, 0)), "-"),
 IF($P$4&lt;&gt;"", IFERROR(INDEX(학력!E:E, MATCH($P$4&amp;"_학력_"&amp;$N10, 학력!$N:$N, 0)), "-"),
 IF($R$4&lt;&gt;"", IFERROR(INDEX(학력!E:E, MATCH($R$4&amp;"_학력_"&amp;$N10, 학력!$M:$M, 0)), "-"), "-")))), IF(OR(_xlpm.res=0, _xlpm.res=""), "-", _xlpm.res))</f>
        <v>-</v>
      </c>
      <c r="R10" s="105" t="str">
        <f>_xlfn.LET(_xlpm.res, IF(COUNTA($E$4, $P$4, $R$4) &gt;= 2, "검색창 삭제",
 IF($E$4&lt;&gt;"", IFERROR(INDEX(학력!F:F, MATCH($E$4&amp;"_학력_"&amp;$N10, 학력!$L:$L, 0)), "-"),
 IF($P$4&lt;&gt;"", IFERROR(INDEX(학력!F:F, MATCH($P$4&amp;"_학력_"&amp;$N10, 학력!$N:$N, 0)), "-"),
 IF($R$4&lt;&gt;"", IFERROR(INDEX(학력!F:F, MATCH($R$4&amp;"_학력_"&amp;$N10, 학력!$M:$M, 0)), "-"), "-")))), IF(OR(_xlpm.res=0, _xlpm.res=""), "-", _xlpm.res))</f>
        <v>-</v>
      </c>
      <c r="S10" s="105" t="str">
        <f>_xlfn.LET(
    _xlpm.result,
    IF(COUNTA($E$4, $P$4, $R$4) &gt;= 2, "검색창 삭제",
        IF($E$4&lt;&gt;"", IFERROR(INDEX(학력!G:G, MATCH($E$4&amp;"_학력_"&amp;$N10, 학력!$L:$L, 0)), "-"),
        IF($P$4&lt;&gt;"", IFERROR(INDEX(학력!G:G, MATCH($P$4&amp;"_학력_"&amp;$N10, 학력!$N:$N, 0)), "-"),
        IF($R$4&lt;&gt;"", IFERROR(INDEX(학력!G:G, MATCH($R$4&amp;"_학력_"&amp;$N10, 학력!$M:$M, 0)), "-"), "-")))
    ),
    IF(OR(_xlpm.result=0, _xlpm.result=""), "-", _xlpm.result)
)</f>
        <v>-</v>
      </c>
      <c r="T10" s="107" t="str">
        <f>_xlfn.LET(_xlpm.res, IF(COUNTA($E$4, $P$4, $R$4) &gt;= 2, "검색창 삭제",
 IF($E$4&lt;&gt;"", IFERROR(INDEX(학력!H:H, MATCH($E$4&amp;"_학력_"&amp;$N10, 학력!$L:$L, 0)), "-"),
 IF($P$4&lt;&gt;"", IFERROR(INDEX(학력!H:H, MATCH($P$4&amp;"_학력_"&amp;$N10, 학력!$N:$N, 0)), "-"),
 IF($R$4&lt;&gt;"", IFERROR(INDEX(학력!H:H, MATCH($R$4&amp;"_학력_"&amp;$N10, 학력!$M:$M, 0)), "-"), "-")))), IF(OR(_xlpm.res=0, _xlpm.res=""), "-", _xlpm.res))</f>
        <v>-</v>
      </c>
      <c r="U10" s="105" t="str">
        <f>_xlfn.LET(_xlpm.res, IF(COUNTA($E$4, $P$4, $R$4) &gt;= 2, "검색창 삭제",
 IF($E$4&lt;&gt;"", IFERROR(HYPERLINK("학력, 자격증-excel 연동 파일\" &amp; $E$4 &amp; "\학력\" &amp; INDEX(학력!D:D, MATCH($E$4&amp;"_학력_"&amp;$N10, 학력!$L:$L, 0)) &amp; "_" &amp; INDEX(학력!E:E, MATCH($E$4&amp;"_학력_"&amp;$N10, 학력!$L:$L, 0)) &amp; "_" &amp; INDEX(학력!F:F, MATCH($E$4&amp;"_학력_"&amp;$N10, 학력!$L:$L, 0)) &amp; "_" &amp; $E$4 &amp; ".pdf", "PDF"), "-"),
 IF($P$4&lt;&gt;"", IFERROR(HYPERLINK("학력, 자격증-excel 연동 파일\" &amp; INDEX(학력!A:A, MATCH($P$4&amp;"_학력_"&amp;$N10, 학력!$N:$N, 0)) &amp; "\학력\" &amp; INDEX(학력!D:D, MATCH($P$4&amp;"_학력_"&amp;$N10, 학력!$N:$N, 0)) &amp; "_" &amp; INDEX(학력!E:E, MATCH($P$4&amp;"_학력_"&amp;$N10, 학력!$N:$N, 0)) &amp; "_" &amp; INDEX(학력!F:F, MATCH($P$4&amp;"_학력_"&amp;$N10, 학력!$N:$N, 0)) &amp; "_" &amp; INDEX(학력!A:A, MATCH($P$4&amp;"_학력_"&amp;$N10, 학력!$N:$N, 0)) &amp; ".pdf", "PDF"), "-"),
 IF($R$4&lt;&gt;"", IFERROR(HYPERLINK("학력, 자격증-excel 연동 파일\" &amp; INDEX(학력!A:A, MATCH($R$4&amp;"_학력_"&amp;$N10, 학력!$M:$M, 0)) &amp; "\학력\" &amp; INDEX(학력!D:D, MATCH($R$4&amp;"_학력_"&amp;$N10, 학력!$M:$M, 0)) &amp; "_" &amp; INDEX(학력!E:E, MATCH($R$4&amp;"_학력_"&amp;$N10, 학력!$M:$M, 0)) &amp; "_" &amp; INDEX(학력!F:F, MATCH($R$4&amp;"_학력_"&amp;$N10, 학력!$M:$M, 0)) &amp; "_" &amp; INDEX(학력!A:A, MATCH($R$4&amp;"_학력_"&amp;$N10, 학력!$M:$M, 0)) &amp; ".pdf", "PDF"), "-"), "-")))),
 IF(OR(_xlpm.res=0, _xlpm.res=""), "-", _xlpm.res))</f>
        <v>-</v>
      </c>
    </row>
    <row r="11" spans="2:21" ht="20.100000000000001" customHeight="1">
      <c r="B11" s="108">
        <v>4</v>
      </c>
      <c r="C11" s="105" t="str">
        <f>_xlfn.LET(_xlpm.res, IF(AND($E$4&lt;&gt;"", $L$4&lt;&gt;""), "검색창 삭제",
 IF($E$4&lt;&gt;"", IFERROR(INDEX(자격증!A:A, MATCH($E$4&amp;"_자격증_"&amp;$B11, 자격증!$Y:$Y, 0)), "-"),
 IF($L$4&lt;&gt;"", IFERROR(INDEX(자격증!A:A, MATCH($L$4&amp;"_자격증_"&amp;$B11, 자격증!$Z:$Z, 0)), "-"), "-"))), IF(OR(_xlpm.res=0, _xlpm.res=""), "-", _xlpm.res))</f>
        <v>-</v>
      </c>
      <c r="D11" s="106" t="str">
        <f>_xlfn.LET(_xlpm.res, IF(AND($E$4&lt;&gt;"", $L$4&lt;&gt;""), "검색창 삭제",
 IF($E$4&lt;&gt;"", IFERROR(INDEX(자격증!D:D, MATCH($E$4&amp;"_자격증_"&amp;$B11, 자격증!$Y:$Y, 0)), "-"),
 IF($L$4&lt;&gt;"", IFERROR(INDEX(자격증!D:D, MATCH($L$4&amp;"_자격증_"&amp;$B11, 자격증!$Z:$Z, 0)), "-"), "-"))), IF(OR(_xlpm.res=0, _xlpm.res=""), "-", _xlpm.res))</f>
        <v>-</v>
      </c>
      <c r="E11" s="105" t="str">
        <f>_xlfn.LET(_xlpm.res, IF(AND($E$4&lt;&gt;"", $L$4&lt;&gt;""), "검색창 삭제",
 IF($E$4&lt;&gt;"", IFERROR(INDEX(자격증!E:E, MATCH($E$4&amp;"_자격증_"&amp;$B11, 자격증!$Y:$Y, 0)), "-"),
 IF($L$4&lt;&gt;"", IFERROR(INDEX(자격증!E:E, MATCH($L$4&amp;"_자격증_"&amp;$B11, 자격증!$Z:$Z, 0)), "-"), "-"))), IF(OR(_xlpm.res=0, _xlpm.res=""), "-", _xlpm.res))</f>
        <v>-</v>
      </c>
      <c r="F11" s="105" t="str">
        <f>_xlfn.LET(_xlpm.res, IF(AND($E$4&lt;&gt;"", $L$4&lt;&gt;""), "검색창 삭제",
 IF($E$4&lt;&gt;"", IFERROR(INDEX(자격증!F:F, MATCH($E$4&amp;"_자격증_"&amp;$B11, 자격증!$Y:$Y, 0)), "-"),
 IF($L$4&lt;&gt;"", IFERROR(INDEX(자격증!F:F, MATCH($L$4&amp;"_자격증_"&amp;$B11, 자격증!$Z:$Z, 0)), "-"), "-"))), IF(OR(_xlpm.res=0, _xlpm.res=""), "-", _xlpm.res))</f>
        <v>-</v>
      </c>
      <c r="G11" s="105" t="str">
        <f>_xlfn.LET(_xlpm.res, IF(AND($E$4&lt;&gt;"", $L$4&lt;&gt;""), "검색창 삭제",
 IF($E$4&lt;&gt;"", IFERROR(INDEX(자격증!G:G, MATCH($E$4&amp;"_자격증_"&amp;$B11, 자격증!$Y:$Y, 0)), "-"),
 IF($L$4&lt;&gt;"", IFERROR(INDEX(자격증!G:G, MATCH($L$4&amp;"_자격증_"&amp;$B11, 자격증!$Z:$Z, 0)), "-"), "-"))), IF(OR(_xlpm.res=0, _xlpm.res=""), "-", _xlpm.res))</f>
        <v>-</v>
      </c>
      <c r="H11" s="105" t="str">
        <f>_xlfn.LET(_xlpm.res, IF(AND($E$4&lt;&gt;"", $L$4&lt;&gt;""), "검색창 삭제",
 IF($E$4&lt;&gt;"", IFERROR(INDEX(자격증!H:H, MATCH($E$4&amp;"_자격증_"&amp;$B11, 자격증!$Y:$Y, 0)), "-"),
 IF($L$4&lt;&gt;"", IFERROR(INDEX(자격증!H:H, MATCH($L$4&amp;"_자격증_"&amp;$B11, 자격증!$Z:$Z, 0)), "-"), "-"))), IF(OR(_xlpm.res=0, _xlpm.res=""), "-", _xlpm.res))</f>
        <v>-</v>
      </c>
      <c r="I11" s="367" t="str">
        <f>_xlfn.LET(_xlpm.res, IF(AND($E$4&lt;&gt;"", $L$4&lt;&gt;""), "검색창 삭제",
 IF($E$4&lt;&gt;"", IFERROR(INDEX(자격증!I:I, MATCH($E$4&amp;"_자격증_"&amp;$B11, 자격증!$Y:$Y, 0)), "-"),
 IF($L$4&lt;&gt;"", IFERROR(INDEX(자격증!I:I, MATCH($L$4&amp;"_자격증_"&amp;$B11, 자격증!$Z:$Z, 0)), "-"), "-"))), IF(OR(_xlpm.res=0, _xlpm.res=""), "-", _xlpm.res))</f>
        <v>-</v>
      </c>
      <c r="J11" s="367" t="str">
        <f>_xlfn.LET(_xlpm.res, IF(AND($E$4&lt;&gt;"", $L$4&lt;&gt;""), "검색창 삭제",
 IF($E$4&lt;&gt;"", IFERROR(INDEX(자격증!J:J, MATCH($E$4&amp;"_자격증_"&amp;$B11, 자격증!$Y:$Y, 0)), "-"),
 IF($L$4&lt;&gt;"", IFERROR(INDEX(자격증!J:J, MATCH($L$4&amp;"_자격증_"&amp;$B11, 자격증!$Z:$Z, 0)), "-"), "-"))), IF(OR(_xlpm.res=0, _xlpm.res=""), "-", _xlpm.res))</f>
        <v>-</v>
      </c>
      <c r="K11" s="367" t="str">
        <f>_xlfn.LET(_xlpm.res, IF(AND($E$4&lt;&gt;"", $L$4&lt;&gt;""), "검색창 삭제",
 IF($E$4&lt;&gt;"", IFERROR(INDEX(자격증!K:K, MATCH($E$4&amp;"_자격증_"&amp;$B11, 자격증!$Y:$Y, 0)), "-"),
 IF($L$4&lt;&gt;"", IFERROR(INDEX(자격증!K:K, MATCH($L$4&amp;"_자격증_"&amp;$B11, 자격증!$Z:$Z, 0)), "-"), "-"))), IF(OR(_xlpm.res=0, _xlpm.res=""), "-", _xlpm.res))</f>
        <v>-</v>
      </c>
      <c r="L11" s="105" t="str">
        <f>IF(AND($E$4&lt;&gt;"", $L$4&lt;&gt;""), "검색창 삭제",
 IF($E$4&lt;&gt;"", IFERROR(HYPERLINK("학력, 자격증-excel 연동 파일\" &amp; $E$4 &amp; "\자격증\" &amp; INDEX(자격증!D:D, MATCH($E$4&amp;"_자격증_"&amp;$B11, 자격증!$Y:$Y, 0)) &amp; "_" &amp; $E$4 &amp; ".pdf", "PDF 열기"), "-"),
 IF($L$4&lt;&gt;"", IFERROR(HYPERLINK("학력, 자격증-excel 연동 파일\" &amp; $C11 &amp; "\자격증\" &amp; INDEX(자격증!D:D, MATCH($D11&amp;"_자격증_"&amp;$B11, 자격증!$Z:$Z, 0)) &amp; "_" &amp; $C11 &amp; ".pdf", "PDF 열기"), "-"), "")))</f>
        <v/>
      </c>
      <c r="N11" s="108">
        <v>4</v>
      </c>
      <c r="O11" s="105" t="str">
        <f>_xlfn.LET(_xlpm.res, IF(COUNTA($E$4, $P$4, $R$4) &gt;= 2, "검색창 삭제",
 IF($E$4&lt;&gt;"", IFERROR(INDEX(학력!A:A, MATCH($E$4&amp;"_학력_"&amp;$N11, 학력!$L:$L, 0)), "-"),
 IF($P$4&lt;&gt;"", IFERROR(INDEX(학력!A:A, MATCH($P$4&amp;"_학력_"&amp;$N11, 학력!$N:$N, 0)), "-"),
 IF($R$4&lt;&gt;"", IFERROR(INDEX(학력!A:A, MATCH($R$4&amp;"_학력_"&amp;$N11, 학력!$M:$M, 0)), "-"), "-")))), IF(OR(_xlpm.res=0, _xlpm.res=""), "-", _xlpm.res))</f>
        <v>-</v>
      </c>
      <c r="P11" s="105" t="str">
        <f>_xlfn.LET(_xlpm.res, IF(COUNTA($E$4, $P$4, $R$4) &gt;= 2, "검색창 삭제",
 IF($E$4&lt;&gt;"", IFERROR(INDEX(학력!D:D, MATCH($E$4&amp;"_학력_"&amp;$N11, 학력!$L:$L, 0)), "-"),
 IF($P$4&lt;&gt;"", IFERROR(INDEX(학력!D:D, MATCH($P$4&amp;"_학력_"&amp;$N11, 학력!$N:$N, 0)), "-"),
 IF($R$4&lt;&gt;"", IFERROR(INDEX(학력!D:D, MATCH($R$4&amp;"_학력_"&amp;$N11, 학력!$M:$M, 0)), "-"), "-")))), IF(OR(_xlpm.res=0, _xlpm.res=""), "-", _xlpm.res))</f>
        <v>-</v>
      </c>
      <c r="Q11" s="105" t="str">
        <f>_xlfn.LET(_xlpm.res, IF(COUNTA($E$4, $P$4, $R$4) &gt;= 2, "검색창 삭제",
 IF($E$4&lt;&gt;"", IFERROR(INDEX(학력!E:E, MATCH($E$4&amp;"_학력_"&amp;$N11, 학력!$L:$L, 0)), "-"),
 IF($P$4&lt;&gt;"", IFERROR(INDEX(학력!E:E, MATCH($P$4&amp;"_학력_"&amp;$N11, 학력!$N:$N, 0)), "-"),
 IF($R$4&lt;&gt;"", IFERROR(INDEX(학력!E:E, MATCH($R$4&amp;"_학력_"&amp;$N11, 학력!$M:$M, 0)), "-"), "-")))), IF(OR(_xlpm.res=0, _xlpm.res=""), "-", _xlpm.res))</f>
        <v>-</v>
      </c>
      <c r="R11" s="105" t="str">
        <f>_xlfn.LET(_xlpm.res, IF(COUNTA($E$4, $P$4, $R$4) &gt;= 2, "검색창 삭제",
 IF($E$4&lt;&gt;"", IFERROR(INDEX(학력!F:F, MATCH($E$4&amp;"_학력_"&amp;$N11, 학력!$L:$L, 0)), "-"),
 IF($P$4&lt;&gt;"", IFERROR(INDEX(학력!F:F, MATCH($P$4&amp;"_학력_"&amp;$N11, 학력!$N:$N, 0)), "-"),
 IF($R$4&lt;&gt;"", IFERROR(INDEX(학력!F:F, MATCH($R$4&amp;"_학력_"&amp;$N11, 학력!$M:$M, 0)), "-"), "-")))), IF(OR(_xlpm.res=0, _xlpm.res=""), "-", _xlpm.res))</f>
        <v>-</v>
      </c>
      <c r="S11" s="105" t="str">
        <f>_xlfn.LET(
    _xlpm.result,
    IF(COUNTA($E$4, $P$4, $R$4) &gt;= 2, "검색창 삭제",
        IF($E$4&lt;&gt;"", IFERROR(INDEX(학력!G:G, MATCH($E$4&amp;"_학력_"&amp;$N11, 학력!$L:$L, 0)), "-"),
        IF($P$4&lt;&gt;"", IFERROR(INDEX(학력!G:G, MATCH($P$4&amp;"_학력_"&amp;$N11, 학력!$N:$N, 0)), "-"),
        IF($R$4&lt;&gt;"", IFERROR(INDEX(학력!G:G, MATCH($R$4&amp;"_학력_"&amp;$N11, 학력!$M:$M, 0)), "-"), "-")))
    ),
    IF(OR(_xlpm.result=0, _xlpm.result=""), "-", _xlpm.result)
)</f>
        <v>-</v>
      </c>
      <c r="T11" s="107" t="str">
        <f>_xlfn.LET(_xlpm.res, IF(COUNTA($E$4, $P$4, $R$4) &gt;= 2, "검색창 삭제",
 IF($E$4&lt;&gt;"", IFERROR(INDEX(학력!H:H, MATCH($E$4&amp;"_학력_"&amp;$N11, 학력!$L:$L, 0)), "-"),
 IF($P$4&lt;&gt;"", IFERROR(INDEX(학력!H:H, MATCH($P$4&amp;"_학력_"&amp;$N11, 학력!$N:$N, 0)), "-"),
 IF($R$4&lt;&gt;"", IFERROR(INDEX(학력!H:H, MATCH($R$4&amp;"_학력_"&amp;$N11, 학력!$M:$M, 0)), "-"), "-")))), IF(OR(_xlpm.res=0, _xlpm.res=""), "-", _xlpm.res))</f>
        <v>-</v>
      </c>
      <c r="U11" s="105" t="str">
        <f>_xlfn.LET(_xlpm.res, IF(COUNTA($E$4, $P$4, $R$4) &gt;= 2, "검색창 삭제",
 IF($E$4&lt;&gt;"", IFERROR(HYPERLINK("학력, 자격증-excel 연동 파일\" &amp; $E$4 &amp; "\학력\" &amp; INDEX(학력!D:D, MATCH($E$4&amp;"_학력_"&amp;$N11, 학력!$L:$L, 0)) &amp; "_" &amp; INDEX(학력!E:E, MATCH($E$4&amp;"_학력_"&amp;$N11, 학력!$L:$L, 0)) &amp; "_" &amp; INDEX(학력!F:F, MATCH($E$4&amp;"_학력_"&amp;$N11, 학력!$L:$L, 0)) &amp; "_" &amp; $E$4 &amp; ".pdf", "PDF"), "-"),
 IF($P$4&lt;&gt;"", IFERROR(HYPERLINK("학력, 자격증-excel 연동 파일\" &amp; INDEX(학력!A:A, MATCH($P$4&amp;"_학력_"&amp;$N11, 학력!$N:$N, 0)) &amp; "\학력\" &amp; INDEX(학력!D:D, MATCH($P$4&amp;"_학력_"&amp;$N11, 학력!$N:$N, 0)) &amp; "_" &amp; INDEX(학력!E:E, MATCH($P$4&amp;"_학력_"&amp;$N11, 학력!$N:$N, 0)) &amp; "_" &amp; INDEX(학력!F:F, MATCH($P$4&amp;"_학력_"&amp;$N11, 학력!$N:$N, 0)) &amp; "_" &amp; INDEX(학력!A:A, MATCH($P$4&amp;"_학력_"&amp;$N11, 학력!$N:$N, 0)) &amp; ".pdf", "PDF"), "-"),
 IF($R$4&lt;&gt;"", IFERROR(HYPERLINK("학력, 자격증-excel 연동 파일\" &amp; INDEX(학력!A:A, MATCH($R$4&amp;"_학력_"&amp;$N11, 학력!$M:$M, 0)) &amp; "\학력\" &amp; INDEX(학력!D:D, MATCH($R$4&amp;"_학력_"&amp;$N11, 학력!$M:$M, 0)) &amp; "_" &amp; INDEX(학력!E:E, MATCH($R$4&amp;"_학력_"&amp;$N11, 학력!$M:$M, 0)) &amp; "_" &amp; INDEX(학력!F:F, MATCH($R$4&amp;"_학력_"&amp;$N11, 학력!$M:$M, 0)) &amp; "_" &amp; INDEX(학력!A:A, MATCH($R$4&amp;"_학력_"&amp;$N11, 학력!$M:$M, 0)) &amp; ".pdf", "PDF"), "-"), "-")))),
 IF(OR(_xlpm.res=0, _xlpm.res=""), "-", _xlpm.res))</f>
        <v>-</v>
      </c>
    </row>
    <row r="12" spans="2:21" ht="20.100000000000001" customHeight="1">
      <c r="B12" s="108">
        <v>5</v>
      </c>
      <c r="C12" s="105" t="str">
        <f>_xlfn.LET(_xlpm.res, IF(AND($E$4&lt;&gt;"", $L$4&lt;&gt;""), "검색창 삭제",
 IF($E$4&lt;&gt;"", IFERROR(INDEX(자격증!A:A, MATCH($E$4&amp;"_자격증_"&amp;$B12, 자격증!$Y:$Y, 0)), "-"),
 IF($L$4&lt;&gt;"", IFERROR(INDEX(자격증!A:A, MATCH($L$4&amp;"_자격증_"&amp;$B12, 자격증!$Z:$Z, 0)), "-"), "-"))), IF(OR(_xlpm.res=0, _xlpm.res=""), "-", _xlpm.res))</f>
        <v>-</v>
      </c>
      <c r="D12" s="106" t="str">
        <f>_xlfn.LET(_xlpm.res, IF(AND($E$4&lt;&gt;"", $L$4&lt;&gt;""), "검색창 삭제",
 IF($E$4&lt;&gt;"", IFERROR(INDEX(자격증!D:D, MATCH($E$4&amp;"_자격증_"&amp;$B12, 자격증!$Y:$Y, 0)), "-"),
 IF($L$4&lt;&gt;"", IFERROR(INDEX(자격증!D:D, MATCH($L$4&amp;"_자격증_"&amp;$B12, 자격증!$Z:$Z, 0)), "-"), "-"))), IF(OR(_xlpm.res=0, _xlpm.res=""), "-", _xlpm.res))</f>
        <v>-</v>
      </c>
      <c r="E12" s="105" t="str">
        <f>_xlfn.LET(_xlpm.res, IF(AND($E$4&lt;&gt;"", $L$4&lt;&gt;""), "검색창 삭제",
 IF($E$4&lt;&gt;"", IFERROR(INDEX(자격증!E:E, MATCH($E$4&amp;"_자격증_"&amp;$B12, 자격증!$Y:$Y, 0)), "-"),
 IF($L$4&lt;&gt;"", IFERROR(INDEX(자격증!E:E, MATCH($L$4&amp;"_자격증_"&amp;$B12, 자격증!$Z:$Z, 0)), "-"), "-"))), IF(OR(_xlpm.res=0, _xlpm.res=""), "-", _xlpm.res))</f>
        <v>-</v>
      </c>
      <c r="F12" s="105" t="str">
        <f>_xlfn.LET(_xlpm.res, IF(AND($E$4&lt;&gt;"", $L$4&lt;&gt;""), "검색창 삭제",
 IF($E$4&lt;&gt;"", IFERROR(INDEX(자격증!F:F, MATCH($E$4&amp;"_자격증_"&amp;$B12, 자격증!$Y:$Y, 0)), "-"),
 IF($L$4&lt;&gt;"", IFERROR(INDEX(자격증!F:F, MATCH($L$4&amp;"_자격증_"&amp;$B12, 자격증!$Z:$Z, 0)), "-"), "-"))), IF(OR(_xlpm.res=0, _xlpm.res=""), "-", _xlpm.res))</f>
        <v>-</v>
      </c>
      <c r="G12" s="105" t="str">
        <f>_xlfn.LET(_xlpm.res, IF(AND($E$4&lt;&gt;"", $L$4&lt;&gt;""), "검색창 삭제",
 IF($E$4&lt;&gt;"", IFERROR(INDEX(자격증!G:G, MATCH($E$4&amp;"_자격증_"&amp;$B12, 자격증!$Y:$Y, 0)), "-"),
 IF($L$4&lt;&gt;"", IFERROR(INDEX(자격증!G:G, MATCH($L$4&amp;"_자격증_"&amp;$B12, 자격증!$Z:$Z, 0)), "-"), "-"))), IF(OR(_xlpm.res=0, _xlpm.res=""), "-", _xlpm.res))</f>
        <v>-</v>
      </c>
      <c r="H12" s="105" t="str">
        <f>_xlfn.LET(_xlpm.res, IF(AND($E$4&lt;&gt;"", $L$4&lt;&gt;""), "검색창 삭제",
 IF($E$4&lt;&gt;"", IFERROR(INDEX(자격증!H:H, MATCH($E$4&amp;"_자격증_"&amp;$B12, 자격증!$Y:$Y, 0)), "-"),
 IF($L$4&lt;&gt;"", IFERROR(INDEX(자격증!H:H, MATCH($L$4&amp;"_자격증_"&amp;$B12, 자격증!$Z:$Z, 0)), "-"), "-"))), IF(OR(_xlpm.res=0, _xlpm.res=""), "-", _xlpm.res))</f>
        <v>-</v>
      </c>
      <c r="I12" s="367" t="str">
        <f>_xlfn.LET(_xlpm.res, IF(AND($E$4&lt;&gt;"", $L$4&lt;&gt;""), "검색창 삭제",
 IF($E$4&lt;&gt;"", IFERROR(INDEX(자격증!I:I, MATCH($E$4&amp;"_자격증_"&amp;$B12, 자격증!$Y:$Y, 0)), "-"),
 IF($L$4&lt;&gt;"", IFERROR(INDEX(자격증!I:I, MATCH($L$4&amp;"_자격증_"&amp;$B12, 자격증!$Z:$Z, 0)), "-"), "-"))), IF(OR(_xlpm.res=0, _xlpm.res=""), "-", _xlpm.res))</f>
        <v>-</v>
      </c>
      <c r="J12" s="367" t="str">
        <f>_xlfn.LET(_xlpm.res, IF(AND($E$4&lt;&gt;"", $L$4&lt;&gt;""), "검색창 삭제",
 IF($E$4&lt;&gt;"", IFERROR(INDEX(자격증!J:J, MATCH($E$4&amp;"_자격증_"&amp;$B12, 자격증!$Y:$Y, 0)), "-"),
 IF($L$4&lt;&gt;"", IFERROR(INDEX(자격증!J:J, MATCH($L$4&amp;"_자격증_"&amp;$B12, 자격증!$Z:$Z, 0)), "-"), "-"))), IF(OR(_xlpm.res=0, _xlpm.res=""), "-", _xlpm.res))</f>
        <v>-</v>
      </c>
      <c r="K12" s="367" t="str">
        <f>_xlfn.LET(_xlpm.res, IF(AND($E$4&lt;&gt;"", $L$4&lt;&gt;""), "검색창 삭제",
 IF($E$4&lt;&gt;"", IFERROR(INDEX(자격증!K:K, MATCH($E$4&amp;"_자격증_"&amp;$B12, 자격증!$Y:$Y, 0)), "-"),
 IF($L$4&lt;&gt;"", IFERROR(INDEX(자격증!K:K, MATCH($L$4&amp;"_자격증_"&amp;$B12, 자격증!$Z:$Z, 0)), "-"), "-"))), IF(OR(_xlpm.res=0, _xlpm.res=""), "-", _xlpm.res))</f>
        <v>-</v>
      </c>
      <c r="L12" s="105" t="str">
        <f>IF(AND($E$4&lt;&gt;"", $L$4&lt;&gt;""), "검색창 삭제",
 IF($E$4&lt;&gt;"", IFERROR(HYPERLINK("학력, 자격증-excel 연동 파일\" &amp; $E$4 &amp; "\자격증\" &amp; INDEX(자격증!D:D, MATCH($E$4&amp;"_자격증_"&amp;$B12, 자격증!$Y:$Y, 0)) &amp; "_" &amp; $E$4 &amp; ".pdf", "PDF 열기"), "-"),
 IF($L$4&lt;&gt;"", IFERROR(HYPERLINK("학력, 자격증-excel 연동 파일\" &amp; $C12 &amp; "\자격증\" &amp; INDEX(자격증!D:D, MATCH($D12&amp;"_자격증_"&amp;$B12, 자격증!$Z:$Z, 0)) &amp; "_" &amp; $C12 &amp; ".pdf", "PDF 열기"), "-"), "")))</f>
        <v/>
      </c>
      <c r="N12" s="108">
        <v>5</v>
      </c>
      <c r="O12" s="105" t="str">
        <f>_xlfn.LET(_xlpm.res, IF(COUNTA($E$4, $P$4, $R$4) &gt;= 2, "검색창 삭제",
 IF($E$4&lt;&gt;"", IFERROR(INDEX(학력!A:A, MATCH($E$4&amp;"_학력_"&amp;$N12, 학력!$L:$L, 0)), "-"),
 IF($P$4&lt;&gt;"", IFERROR(INDEX(학력!A:A, MATCH($P$4&amp;"_학력_"&amp;$N12, 학력!$N:$N, 0)), "-"),
 IF($R$4&lt;&gt;"", IFERROR(INDEX(학력!A:A, MATCH($R$4&amp;"_학력_"&amp;$N12, 학력!$M:$M, 0)), "-"), "-")))), IF(OR(_xlpm.res=0, _xlpm.res=""), "-", _xlpm.res))</f>
        <v>-</v>
      </c>
      <c r="P12" s="105" t="str">
        <f>_xlfn.LET(_xlpm.res, IF(COUNTA($E$4, $P$4, $R$4) &gt;= 2, "검색창 삭제",
 IF($E$4&lt;&gt;"", IFERROR(INDEX(학력!D:D, MATCH($E$4&amp;"_학력_"&amp;$N12, 학력!$L:$L, 0)), "-"),
 IF($P$4&lt;&gt;"", IFERROR(INDEX(학력!D:D, MATCH($P$4&amp;"_학력_"&amp;$N12, 학력!$N:$N, 0)), "-"),
 IF($R$4&lt;&gt;"", IFERROR(INDEX(학력!D:D, MATCH($R$4&amp;"_학력_"&amp;$N12, 학력!$M:$M, 0)), "-"), "-")))), IF(OR(_xlpm.res=0, _xlpm.res=""), "-", _xlpm.res))</f>
        <v>-</v>
      </c>
      <c r="Q12" s="105" t="str">
        <f>_xlfn.LET(_xlpm.res, IF(COUNTA($E$4, $P$4, $R$4) &gt;= 2, "검색창 삭제",
 IF($E$4&lt;&gt;"", IFERROR(INDEX(학력!E:E, MATCH($E$4&amp;"_학력_"&amp;$N12, 학력!$L:$L, 0)), "-"),
 IF($P$4&lt;&gt;"", IFERROR(INDEX(학력!E:E, MATCH($P$4&amp;"_학력_"&amp;$N12, 학력!$N:$N, 0)), "-"),
 IF($R$4&lt;&gt;"", IFERROR(INDEX(학력!E:E, MATCH($R$4&amp;"_학력_"&amp;$N12, 학력!$M:$M, 0)), "-"), "-")))), IF(OR(_xlpm.res=0, _xlpm.res=""), "-", _xlpm.res))</f>
        <v>-</v>
      </c>
      <c r="R12" s="105" t="str">
        <f>_xlfn.LET(_xlpm.res, IF(COUNTA($E$4, $P$4, $R$4) &gt;= 2, "검색창 삭제",
 IF($E$4&lt;&gt;"", IFERROR(INDEX(학력!F:F, MATCH($E$4&amp;"_학력_"&amp;$N12, 학력!$L:$L, 0)), "-"),
 IF($P$4&lt;&gt;"", IFERROR(INDEX(학력!F:F, MATCH($P$4&amp;"_학력_"&amp;$N12, 학력!$N:$N, 0)), "-"),
 IF($R$4&lt;&gt;"", IFERROR(INDEX(학력!F:F, MATCH($R$4&amp;"_학력_"&amp;$N12, 학력!$M:$M, 0)), "-"), "-")))), IF(OR(_xlpm.res=0, _xlpm.res=""), "-", _xlpm.res))</f>
        <v>-</v>
      </c>
      <c r="S12" s="105" t="str">
        <f>_xlfn.LET(
    _xlpm.result,
    IF(COUNTA($E$4, $P$4, $R$4) &gt;= 2, "검색창 삭제",
        IF($E$4&lt;&gt;"", IFERROR(INDEX(학력!G:G, MATCH($E$4&amp;"_학력_"&amp;$N12, 학력!$L:$L, 0)), "-"),
        IF($P$4&lt;&gt;"", IFERROR(INDEX(학력!G:G, MATCH($P$4&amp;"_학력_"&amp;$N12, 학력!$N:$N, 0)), "-"),
        IF($R$4&lt;&gt;"", IFERROR(INDEX(학력!G:G, MATCH($R$4&amp;"_학력_"&amp;$N12, 학력!$M:$M, 0)), "-"), "-")))
    ),
    IF(OR(_xlpm.result=0, _xlpm.result=""), "-", _xlpm.result)
)</f>
        <v>-</v>
      </c>
      <c r="T12" s="107" t="str">
        <f>_xlfn.LET(_xlpm.res, IF(COUNTA($E$4, $P$4, $R$4) &gt;= 2, "검색창 삭제",
 IF($E$4&lt;&gt;"", IFERROR(INDEX(학력!H:H, MATCH($E$4&amp;"_학력_"&amp;$N12, 학력!$L:$L, 0)), "-"),
 IF($P$4&lt;&gt;"", IFERROR(INDEX(학력!H:H, MATCH($P$4&amp;"_학력_"&amp;$N12, 학력!$N:$N, 0)), "-"),
 IF($R$4&lt;&gt;"", IFERROR(INDEX(학력!H:H, MATCH($R$4&amp;"_학력_"&amp;$N12, 학력!$M:$M, 0)), "-"), "-")))), IF(OR(_xlpm.res=0, _xlpm.res=""), "-", _xlpm.res))</f>
        <v>-</v>
      </c>
      <c r="U12" s="105" t="str">
        <f>_xlfn.LET(_xlpm.res, IF(COUNTA($E$4, $P$4, $R$4) &gt;= 2, "검색창 삭제",
 IF($E$4&lt;&gt;"", IFERROR(HYPERLINK("학력, 자격증-excel 연동 파일\" &amp; $E$4 &amp; "\학력\" &amp; INDEX(학력!D:D, MATCH($E$4&amp;"_학력_"&amp;$N12, 학력!$L:$L, 0)) &amp; "_" &amp; INDEX(학력!E:E, MATCH($E$4&amp;"_학력_"&amp;$N12, 학력!$L:$L, 0)) &amp; "_" &amp; INDEX(학력!F:F, MATCH($E$4&amp;"_학력_"&amp;$N12, 학력!$L:$L, 0)) &amp; "_" &amp; $E$4 &amp; ".pdf", "PDF"), "-"),
 IF($P$4&lt;&gt;"", IFERROR(HYPERLINK("학력, 자격증-excel 연동 파일\" &amp; INDEX(학력!A:A, MATCH($P$4&amp;"_학력_"&amp;$N12, 학력!$N:$N, 0)) &amp; "\학력\" &amp; INDEX(학력!D:D, MATCH($P$4&amp;"_학력_"&amp;$N12, 학력!$N:$N, 0)) &amp; "_" &amp; INDEX(학력!E:E, MATCH($P$4&amp;"_학력_"&amp;$N12, 학력!$N:$N, 0)) &amp; "_" &amp; INDEX(학력!F:F, MATCH($P$4&amp;"_학력_"&amp;$N12, 학력!$N:$N, 0)) &amp; "_" &amp; INDEX(학력!A:A, MATCH($P$4&amp;"_학력_"&amp;$N12, 학력!$N:$N, 0)) &amp; ".pdf", "PDF"), "-"),
 IF($R$4&lt;&gt;"", IFERROR(HYPERLINK("학력, 자격증-excel 연동 파일\" &amp; INDEX(학력!A:A, MATCH($R$4&amp;"_학력_"&amp;$N12, 학력!$M:$M, 0)) &amp; "\학력\" &amp; INDEX(학력!D:D, MATCH($R$4&amp;"_학력_"&amp;$N12, 학력!$M:$M, 0)) &amp; "_" &amp; INDEX(학력!E:E, MATCH($R$4&amp;"_학력_"&amp;$N12, 학력!$M:$M, 0)) &amp; "_" &amp; INDEX(학력!F:F, MATCH($R$4&amp;"_학력_"&amp;$N12, 학력!$M:$M, 0)) &amp; "_" &amp; INDEX(학력!A:A, MATCH($R$4&amp;"_학력_"&amp;$N12, 학력!$M:$M, 0)) &amp; ".pdf", "PDF"), "-"), "-")))),
 IF(OR(_xlpm.res=0, _xlpm.res=""), "-", _xlpm.res))</f>
        <v>-</v>
      </c>
    </row>
    <row r="13" spans="2:21" ht="20.100000000000001" customHeight="1">
      <c r="B13" s="108">
        <v>6</v>
      </c>
      <c r="C13" s="105" t="str">
        <f>_xlfn.LET(_xlpm.res, IF(AND($E$4&lt;&gt;"", $L$4&lt;&gt;""), "검색창 삭제",
 IF($E$4&lt;&gt;"", IFERROR(INDEX(자격증!A:A, MATCH($E$4&amp;"_자격증_"&amp;$B13, 자격증!$Y:$Y, 0)), "-"),
 IF($L$4&lt;&gt;"", IFERROR(INDEX(자격증!A:A, MATCH($L$4&amp;"_자격증_"&amp;$B13, 자격증!$Z:$Z, 0)), "-"), "-"))), IF(OR(_xlpm.res=0, _xlpm.res=""), "-", _xlpm.res))</f>
        <v>-</v>
      </c>
      <c r="D13" s="106" t="str">
        <f>_xlfn.LET(_xlpm.res, IF(AND($E$4&lt;&gt;"", $L$4&lt;&gt;""), "검색창 삭제",
 IF($E$4&lt;&gt;"", IFERROR(INDEX(자격증!D:D, MATCH($E$4&amp;"_자격증_"&amp;$B13, 자격증!$Y:$Y, 0)), "-"),
 IF($L$4&lt;&gt;"", IFERROR(INDEX(자격증!D:D, MATCH($L$4&amp;"_자격증_"&amp;$B13, 자격증!$Z:$Z, 0)), "-"), "-"))), IF(OR(_xlpm.res=0, _xlpm.res=""), "-", _xlpm.res))</f>
        <v>-</v>
      </c>
      <c r="E13" s="105" t="str">
        <f>_xlfn.LET(_xlpm.res, IF(AND($E$4&lt;&gt;"", $L$4&lt;&gt;""), "검색창 삭제",
 IF($E$4&lt;&gt;"", IFERROR(INDEX(자격증!E:E, MATCH($E$4&amp;"_자격증_"&amp;$B13, 자격증!$Y:$Y, 0)), "-"),
 IF($L$4&lt;&gt;"", IFERROR(INDEX(자격증!E:E, MATCH($L$4&amp;"_자격증_"&amp;$B13, 자격증!$Z:$Z, 0)), "-"), "-"))), IF(OR(_xlpm.res=0, _xlpm.res=""), "-", _xlpm.res))</f>
        <v>-</v>
      </c>
      <c r="F13" s="105" t="str">
        <f>_xlfn.LET(_xlpm.res, IF(AND($E$4&lt;&gt;"", $L$4&lt;&gt;""), "검색창 삭제",
 IF($E$4&lt;&gt;"", IFERROR(INDEX(자격증!F:F, MATCH($E$4&amp;"_자격증_"&amp;$B13, 자격증!$Y:$Y, 0)), "-"),
 IF($L$4&lt;&gt;"", IFERROR(INDEX(자격증!F:F, MATCH($L$4&amp;"_자격증_"&amp;$B13, 자격증!$Z:$Z, 0)), "-"), "-"))), IF(OR(_xlpm.res=0, _xlpm.res=""), "-", _xlpm.res))</f>
        <v>-</v>
      </c>
      <c r="G13" s="105" t="str">
        <f>_xlfn.LET(_xlpm.res, IF(AND($E$4&lt;&gt;"", $L$4&lt;&gt;""), "검색창 삭제",
 IF($E$4&lt;&gt;"", IFERROR(INDEX(자격증!G:G, MATCH($E$4&amp;"_자격증_"&amp;$B13, 자격증!$Y:$Y, 0)), "-"),
 IF($L$4&lt;&gt;"", IFERROR(INDEX(자격증!G:G, MATCH($L$4&amp;"_자격증_"&amp;$B13, 자격증!$Z:$Z, 0)), "-"), "-"))), IF(OR(_xlpm.res=0, _xlpm.res=""), "-", _xlpm.res))</f>
        <v>-</v>
      </c>
      <c r="H13" s="105" t="str">
        <f>_xlfn.LET(_xlpm.res, IF(AND($E$4&lt;&gt;"", $L$4&lt;&gt;""), "검색창 삭제",
 IF($E$4&lt;&gt;"", IFERROR(INDEX(자격증!H:H, MATCH($E$4&amp;"_자격증_"&amp;$B13, 자격증!$Y:$Y, 0)), "-"),
 IF($L$4&lt;&gt;"", IFERROR(INDEX(자격증!H:H, MATCH($L$4&amp;"_자격증_"&amp;$B13, 자격증!$Z:$Z, 0)), "-"), "-"))), IF(OR(_xlpm.res=0, _xlpm.res=""), "-", _xlpm.res))</f>
        <v>-</v>
      </c>
      <c r="I13" s="367" t="str">
        <f>_xlfn.LET(_xlpm.res, IF(AND($E$4&lt;&gt;"", $L$4&lt;&gt;""), "검색창 삭제",
 IF($E$4&lt;&gt;"", IFERROR(INDEX(자격증!I:I, MATCH($E$4&amp;"_자격증_"&amp;$B13, 자격증!$Y:$Y, 0)), "-"),
 IF($L$4&lt;&gt;"", IFERROR(INDEX(자격증!I:I, MATCH($L$4&amp;"_자격증_"&amp;$B13, 자격증!$Z:$Z, 0)), "-"), "-"))), IF(OR(_xlpm.res=0, _xlpm.res=""), "-", _xlpm.res))</f>
        <v>-</v>
      </c>
      <c r="J13" s="367" t="str">
        <f>_xlfn.LET(_xlpm.res, IF(AND($E$4&lt;&gt;"", $L$4&lt;&gt;""), "검색창 삭제",
 IF($E$4&lt;&gt;"", IFERROR(INDEX(자격증!J:J, MATCH($E$4&amp;"_자격증_"&amp;$B13, 자격증!$Y:$Y, 0)), "-"),
 IF($L$4&lt;&gt;"", IFERROR(INDEX(자격증!J:J, MATCH($L$4&amp;"_자격증_"&amp;$B13, 자격증!$Z:$Z, 0)), "-"), "-"))), IF(OR(_xlpm.res=0, _xlpm.res=""), "-", _xlpm.res))</f>
        <v>-</v>
      </c>
      <c r="K13" s="367" t="str">
        <f>_xlfn.LET(_xlpm.res, IF(AND($E$4&lt;&gt;"", $L$4&lt;&gt;""), "검색창 삭제",
 IF($E$4&lt;&gt;"", IFERROR(INDEX(자격증!K:K, MATCH($E$4&amp;"_자격증_"&amp;$B13, 자격증!$Y:$Y, 0)), "-"),
 IF($L$4&lt;&gt;"", IFERROR(INDEX(자격증!K:K, MATCH($L$4&amp;"_자격증_"&amp;$B13, 자격증!$Z:$Z, 0)), "-"), "-"))), IF(OR(_xlpm.res=0, _xlpm.res=""), "-", _xlpm.res))</f>
        <v>-</v>
      </c>
      <c r="L13" s="105" t="str">
        <f>IF(AND($E$4&lt;&gt;"", $L$4&lt;&gt;""), "검색창 삭제",
 IF($E$4&lt;&gt;"", IFERROR(HYPERLINK("학력, 자격증-excel 연동 파일\" &amp; $E$4 &amp; "\자격증\" &amp; INDEX(자격증!D:D, MATCH($E$4&amp;"_자격증_"&amp;$B13, 자격증!$Y:$Y, 0)) &amp; "_" &amp; $E$4 &amp; ".pdf", "PDF 열기"), "-"),
 IF($L$4&lt;&gt;"", IFERROR(HYPERLINK("학력, 자격증-excel 연동 파일\" &amp; $C13 &amp; "\자격증\" &amp; INDEX(자격증!D:D, MATCH($D13&amp;"_자격증_"&amp;$B13, 자격증!$Z:$Z, 0)) &amp; "_" &amp; $C13 &amp; ".pdf", "PDF 열기"), "-"), "")))</f>
        <v/>
      </c>
      <c r="N13" s="108">
        <v>6</v>
      </c>
      <c r="O13" s="105" t="str">
        <f>_xlfn.LET(_xlpm.res, IF(COUNTA($E$4, $P$4, $R$4) &gt;= 2, "검색창 삭제",
 IF($E$4&lt;&gt;"", IFERROR(INDEX(학력!A:A, MATCH($E$4&amp;"_학력_"&amp;$N13, 학력!$L:$L, 0)), "-"),
 IF($P$4&lt;&gt;"", IFERROR(INDEX(학력!A:A, MATCH($P$4&amp;"_학력_"&amp;$N13, 학력!$N:$N, 0)), "-"),
 IF($R$4&lt;&gt;"", IFERROR(INDEX(학력!A:A, MATCH($R$4&amp;"_학력_"&amp;$N13, 학력!$M:$M, 0)), "-"), "-")))), IF(OR(_xlpm.res=0, _xlpm.res=""), "-", _xlpm.res))</f>
        <v>-</v>
      </c>
      <c r="P13" s="105" t="str">
        <f>_xlfn.LET(_xlpm.res, IF(COUNTA($E$4, $P$4, $R$4) &gt;= 2, "검색창 삭제",
 IF($E$4&lt;&gt;"", IFERROR(INDEX(학력!D:D, MATCH($E$4&amp;"_학력_"&amp;$N13, 학력!$L:$L, 0)), "-"),
 IF($P$4&lt;&gt;"", IFERROR(INDEX(학력!D:D, MATCH($P$4&amp;"_학력_"&amp;$N13, 학력!$N:$N, 0)), "-"),
 IF($R$4&lt;&gt;"", IFERROR(INDEX(학력!D:D, MATCH($R$4&amp;"_학력_"&amp;$N13, 학력!$M:$M, 0)), "-"), "-")))), IF(OR(_xlpm.res=0, _xlpm.res=""), "-", _xlpm.res))</f>
        <v>-</v>
      </c>
      <c r="Q13" s="105" t="str">
        <f>_xlfn.LET(_xlpm.res, IF(COUNTA($E$4, $P$4, $R$4) &gt;= 2, "검색창 삭제",
 IF($E$4&lt;&gt;"", IFERROR(INDEX(학력!E:E, MATCH($E$4&amp;"_학력_"&amp;$N13, 학력!$L:$L, 0)), "-"),
 IF($P$4&lt;&gt;"", IFERROR(INDEX(학력!E:E, MATCH($P$4&amp;"_학력_"&amp;$N13, 학력!$N:$N, 0)), "-"),
 IF($R$4&lt;&gt;"", IFERROR(INDEX(학력!E:E, MATCH($R$4&amp;"_학력_"&amp;$N13, 학력!$M:$M, 0)), "-"), "-")))), IF(OR(_xlpm.res=0, _xlpm.res=""), "-", _xlpm.res))</f>
        <v>-</v>
      </c>
      <c r="R13" s="105" t="str">
        <f>_xlfn.LET(_xlpm.res, IF(COUNTA($E$4, $P$4, $R$4) &gt;= 2, "검색창 삭제",
 IF($E$4&lt;&gt;"", IFERROR(INDEX(학력!F:F, MATCH($E$4&amp;"_학력_"&amp;$N13, 학력!$L:$L, 0)), "-"),
 IF($P$4&lt;&gt;"", IFERROR(INDEX(학력!F:F, MATCH($P$4&amp;"_학력_"&amp;$N13, 학력!$N:$N, 0)), "-"),
 IF($R$4&lt;&gt;"", IFERROR(INDEX(학력!F:F, MATCH($R$4&amp;"_학력_"&amp;$N13, 학력!$M:$M, 0)), "-"), "-")))), IF(OR(_xlpm.res=0, _xlpm.res=""), "-", _xlpm.res))</f>
        <v>-</v>
      </c>
      <c r="S13" s="105" t="str">
        <f>_xlfn.LET(
    _xlpm.result,
    IF(COUNTA($E$4, $P$4, $R$4) &gt;= 2, "검색창 삭제",
        IF($E$4&lt;&gt;"", IFERROR(INDEX(학력!G:G, MATCH($E$4&amp;"_학력_"&amp;$N13, 학력!$L:$L, 0)), "-"),
        IF($P$4&lt;&gt;"", IFERROR(INDEX(학력!G:G, MATCH($P$4&amp;"_학력_"&amp;$N13, 학력!$N:$N, 0)), "-"),
        IF($R$4&lt;&gt;"", IFERROR(INDEX(학력!G:G, MATCH($R$4&amp;"_학력_"&amp;$N13, 학력!$M:$M, 0)), "-"), "-")))
    ),
    IF(OR(_xlpm.result=0, _xlpm.result=""), "-", _xlpm.result)
)</f>
        <v>-</v>
      </c>
      <c r="T13" s="107" t="str">
        <f>_xlfn.LET(_xlpm.res, IF(COUNTA($E$4, $P$4, $R$4) &gt;= 2, "검색창 삭제",
 IF($E$4&lt;&gt;"", IFERROR(INDEX(학력!H:H, MATCH($E$4&amp;"_학력_"&amp;$N13, 학력!$L:$L, 0)), "-"),
 IF($P$4&lt;&gt;"", IFERROR(INDEX(학력!H:H, MATCH($P$4&amp;"_학력_"&amp;$N13, 학력!$N:$N, 0)), "-"),
 IF($R$4&lt;&gt;"", IFERROR(INDEX(학력!H:H, MATCH($R$4&amp;"_학력_"&amp;$N13, 학력!$M:$M, 0)), "-"), "-")))), IF(OR(_xlpm.res=0, _xlpm.res=""), "-", _xlpm.res))</f>
        <v>-</v>
      </c>
      <c r="U13" s="105" t="str">
        <f>_xlfn.LET(_xlpm.res, IF(COUNTA($E$4, $P$4, $R$4) &gt;= 2, "검색창 삭제",
 IF($E$4&lt;&gt;"", IFERROR(HYPERLINK("학력, 자격증-excel 연동 파일\" &amp; $E$4 &amp; "\학력\" &amp; INDEX(학력!D:D, MATCH($E$4&amp;"_학력_"&amp;$N13, 학력!$L:$L, 0)) &amp; "_" &amp; INDEX(학력!E:E, MATCH($E$4&amp;"_학력_"&amp;$N13, 학력!$L:$L, 0)) &amp; "_" &amp; INDEX(학력!F:F, MATCH($E$4&amp;"_학력_"&amp;$N13, 학력!$L:$L, 0)) &amp; "_" &amp; $E$4 &amp; ".pdf", "PDF"), "-"),
 IF($P$4&lt;&gt;"", IFERROR(HYPERLINK("학력, 자격증-excel 연동 파일\" &amp; INDEX(학력!A:A, MATCH($P$4&amp;"_학력_"&amp;$N13, 학력!$N:$N, 0)) &amp; "\학력\" &amp; INDEX(학력!D:D, MATCH($P$4&amp;"_학력_"&amp;$N13, 학력!$N:$N, 0)) &amp; "_" &amp; INDEX(학력!E:E, MATCH($P$4&amp;"_학력_"&amp;$N13, 학력!$N:$N, 0)) &amp; "_" &amp; INDEX(학력!F:F, MATCH($P$4&amp;"_학력_"&amp;$N13, 학력!$N:$N, 0)) &amp; "_" &amp; INDEX(학력!A:A, MATCH($P$4&amp;"_학력_"&amp;$N13, 학력!$N:$N, 0)) &amp; ".pdf", "PDF"), "-"),
 IF($R$4&lt;&gt;"", IFERROR(HYPERLINK("학력, 자격증-excel 연동 파일\" &amp; INDEX(학력!A:A, MATCH($R$4&amp;"_학력_"&amp;$N13, 학력!$M:$M, 0)) &amp; "\학력\" &amp; INDEX(학력!D:D, MATCH($R$4&amp;"_학력_"&amp;$N13, 학력!$M:$M, 0)) &amp; "_" &amp; INDEX(학력!E:E, MATCH($R$4&amp;"_학력_"&amp;$N13, 학력!$M:$M, 0)) &amp; "_" &amp; INDEX(학력!F:F, MATCH($R$4&amp;"_학력_"&amp;$N13, 학력!$M:$M, 0)) &amp; "_" &amp; INDEX(학력!A:A, MATCH($R$4&amp;"_학력_"&amp;$N13, 학력!$M:$M, 0)) &amp; ".pdf", "PDF"), "-"), "-")))),
 IF(OR(_xlpm.res=0, _xlpm.res=""), "-", _xlpm.res))</f>
        <v>-</v>
      </c>
    </row>
    <row r="14" spans="2:21" ht="20.100000000000001" customHeight="1">
      <c r="B14" s="108">
        <v>7</v>
      </c>
      <c r="C14" s="105" t="str">
        <f>_xlfn.LET(_xlpm.res, IF(AND($E$4&lt;&gt;"", $L$4&lt;&gt;""), "검색창 삭제",
 IF($E$4&lt;&gt;"", IFERROR(INDEX(자격증!A:A, MATCH($E$4&amp;"_자격증_"&amp;$B14, 자격증!$Y:$Y, 0)), "-"),
 IF($L$4&lt;&gt;"", IFERROR(INDEX(자격증!A:A, MATCH($L$4&amp;"_자격증_"&amp;$B14, 자격증!$Z:$Z, 0)), "-"), "-"))), IF(OR(_xlpm.res=0, _xlpm.res=""), "-", _xlpm.res))</f>
        <v>-</v>
      </c>
      <c r="D14" s="106" t="str">
        <f>_xlfn.LET(_xlpm.res, IF(AND($E$4&lt;&gt;"", $L$4&lt;&gt;""), "검색창 삭제",
 IF($E$4&lt;&gt;"", IFERROR(INDEX(자격증!D:D, MATCH($E$4&amp;"_자격증_"&amp;$B14, 자격증!$Y:$Y, 0)), "-"),
 IF($L$4&lt;&gt;"", IFERROR(INDEX(자격증!D:D, MATCH($L$4&amp;"_자격증_"&amp;$B14, 자격증!$Z:$Z, 0)), "-"), "-"))), IF(OR(_xlpm.res=0, _xlpm.res=""), "-", _xlpm.res))</f>
        <v>-</v>
      </c>
      <c r="E14" s="105" t="str">
        <f>_xlfn.LET(_xlpm.res, IF(AND($E$4&lt;&gt;"", $L$4&lt;&gt;""), "검색창 삭제",
 IF($E$4&lt;&gt;"", IFERROR(INDEX(자격증!E:E, MATCH($E$4&amp;"_자격증_"&amp;$B14, 자격증!$Y:$Y, 0)), "-"),
 IF($L$4&lt;&gt;"", IFERROR(INDEX(자격증!E:E, MATCH($L$4&amp;"_자격증_"&amp;$B14, 자격증!$Z:$Z, 0)), "-"), "-"))), IF(OR(_xlpm.res=0, _xlpm.res=""), "-", _xlpm.res))</f>
        <v>-</v>
      </c>
      <c r="F14" s="105" t="str">
        <f>_xlfn.LET(_xlpm.res, IF(AND($E$4&lt;&gt;"", $L$4&lt;&gt;""), "검색창 삭제",
 IF($E$4&lt;&gt;"", IFERROR(INDEX(자격증!F:F, MATCH($E$4&amp;"_자격증_"&amp;$B14, 자격증!$Y:$Y, 0)), "-"),
 IF($L$4&lt;&gt;"", IFERROR(INDEX(자격증!F:F, MATCH($L$4&amp;"_자격증_"&amp;$B14, 자격증!$Z:$Z, 0)), "-"), "-"))), IF(OR(_xlpm.res=0, _xlpm.res=""), "-", _xlpm.res))</f>
        <v>-</v>
      </c>
      <c r="G14" s="105" t="str">
        <f>_xlfn.LET(_xlpm.res, IF(AND($E$4&lt;&gt;"", $L$4&lt;&gt;""), "검색창 삭제",
 IF($E$4&lt;&gt;"", IFERROR(INDEX(자격증!G:G, MATCH($E$4&amp;"_자격증_"&amp;$B14, 자격증!$Y:$Y, 0)), "-"),
 IF($L$4&lt;&gt;"", IFERROR(INDEX(자격증!G:G, MATCH($L$4&amp;"_자격증_"&amp;$B14, 자격증!$Z:$Z, 0)), "-"), "-"))), IF(OR(_xlpm.res=0, _xlpm.res=""), "-", _xlpm.res))</f>
        <v>-</v>
      </c>
      <c r="H14" s="105" t="str">
        <f>_xlfn.LET(_xlpm.res, IF(AND($E$4&lt;&gt;"", $L$4&lt;&gt;""), "검색창 삭제",
 IF($E$4&lt;&gt;"", IFERROR(INDEX(자격증!H:H, MATCH($E$4&amp;"_자격증_"&amp;$B14, 자격증!$Y:$Y, 0)), "-"),
 IF($L$4&lt;&gt;"", IFERROR(INDEX(자격증!H:H, MATCH($L$4&amp;"_자격증_"&amp;$B14, 자격증!$Z:$Z, 0)), "-"), "-"))), IF(OR(_xlpm.res=0, _xlpm.res=""), "-", _xlpm.res))</f>
        <v>-</v>
      </c>
      <c r="I14" s="367" t="str">
        <f>_xlfn.LET(_xlpm.res, IF(AND($E$4&lt;&gt;"", $L$4&lt;&gt;""), "검색창 삭제",
 IF($E$4&lt;&gt;"", IFERROR(INDEX(자격증!I:I, MATCH($E$4&amp;"_자격증_"&amp;$B14, 자격증!$Y:$Y, 0)), "-"),
 IF($L$4&lt;&gt;"", IFERROR(INDEX(자격증!I:I, MATCH($L$4&amp;"_자격증_"&amp;$B14, 자격증!$Z:$Z, 0)), "-"), "-"))), IF(OR(_xlpm.res=0, _xlpm.res=""), "-", _xlpm.res))</f>
        <v>-</v>
      </c>
      <c r="J14" s="367" t="str">
        <f>_xlfn.LET(_xlpm.res, IF(AND($E$4&lt;&gt;"", $L$4&lt;&gt;""), "검색창 삭제",
 IF($E$4&lt;&gt;"", IFERROR(INDEX(자격증!J:J, MATCH($E$4&amp;"_자격증_"&amp;$B14, 자격증!$Y:$Y, 0)), "-"),
 IF($L$4&lt;&gt;"", IFERROR(INDEX(자격증!J:J, MATCH($L$4&amp;"_자격증_"&amp;$B14, 자격증!$Z:$Z, 0)), "-"), "-"))), IF(OR(_xlpm.res=0, _xlpm.res=""), "-", _xlpm.res))</f>
        <v>-</v>
      </c>
      <c r="K14" s="367" t="str">
        <f>_xlfn.LET(_xlpm.res, IF(AND($E$4&lt;&gt;"", $L$4&lt;&gt;""), "검색창 삭제",
 IF($E$4&lt;&gt;"", IFERROR(INDEX(자격증!K:K, MATCH($E$4&amp;"_자격증_"&amp;$B14, 자격증!$Y:$Y, 0)), "-"),
 IF($L$4&lt;&gt;"", IFERROR(INDEX(자격증!K:K, MATCH($L$4&amp;"_자격증_"&amp;$B14, 자격증!$Z:$Z, 0)), "-"), "-"))), IF(OR(_xlpm.res=0, _xlpm.res=""), "-", _xlpm.res))</f>
        <v>-</v>
      </c>
      <c r="L14" s="105" t="str">
        <f>IF(AND($E$4&lt;&gt;"", $L$4&lt;&gt;""), "검색창 삭제",
 IF($E$4&lt;&gt;"", IFERROR(HYPERLINK("학력, 자격증-excel 연동 파일\" &amp; $E$4 &amp; "\자격증\" &amp; INDEX(자격증!D:D, MATCH($E$4&amp;"_자격증_"&amp;$B14, 자격증!$Y:$Y, 0)) &amp; "_" &amp; $E$4 &amp; ".pdf", "PDF 열기"), "-"),
 IF($L$4&lt;&gt;"", IFERROR(HYPERLINK("학력, 자격증-excel 연동 파일\" &amp; $C14 &amp; "\자격증\" &amp; INDEX(자격증!D:D, MATCH($D14&amp;"_자격증_"&amp;$B14, 자격증!$Z:$Z, 0)) &amp; "_" &amp; $C14 &amp; ".pdf", "PDF 열기"), "-"), "")))</f>
        <v/>
      </c>
      <c r="N14" s="108">
        <v>7</v>
      </c>
      <c r="O14" s="105" t="str">
        <f>_xlfn.LET(_xlpm.res, IF(COUNTA($E$4, $P$4, $R$4) &gt;= 2, "검색창 삭제",
 IF($E$4&lt;&gt;"", IFERROR(INDEX(학력!A:A, MATCH($E$4&amp;"_학력_"&amp;$N14, 학력!$L:$L, 0)), "-"),
 IF($P$4&lt;&gt;"", IFERROR(INDEX(학력!A:A, MATCH($P$4&amp;"_학력_"&amp;$N14, 학력!$N:$N, 0)), "-"),
 IF($R$4&lt;&gt;"", IFERROR(INDEX(학력!A:A, MATCH($R$4&amp;"_학력_"&amp;$N14, 학력!$M:$M, 0)), "-"), "-")))), IF(OR(_xlpm.res=0, _xlpm.res=""), "-", _xlpm.res))</f>
        <v>-</v>
      </c>
      <c r="P14" s="105" t="str">
        <f>_xlfn.LET(_xlpm.res, IF(COUNTA($E$4, $P$4, $R$4) &gt;= 2, "검색창 삭제",
 IF($E$4&lt;&gt;"", IFERROR(INDEX(학력!D:D, MATCH($E$4&amp;"_학력_"&amp;$N14, 학력!$L:$L, 0)), "-"),
 IF($P$4&lt;&gt;"", IFERROR(INDEX(학력!D:D, MATCH($P$4&amp;"_학력_"&amp;$N14, 학력!$N:$N, 0)), "-"),
 IF($R$4&lt;&gt;"", IFERROR(INDEX(학력!D:D, MATCH($R$4&amp;"_학력_"&amp;$N14, 학력!$M:$M, 0)), "-"), "-")))), IF(OR(_xlpm.res=0, _xlpm.res=""), "-", _xlpm.res))</f>
        <v>-</v>
      </c>
      <c r="Q14" s="105" t="str">
        <f>_xlfn.LET(_xlpm.res, IF(COUNTA($E$4, $P$4, $R$4) &gt;= 2, "검색창 삭제",
 IF($E$4&lt;&gt;"", IFERROR(INDEX(학력!E:E, MATCH($E$4&amp;"_학력_"&amp;$N14, 학력!$L:$L, 0)), "-"),
 IF($P$4&lt;&gt;"", IFERROR(INDEX(학력!E:E, MATCH($P$4&amp;"_학력_"&amp;$N14, 학력!$N:$N, 0)), "-"),
 IF($R$4&lt;&gt;"", IFERROR(INDEX(학력!E:E, MATCH($R$4&amp;"_학력_"&amp;$N14, 학력!$M:$M, 0)), "-"), "-")))), IF(OR(_xlpm.res=0, _xlpm.res=""), "-", _xlpm.res))</f>
        <v>-</v>
      </c>
      <c r="R14" s="105" t="str">
        <f>_xlfn.LET(_xlpm.res, IF(COUNTA($E$4, $P$4, $R$4) &gt;= 2, "검색창 삭제",
 IF($E$4&lt;&gt;"", IFERROR(INDEX(학력!F:F, MATCH($E$4&amp;"_학력_"&amp;$N14, 학력!$L:$L, 0)), "-"),
 IF($P$4&lt;&gt;"", IFERROR(INDEX(학력!F:F, MATCH($P$4&amp;"_학력_"&amp;$N14, 학력!$N:$N, 0)), "-"),
 IF($R$4&lt;&gt;"", IFERROR(INDEX(학력!F:F, MATCH($R$4&amp;"_학력_"&amp;$N14, 학력!$M:$M, 0)), "-"), "-")))), IF(OR(_xlpm.res=0, _xlpm.res=""), "-", _xlpm.res))</f>
        <v>-</v>
      </c>
      <c r="S14" s="105" t="str">
        <f>_xlfn.LET(
    _xlpm.result,
    IF(COUNTA($E$4, $P$4, $R$4) &gt;= 2, "검색창 삭제",
        IF($E$4&lt;&gt;"", IFERROR(INDEX(학력!G:G, MATCH($E$4&amp;"_학력_"&amp;$N14, 학력!$L:$L, 0)), "-"),
        IF($P$4&lt;&gt;"", IFERROR(INDEX(학력!G:G, MATCH($P$4&amp;"_학력_"&amp;$N14, 학력!$N:$N, 0)), "-"),
        IF($R$4&lt;&gt;"", IFERROR(INDEX(학력!G:G, MATCH($R$4&amp;"_학력_"&amp;$N14, 학력!$M:$M, 0)), "-"), "-")))
    ),
    IF(OR(_xlpm.result=0, _xlpm.result=""), "-", _xlpm.result)
)</f>
        <v>-</v>
      </c>
      <c r="T14" s="107" t="str">
        <f>_xlfn.LET(_xlpm.res, IF(COUNTA($E$4, $P$4, $R$4) &gt;= 2, "검색창 삭제",
 IF($E$4&lt;&gt;"", IFERROR(INDEX(학력!H:H, MATCH($E$4&amp;"_학력_"&amp;$N14, 학력!$L:$L, 0)), "-"),
 IF($P$4&lt;&gt;"", IFERROR(INDEX(학력!H:H, MATCH($P$4&amp;"_학력_"&amp;$N14, 학력!$N:$N, 0)), "-"),
 IF($R$4&lt;&gt;"", IFERROR(INDEX(학력!H:H, MATCH($R$4&amp;"_학력_"&amp;$N14, 학력!$M:$M, 0)), "-"), "-")))), IF(OR(_xlpm.res=0, _xlpm.res=""), "-", _xlpm.res))</f>
        <v>-</v>
      </c>
      <c r="U14" s="105" t="str">
        <f>_xlfn.LET(_xlpm.res, IF(COUNTA($E$4, $P$4, $R$4) &gt;= 2, "검색창 삭제",
 IF($E$4&lt;&gt;"", IFERROR(HYPERLINK("학력, 자격증-excel 연동 파일\" &amp; $E$4 &amp; "\학력\" &amp; INDEX(학력!D:D, MATCH($E$4&amp;"_학력_"&amp;$N14, 학력!$L:$L, 0)) &amp; "_" &amp; INDEX(학력!E:E, MATCH($E$4&amp;"_학력_"&amp;$N14, 학력!$L:$L, 0)) &amp; "_" &amp; INDEX(학력!F:F, MATCH($E$4&amp;"_학력_"&amp;$N14, 학력!$L:$L, 0)) &amp; "_" &amp; $E$4 &amp; ".pdf", "PDF"), "-"),
 IF($P$4&lt;&gt;"", IFERROR(HYPERLINK("학력, 자격증-excel 연동 파일\" &amp; INDEX(학력!A:A, MATCH($P$4&amp;"_학력_"&amp;$N14, 학력!$N:$N, 0)) &amp; "\학력\" &amp; INDEX(학력!D:D, MATCH($P$4&amp;"_학력_"&amp;$N14, 학력!$N:$N, 0)) &amp; "_" &amp; INDEX(학력!E:E, MATCH($P$4&amp;"_학력_"&amp;$N14, 학력!$N:$N, 0)) &amp; "_" &amp; INDEX(학력!F:F, MATCH($P$4&amp;"_학력_"&amp;$N14, 학력!$N:$N, 0)) &amp; "_" &amp; INDEX(학력!A:A, MATCH($P$4&amp;"_학력_"&amp;$N14, 학력!$N:$N, 0)) &amp; ".pdf", "PDF"), "-"),
 IF($R$4&lt;&gt;"", IFERROR(HYPERLINK("학력, 자격증-excel 연동 파일\" &amp; INDEX(학력!A:A, MATCH($R$4&amp;"_학력_"&amp;$N14, 학력!$M:$M, 0)) &amp; "\학력\" &amp; INDEX(학력!D:D, MATCH($R$4&amp;"_학력_"&amp;$N14, 학력!$M:$M, 0)) &amp; "_" &amp; INDEX(학력!E:E, MATCH($R$4&amp;"_학력_"&amp;$N14, 학력!$M:$M, 0)) &amp; "_" &amp; INDEX(학력!F:F, MATCH($R$4&amp;"_학력_"&amp;$N14, 학력!$M:$M, 0)) &amp; "_" &amp; INDEX(학력!A:A, MATCH($R$4&amp;"_학력_"&amp;$N14, 학력!$M:$M, 0)) &amp; ".pdf", "PDF"), "-"), "-")))),
 IF(OR(_xlpm.res=0, _xlpm.res=""), "-", _xlpm.res))</f>
        <v>-</v>
      </c>
    </row>
    <row r="15" spans="2:21" ht="20.100000000000001" customHeight="1">
      <c r="B15" s="108">
        <v>8</v>
      </c>
      <c r="C15" s="105" t="str">
        <f>_xlfn.LET(_xlpm.res, IF(AND($E$4&lt;&gt;"", $L$4&lt;&gt;""), "검색창 삭제",
 IF($E$4&lt;&gt;"", IFERROR(INDEX(자격증!A:A, MATCH($E$4&amp;"_자격증_"&amp;$B15, 자격증!$Y:$Y, 0)), "-"),
 IF($L$4&lt;&gt;"", IFERROR(INDEX(자격증!A:A, MATCH($L$4&amp;"_자격증_"&amp;$B15, 자격증!$Z:$Z, 0)), "-"), "-"))), IF(OR(_xlpm.res=0, _xlpm.res=""), "-", _xlpm.res))</f>
        <v>-</v>
      </c>
      <c r="D15" s="106" t="str">
        <f>_xlfn.LET(_xlpm.res, IF(AND($E$4&lt;&gt;"", $L$4&lt;&gt;""), "검색창 삭제",
 IF($E$4&lt;&gt;"", IFERROR(INDEX(자격증!D:D, MATCH($E$4&amp;"_자격증_"&amp;$B15, 자격증!$Y:$Y, 0)), "-"),
 IF($L$4&lt;&gt;"", IFERROR(INDEX(자격증!D:D, MATCH($L$4&amp;"_자격증_"&amp;$B15, 자격증!$Z:$Z, 0)), "-"), "-"))), IF(OR(_xlpm.res=0, _xlpm.res=""), "-", _xlpm.res))</f>
        <v>-</v>
      </c>
      <c r="E15" s="105" t="str">
        <f>_xlfn.LET(_xlpm.res, IF(AND($E$4&lt;&gt;"", $L$4&lt;&gt;""), "검색창 삭제",
 IF($E$4&lt;&gt;"", IFERROR(INDEX(자격증!E:E, MATCH($E$4&amp;"_자격증_"&amp;$B15, 자격증!$Y:$Y, 0)), "-"),
 IF($L$4&lt;&gt;"", IFERROR(INDEX(자격증!E:E, MATCH($L$4&amp;"_자격증_"&amp;$B15, 자격증!$Z:$Z, 0)), "-"), "-"))), IF(OR(_xlpm.res=0, _xlpm.res=""), "-", _xlpm.res))</f>
        <v>-</v>
      </c>
      <c r="F15" s="105" t="str">
        <f>_xlfn.LET(_xlpm.res, IF(AND($E$4&lt;&gt;"", $L$4&lt;&gt;""), "검색창 삭제",
 IF($E$4&lt;&gt;"", IFERROR(INDEX(자격증!F:F, MATCH($E$4&amp;"_자격증_"&amp;$B15, 자격증!$Y:$Y, 0)), "-"),
 IF($L$4&lt;&gt;"", IFERROR(INDEX(자격증!F:F, MATCH($L$4&amp;"_자격증_"&amp;$B15, 자격증!$Z:$Z, 0)), "-"), "-"))), IF(OR(_xlpm.res=0, _xlpm.res=""), "-", _xlpm.res))</f>
        <v>-</v>
      </c>
      <c r="G15" s="105" t="str">
        <f>_xlfn.LET(_xlpm.res, IF(AND($E$4&lt;&gt;"", $L$4&lt;&gt;""), "검색창 삭제",
 IF($E$4&lt;&gt;"", IFERROR(INDEX(자격증!G:G, MATCH($E$4&amp;"_자격증_"&amp;$B15, 자격증!$Y:$Y, 0)), "-"),
 IF($L$4&lt;&gt;"", IFERROR(INDEX(자격증!G:G, MATCH($L$4&amp;"_자격증_"&amp;$B15, 자격증!$Z:$Z, 0)), "-"), "-"))), IF(OR(_xlpm.res=0, _xlpm.res=""), "-", _xlpm.res))</f>
        <v>-</v>
      </c>
      <c r="H15" s="105" t="str">
        <f>_xlfn.LET(_xlpm.res, IF(AND($E$4&lt;&gt;"", $L$4&lt;&gt;""), "검색창 삭제",
 IF($E$4&lt;&gt;"", IFERROR(INDEX(자격증!H:H, MATCH($E$4&amp;"_자격증_"&amp;$B15, 자격증!$Y:$Y, 0)), "-"),
 IF($L$4&lt;&gt;"", IFERROR(INDEX(자격증!H:H, MATCH($L$4&amp;"_자격증_"&amp;$B15, 자격증!$Z:$Z, 0)), "-"), "-"))), IF(OR(_xlpm.res=0, _xlpm.res=""), "-", _xlpm.res))</f>
        <v>-</v>
      </c>
      <c r="I15" s="367" t="str">
        <f>_xlfn.LET(_xlpm.res, IF(AND($E$4&lt;&gt;"", $L$4&lt;&gt;""), "검색창 삭제",
 IF($E$4&lt;&gt;"", IFERROR(INDEX(자격증!I:I, MATCH($E$4&amp;"_자격증_"&amp;$B15, 자격증!$Y:$Y, 0)), "-"),
 IF($L$4&lt;&gt;"", IFERROR(INDEX(자격증!I:I, MATCH($L$4&amp;"_자격증_"&amp;$B15, 자격증!$Z:$Z, 0)), "-"), "-"))), IF(OR(_xlpm.res=0, _xlpm.res=""), "-", _xlpm.res))</f>
        <v>-</v>
      </c>
      <c r="J15" s="367" t="str">
        <f>_xlfn.LET(_xlpm.res, IF(AND($E$4&lt;&gt;"", $L$4&lt;&gt;""), "검색창 삭제",
 IF($E$4&lt;&gt;"", IFERROR(INDEX(자격증!J:J, MATCH($E$4&amp;"_자격증_"&amp;$B15, 자격증!$Y:$Y, 0)), "-"),
 IF($L$4&lt;&gt;"", IFERROR(INDEX(자격증!J:J, MATCH($L$4&amp;"_자격증_"&amp;$B15, 자격증!$Z:$Z, 0)), "-"), "-"))), IF(OR(_xlpm.res=0, _xlpm.res=""), "-", _xlpm.res))</f>
        <v>-</v>
      </c>
      <c r="K15" s="367" t="str">
        <f>_xlfn.LET(_xlpm.res, IF(AND($E$4&lt;&gt;"", $L$4&lt;&gt;""), "검색창 삭제",
 IF($E$4&lt;&gt;"", IFERROR(INDEX(자격증!K:K, MATCH($E$4&amp;"_자격증_"&amp;$B15, 자격증!$Y:$Y, 0)), "-"),
 IF($L$4&lt;&gt;"", IFERROR(INDEX(자격증!K:K, MATCH($L$4&amp;"_자격증_"&amp;$B15, 자격증!$Z:$Z, 0)), "-"), "-"))), IF(OR(_xlpm.res=0, _xlpm.res=""), "-", _xlpm.res))</f>
        <v>-</v>
      </c>
      <c r="L15" s="105" t="str">
        <f>IF(AND($E$4&lt;&gt;"", $L$4&lt;&gt;""), "검색창 삭제",
 IF($E$4&lt;&gt;"", IFERROR(HYPERLINK("학력, 자격증-excel 연동 파일\" &amp; $E$4 &amp; "\자격증\" &amp; INDEX(자격증!D:D, MATCH($E$4&amp;"_자격증_"&amp;$B15, 자격증!$Y:$Y, 0)) &amp; "_" &amp; $E$4 &amp; ".pdf", "PDF 열기"), "-"),
 IF($L$4&lt;&gt;"", IFERROR(HYPERLINK("학력, 자격증-excel 연동 파일\" &amp; $C15 &amp; "\자격증\" &amp; INDEX(자격증!D:D, MATCH($D15&amp;"_자격증_"&amp;$B15, 자격증!$Z:$Z, 0)) &amp; "_" &amp; $C15 &amp; ".pdf", "PDF 열기"), "-"), "")))</f>
        <v/>
      </c>
      <c r="N15" s="108">
        <v>8</v>
      </c>
      <c r="O15" s="105" t="str">
        <f>_xlfn.LET(_xlpm.res, IF(COUNTA($E$4, $P$4, $R$4) &gt;= 2, "검색창 삭제",
 IF($E$4&lt;&gt;"", IFERROR(INDEX(학력!A:A, MATCH($E$4&amp;"_학력_"&amp;$N15, 학력!$L:$L, 0)), "-"),
 IF($P$4&lt;&gt;"", IFERROR(INDEX(학력!A:A, MATCH($P$4&amp;"_학력_"&amp;$N15, 학력!$N:$N, 0)), "-"),
 IF($R$4&lt;&gt;"", IFERROR(INDEX(학력!A:A, MATCH($R$4&amp;"_학력_"&amp;$N15, 학력!$M:$M, 0)), "-"), "-")))), IF(OR(_xlpm.res=0, _xlpm.res=""), "-", _xlpm.res))</f>
        <v>-</v>
      </c>
      <c r="P15" s="105" t="str">
        <f>_xlfn.LET(_xlpm.res, IF(COUNTA($E$4, $P$4, $R$4) &gt;= 2, "검색창 삭제",
 IF($E$4&lt;&gt;"", IFERROR(INDEX(학력!D:D, MATCH($E$4&amp;"_학력_"&amp;$N15, 학력!$L:$L, 0)), "-"),
 IF($P$4&lt;&gt;"", IFERROR(INDEX(학력!D:D, MATCH($P$4&amp;"_학력_"&amp;$N15, 학력!$N:$N, 0)), "-"),
 IF($R$4&lt;&gt;"", IFERROR(INDEX(학력!D:D, MATCH($R$4&amp;"_학력_"&amp;$N15, 학력!$M:$M, 0)), "-"), "-")))), IF(OR(_xlpm.res=0, _xlpm.res=""), "-", _xlpm.res))</f>
        <v>-</v>
      </c>
      <c r="Q15" s="105" t="str">
        <f>_xlfn.LET(_xlpm.res, IF(COUNTA($E$4, $P$4, $R$4) &gt;= 2, "검색창 삭제",
 IF($E$4&lt;&gt;"", IFERROR(INDEX(학력!E:E, MATCH($E$4&amp;"_학력_"&amp;$N15, 학력!$L:$L, 0)), "-"),
 IF($P$4&lt;&gt;"", IFERROR(INDEX(학력!E:E, MATCH($P$4&amp;"_학력_"&amp;$N15, 학력!$N:$N, 0)), "-"),
 IF($R$4&lt;&gt;"", IFERROR(INDEX(학력!E:E, MATCH($R$4&amp;"_학력_"&amp;$N15, 학력!$M:$M, 0)), "-"), "-")))), IF(OR(_xlpm.res=0, _xlpm.res=""), "-", _xlpm.res))</f>
        <v>-</v>
      </c>
      <c r="R15" s="105" t="str">
        <f>_xlfn.LET(_xlpm.res, IF(COUNTA($E$4, $P$4, $R$4) &gt;= 2, "검색창 삭제",
 IF($E$4&lt;&gt;"", IFERROR(INDEX(학력!F:F, MATCH($E$4&amp;"_학력_"&amp;$N15, 학력!$L:$L, 0)), "-"),
 IF($P$4&lt;&gt;"", IFERROR(INDEX(학력!F:F, MATCH($P$4&amp;"_학력_"&amp;$N15, 학력!$N:$N, 0)), "-"),
 IF($R$4&lt;&gt;"", IFERROR(INDEX(학력!F:F, MATCH($R$4&amp;"_학력_"&amp;$N15, 학력!$M:$M, 0)), "-"), "-")))), IF(OR(_xlpm.res=0, _xlpm.res=""), "-", _xlpm.res))</f>
        <v>-</v>
      </c>
      <c r="S15" s="105" t="str">
        <f>_xlfn.LET(
    _xlpm.result,
    IF(COUNTA($E$4, $P$4, $R$4) &gt;= 2, "검색창 삭제",
        IF($E$4&lt;&gt;"", IFERROR(INDEX(학력!G:G, MATCH($E$4&amp;"_학력_"&amp;$N15, 학력!$L:$L, 0)), "-"),
        IF($P$4&lt;&gt;"", IFERROR(INDEX(학력!G:G, MATCH($P$4&amp;"_학력_"&amp;$N15, 학력!$N:$N, 0)), "-"),
        IF($R$4&lt;&gt;"", IFERROR(INDEX(학력!G:G, MATCH($R$4&amp;"_학력_"&amp;$N15, 학력!$M:$M, 0)), "-"), "-")))
    ),
    IF(OR(_xlpm.result=0, _xlpm.result=""), "-", _xlpm.result)
)</f>
        <v>-</v>
      </c>
      <c r="T15" s="107" t="str">
        <f>_xlfn.LET(_xlpm.res, IF(COUNTA($E$4, $P$4, $R$4) &gt;= 2, "검색창 삭제",
 IF($E$4&lt;&gt;"", IFERROR(INDEX(학력!H:H, MATCH($E$4&amp;"_학력_"&amp;$N15, 학력!$L:$L, 0)), "-"),
 IF($P$4&lt;&gt;"", IFERROR(INDEX(학력!H:H, MATCH($P$4&amp;"_학력_"&amp;$N15, 학력!$N:$N, 0)), "-"),
 IF($R$4&lt;&gt;"", IFERROR(INDEX(학력!H:H, MATCH($R$4&amp;"_학력_"&amp;$N15, 학력!$M:$M, 0)), "-"), "-")))), IF(OR(_xlpm.res=0, _xlpm.res=""), "-", _xlpm.res))</f>
        <v>-</v>
      </c>
      <c r="U15" s="105" t="str">
        <f>_xlfn.LET(_xlpm.res, IF(COUNTA($E$4, $P$4, $R$4) &gt;= 2, "검색창 삭제",
 IF($E$4&lt;&gt;"", IFERROR(HYPERLINK("학력, 자격증-excel 연동 파일\" &amp; $E$4 &amp; "\학력\" &amp; INDEX(학력!D:D, MATCH($E$4&amp;"_학력_"&amp;$N15, 학력!$L:$L, 0)) &amp; "_" &amp; INDEX(학력!E:E, MATCH($E$4&amp;"_학력_"&amp;$N15, 학력!$L:$L, 0)) &amp; "_" &amp; INDEX(학력!F:F, MATCH($E$4&amp;"_학력_"&amp;$N15, 학력!$L:$L, 0)) &amp; "_" &amp; $E$4 &amp; ".pdf", "PDF"), "-"),
 IF($P$4&lt;&gt;"", IFERROR(HYPERLINK("학력, 자격증-excel 연동 파일\" &amp; INDEX(학력!A:A, MATCH($P$4&amp;"_학력_"&amp;$N15, 학력!$N:$N, 0)) &amp; "\학력\" &amp; INDEX(학력!D:D, MATCH($P$4&amp;"_학력_"&amp;$N15, 학력!$N:$N, 0)) &amp; "_" &amp; INDEX(학력!E:E, MATCH($P$4&amp;"_학력_"&amp;$N15, 학력!$N:$N, 0)) &amp; "_" &amp; INDEX(학력!F:F, MATCH($P$4&amp;"_학력_"&amp;$N15, 학력!$N:$N, 0)) &amp; "_" &amp; INDEX(학력!A:A, MATCH($P$4&amp;"_학력_"&amp;$N15, 학력!$N:$N, 0)) &amp; ".pdf", "PDF"), "-"),
 IF($R$4&lt;&gt;"", IFERROR(HYPERLINK("학력, 자격증-excel 연동 파일\" &amp; INDEX(학력!A:A, MATCH($R$4&amp;"_학력_"&amp;$N15, 학력!$M:$M, 0)) &amp; "\학력\" &amp; INDEX(학력!D:D, MATCH($R$4&amp;"_학력_"&amp;$N15, 학력!$M:$M, 0)) &amp; "_" &amp; INDEX(학력!E:E, MATCH($R$4&amp;"_학력_"&amp;$N15, 학력!$M:$M, 0)) &amp; "_" &amp; INDEX(학력!F:F, MATCH($R$4&amp;"_학력_"&amp;$N15, 학력!$M:$M, 0)) &amp; "_" &amp; INDEX(학력!A:A, MATCH($R$4&amp;"_학력_"&amp;$N15, 학력!$M:$M, 0)) &amp; ".pdf", "PDF"), "-"), "-")))),
 IF(OR(_xlpm.res=0, _xlpm.res=""), "-", _xlpm.res))</f>
        <v>-</v>
      </c>
    </row>
    <row r="16" spans="2:21" ht="20.100000000000001" customHeight="1">
      <c r="B16" s="108">
        <v>9</v>
      </c>
      <c r="C16" s="105" t="str">
        <f>_xlfn.LET(_xlpm.res, IF(AND($E$4&lt;&gt;"", $L$4&lt;&gt;""), "검색창 삭제",
 IF($E$4&lt;&gt;"", IFERROR(INDEX(자격증!A:A, MATCH($E$4&amp;"_자격증_"&amp;$B16, 자격증!$Y:$Y, 0)), "-"),
 IF($L$4&lt;&gt;"", IFERROR(INDEX(자격증!A:A, MATCH($L$4&amp;"_자격증_"&amp;$B16, 자격증!$Z:$Z, 0)), "-"), "-"))), IF(OR(_xlpm.res=0, _xlpm.res=""), "-", _xlpm.res))</f>
        <v>-</v>
      </c>
      <c r="D16" s="106" t="str">
        <f>_xlfn.LET(_xlpm.res, IF(AND($E$4&lt;&gt;"", $L$4&lt;&gt;""), "검색창 삭제",
 IF($E$4&lt;&gt;"", IFERROR(INDEX(자격증!D:D, MATCH($E$4&amp;"_자격증_"&amp;$B16, 자격증!$Y:$Y, 0)), "-"),
 IF($L$4&lt;&gt;"", IFERROR(INDEX(자격증!D:D, MATCH($L$4&amp;"_자격증_"&amp;$B16, 자격증!$Z:$Z, 0)), "-"), "-"))), IF(OR(_xlpm.res=0, _xlpm.res=""), "-", _xlpm.res))</f>
        <v>-</v>
      </c>
      <c r="E16" s="105" t="str">
        <f>_xlfn.LET(_xlpm.res, IF(AND($E$4&lt;&gt;"", $L$4&lt;&gt;""), "검색창 삭제",
 IF($E$4&lt;&gt;"", IFERROR(INDEX(자격증!E:E, MATCH($E$4&amp;"_자격증_"&amp;$B16, 자격증!$Y:$Y, 0)), "-"),
 IF($L$4&lt;&gt;"", IFERROR(INDEX(자격증!E:E, MATCH($L$4&amp;"_자격증_"&amp;$B16, 자격증!$Z:$Z, 0)), "-"), "-"))), IF(OR(_xlpm.res=0, _xlpm.res=""), "-", _xlpm.res))</f>
        <v>-</v>
      </c>
      <c r="F16" s="105" t="str">
        <f>_xlfn.LET(_xlpm.res, IF(AND($E$4&lt;&gt;"", $L$4&lt;&gt;""), "검색창 삭제",
 IF($E$4&lt;&gt;"", IFERROR(INDEX(자격증!F:F, MATCH($E$4&amp;"_자격증_"&amp;$B16, 자격증!$Y:$Y, 0)), "-"),
 IF($L$4&lt;&gt;"", IFERROR(INDEX(자격증!F:F, MATCH($L$4&amp;"_자격증_"&amp;$B16, 자격증!$Z:$Z, 0)), "-"), "-"))), IF(OR(_xlpm.res=0, _xlpm.res=""), "-", _xlpm.res))</f>
        <v>-</v>
      </c>
      <c r="G16" s="105" t="str">
        <f>_xlfn.LET(_xlpm.res, IF(AND($E$4&lt;&gt;"", $L$4&lt;&gt;""), "검색창 삭제",
 IF($E$4&lt;&gt;"", IFERROR(INDEX(자격증!G:G, MATCH($E$4&amp;"_자격증_"&amp;$B16, 자격증!$Y:$Y, 0)), "-"),
 IF($L$4&lt;&gt;"", IFERROR(INDEX(자격증!G:G, MATCH($L$4&amp;"_자격증_"&amp;$B16, 자격증!$Z:$Z, 0)), "-"), "-"))), IF(OR(_xlpm.res=0, _xlpm.res=""), "-", _xlpm.res))</f>
        <v>-</v>
      </c>
      <c r="H16" s="105" t="str">
        <f>_xlfn.LET(_xlpm.res, IF(AND($E$4&lt;&gt;"", $L$4&lt;&gt;""), "검색창 삭제",
 IF($E$4&lt;&gt;"", IFERROR(INDEX(자격증!H:H, MATCH($E$4&amp;"_자격증_"&amp;$B16, 자격증!$Y:$Y, 0)), "-"),
 IF($L$4&lt;&gt;"", IFERROR(INDEX(자격증!H:H, MATCH($L$4&amp;"_자격증_"&amp;$B16, 자격증!$Z:$Z, 0)), "-"), "-"))), IF(OR(_xlpm.res=0, _xlpm.res=""), "-", _xlpm.res))</f>
        <v>-</v>
      </c>
      <c r="I16" s="367" t="str">
        <f>_xlfn.LET(_xlpm.res, IF(AND($E$4&lt;&gt;"", $L$4&lt;&gt;""), "검색창 삭제",
 IF($E$4&lt;&gt;"", IFERROR(INDEX(자격증!I:I, MATCH($E$4&amp;"_자격증_"&amp;$B16, 자격증!$Y:$Y, 0)), "-"),
 IF($L$4&lt;&gt;"", IFERROR(INDEX(자격증!I:I, MATCH($L$4&amp;"_자격증_"&amp;$B16, 자격증!$Z:$Z, 0)), "-"), "-"))), IF(OR(_xlpm.res=0, _xlpm.res=""), "-", _xlpm.res))</f>
        <v>-</v>
      </c>
      <c r="J16" s="367" t="str">
        <f>_xlfn.LET(_xlpm.res, IF(AND($E$4&lt;&gt;"", $L$4&lt;&gt;""), "검색창 삭제",
 IF($E$4&lt;&gt;"", IFERROR(INDEX(자격증!J:J, MATCH($E$4&amp;"_자격증_"&amp;$B16, 자격증!$Y:$Y, 0)), "-"),
 IF($L$4&lt;&gt;"", IFERROR(INDEX(자격증!J:J, MATCH($L$4&amp;"_자격증_"&amp;$B16, 자격증!$Z:$Z, 0)), "-"), "-"))), IF(OR(_xlpm.res=0, _xlpm.res=""), "-", _xlpm.res))</f>
        <v>-</v>
      </c>
      <c r="K16" s="367" t="str">
        <f>_xlfn.LET(_xlpm.res, IF(AND($E$4&lt;&gt;"", $L$4&lt;&gt;""), "검색창 삭제",
 IF($E$4&lt;&gt;"", IFERROR(INDEX(자격증!K:K, MATCH($E$4&amp;"_자격증_"&amp;$B16, 자격증!$Y:$Y, 0)), "-"),
 IF($L$4&lt;&gt;"", IFERROR(INDEX(자격증!K:K, MATCH($L$4&amp;"_자격증_"&amp;$B16, 자격증!$Z:$Z, 0)), "-"), "-"))), IF(OR(_xlpm.res=0, _xlpm.res=""), "-", _xlpm.res))</f>
        <v>-</v>
      </c>
      <c r="L16" s="105" t="str">
        <f>IF(AND($E$4&lt;&gt;"", $L$4&lt;&gt;""), "검색창 삭제",
 IF($E$4&lt;&gt;"", IFERROR(HYPERLINK("학력, 자격증-excel 연동 파일\" &amp; $E$4 &amp; "\자격증\" &amp; INDEX(자격증!D:D, MATCH($E$4&amp;"_자격증_"&amp;$B16, 자격증!$Y:$Y, 0)) &amp; "_" &amp; $E$4 &amp; ".pdf", "PDF 열기"), "-"),
 IF($L$4&lt;&gt;"", IFERROR(HYPERLINK("학력, 자격증-excel 연동 파일\" &amp; $C16 &amp; "\자격증\" &amp; INDEX(자격증!D:D, MATCH($D16&amp;"_자격증_"&amp;$B16, 자격증!$Z:$Z, 0)) &amp; "_" &amp; $C16 &amp; ".pdf", "PDF 열기"), "-"), "")))</f>
        <v/>
      </c>
      <c r="N16" s="108">
        <v>9</v>
      </c>
      <c r="O16" s="105" t="str">
        <f>_xlfn.LET(_xlpm.res, IF(COUNTA($E$4, $P$4, $R$4) &gt;= 2, "검색창 삭제",
 IF($E$4&lt;&gt;"", IFERROR(INDEX(학력!A:A, MATCH($E$4&amp;"_학력_"&amp;$N16, 학력!$L:$L, 0)), "-"),
 IF($P$4&lt;&gt;"", IFERROR(INDEX(학력!A:A, MATCH($P$4&amp;"_학력_"&amp;$N16, 학력!$N:$N, 0)), "-"),
 IF($R$4&lt;&gt;"", IFERROR(INDEX(학력!A:A, MATCH($R$4&amp;"_학력_"&amp;$N16, 학력!$M:$M, 0)), "-"), "-")))), IF(OR(_xlpm.res=0, _xlpm.res=""), "-", _xlpm.res))</f>
        <v>-</v>
      </c>
      <c r="P16" s="105" t="str">
        <f>_xlfn.LET(_xlpm.res, IF(COUNTA($E$4, $P$4, $R$4) &gt;= 2, "검색창 삭제",
 IF($E$4&lt;&gt;"", IFERROR(INDEX(학력!D:D, MATCH($E$4&amp;"_학력_"&amp;$N16, 학력!$L:$L, 0)), "-"),
 IF($P$4&lt;&gt;"", IFERROR(INDEX(학력!D:D, MATCH($P$4&amp;"_학력_"&amp;$N16, 학력!$N:$N, 0)), "-"),
 IF($R$4&lt;&gt;"", IFERROR(INDEX(학력!D:D, MATCH($R$4&amp;"_학력_"&amp;$N16, 학력!$M:$M, 0)), "-"), "-")))), IF(OR(_xlpm.res=0, _xlpm.res=""), "-", _xlpm.res))</f>
        <v>-</v>
      </c>
      <c r="Q16" s="105" t="str">
        <f>_xlfn.LET(_xlpm.res, IF(COUNTA($E$4, $P$4, $R$4) &gt;= 2, "검색창 삭제",
 IF($E$4&lt;&gt;"", IFERROR(INDEX(학력!E:E, MATCH($E$4&amp;"_학력_"&amp;$N16, 학력!$L:$L, 0)), "-"),
 IF($P$4&lt;&gt;"", IFERROR(INDEX(학력!E:E, MATCH($P$4&amp;"_학력_"&amp;$N16, 학력!$N:$N, 0)), "-"),
 IF($R$4&lt;&gt;"", IFERROR(INDEX(학력!E:E, MATCH($R$4&amp;"_학력_"&amp;$N16, 학력!$M:$M, 0)), "-"), "-")))), IF(OR(_xlpm.res=0, _xlpm.res=""), "-", _xlpm.res))</f>
        <v>-</v>
      </c>
      <c r="R16" s="105" t="str">
        <f>_xlfn.LET(_xlpm.res, IF(COUNTA($E$4, $P$4, $R$4) &gt;= 2, "검색창 삭제",
 IF($E$4&lt;&gt;"", IFERROR(INDEX(학력!F:F, MATCH($E$4&amp;"_학력_"&amp;$N16, 학력!$L:$L, 0)), "-"),
 IF($P$4&lt;&gt;"", IFERROR(INDEX(학력!F:F, MATCH($P$4&amp;"_학력_"&amp;$N16, 학력!$N:$N, 0)), "-"),
 IF($R$4&lt;&gt;"", IFERROR(INDEX(학력!F:F, MATCH($R$4&amp;"_학력_"&amp;$N16, 학력!$M:$M, 0)), "-"), "-")))), IF(OR(_xlpm.res=0, _xlpm.res=""), "-", _xlpm.res))</f>
        <v>-</v>
      </c>
      <c r="S16" s="105" t="str">
        <f>_xlfn.LET(
    _xlpm.result,
    IF(COUNTA($E$4, $P$4, $R$4) &gt;= 2, "검색창 삭제",
        IF($E$4&lt;&gt;"", IFERROR(INDEX(학력!G:G, MATCH($E$4&amp;"_학력_"&amp;$N16, 학력!$L:$L, 0)), "-"),
        IF($P$4&lt;&gt;"", IFERROR(INDEX(학력!G:G, MATCH($P$4&amp;"_학력_"&amp;$N16, 학력!$N:$N, 0)), "-"),
        IF($R$4&lt;&gt;"", IFERROR(INDEX(학력!G:G, MATCH($R$4&amp;"_학력_"&amp;$N16, 학력!$M:$M, 0)), "-"), "-")))
    ),
    IF(OR(_xlpm.result=0, _xlpm.result=""), "-", _xlpm.result)
)</f>
        <v>-</v>
      </c>
      <c r="T16" s="107" t="str">
        <f>_xlfn.LET(_xlpm.res, IF(COUNTA($E$4, $P$4, $R$4) &gt;= 2, "검색창 삭제",
 IF($E$4&lt;&gt;"", IFERROR(INDEX(학력!H:H, MATCH($E$4&amp;"_학력_"&amp;$N16, 학력!$L:$L, 0)), "-"),
 IF($P$4&lt;&gt;"", IFERROR(INDEX(학력!H:H, MATCH($P$4&amp;"_학력_"&amp;$N16, 학력!$N:$N, 0)), "-"),
 IF($R$4&lt;&gt;"", IFERROR(INDEX(학력!H:H, MATCH($R$4&amp;"_학력_"&amp;$N16, 학력!$M:$M, 0)), "-"), "-")))), IF(OR(_xlpm.res=0, _xlpm.res=""), "-", _xlpm.res))</f>
        <v>-</v>
      </c>
      <c r="U16" s="105" t="str">
        <f>_xlfn.LET(_xlpm.res, IF(COUNTA($E$4, $P$4, $R$4) &gt;= 2, "검색창 삭제",
 IF($E$4&lt;&gt;"", IFERROR(HYPERLINK("학력, 자격증-excel 연동 파일\" &amp; $E$4 &amp; "\학력\" &amp; INDEX(학력!D:D, MATCH($E$4&amp;"_학력_"&amp;$N16, 학력!$L:$L, 0)) &amp; "_" &amp; INDEX(학력!E:E, MATCH($E$4&amp;"_학력_"&amp;$N16, 학력!$L:$L, 0)) &amp; "_" &amp; INDEX(학력!F:F, MATCH($E$4&amp;"_학력_"&amp;$N16, 학력!$L:$L, 0)) &amp; "_" &amp; $E$4 &amp; ".pdf", "PDF"), "-"),
 IF($P$4&lt;&gt;"", IFERROR(HYPERLINK("학력, 자격증-excel 연동 파일\" &amp; INDEX(학력!A:A, MATCH($P$4&amp;"_학력_"&amp;$N16, 학력!$N:$N, 0)) &amp; "\학력\" &amp; INDEX(학력!D:D, MATCH($P$4&amp;"_학력_"&amp;$N16, 학력!$N:$N, 0)) &amp; "_" &amp; INDEX(학력!E:E, MATCH($P$4&amp;"_학력_"&amp;$N16, 학력!$N:$N, 0)) &amp; "_" &amp; INDEX(학력!F:F, MATCH($P$4&amp;"_학력_"&amp;$N16, 학력!$N:$N, 0)) &amp; "_" &amp; INDEX(학력!A:A, MATCH($P$4&amp;"_학력_"&amp;$N16, 학력!$N:$N, 0)) &amp; ".pdf", "PDF"), "-"),
 IF($R$4&lt;&gt;"", IFERROR(HYPERLINK("학력, 자격증-excel 연동 파일\" &amp; INDEX(학력!A:A, MATCH($R$4&amp;"_학력_"&amp;$N16, 학력!$M:$M, 0)) &amp; "\학력\" &amp; INDEX(학력!D:D, MATCH($R$4&amp;"_학력_"&amp;$N16, 학력!$M:$M, 0)) &amp; "_" &amp; INDEX(학력!E:E, MATCH($R$4&amp;"_학력_"&amp;$N16, 학력!$M:$M, 0)) &amp; "_" &amp; INDEX(학력!F:F, MATCH($R$4&amp;"_학력_"&amp;$N16, 학력!$M:$M, 0)) &amp; "_" &amp; INDEX(학력!A:A, MATCH($R$4&amp;"_학력_"&amp;$N16, 학력!$M:$M, 0)) &amp; ".pdf", "PDF"), "-"), "-")))),
 IF(OR(_xlpm.res=0, _xlpm.res=""), "-", _xlpm.res))</f>
        <v>-</v>
      </c>
    </row>
    <row r="17" spans="2:21" ht="20.100000000000001" customHeight="1">
      <c r="B17" s="108">
        <v>10</v>
      </c>
      <c r="C17" s="105" t="str">
        <f>_xlfn.LET(_xlpm.res, IF(AND($E$4&lt;&gt;"", $L$4&lt;&gt;""), "검색창 삭제",
 IF($E$4&lt;&gt;"", IFERROR(INDEX(자격증!A:A, MATCH($E$4&amp;"_자격증_"&amp;$B17, 자격증!$Y:$Y, 0)), "-"),
 IF($L$4&lt;&gt;"", IFERROR(INDEX(자격증!A:A, MATCH($L$4&amp;"_자격증_"&amp;$B17, 자격증!$Z:$Z, 0)), "-"), "-"))), IF(OR(_xlpm.res=0, _xlpm.res=""), "-", _xlpm.res))</f>
        <v>-</v>
      </c>
      <c r="D17" s="106" t="str">
        <f>_xlfn.LET(_xlpm.res, IF(AND($E$4&lt;&gt;"", $L$4&lt;&gt;""), "검색창 삭제",
 IF($E$4&lt;&gt;"", IFERROR(INDEX(자격증!D:D, MATCH($E$4&amp;"_자격증_"&amp;$B17, 자격증!$Y:$Y, 0)), "-"),
 IF($L$4&lt;&gt;"", IFERROR(INDEX(자격증!D:D, MATCH($L$4&amp;"_자격증_"&amp;$B17, 자격증!$Z:$Z, 0)), "-"), "-"))), IF(OR(_xlpm.res=0, _xlpm.res=""), "-", _xlpm.res))</f>
        <v>-</v>
      </c>
      <c r="E17" s="105" t="str">
        <f>_xlfn.LET(_xlpm.res, IF(AND($E$4&lt;&gt;"", $L$4&lt;&gt;""), "검색창 삭제",
 IF($E$4&lt;&gt;"", IFERROR(INDEX(자격증!E:E, MATCH($E$4&amp;"_자격증_"&amp;$B17, 자격증!$Y:$Y, 0)), "-"),
 IF($L$4&lt;&gt;"", IFERROR(INDEX(자격증!E:E, MATCH($L$4&amp;"_자격증_"&amp;$B17, 자격증!$Z:$Z, 0)), "-"), "-"))), IF(OR(_xlpm.res=0, _xlpm.res=""), "-", _xlpm.res))</f>
        <v>-</v>
      </c>
      <c r="F17" s="105" t="str">
        <f>_xlfn.LET(_xlpm.res, IF(AND($E$4&lt;&gt;"", $L$4&lt;&gt;""), "검색창 삭제",
 IF($E$4&lt;&gt;"", IFERROR(INDEX(자격증!F:F, MATCH($E$4&amp;"_자격증_"&amp;$B17, 자격증!$Y:$Y, 0)), "-"),
 IF($L$4&lt;&gt;"", IFERROR(INDEX(자격증!F:F, MATCH($L$4&amp;"_자격증_"&amp;$B17, 자격증!$Z:$Z, 0)), "-"), "-"))), IF(OR(_xlpm.res=0, _xlpm.res=""), "-", _xlpm.res))</f>
        <v>-</v>
      </c>
      <c r="G17" s="105" t="str">
        <f>_xlfn.LET(_xlpm.res, IF(AND($E$4&lt;&gt;"", $L$4&lt;&gt;""), "검색창 삭제",
 IF($E$4&lt;&gt;"", IFERROR(INDEX(자격증!G:G, MATCH($E$4&amp;"_자격증_"&amp;$B17, 자격증!$Y:$Y, 0)), "-"),
 IF($L$4&lt;&gt;"", IFERROR(INDEX(자격증!G:G, MATCH($L$4&amp;"_자격증_"&amp;$B17, 자격증!$Z:$Z, 0)), "-"), "-"))), IF(OR(_xlpm.res=0, _xlpm.res=""), "-", _xlpm.res))</f>
        <v>-</v>
      </c>
      <c r="H17" s="105" t="str">
        <f>_xlfn.LET(_xlpm.res, IF(AND($E$4&lt;&gt;"", $L$4&lt;&gt;""), "검색창 삭제",
 IF($E$4&lt;&gt;"", IFERROR(INDEX(자격증!H:H, MATCH($E$4&amp;"_자격증_"&amp;$B17, 자격증!$Y:$Y, 0)), "-"),
 IF($L$4&lt;&gt;"", IFERROR(INDEX(자격증!H:H, MATCH($L$4&amp;"_자격증_"&amp;$B17, 자격증!$Z:$Z, 0)), "-"), "-"))), IF(OR(_xlpm.res=0, _xlpm.res=""), "-", _xlpm.res))</f>
        <v>-</v>
      </c>
      <c r="I17" s="367" t="str">
        <f>_xlfn.LET(_xlpm.res, IF(AND($E$4&lt;&gt;"", $L$4&lt;&gt;""), "검색창 삭제",
 IF($E$4&lt;&gt;"", IFERROR(INDEX(자격증!I:I, MATCH($E$4&amp;"_자격증_"&amp;$B17, 자격증!$Y:$Y, 0)), "-"),
 IF($L$4&lt;&gt;"", IFERROR(INDEX(자격증!I:I, MATCH($L$4&amp;"_자격증_"&amp;$B17, 자격증!$Z:$Z, 0)), "-"), "-"))), IF(OR(_xlpm.res=0, _xlpm.res=""), "-", _xlpm.res))</f>
        <v>-</v>
      </c>
      <c r="J17" s="367" t="str">
        <f>_xlfn.LET(_xlpm.res, IF(AND($E$4&lt;&gt;"", $L$4&lt;&gt;""), "검색창 삭제",
 IF($E$4&lt;&gt;"", IFERROR(INDEX(자격증!J:J, MATCH($E$4&amp;"_자격증_"&amp;$B17, 자격증!$Y:$Y, 0)), "-"),
 IF($L$4&lt;&gt;"", IFERROR(INDEX(자격증!J:J, MATCH($L$4&amp;"_자격증_"&amp;$B17, 자격증!$Z:$Z, 0)), "-"), "-"))), IF(OR(_xlpm.res=0, _xlpm.res=""), "-", _xlpm.res))</f>
        <v>-</v>
      </c>
      <c r="K17" s="367" t="str">
        <f>_xlfn.LET(_xlpm.res, IF(AND($E$4&lt;&gt;"", $L$4&lt;&gt;""), "검색창 삭제",
 IF($E$4&lt;&gt;"", IFERROR(INDEX(자격증!K:K, MATCH($E$4&amp;"_자격증_"&amp;$B17, 자격증!$Y:$Y, 0)), "-"),
 IF($L$4&lt;&gt;"", IFERROR(INDEX(자격증!K:K, MATCH($L$4&amp;"_자격증_"&amp;$B17, 자격증!$Z:$Z, 0)), "-"), "-"))), IF(OR(_xlpm.res=0, _xlpm.res=""), "-", _xlpm.res))</f>
        <v>-</v>
      </c>
      <c r="L17" s="105" t="str">
        <f>IF(AND($E$4&lt;&gt;"", $L$4&lt;&gt;""), "검색창 삭제",
 IF($E$4&lt;&gt;"", IFERROR(HYPERLINK("학력, 자격증-excel 연동 파일\" &amp; $E$4 &amp; "\자격증\" &amp; INDEX(자격증!D:D, MATCH($E$4&amp;"_자격증_"&amp;$B17, 자격증!$Y:$Y, 0)) &amp; "_" &amp; $E$4 &amp; ".pdf", "PDF 열기"), "-"),
 IF($L$4&lt;&gt;"", IFERROR(HYPERLINK("학력, 자격증-excel 연동 파일\" &amp; $C17 &amp; "\자격증\" &amp; INDEX(자격증!D:D, MATCH($D17&amp;"_자격증_"&amp;$B17, 자격증!$Z:$Z, 0)) &amp; "_" &amp; $C17 &amp; ".pdf", "PDF 열기"), "-"), "")))</f>
        <v/>
      </c>
      <c r="N17" s="108">
        <v>10</v>
      </c>
      <c r="O17" s="105" t="str">
        <f>_xlfn.LET(_xlpm.res, IF(COUNTA($E$4, $P$4, $R$4) &gt;= 2, "검색창 삭제",
 IF($E$4&lt;&gt;"", IFERROR(INDEX(학력!A:A, MATCH($E$4&amp;"_학력_"&amp;$N17, 학력!$L:$L, 0)), "-"),
 IF($P$4&lt;&gt;"", IFERROR(INDEX(학력!A:A, MATCH($P$4&amp;"_학력_"&amp;$N17, 학력!$N:$N, 0)), "-"),
 IF($R$4&lt;&gt;"", IFERROR(INDEX(학력!A:A, MATCH($R$4&amp;"_학력_"&amp;$N17, 학력!$M:$M, 0)), "-"), "-")))), IF(OR(_xlpm.res=0, _xlpm.res=""), "-", _xlpm.res))</f>
        <v>-</v>
      </c>
      <c r="P17" s="105" t="str">
        <f>_xlfn.LET(_xlpm.res, IF(COUNTA($E$4, $P$4, $R$4) &gt;= 2, "검색창 삭제",
 IF($E$4&lt;&gt;"", IFERROR(INDEX(학력!D:D, MATCH($E$4&amp;"_학력_"&amp;$N17, 학력!$L:$L, 0)), "-"),
 IF($P$4&lt;&gt;"", IFERROR(INDEX(학력!D:D, MATCH($P$4&amp;"_학력_"&amp;$N17, 학력!$N:$N, 0)), "-"),
 IF($R$4&lt;&gt;"", IFERROR(INDEX(학력!D:D, MATCH($R$4&amp;"_학력_"&amp;$N17, 학력!$M:$M, 0)), "-"), "-")))), IF(OR(_xlpm.res=0, _xlpm.res=""), "-", _xlpm.res))</f>
        <v>-</v>
      </c>
      <c r="Q17" s="105" t="str">
        <f>_xlfn.LET(_xlpm.res, IF(COUNTA($E$4, $P$4, $R$4) &gt;= 2, "검색창 삭제",
 IF($E$4&lt;&gt;"", IFERROR(INDEX(학력!E:E, MATCH($E$4&amp;"_학력_"&amp;$N17, 학력!$L:$L, 0)), "-"),
 IF($P$4&lt;&gt;"", IFERROR(INDEX(학력!E:E, MATCH($P$4&amp;"_학력_"&amp;$N17, 학력!$N:$N, 0)), "-"),
 IF($R$4&lt;&gt;"", IFERROR(INDEX(학력!E:E, MATCH($R$4&amp;"_학력_"&amp;$N17, 학력!$M:$M, 0)), "-"), "-")))), IF(OR(_xlpm.res=0, _xlpm.res=""), "-", _xlpm.res))</f>
        <v>-</v>
      </c>
      <c r="R17" s="105" t="str">
        <f>_xlfn.LET(_xlpm.res, IF(COUNTA($E$4, $P$4, $R$4) &gt;= 2, "검색창 삭제",
 IF($E$4&lt;&gt;"", IFERROR(INDEX(학력!F:F, MATCH($E$4&amp;"_학력_"&amp;$N17, 학력!$L:$L, 0)), "-"),
 IF($P$4&lt;&gt;"", IFERROR(INDEX(학력!F:F, MATCH($P$4&amp;"_학력_"&amp;$N17, 학력!$N:$N, 0)), "-"),
 IF($R$4&lt;&gt;"", IFERROR(INDEX(학력!F:F, MATCH($R$4&amp;"_학력_"&amp;$N17, 학력!$M:$M, 0)), "-"), "-")))), IF(OR(_xlpm.res=0, _xlpm.res=""), "-", _xlpm.res))</f>
        <v>-</v>
      </c>
      <c r="S17" s="105" t="str">
        <f>_xlfn.LET(
    _xlpm.result,
    IF(COUNTA($E$4, $P$4, $R$4) &gt;= 2, "검색창 삭제",
        IF($E$4&lt;&gt;"", IFERROR(INDEX(학력!G:G, MATCH($E$4&amp;"_학력_"&amp;$N17, 학력!$L:$L, 0)), "-"),
        IF($P$4&lt;&gt;"", IFERROR(INDEX(학력!G:G, MATCH($P$4&amp;"_학력_"&amp;$N17, 학력!$N:$N, 0)), "-"),
        IF($R$4&lt;&gt;"", IFERROR(INDEX(학력!G:G, MATCH($R$4&amp;"_학력_"&amp;$N17, 학력!$M:$M, 0)), "-"), "-")))
    ),
    IF(OR(_xlpm.result=0, _xlpm.result=""), "-", _xlpm.result)
)</f>
        <v>-</v>
      </c>
      <c r="T17" s="107" t="str">
        <f>_xlfn.LET(_xlpm.res, IF(COUNTA($E$4, $P$4, $R$4) &gt;= 2, "검색창 삭제",
 IF($E$4&lt;&gt;"", IFERROR(INDEX(학력!H:H, MATCH($E$4&amp;"_학력_"&amp;$N17, 학력!$L:$L, 0)), "-"),
 IF($P$4&lt;&gt;"", IFERROR(INDEX(학력!H:H, MATCH($P$4&amp;"_학력_"&amp;$N17, 학력!$N:$N, 0)), "-"),
 IF($R$4&lt;&gt;"", IFERROR(INDEX(학력!H:H, MATCH($R$4&amp;"_학력_"&amp;$N17, 학력!$M:$M, 0)), "-"), "-")))), IF(OR(_xlpm.res=0, _xlpm.res=""), "-", _xlpm.res))</f>
        <v>-</v>
      </c>
      <c r="U17" s="105" t="str">
        <f>_xlfn.LET(_xlpm.res, IF(COUNTA($E$4, $P$4, $R$4) &gt;= 2, "검색창 삭제",
 IF($E$4&lt;&gt;"", IFERROR(HYPERLINK("학력, 자격증-excel 연동 파일\" &amp; $E$4 &amp; "\학력\" &amp; INDEX(학력!D:D, MATCH($E$4&amp;"_학력_"&amp;$N17, 학력!$L:$L, 0)) &amp; "_" &amp; INDEX(학력!E:E, MATCH($E$4&amp;"_학력_"&amp;$N17, 학력!$L:$L, 0)) &amp; "_" &amp; INDEX(학력!F:F, MATCH($E$4&amp;"_학력_"&amp;$N17, 학력!$L:$L, 0)) &amp; "_" &amp; $E$4 &amp; ".pdf", "PDF"), "-"),
 IF($P$4&lt;&gt;"", IFERROR(HYPERLINK("학력, 자격증-excel 연동 파일\" &amp; INDEX(학력!A:A, MATCH($P$4&amp;"_학력_"&amp;$N17, 학력!$N:$N, 0)) &amp; "\학력\" &amp; INDEX(학력!D:D, MATCH($P$4&amp;"_학력_"&amp;$N17, 학력!$N:$N, 0)) &amp; "_" &amp; INDEX(학력!E:E, MATCH($P$4&amp;"_학력_"&amp;$N17, 학력!$N:$N, 0)) &amp; "_" &amp; INDEX(학력!F:F, MATCH($P$4&amp;"_학력_"&amp;$N17, 학력!$N:$N, 0)) &amp; "_" &amp; INDEX(학력!A:A, MATCH($P$4&amp;"_학력_"&amp;$N17, 학력!$N:$N, 0)) &amp; ".pdf", "PDF"), "-"),
 IF($R$4&lt;&gt;"", IFERROR(HYPERLINK("학력, 자격증-excel 연동 파일\" &amp; INDEX(학력!A:A, MATCH($R$4&amp;"_학력_"&amp;$N17, 학력!$M:$M, 0)) &amp; "\학력\" &amp; INDEX(학력!D:D, MATCH($R$4&amp;"_학력_"&amp;$N17, 학력!$M:$M, 0)) &amp; "_" &amp; INDEX(학력!E:E, MATCH($R$4&amp;"_학력_"&amp;$N17, 학력!$M:$M, 0)) &amp; "_" &amp; INDEX(학력!F:F, MATCH($R$4&amp;"_학력_"&amp;$N17, 학력!$M:$M, 0)) &amp; "_" &amp; INDEX(학력!A:A, MATCH($R$4&amp;"_학력_"&amp;$N17, 학력!$M:$M, 0)) &amp; ".pdf", "PDF"), "-"), "-")))),
 IF(OR(_xlpm.res=0, _xlpm.res=""), "-", _xlpm.res))</f>
        <v>-</v>
      </c>
    </row>
    <row r="18" spans="2:21" ht="20.100000000000001" customHeight="1">
      <c r="B18" s="108">
        <v>11</v>
      </c>
      <c r="C18" s="105" t="str">
        <f>_xlfn.LET(_xlpm.res, IF(AND($E$4&lt;&gt;"", $L$4&lt;&gt;""), "검색창 삭제",
 IF($E$4&lt;&gt;"", IFERROR(INDEX(자격증!A:A, MATCH($E$4&amp;"_자격증_"&amp;$B18, 자격증!$Y:$Y, 0)), "-"),
 IF($L$4&lt;&gt;"", IFERROR(INDEX(자격증!A:A, MATCH($L$4&amp;"_자격증_"&amp;$B18, 자격증!$Z:$Z, 0)), "-"), "-"))), IF(OR(_xlpm.res=0, _xlpm.res=""), "-", _xlpm.res))</f>
        <v>-</v>
      </c>
      <c r="D18" s="106" t="str">
        <f>_xlfn.LET(_xlpm.res, IF(AND($E$4&lt;&gt;"", $L$4&lt;&gt;""), "검색창 삭제",
 IF($E$4&lt;&gt;"", IFERROR(INDEX(자격증!D:D, MATCH($E$4&amp;"_자격증_"&amp;$B18, 자격증!$Y:$Y, 0)), "-"),
 IF($L$4&lt;&gt;"", IFERROR(INDEX(자격증!D:D, MATCH($L$4&amp;"_자격증_"&amp;$B18, 자격증!$Z:$Z, 0)), "-"), "-"))), IF(OR(_xlpm.res=0, _xlpm.res=""), "-", _xlpm.res))</f>
        <v>-</v>
      </c>
      <c r="E18" s="105" t="str">
        <f>_xlfn.LET(_xlpm.res, IF(AND($E$4&lt;&gt;"", $L$4&lt;&gt;""), "검색창 삭제",
 IF($E$4&lt;&gt;"", IFERROR(INDEX(자격증!E:E, MATCH($E$4&amp;"_자격증_"&amp;$B18, 자격증!$Y:$Y, 0)), "-"),
 IF($L$4&lt;&gt;"", IFERROR(INDEX(자격증!E:E, MATCH($L$4&amp;"_자격증_"&amp;$B18, 자격증!$Z:$Z, 0)), "-"), "-"))), IF(OR(_xlpm.res=0, _xlpm.res=""), "-", _xlpm.res))</f>
        <v>-</v>
      </c>
      <c r="F18" s="105" t="str">
        <f>_xlfn.LET(_xlpm.res, IF(AND($E$4&lt;&gt;"", $L$4&lt;&gt;""), "검색창 삭제",
 IF($E$4&lt;&gt;"", IFERROR(INDEX(자격증!F:F, MATCH($E$4&amp;"_자격증_"&amp;$B18, 자격증!$Y:$Y, 0)), "-"),
 IF($L$4&lt;&gt;"", IFERROR(INDEX(자격증!F:F, MATCH($L$4&amp;"_자격증_"&amp;$B18, 자격증!$Z:$Z, 0)), "-"), "-"))), IF(OR(_xlpm.res=0, _xlpm.res=""), "-", _xlpm.res))</f>
        <v>-</v>
      </c>
      <c r="G18" s="105" t="str">
        <f>_xlfn.LET(_xlpm.res, IF(AND($E$4&lt;&gt;"", $L$4&lt;&gt;""), "검색창 삭제",
 IF($E$4&lt;&gt;"", IFERROR(INDEX(자격증!G:G, MATCH($E$4&amp;"_자격증_"&amp;$B18, 자격증!$Y:$Y, 0)), "-"),
 IF($L$4&lt;&gt;"", IFERROR(INDEX(자격증!G:G, MATCH($L$4&amp;"_자격증_"&amp;$B18, 자격증!$Z:$Z, 0)), "-"), "-"))), IF(OR(_xlpm.res=0, _xlpm.res=""), "-", _xlpm.res))</f>
        <v>-</v>
      </c>
      <c r="H18" s="105" t="str">
        <f>_xlfn.LET(_xlpm.res, IF(AND($E$4&lt;&gt;"", $L$4&lt;&gt;""), "검색창 삭제",
 IF($E$4&lt;&gt;"", IFERROR(INDEX(자격증!H:H, MATCH($E$4&amp;"_자격증_"&amp;$B18, 자격증!$Y:$Y, 0)), "-"),
 IF($L$4&lt;&gt;"", IFERROR(INDEX(자격증!H:H, MATCH($L$4&amp;"_자격증_"&amp;$B18, 자격증!$Z:$Z, 0)), "-"), "-"))), IF(OR(_xlpm.res=0, _xlpm.res=""), "-", _xlpm.res))</f>
        <v>-</v>
      </c>
      <c r="I18" s="367" t="str">
        <f>_xlfn.LET(_xlpm.res, IF(AND($E$4&lt;&gt;"", $L$4&lt;&gt;""), "검색창 삭제",
 IF($E$4&lt;&gt;"", IFERROR(INDEX(자격증!I:I, MATCH($E$4&amp;"_자격증_"&amp;$B18, 자격증!$Y:$Y, 0)), "-"),
 IF($L$4&lt;&gt;"", IFERROR(INDEX(자격증!I:I, MATCH($L$4&amp;"_자격증_"&amp;$B18, 자격증!$Z:$Z, 0)), "-"), "-"))), IF(OR(_xlpm.res=0, _xlpm.res=""), "-", _xlpm.res))</f>
        <v>-</v>
      </c>
      <c r="J18" s="367" t="str">
        <f>_xlfn.LET(_xlpm.res, IF(AND($E$4&lt;&gt;"", $L$4&lt;&gt;""), "검색창 삭제",
 IF($E$4&lt;&gt;"", IFERROR(INDEX(자격증!J:J, MATCH($E$4&amp;"_자격증_"&amp;$B18, 자격증!$Y:$Y, 0)), "-"),
 IF($L$4&lt;&gt;"", IFERROR(INDEX(자격증!J:J, MATCH($L$4&amp;"_자격증_"&amp;$B18, 자격증!$Z:$Z, 0)), "-"), "-"))), IF(OR(_xlpm.res=0, _xlpm.res=""), "-", _xlpm.res))</f>
        <v>-</v>
      </c>
      <c r="K18" s="367" t="str">
        <f>_xlfn.LET(_xlpm.res, IF(AND($E$4&lt;&gt;"", $L$4&lt;&gt;""), "검색창 삭제",
 IF($E$4&lt;&gt;"", IFERROR(INDEX(자격증!K:K, MATCH($E$4&amp;"_자격증_"&amp;$B18, 자격증!$Y:$Y, 0)), "-"),
 IF($L$4&lt;&gt;"", IFERROR(INDEX(자격증!K:K, MATCH($L$4&amp;"_자격증_"&amp;$B18, 자격증!$Z:$Z, 0)), "-"), "-"))), IF(OR(_xlpm.res=0, _xlpm.res=""), "-", _xlpm.res))</f>
        <v>-</v>
      </c>
      <c r="L18" s="105" t="str">
        <f>IF(AND($E$4&lt;&gt;"", $L$4&lt;&gt;""), "검색창 삭제",
 IF($E$4&lt;&gt;"", IFERROR(HYPERLINK("학력, 자격증-excel 연동 파일\" &amp; $E$4 &amp; "\자격증\" &amp; INDEX(자격증!D:D, MATCH($E$4&amp;"_자격증_"&amp;$B18, 자격증!$Y:$Y, 0)) &amp; "_" &amp; $E$4 &amp; ".pdf", "PDF 열기"), "-"),
 IF($L$4&lt;&gt;"", IFERROR(HYPERLINK("학력, 자격증-excel 연동 파일\" &amp; $C18 &amp; "\자격증\" &amp; INDEX(자격증!D:D, MATCH($D18&amp;"_자격증_"&amp;$B18, 자격증!$Z:$Z, 0)) &amp; "_" &amp; $C18 &amp; ".pdf", "PDF 열기"), "-"), "")))</f>
        <v/>
      </c>
      <c r="N18" s="108">
        <v>11</v>
      </c>
      <c r="O18" s="105" t="str">
        <f>_xlfn.LET(_xlpm.res, IF(COUNTA($E$4, $P$4, $R$4) &gt;= 2, "검색창 삭제",
 IF($E$4&lt;&gt;"", IFERROR(INDEX(학력!A:A, MATCH($E$4&amp;"_학력_"&amp;$N18, 학력!$L:$L, 0)), "-"),
 IF($P$4&lt;&gt;"", IFERROR(INDEX(학력!A:A, MATCH($P$4&amp;"_학력_"&amp;$N18, 학력!$N:$N, 0)), "-"),
 IF($R$4&lt;&gt;"", IFERROR(INDEX(학력!A:A, MATCH($R$4&amp;"_학력_"&amp;$N18, 학력!$M:$M, 0)), "-"), "-")))), IF(OR(_xlpm.res=0, _xlpm.res=""), "-", _xlpm.res))</f>
        <v>-</v>
      </c>
      <c r="P18" s="105" t="str">
        <f>_xlfn.LET(_xlpm.res, IF(COUNTA($E$4, $P$4, $R$4) &gt;= 2, "검색창 삭제",
 IF($E$4&lt;&gt;"", IFERROR(INDEX(학력!D:D, MATCH($E$4&amp;"_학력_"&amp;$N18, 학력!$L:$L, 0)), "-"),
 IF($P$4&lt;&gt;"", IFERROR(INDEX(학력!D:D, MATCH($P$4&amp;"_학력_"&amp;$N18, 학력!$N:$N, 0)), "-"),
 IF($R$4&lt;&gt;"", IFERROR(INDEX(학력!D:D, MATCH($R$4&amp;"_학력_"&amp;$N18, 학력!$M:$M, 0)), "-"), "-")))), IF(OR(_xlpm.res=0, _xlpm.res=""), "-", _xlpm.res))</f>
        <v>-</v>
      </c>
      <c r="Q18" s="105" t="str">
        <f>_xlfn.LET(_xlpm.res, IF(COUNTA($E$4, $P$4, $R$4) &gt;= 2, "검색창 삭제",
 IF($E$4&lt;&gt;"", IFERROR(INDEX(학력!E:E, MATCH($E$4&amp;"_학력_"&amp;$N18, 학력!$L:$L, 0)), "-"),
 IF($P$4&lt;&gt;"", IFERROR(INDEX(학력!E:E, MATCH($P$4&amp;"_학력_"&amp;$N18, 학력!$N:$N, 0)), "-"),
 IF($R$4&lt;&gt;"", IFERROR(INDEX(학력!E:E, MATCH($R$4&amp;"_학력_"&amp;$N18, 학력!$M:$M, 0)), "-"), "-")))), IF(OR(_xlpm.res=0, _xlpm.res=""), "-", _xlpm.res))</f>
        <v>-</v>
      </c>
      <c r="R18" s="105" t="str">
        <f>_xlfn.LET(_xlpm.res, IF(COUNTA($E$4, $P$4, $R$4) &gt;= 2, "검색창 삭제",
 IF($E$4&lt;&gt;"", IFERROR(INDEX(학력!F:F, MATCH($E$4&amp;"_학력_"&amp;$N18, 학력!$L:$L, 0)), "-"),
 IF($P$4&lt;&gt;"", IFERROR(INDEX(학력!F:F, MATCH($P$4&amp;"_학력_"&amp;$N18, 학력!$N:$N, 0)), "-"),
 IF($R$4&lt;&gt;"", IFERROR(INDEX(학력!F:F, MATCH($R$4&amp;"_학력_"&amp;$N18, 학력!$M:$M, 0)), "-"), "-")))), IF(OR(_xlpm.res=0, _xlpm.res=""), "-", _xlpm.res))</f>
        <v>-</v>
      </c>
      <c r="S18" s="105" t="str">
        <f>_xlfn.LET(
    _xlpm.result,
    IF(COUNTA($E$4, $P$4, $R$4) &gt;= 2, "검색창 삭제",
        IF($E$4&lt;&gt;"", IFERROR(INDEX(학력!G:G, MATCH($E$4&amp;"_학력_"&amp;$N18, 학력!$L:$L, 0)), "-"),
        IF($P$4&lt;&gt;"", IFERROR(INDEX(학력!G:G, MATCH($P$4&amp;"_학력_"&amp;$N18, 학력!$N:$N, 0)), "-"),
        IF($R$4&lt;&gt;"", IFERROR(INDEX(학력!G:G, MATCH($R$4&amp;"_학력_"&amp;$N18, 학력!$M:$M, 0)), "-"), "-")))
    ),
    IF(OR(_xlpm.result=0, _xlpm.result=""), "-", _xlpm.result)
)</f>
        <v>-</v>
      </c>
      <c r="T18" s="107" t="str">
        <f>_xlfn.LET(_xlpm.res, IF(COUNTA($E$4, $P$4, $R$4) &gt;= 2, "검색창 삭제",
 IF($E$4&lt;&gt;"", IFERROR(INDEX(학력!H:H, MATCH($E$4&amp;"_학력_"&amp;$N18, 학력!$L:$L, 0)), "-"),
 IF($P$4&lt;&gt;"", IFERROR(INDEX(학력!H:H, MATCH($P$4&amp;"_학력_"&amp;$N18, 학력!$N:$N, 0)), "-"),
 IF($R$4&lt;&gt;"", IFERROR(INDEX(학력!H:H, MATCH($R$4&amp;"_학력_"&amp;$N18, 학력!$M:$M, 0)), "-"), "-")))), IF(OR(_xlpm.res=0, _xlpm.res=""), "-", _xlpm.res))</f>
        <v>-</v>
      </c>
      <c r="U18" s="105" t="str">
        <f>_xlfn.LET(_xlpm.res, IF(COUNTA($E$4, $P$4, $R$4) &gt;= 2, "검색창 삭제",
 IF($E$4&lt;&gt;"", IFERROR(HYPERLINK("학력, 자격증-excel 연동 파일\" &amp; $E$4 &amp; "\학력\" &amp; INDEX(학력!D:D, MATCH($E$4&amp;"_학력_"&amp;$N18, 학력!$L:$L, 0)) &amp; "_" &amp; INDEX(학력!E:E, MATCH($E$4&amp;"_학력_"&amp;$N18, 학력!$L:$L, 0)) &amp; "_" &amp; INDEX(학력!F:F, MATCH($E$4&amp;"_학력_"&amp;$N18, 학력!$L:$L, 0)) &amp; "_" &amp; $E$4 &amp; ".pdf", "PDF"), "-"),
 IF($P$4&lt;&gt;"", IFERROR(HYPERLINK("학력, 자격증-excel 연동 파일\" &amp; INDEX(학력!A:A, MATCH($P$4&amp;"_학력_"&amp;$N18, 학력!$N:$N, 0)) &amp; "\학력\" &amp; INDEX(학력!D:D, MATCH($P$4&amp;"_학력_"&amp;$N18, 학력!$N:$N, 0)) &amp; "_" &amp; INDEX(학력!E:E, MATCH($P$4&amp;"_학력_"&amp;$N18, 학력!$N:$N, 0)) &amp; "_" &amp; INDEX(학력!F:F, MATCH($P$4&amp;"_학력_"&amp;$N18, 학력!$N:$N, 0)) &amp; "_" &amp; INDEX(학력!A:A, MATCH($P$4&amp;"_학력_"&amp;$N18, 학력!$N:$N, 0)) &amp; ".pdf", "PDF"), "-"),
 IF($R$4&lt;&gt;"", IFERROR(HYPERLINK("학력, 자격증-excel 연동 파일\" &amp; INDEX(학력!A:A, MATCH($R$4&amp;"_학력_"&amp;$N18, 학력!$M:$M, 0)) &amp; "\학력\" &amp; INDEX(학력!D:D, MATCH($R$4&amp;"_학력_"&amp;$N18, 학력!$M:$M, 0)) &amp; "_" &amp; INDEX(학력!E:E, MATCH($R$4&amp;"_학력_"&amp;$N18, 학력!$M:$M, 0)) &amp; "_" &amp; INDEX(학력!F:F, MATCH($R$4&amp;"_학력_"&amp;$N18, 학력!$M:$M, 0)) &amp; "_" &amp; INDEX(학력!A:A, MATCH($R$4&amp;"_학력_"&amp;$N18, 학력!$M:$M, 0)) &amp; ".pdf", "PDF"), "-"), "-")))),
 IF(OR(_xlpm.res=0, _xlpm.res=""), "-", _xlpm.res))</f>
        <v>-</v>
      </c>
    </row>
    <row r="19" spans="2:21" ht="20.100000000000001" customHeight="1">
      <c r="B19" s="108">
        <v>12</v>
      </c>
      <c r="C19" s="105" t="str">
        <f>_xlfn.LET(_xlpm.res, IF(AND($E$4&lt;&gt;"", $L$4&lt;&gt;""), "검색창 삭제",
 IF($E$4&lt;&gt;"", IFERROR(INDEX(자격증!A:A, MATCH($E$4&amp;"_자격증_"&amp;$B19, 자격증!$Y:$Y, 0)), "-"),
 IF($L$4&lt;&gt;"", IFERROR(INDEX(자격증!A:A, MATCH($L$4&amp;"_자격증_"&amp;$B19, 자격증!$Z:$Z, 0)), "-"), "-"))), IF(OR(_xlpm.res=0, _xlpm.res=""), "-", _xlpm.res))</f>
        <v>-</v>
      </c>
      <c r="D19" s="106" t="str">
        <f>_xlfn.LET(_xlpm.res, IF(AND($E$4&lt;&gt;"", $L$4&lt;&gt;""), "검색창 삭제",
 IF($E$4&lt;&gt;"", IFERROR(INDEX(자격증!D:D, MATCH($E$4&amp;"_자격증_"&amp;$B19, 자격증!$Y:$Y, 0)), "-"),
 IF($L$4&lt;&gt;"", IFERROR(INDEX(자격증!D:D, MATCH($L$4&amp;"_자격증_"&amp;$B19, 자격증!$Z:$Z, 0)), "-"), "-"))), IF(OR(_xlpm.res=0, _xlpm.res=""), "-", _xlpm.res))</f>
        <v>-</v>
      </c>
      <c r="E19" s="105" t="str">
        <f>_xlfn.LET(_xlpm.res, IF(AND($E$4&lt;&gt;"", $L$4&lt;&gt;""), "검색창 삭제",
 IF($E$4&lt;&gt;"", IFERROR(INDEX(자격증!E:E, MATCH($E$4&amp;"_자격증_"&amp;$B19, 자격증!$Y:$Y, 0)), "-"),
 IF($L$4&lt;&gt;"", IFERROR(INDEX(자격증!E:E, MATCH($L$4&amp;"_자격증_"&amp;$B19, 자격증!$Z:$Z, 0)), "-"), "-"))), IF(OR(_xlpm.res=0, _xlpm.res=""), "-", _xlpm.res))</f>
        <v>-</v>
      </c>
      <c r="F19" s="105" t="str">
        <f>_xlfn.LET(_xlpm.res, IF(AND($E$4&lt;&gt;"", $L$4&lt;&gt;""), "검색창 삭제",
 IF($E$4&lt;&gt;"", IFERROR(INDEX(자격증!F:F, MATCH($E$4&amp;"_자격증_"&amp;$B19, 자격증!$Y:$Y, 0)), "-"),
 IF($L$4&lt;&gt;"", IFERROR(INDEX(자격증!F:F, MATCH($L$4&amp;"_자격증_"&amp;$B19, 자격증!$Z:$Z, 0)), "-"), "-"))), IF(OR(_xlpm.res=0, _xlpm.res=""), "-", _xlpm.res))</f>
        <v>-</v>
      </c>
      <c r="G19" s="105" t="str">
        <f>_xlfn.LET(_xlpm.res, IF(AND($E$4&lt;&gt;"", $L$4&lt;&gt;""), "검색창 삭제",
 IF($E$4&lt;&gt;"", IFERROR(INDEX(자격증!G:G, MATCH($E$4&amp;"_자격증_"&amp;$B19, 자격증!$Y:$Y, 0)), "-"),
 IF($L$4&lt;&gt;"", IFERROR(INDEX(자격증!G:G, MATCH($L$4&amp;"_자격증_"&amp;$B19, 자격증!$Z:$Z, 0)), "-"), "-"))), IF(OR(_xlpm.res=0, _xlpm.res=""), "-", _xlpm.res))</f>
        <v>-</v>
      </c>
      <c r="H19" s="105" t="str">
        <f>_xlfn.LET(_xlpm.res, IF(AND($E$4&lt;&gt;"", $L$4&lt;&gt;""), "검색창 삭제",
 IF($E$4&lt;&gt;"", IFERROR(INDEX(자격증!H:H, MATCH($E$4&amp;"_자격증_"&amp;$B19, 자격증!$Y:$Y, 0)), "-"),
 IF($L$4&lt;&gt;"", IFERROR(INDEX(자격증!H:H, MATCH($L$4&amp;"_자격증_"&amp;$B19, 자격증!$Z:$Z, 0)), "-"), "-"))), IF(OR(_xlpm.res=0, _xlpm.res=""), "-", _xlpm.res))</f>
        <v>-</v>
      </c>
      <c r="I19" s="367" t="str">
        <f>_xlfn.LET(_xlpm.res, IF(AND($E$4&lt;&gt;"", $L$4&lt;&gt;""), "검색창 삭제",
 IF($E$4&lt;&gt;"", IFERROR(INDEX(자격증!I:I, MATCH($E$4&amp;"_자격증_"&amp;$B19, 자격증!$Y:$Y, 0)), "-"),
 IF($L$4&lt;&gt;"", IFERROR(INDEX(자격증!I:I, MATCH($L$4&amp;"_자격증_"&amp;$B19, 자격증!$Z:$Z, 0)), "-"), "-"))), IF(OR(_xlpm.res=0, _xlpm.res=""), "-", _xlpm.res))</f>
        <v>-</v>
      </c>
      <c r="J19" s="367" t="str">
        <f>_xlfn.LET(_xlpm.res, IF(AND($E$4&lt;&gt;"", $L$4&lt;&gt;""), "검색창 삭제",
 IF($E$4&lt;&gt;"", IFERROR(INDEX(자격증!J:J, MATCH($E$4&amp;"_자격증_"&amp;$B19, 자격증!$Y:$Y, 0)), "-"),
 IF($L$4&lt;&gt;"", IFERROR(INDEX(자격증!J:J, MATCH($L$4&amp;"_자격증_"&amp;$B19, 자격증!$Z:$Z, 0)), "-"), "-"))), IF(OR(_xlpm.res=0, _xlpm.res=""), "-", _xlpm.res))</f>
        <v>-</v>
      </c>
      <c r="K19" s="367" t="str">
        <f>_xlfn.LET(_xlpm.res, IF(AND($E$4&lt;&gt;"", $L$4&lt;&gt;""), "검색창 삭제",
 IF($E$4&lt;&gt;"", IFERROR(INDEX(자격증!K:K, MATCH($E$4&amp;"_자격증_"&amp;$B19, 자격증!$Y:$Y, 0)), "-"),
 IF($L$4&lt;&gt;"", IFERROR(INDEX(자격증!K:K, MATCH($L$4&amp;"_자격증_"&amp;$B19, 자격증!$Z:$Z, 0)), "-"), "-"))), IF(OR(_xlpm.res=0, _xlpm.res=""), "-", _xlpm.res))</f>
        <v>-</v>
      </c>
      <c r="L19" s="105" t="str">
        <f>IF(AND($E$4&lt;&gt;"", $L$4&lt;&gt;""), "검색창 삭제",
 IF($E$4&lt;&gt;"", IFERROR(HYPERLINK("학력, 자격증-excel 연동 파일\" &amp; $E$4 &amp; "\자격증\" &amp; INDEX(자격증!D:D, MATCH($E$4&amp;"_자격증_"&amp;$B19, 자격증!$Y:$Y, 0)) &amp; "_" &amp; $E$4 &amp; ".pdf", "PDF 열기"), "-"),
 IF($L$4&lt;&gt;"", IFERROR(HYPERLINK("학력, 자격증-excel 연동 파일\" &amp; $C19 &amp; "\자격증\" &amp; INDEX(자격증!D:D, MATCH($D19&amp;"_자격증_"&amp;$B19, 자격증!$Z:$Z, 0)) &amp; "_" &amp; $C19 &amp; ".pdf", "PDF 열기"), "-"), "")))</f>
        <v/>
      </c>
      <c r="N19" s="108">
        <v>12</v>
      </c>
      <c r="O19" s="105" t="str">
        <f>_xlfn.LET(_xlpm.res, IF(COUNTA($E$4, $P$4, $R$4) &gt;= 2, "검색창 삭제",
 IF($E$4&lt;&gt;"", IFERROR(INDEX(학력!A:A, MATCH($E$4&amp;"_학력_"&amp;$N19, 학력!$L:$L, 0)), "-"),
 IF($P$4&lt;&gt;"", IFERROR(INDEX(학력!A:A, MATCH($P$4&amp;"_학력_"&amp;$N19, 학력!$N:$N, 0)), "-"),
 IF($R$4&lt;&gt;"", IFERROR(INDEX(학력!A:A, MATCH($R$4&amp;"_학력_"&amp;$N19, 학력!$M:$M, 0)), "-"), "-")))), IF(OR(_xlpm.res=0, _xlpm.res=""), "-", _xlpm.res))</f>
        <v>-</v>
      </c>
      <c r="P19" s="105" t="str">
        <f>_xlfn.LET(_xlpm.res, IF(COUNTA($E$4, $P$4, $R$4) &gt;= 2, "검색창 삭제",
 IF($E$4&lt;&gt;"", IFERROR(INDEX(학력!D:D, MATCH($E$4&amp;"_학력_"&amp;$N19, 학력!$L:$L, 0)), "-"),
 IF($P$4&lt;&gt;"", IFERROR(INDEX(학력!D:D, MATCH($P$4&amp;"_학력_"&amp;$N19, 학력!$N:$N, 0)), "-"),
 IF($R$4&lt;&gt;"", IFERROR(INDEX(학력!D:D, MATCH($R$4&amp;"_학력_"&amp;$N19, 학력!$M:$M, 0)), "-"), "-")))), IF(OR(_xlpm.res=0, _xlpm.res=""), "-", _xlpm.res))</f>
        <v>-</v>
      </c>
      <c r="Q19" s="105" t="str">
        <f>_xlfn.LET(_xlpm.res, IF(COUNTA($E$4, $P$4, $R$4) &gt;= 2, "검색창 삭제",
 IF($E$4&lt;&gt;"", IFERROR(INDEX(학력!E:E, MATCH($E$4&amp;"_학력_"&amp;$N19, 학력!$L:$L, 0)), "-"),
 IF($P$4&lt;&gt;"", IFERROR(INDEX(학력!E:E, MATCH($P$4&amp;"_학력_"&amp;$N19, 학력!$N:$N, 0)), "-"),
 IF($R$4&lt;&gt;"", IFERROR(INDEX(학력!E:E, MATCH($R$4&amp;"_학력_"&amp;$N19, 학력!$M:$M, 0)), "-"), "-")))), IF(OR(_xlpm.res=0, _xlpm.res=""), "-", _xlpm.res))</f>
        <v>-</v>
      </c>
      <c r="R19" s="105" t="str">
        <f>_xlfn.LET(_xlpm.res, IF(COUNTA($E$4, $P$4, $R$4) &gt;= 2, "검색창 삭제",
 IF($E$4&lt;&gt;"", IFERROR(INDEX(학력!F:F, MATCH($E$4&amp;"_학력_"&amp;$N19, 학력!$L:$L, 0)), "-"),
 IF($P$4&lt;&gt;"", IFERROR(INDEX(학력!F:F, MATCH($P$4&amp;"_학력_"&amp;$N19, 학력!$N:$N, 0)), "-"),
 IF($R$4&lt;&gt;"", IFERROR(INDEX(학력!F:F, MATCH($R$4&amp;"_학력_"&amp;$N19, 학력!$M:$M, 0)), "-"), "-")))), IF(OR(_xlpm.res=0, _xlpm.res=""), "-", _xlpm.res))</f>
        <v>-</v>
      </c>
      <c r="S19" s="105" t="str">
        <f>_xlfn.LET(
    _xlpm.result,
    IF(COUNTA($E$4, $P$4, $R$4) &gt;= 2, "검색창 삭제",
        IF($E$4&lt;&gt;"", IFERROR(INDEX(학력!G:G, MATCH($E$4&amp;"_학력_"&amp;$N19, 학력!$L:$L, 0)), "-"),
        IF($P$4&lt;&gt;"", IFERROR(INDEX(학력!G:G, MATCH($P$4&amp;"_학력_"&amp;$N19, 학력!$N:$N, 0)), "-"),
        IF($R$4&lt;&gt;"", IFERROR(INDEX(학력!G:G, MATCH($R$4&amp;"_학력_"&amp;$N19, 학력!$M:$M, 0)), "-"), "-")))
    ),
    IF(OR(_xlpm.result=0, _xlpm.result=""), "-", _xlpm.result)
)</f>
        <v>-</v>
      </c>
      <c r="T19" s="107" t="str">
        <f>_xlfn.LET(_xlpm.res, IF(COUNTA($E$4, $P$4, $R$4) &gt;= 2, "검색창 삭제",
 IF($E$4&lt;&gt;"", IFERROR(INDEX(학력!H:H, MATCH($E$4&amp;"_학력_"&amp;$N19, 학력!$L:$L, 0)), "-"),
 IF($P$4&lt;&gt;"", IFERROR(INDEX(학력!H:H, MATCH($P$4&amp;"_학력_"&amp;$N19, 학력!$N:$N, 0)), "-"),
 IF($R$4&lt;&gt;"", IFERROR(INDEX(학력!H:H, MATCH($R$4&amp;"_학력_"&amp;$N19, 학력!$M:$M, 0)), "-"), "-")))), IF(OR(_xlpm.res=0, _xlpm.res=""), "-", _xlpm.res))</f>
        <v>-</v>
      </c>
      <c r="U19" s="105" t="str">
        <f>_xlfn.LET(_xlpm.res, IF(COUNTA($E$4, $P$4, $R$4) &gt;= 2, "검색창 삭제",
 IF($E$4&lt;&gt;"", IFERROR(HYPERLINK("학력, 자격증-excel 연동 파일\" &amp; $E$4 &amp; "\학력\" &amp; INDEX(학력!D:D, MATCH($E$4&amp;"_학력_"&amp;$N19, 학력!$L:$L, 0)) &amp; "_" &amp; INDEX(학력!E:E, MATCH($E$4&amp;"_학력_"&amp;$N19, 학력!$L:$L, 0)) &amp; "_" &amp; INDEX(학력!F:F, MATCH($E$4&amp;"_학력_"&amp;$N19, 학력!$L:$L, 0)) &amp; "_" &amp; $E$4 &amp; ".pdf", "PDF"), "-"),
 IF($P$4&lt;&gt;"", IFERROR(HYPERLINK("학력, 자격증-excel 연동 파일\" &amp; INDEX(학력!A:A, MATCH($P$4&amp;"_학력_"&amp;$N19, 학력!$N:$N, 0)) &amp; "\학력\" &amp; INDEX(학력!D:D, MATCH($P$4&amp;"_학력_"&amp;$N19, 학력!$N:$N, 0)) &amp; "_" &amp; INDEX(학력!E:E, MATCH($P$4&amp;"_학력_"&amp;$N19, 학력!$N:$N, 0)) &amp; "_" &amp; INDEX(학력!F:F, MATCH($P$4&amp;"_학력_"&amp;$N19, 학력!$N:$N, 0)) &amp; "_" &amp; INDEX(학력!A:A, MATCH($P$4&amp;"_학력_"&amp;$N19, 학력!$N:$N, 0)) &amp; ".pdf", "PDF"), "-"),
 IF($R$4&lt;&gt;"", IFERROR(HYPERLINK("학력, 자격증-excel 연동 파일\" &amp; INDEX(학력!A:A, MATCH($R$4&amp;"_학력_"&amp;$N19, 학력!$M:$M, 0)) &amp; "\학력\" &amp; INDEX(학력!D:D, MATCH($R$4&amp;"_학력_"&amp;$N19, 학력!$M:$M, 0)) &amp; "_" &amp; INDEX(학력!E:E, MATCH($R$4&amp;"_학력_"&amp;$N19, 학력!$M:$M, 0)) &amp; "_" &amp; INDEX(학력!F:F, MATCH($R$4&amp;"_학력_"&amp;$N19, 학력!$M:$M, 0)) &amp; "_" &amp; INDEX(학력!A:A, MATCH($R$4&amp;"_학력_"&amp;$N19, 학력!$M:$M, 0)) &amp; ".pdf", "PDF"), "-"), "-")))),
 IF(OR(_xlpm.res=0, _xlpm.res=""), "-", _xlpm.res))</f>
        <v>-</v>
      </c>
    </row>
    <row r="20" spans="2:21" ht="20.100000000000001" customHeight="1">
      <c r="B20" s="108">
        <v>13</v>
      </c>
      <c r="C20" s="105" t="str">
        <f>_xlfn.LET(_xlpm.res, IF(AND($E$4&lt;&gt;"", $L$4&lt;&gt;""), "검색창 삭제",
 IF($E$4&lt;&gt;"", IFERROR(INDEX(자격증!A:A, MATCH($E$4&amp;"_자격증_"&amp;$B20, 자격증!$Y:$Y, 0)), "-"),
 IF($L$4&lt;&gt;"", IFERROR(INDEX(자격증!A:A, MATCH($L$4&amp;"_자격증_"&amp;$B20, 자격증!$Z:$Z, 0)), "-"), "-"))), IF(OR(_xlpm.res=0, _xlpm.res=""), "-", _xlpm.res))</f>
        <v>-</v>
      </c>
      <c r="D20" s="106" t="str">
        <f>_xlfn.LET(_xlpm.res, IF(AND($E$4&lt;&gt;"", $L$4&lt;&gt;""), "검색창 삭제",
 IF($E$4&lt;&gt;"", IFERROR(INDEX(자격증!D:D, MATCH($E$4&amp;"_자격증_"&amp;$B20, 자격증!$Y:$Y, 0)), "-"),
 IF($L$4&lt;&gt;"", IFERROR(INDEX(자격증!D:D, MATCH($L$4&amp;"_자격증_"&amp;$B20, 자격증!$Z:$Z, 0)), "-"), "-"))), IF(OR(_xlpm.res=0, _xlpm.res=""), "-", _xlpm.res))</f>
        <v>-</v>
      </c>
      <c r="E20" s="105" t="str">
        <f>_xlfn.LET(_xlpm.res, IF(AND($E$4&lt;&gt;"", $L$4&lt;&gt;""), "검색창 삭제",
 IF($E$4&lt;&gt;"", IFERROR(INDEX(자격증!E:E, MATCH($E$4&amp;"_자격증_"&amp;$B20, 자격증!$Y:$Y, 0)), "-"),
 IF($L$4&lt;&gt;"", IFERROR(INDEX(자격증!E:E, MATCH($L$4&amp;"_자격증_"&amp;$B20, 자격증!$Z:$Z, 0)), "-"), "-"))), IF(OR(_xlpm.res=0, _xlpm.res=""), "-", _xlpm.res))</f>
        <v>-</v>
      </c>
      <c r="F20" s="105" t="str">
        <f>_xlfn.LET(_xlpm.res, IF(AND($E$4&lt;&gt;"", $L$4&lt;&gt;""), "검색창 삭제",
 IF($E$4&lt;&gt;"", IFERROR(INDEX(자격증!F:F, MATCH($E$4&amp;"_자격증_"&amp;$B20, 자격증!$Y:$Y, 0)), "-"),
 IF($L$4&lt;&gt;"", IFERROR(INDEX(자격증!F:F, MATCH($L$4&amp;"_자격증_"&amp;$B20, 자격증!$Z:$Z, 0)), "-"), "-"))), IF(OR(_xlpm.res=0, _xlpm.res=""), "-", _xlpm.res))</f>
        <v>-</v>
      </c>
      <c r="G20" s="105" t="str">
        <f>_xlfn.LET(_xlpm.res, IF(AND($E$4&lt;&gt;"", $L$4&lt;&gt;""), "검색창 삭제",
 IF($E$4&lt;&gt;"", IFERROR(INDEX(자격증!G:G, MATCH($E$4&amp;"_자격증_"&amp;$B20, 자격증!$Y:$Y, 0)), "-"),
 IF($L$4&lt;&gt;"", IFERROR(INDEX(자격증!G:G, MATCH($L$4&amp;"_자격증_"&amp;$B20, 자격증!$Z:$Z, 0)), "-"), "-"))), IF(OR(_xlpm.res=0, _xlpm.res=""), "-", _xlpm.res))</f>
        <v>-</v>
      </c>
      <c r="H20" s="105" t="str">
        <f>_xlfn.LET(_xlpm.res, IF(AND($E$4&lt;&gt;"", $L$4&lt;&gt;""), "검색창 삭제",
 IF($E$4&lt;&gt;"", IFERROR(INDEX(자격증!H:H, MATCH($E$4&amp;"_자격증_"&amp;$B20, 자격증!$Y:$Y, 0)), "-"),
 IF($L$4&lt;&gt;"", IFERROR(INDEX(자격증!H:H, MATCH($L$4&amp;"_자격증_"&amp;$B20, 자격증!$Z:$Z, 0)), "-"), "-"))), IF(OR(_xlpm.res=0, _xlpm.res=""), "-", _xlpm.res))</f>
        <v>-</v>
      </c>
      <c r="I20" s="367" t="str">
        <f>_xlfn.LET(_xlpm.res, IF(AND($E$4&lt;&gt;"", $L$4&lt;&gt;""), "검색창 삭제",
 IF($E$4&lt;&gt;"", IFERROR(INDEX(자격증!I:I, MATCH($E$4&amp;"_자격증_"&amp;$B20, 자격증!$Y:$Y, 0)), "-"),
 IF($L$4&lt;&gt;"", IFERROR(INDEX(자격증!I:I, MATCH($L$4&amp;"_자격증_"&amp;$B20, 자격증!$Z:$Z, 0)), "-"), "-"))), IF(OR(_xlpm.res=0, _xlpm.res=""), "-", _xlpm.res))</f>
        <v>-</v>
      </c>
      <c r="J20" s="367" t="str">
        <f>_xlfn.LET(_xlpm.res, IF(AND($E$4&lt;&gt;"", $L$4&lt;&gt;""), "검색창 삭제",
 IF($E$4&lt;&gt;"", IFERROR(INDEX(자격증!J:J, MATCH($E$4&amp;"_자격증_"&amp;$B20, 자격증!$Y:$Y, 0)), "-"),
 IF($L$4&lt;&gt;"", IFERROR(INDEX(자격증!J:J, MATCH($L$4&amp;"_자격증_"&amp;$B20, 자격증!$Z:$Z, 0)), "-"), "-"))), IF(OR(_xlpm.res=0, _xlpm.res=""), "-", _xlpm.res))</f>
        <v>-</v>
      </c>
      <c r="K20" s="367" t="str">
        <f>_xlfn.LET(_xlpm.res, IF(AND($E$4&lt;&gt;"", $L$4&lt;&gt;""), "검색창 삭제",
 IF($E$4&lt;&gt;"", IFERROR(INDEX(자격증!K:K, MATCH($E$4&amp;"_자격증_"&amp;$B20, 자격증!$Y:$Y, 0)), "-"),
 IF($L$4&lt;&gt;"", IFERROR(INDEX(자격증!K:K, MATCH($L$4&amp;"_자격증_"&amp;$B20, 자격증!$Z:$Z, 0)), "-"), "-"))), IF(OR(_xlpm.res=0, _xlpm.res=""), "-", _xlpm.res))</f>
        <v>-</v>
      </c>
      <c r="L20" s="105" t="str">
        <f>IF(AND($E$4&lt;&gt;"", $L$4&lt;&gt;""), "검색창 삭제",
 IF($E$4&lt;&gt;"", IFERROR(HYPERLINK("학력, 자격증-excel 연동 파일\" &amp; $E$4 &amp; "\자격증\" &amp; INDEX(자격증!D:D, MATCH($E$4&amp;"_자격증_"&amp;$B20, 자격증!$Y:$Y, 0)) &amp; "_" &amp; $E$4 &amp; ".pdf", "PDF 열기"), "-"),
 IF($L$4&lt;&gt;"", IFERROR(HYPERLINK("학력, 자격증-excel 연동 파일\" &amp; $C20 &amp; "\자격증\" &amp; INDEX(자격증!D:D, MATCH($D20&amp;"_자격증_"&amp;$B20, 자격증!$Z:$Z, 0)) &amp; "_" &amp; $C20 &amp; ".pdf", "PDF 열기"), "-"), "")))</f>
        <v/>
      </c>
      <c r="N20" s="108">
        <v>13</v>
      </c>
      <c r="O20" s="105" t="str">
        <f>_xlfn.LET(_xlpm.res, IF(COUNTA($E$4, $P$4, $R$4) &gt;= 2, "검색창 삭제",
 IF($E$4&lt;&gt;"", IFERROR(INDEX(학력!A:A, MATCH($E$4&amp;"_학력_"&amp;$N20, 학력!$L:$L, 0)), "-"),
 IF($P$4&lt;&gt;"", IFERROR(INDEX(학력!A:A, MATCH($P$4&amp;"_학력_"&amp;$N20, 학력!$N:$N, 0)), "-"),
 IF($R$4&lt;&gt;"", IFERROR(INDEX(학력!A:A, MATCH($R$4&amp;"_학력_"&amp;$N20, 학력!$M:$M, 0)), "-"), "-")))), IF(OR(_xlpm.res=0, _xlpm.res=""), "-", _xlpm.res))</f>
        <v>-</v>
      </c>
      <c r="P20" s="105" t="str">
        <f>_xlfn.LET(_xlpm.res, IF(COUNTA($E$4, $P$4, $R$4) &gt;= 2, "검색창 삭제",
 IF($E$4&lt;&gt;"", IFERROR(INDEX(학력!D:D, MATCH($E$4&amp;"_학력_"&amp;$N20, 학력!$L:$L, 0)), "-"),
 IF($P$4&lt;&gt;"", IFERROR(INDEX(학력!D:D, MATCH($P$4&amp;"_학력_"&amp;$N20, 학력!$N:$N, 0)), "-"),
 IF($R$4&lt;&gt;"", IFERROR(INDEX(학력!D:D, MATCH($R$4&amp;"_학력_"&amp;$N20, 학력!$M:$M, 0)), "-"), "-")))), IF(OR(_xlpm.res=0, _xlpm.res=""), "-", _xlpm.res))</f>
        <v>-</v>
      </c>
      <c r="Q20" s="105" t="str">
        <f>_xlfn.LET(_xlpm.res, IF(COUNTA($E$4, $P$4, $R$4) &gt;= 2, "검색창 삭제",
 IF($E$4&lt;&gt;"", IFERROR(INDEX(학력!E:E, MATCH($E$4&amp;"_학력_"&amp;$N20, 학력!$L:$L, 0)), "-"),
 IF($P$4&lt;&gt;"", IFERROR(INDEX(학력!E:E, MATCH($P$4&amp;"_학력_"&amp;$N20, 학력!$N:$N, 0)), "-"),
 IF($R$4&lt;&gt;"", IFERROR(INDEX(학력!E:E, MATCH($R$4&amp;"_학력_"&amp;$N20, 학력!$M:$M, 0)), "-"), "-")))), IF(OR(_xlpm.res=0, _xlpm.res=""), "-", _xlpm.res))</f>
        <v>-</v>
      </c>
      <c r="R20" s="105" t="str">
        <f>_xlfn.LET(_xlpm.res, IF(COUNTA($E$4, $P$4, $R$4) &gt;= 2, "검색창 삭제",
 IF($E$4&lt;&gt;"", IFERROR(INDEX(학력!F:F, MATCH($E$4&amp;"_학력_"&amp;$N20, 학력!$L:$L, 0)), "-"),
 IF($P$4&lt;&gt;"", IFERROR(INDEX(학력!F:F, MATCH($P$4&amp;"_학력_"&amp;$N20, 학력!$N:$N, 0)), "-"),
 IF($R$4&lt;&gt;"", IFERROR(INDEX(학력!F:F, MATCH($R$4&amp;"_학력_"&amp;$N20, 학력!$M:$M, 0)), "-"), "-")))), IF(OR(_xlpm.res=0, _xlpm.res=""), "-", _xlpm.res))</f>
        <v>-</v>
      </c>
      <c r="S20" s="105" t="str">
        <f>_xlfn.LET(
    _xlpm.result,
    IF(COUNTA($E$4, $P$4, $R$4) &gt;= 2, "검색창 삭제",
        IF($E$4&lt;&gt;"", IFERROR(INDEX(학력!G:G, MATCH($E$4&amp;"_학력_"&amp;$N20, 학력!$L:$L, 0)), "-"),
        IF($P$4&lt;&gt;"", IFERROR(INDEX(학력!G:G, MATCH($P$4&amp;"_학력_"&amp;$N20, 학력!$N:$N, 0)), "-"),
        IF($R$4&lt;&gt;"", IFERROR(INDEX(학력!G:G, MATCH($R$4&amp;"_학력_"&amp;$N20, 학력!$M:$M, 0)), "-"), "-")))
    ),
    IF(OR(_xlpm.result=0, _xlpm.result=""), "-", _xlpm.result)
)</f>
        <v>-</v>
      </c>
      <c r="T20" s="107" t="str">
        <f>_xlfn.LET(_xlpm.res, IF(COUNTA($E$4, $P$4, $R$4) &gt;= 2, "검색창 삭제",
 IF($E$4&lt;&gt;"", IFERROR(INDEX(학력!H:H, MATCH($E$4&amp;"_학력_"&amp;$N20, 학력!$L:$L, 0)), "-"),
 IF($P$4&lt;&gt;"", IFERROR(INDEX(학력!H:H, MATCH($P$4&amp;"_학력_"&amp;$N20, 학력!$N:$N, 0)), "-"),
 IF($R$4&lt;&gt;"", IFERROR(INDEX(학력!H:H, MATCH($R$4&amp;"_학력_"&amp;$N20, 학력!$M:$M, 0)), "-"), "-")))), IF(OR(_xlpm.res=0, _xlpm.res=""), "-", _xlpm.res))</f>
        <v>-</v>
      </c>
      <c r="U20" s="105" t="str">
        <f>_xlfn.LET(_xlpm.res, IF(COUNTA($E$4, $P$4, $R$4) &gt;= 2, "검색창 삭제",
 IF($E$4&lt;&gt;"", IFERROR(HYPERLINK("학력, 자격증-excel 연동 파일\" &amp; $E$4 &amp; "\학력\" &amp; INDEX(학력!D:D, MATCH($E$4&amp;"_학력_"&amp;$N20, 학력!$L:$L, 0)) &amp; "_" &amp; INDEX(학력!E:E, MATCH($E$4&amp;"_학력_"&amp;$N20, 학력!$L:$L, 0)) &amp; "_" &amp; INDEX(학력!F:F, MATCH($E$4&amp;"_학력_"&amp;$N20, 학력!$L:$L, 0)) &amp; "_" &amp; $E$4 &amp; ".pdf", "PDF"), "-"),
 IF($P$4&lt;&gt;"", IFERROR(HYPERLINK("학력, 자격증-excel 연동 파일\" &amp; INDEX(학력!A:A, MATCH($P$4&amp;"_학력_"&amp;$N20, 학력!$N:$N, 0)) &amp; "\학력\" &amp; INDEX(학력!D:D, MATCH($P$4&amp;"_학력_"&amp;$N20, 학력!$N:$N, 0)) &amp; "_" &amp; INDEX(학력!E:E, MATCH($P$4&amp;"_학력_"&amp;$N20, 학력!$N:$N, 0)) &amp; "_" &amp; INDEX(학력!F:F, MATCH($P$4&amp;"_학력_"&amp;$N20, 학력!$N:$N, 0)) &amp; "_" &amp; INDEX(학력!A:A, MATCH($P$4&amp;"_학력_"&amp;$N20, 학력!$N:$N, 0)) &amp; ".pdf", "PDF"), "-"),
 IF($R$4&lt;&gt;"", IFERROR(HYPERLINK("학력, 자격증-excel 연동 파일\" &amp; INDEX(학력!A:A, MATCH($R$4&amp;"_학력_"&amp;$N20, 학력!$M:$M, 0)) &amp; "\학력\" &amp; INDEX(학력!D:D, MATCH($R$4&amp;"_학력_"&amp;$N20, 학력!$M:$M, 0)) &amp; "_" &amp; INDEX(학력!E:E, MATCH($R$4&amp;"_학력_"&amp;$N20, 학력!$M:$M, 0)) &amp; "_" &amp; INDEX(학력!F:F, MATCH($R$4&amp;"_학력_"&amp;$N20, 학력!$M:$M, 0)) &amp; "_" &amp; INDEX(학력!A:A, MATCH($R$4&amp;"_학력_"&amp;$N20, 학력!$M:$M, 0)) &amp; ".pdf", "PDF"), "-"), "-")))),
 IF(OR(_xlpm.res=0, _xlpm.res=""), "-", _xlpm.res))</f>
        <v>-</v>
      </c>
    </row>
    <row r="21" spans="2:21" ht="20.100000000000001" customHeight="1">
      <c r="B21" s="108">
        <v>14</v>
      </c>
      <c r="C21" s="105" t="str">
        <f>_xlfn.LET(_xlpm.res, IF(AND($E$4&lt;&gt;"", $L$4&lt;&gt;""), "검색창 삭제",
 IF($E$4&lt;&gt;"", IFERROR(INDEX(자격증!A:A, MATCH($E$4&amp;"_자격증_"&amp;$B21, 자격증!$Y:$Y, 0)), "-"),
 IF($L$4&lt;&gt;"", IFERROR(INDEX(자격증!A:A, MATCH($L$4&amp;"_자격증_"&amp;$B21, 자격증!$Z:$Z, 0)), "-"), "-"))), IF(OR(_xlpm.res=0, _xlpm.res=""), "-", _xlpm.res))</f>
        <v>-</v>
      </c>
      <c r="D21" s="106" t="str">
        <f>_xlfn.LET(_xlpm.res, IF(AND($E$4&lt;&gt;"", $L$4&lt;&gt;""), "검색창 삭제",
 IF($E$4&lt;&gt;"", IFERROR(INDEX(자격증!D:D, MATCH($E$4&amp;"_자격증_"&amp;$B21, 자격증!$Y:$Y, 0)), "-"),
 IF($L$4&lt;&gt;"", IFERROR(INDEX(자격증!D:D, MATCH($L$4&amp;"_자격증_"&amp;$B21, 자격증!$Z:$Z, 0)), "-"), "-"))), IF(OR(_xlpm.res=0, _xlpm.res=""), "-", _xlpm.res))</f>
        <v>-</v>
      </c>
      <c r="E21" s="105" t="str">
        <f>_xlfn.LET(_xlpm.res, IF(AND($E$4&lt;&gt;"", $L$4&lt;&gt;""), "검색창 삭제",
 IF($E$4&lt;&gt;"", IFERROR(INDEX(자격증!E:E, MATCH($E$4&amp;"_자격증_"&amp;$B21, 자격증!$Y:$Y, 0)), "-"),
 IF($L$4&lt;&gt;"", IFERROR(INDEX(자격증!E:E, MATCH($L$4&amp;"_자격증_"&amp;$B21, 자격증!$Z:$Z, 0)), "-"), "-"))), IF(OR(_xlpm.res=0, _xlpm.res=""), "-", _xlpm.res))</f>
        <v>-</v>
      </c>
      <c r="F21" s="105" t="str">
        <f>_xlfn.LET(_xlpm.res, IF(AND($E$4&lt;&gt;"", $L$4&lt;&gt;""), "검색창 삭제",
 IF($E$4&lt;&gt;"", IFERROR(INDEX(자격증!F:F, MATCH($E$4&amp;"_자격증_"&amp;$B21, 자격증!$Y:$Y, 0)), "-"),
 IF($L$4&lt;&gt;"", IFERROR(INDEX(자격증!F:F, MATCH($L$4&amp;"_자격증_"&amp;$B21, 자격증!$Z:$Z, 0)), "-"), "-"))), IF(OR(_xlpm.res=0, _xlpm.res=""), "-", _xlpm.res))</f>
        <v>-</v>
      </c>
      <c r="G21" s="105" t="str">
        <f>_xlfn.LET(_xlpm.res, IF(AND($E$4&lt;&gt;"", $L$4&lt;&gt;""), "검색창 삭제",
 IF($E$4&lt;&gt;"", IFERROR(INDEX(자격증!G:G, MATCH($E$4&amp;"_자격증_"&amp;$B21, 자격증!$Y:$Y, 0)), "-"),
 IF($L$4&lt;&gt;"", IFERROR(INDEX(자격증!G:G, MATCH($L$4&amp;"_자격증_"&amp;$B21, 자격증!$Z:$Z, 0)), "-"), "-"))), IF(OR(_xlpm.res=0, _xlpm.res=""), "-", _xlpm.res))</f>
        <v>-</v>
      </c>
      <c r="H21" s="105" t="str">
        <f>_xlfn.LET(_xlpm.res, IF(AND($E$4&lt;&gt;"", $L$4&lt;&gt;""), "검색창 삭제",
 IF($E$4&lt;&gt;"", IFERROR(INDEX(자격증!H:H, MATCH($E$4&amp;"_자격증_"&amp;$B21, 자격증!$Y:$Y, 0)), "-"),
 IF($L$4&lt;&gt;"", IFERROR(INDEX(자격증!H:H, MATCH($L$4&amp;"_자격증_"&amp;$B21, 자격증!$Z:$Z, 0)), "-"), "-"))), IF(OR(_xlpm.res=0, _xlpm.res=""), "-", _xlpm.res))</f>
        <v>-</v>
      </c>
      <c r="I21" s="367" t="str">
        <f>_xlfn.LET(_xlpm.res, IF(AND($E$4&lt;&gt;"", $L$4&lt;&gt;""), "검색창 삭제",
 IF($E$4&lt;&gt;"", IFERROR(INDEX(자격증!I:I, MATCH($E$4&amp;"_자격증_"&amp;$B21, 자격증!$Y:$Y, 0)), "-"),
 IF($L$4&lt;&gt;"", IFERROR(INDEX(자격증!I:I, MATCH($L$4&amp;"_자격증_"&amp;$B21, 자격증!$Z:$Z, 0)), "-"), "-"))), IF(OR(_xlpm.res=0, _xlpm.res=""), "-", _xlpm.res))</f>
        <v>-</v>
      </c>
      <c r="J21" s="367" t="str">
        <f>_xlfn.LET(_xlpm.res, IF(AND($E$4&lt;&gt;"", $L$4&lt;&gt;""), "검색창 삭제",
 IF($E$4&lt;&gt;"", IFERROR(INDEX(자격증!J:J, MATCH($E$4&amp;"_자격증_"&amp;$B21, 자격증!$Y:$Y, 0)), "-"),
 IF($L$4&lt;&gt;"", IFERROR(INDEX(자격증!J:J, MATCH($L$4&amp;"_자격증_"&amp;$B21, 자격증!$Z:$Z, 0)), "-"), "-"))), IF(OR(_xlpm.res=0, _xlpm.res=""), "-", _xlpm.res))</f>
        <v>-</v>
      </c>
      <c r="K21" s="367" t="str">
        <f>_xlfn.LET(_xlpm.res, IF(AND($E$4&lt;&gt;"", $L$4&lt;&gt;""), "검색창 삭제",
 IF($E$4&lt;&gt;"", IFERROR(INDEX(자격증!K:K, MATCH($E$4&amp;"_자격증_"&amp;$B21, 자격증!$Y:$Y, 0)), "-"),
 IF($L$4&lt;&gt;"", IFERROR(INDEX(자격증!K:K, MATCH($L$4&amp;"_자격증_"&amp;$B21, 자격증!$Z:$Z, 0)), "-"), "-"))), IF(OR(_xlpm.res=0, _xlpm.res=""), "-", _xlpm.res))</f>
        <v>-</v>
      </c>
      <c r="L21" s="105" t="str">
        <f>IF(AND($E$4&lt;&gt;"", $L$4&lt;&gt;""), "검색창 삭제",
 IF($E$4&lt;&gt;"", IFERROR(HYPERLINK("학력, 자격증-excel 연동 파일\" &amp; $E$4 &amp; "\자격증\" &amp; INDEX(자격증!D:D, MATCH($E$4&amp;"_자격증_"&amp;$B21, 자격증!$Y:$Y, 0)) &amp; "_" &amp; $E$4 &amp; ".pdf", "PDF 열기"), "-"),
 IF($L$4&lt;&gt;"", IFERROR(HYPERLINK("학력, 자격증-excel 연동 파일\" &amp; $C21 &amp; "\자격증\" &amp; INDEX(자격증!D:D, MATCH($D21&amp;"_자격증_"&amp;$B21, 자격증!$Z:$Z, 0)) &amp; "_" &amp; $C21 &amp; ".pdf", "PDF 열기"), "-"), "")))</f>
        <v/>
      </c>
      <c r="N21" s="108">
        <v>14</v>
      </c>
      <c r="O21" s="105" t="str">
        <f>_xlfn.LET(_xlpm.res, IF(COUNTA($E$4, $P$4, $R$4) &gt;= 2, "검색창 삭제",
 IF($E$4&lt;&gt;"", IFERROR(INDEX(학력!A:A, MATCH($E$4&amp;"_학력_"&amp;$N21, 학력!$L:$L, 0)), "-"),
 IF($P$4&lt;&gt;"", IFERROR(INDEX(학력!A:A, MATCH($P$4&amp;"_학력_"&amp;$N21, 학력!$N:$N, 0)), "-"),
 IF($R$4&lt;&gt;"", IFERROR(INDEX(학력!A:A, MATCH($R$4&amp;"_학력_"&amp;$N21, 학력!$M:$M, 0)), "-"), "-")))), IF(OR(_xlpm.res=0, _xlpm.res=""), "-", _xlpm.res))</f>
        <v>-</v>
      </c>
      <c r="P21" s="105" t="str">
        <f>_xlfn.LET(_xlpm.res, IF(COUNTA($E$4, $P$4, $R$4) &gt;= 2, "검색창 삭제",
 IF($E$4&lt;&gt;"", IFERROR(INDEX(학력!D:D, MATCH($E$4&amp;"_학력_"&amp;$N21, 학력!$L:$L, 0)), "-"),
 IF($P$4&lt;&gt;"", IFERROR(INDEX(학력!D:D, MATCH($P$4&amp;"_학력_"&amp;$N21, 학력!$N:$N, 0)), "-"),
 IF($R$4&lt;&gt;"", IFERROR(INDEX(학력!D:D, MATCH($R$4&amp;"_학력_"&amp;$N21, 학력!$M:$M, 0)), "-"), "-")))), IF(OR(_xlpm.res=0, _xlpm.res=""), "-", _xlpm.res))</f>
        <v>-</v>
      </c>
      <c r="Q21" s="105" t="str">
        <f>_xlfn.LET(_xlpm.res, IF(COUNTA($E$4, $P$4, $R$4) &gt;= 2, "검색창 삭제",
 IF($E$4&lt;&gt;"", IFERROR(INDEX(학력!E:E, MATCH($E$4&amp;"_학력_"&amp;$N21, 학력!$L:$L, 0)), "-"),
 IF($P$4&lt;&gt;"", IFERROR(INDEX(학력!E:E, MATCH($P$4&amp;"_학력_"&amp;$N21, 학력!$N:$N, 0)), "-"),
 IF($R$4&lt;&gt;"", IFERROR(INDEX(학력!E:E, MATCH($R$4&amp;"_학력_"&amp;$N21, 학력!$M:$M, 0)), "-"), "-")))), IF(OR(_xlpm.res=0, _xlpm.res=""), "-", _xlpm.res))</f>
        <v>-</v>
      </c>
      <c r="R21" s="105" t="str">
        <f>_xlfn.LET(_xlpm.res, IF(COUNTA($E$4, $P$4, $R$4) &gt;= 2, "검색창 삭제",
 IF($E$4&lt;&gt;"", IFERROR(INDEX(학력!F:F, MATCH($E$4&amp;"_학력_"&amp;$N21, 학력!$L:$L, 0)), "-"),
 IF($P$4&lt;&gt;"", IFERROR(INDEX(학력!F:F, MATCH($P$4&amp;"_학력_"&amp;$N21, 학력!$N:$N, 0)), "-"),
 IF($R$4&lt;&gt;"", IFERROR(INDEX(학력!F:F, MATCH($R$4&amp;"_학력_"&amp;$N21, 학력!$M:$M, 0)), "-"), "-")))), IF(OR(_xlpm.res=0, _xlpm.res=""), "-", _xlpm.res))</f>
        <v>-</v>
      </c>
      <c r="S21" s="105" t="str">
        <f>_xlfn.LET(
    _xlpm.result,
    IF(COUNTA($E$4, $P$4, $R$4) &gt;= 2, "검색창 삭제",
        IF($E$4&lt;&gt;"", IFERROR(INDEX(학력!G:G, MATCH($E$4&amp;"_학력_"&amp;$N21, 학력!$L:$L, 0)), "-"),
        IF($P$4&lt;&gt;"", IFERROR(INDEX(학력!G:G, MATCH($P$4&amp;"_학력_"&amp;$N21, 학력!$N:$N, 0)), "-"),
        IF($R$4&lt;&gt;"", IFERROR(INDEX(학력!G:G, MATCH($R$4&amp;"_학력_"&amp;$N21, 학력!$M:$M, 0)), "-"), "-")))
    ),
    IF(OR(_xlpm.result=0, _xlpm.result=""), "-", _xlpm.result)
)</f>
        <v>-</v>
      </c>
      <c r="T21" s="107" t="str">
        <f>_xlfn.LET(_xlpm.res, IF(COUNTA($E$4, $P$4, $R$4) &gt;= 2, "검색창 삭제",
 IF($E$4&lt;&gt;"", IFERROR(INDEX(학력!H:H, MATCH($E$4&amp;"_학력_"&amp;$N21, 학력!$L:$L, 0)), "-"),
 IF($P$4&lt;&gt;"", IFERROR(INDEX(학력!H:H, MATCH($P$4&amp;"_학력_"&amp;$N21, 학력!$N:$N, 0)), "-"),
 IF($R$4&lt;&gt;"", IFERROR(INDEX(학력!H:H, MATCH($R$4&amp;"_학력_"&amp;$N21, 학력!$M:$M, 0)), "-"), "-")))), IF(OR(_xlpm.res=0, _xlpm.res=""), "-", _xlpm.res))</f>
        <v>-</v>
      </c>
      <c r="U21" s="105" t="str">
        <f>_xlfn.LET(_xlpm.res, IF(COUNTA($E$4, $P$4, $R$4) &gt;= 2, "검색창 삭제",
 IF($E$4&lt;&gt;"", IFERROR(HYPERLINK("학력, 자격증-excel 연동 파일\" &amp; $E$4 &amp; "\학력\" &amp; INDEX(학력!D:D, MATCH($E$4&amp;"_학력_"&amp;$N21, 학력!$L:$L, 0)) &amp; "_" &amp; INDEX(학력!E:E, MATCH($E$4&amp;"_학력_"&amp;$N21, 학력!$L:$L, 0)) &amp; "_" &amp; INDEX(학력!F:F, MATCH($E$4&amp;"_학력_"&amp;$N21, 학력!$L:$L, 0)) &amp; "_" &amp; $E$4 &amp; ".pdf", "PDF"), "-"),
 IF($P$4&lt;&gt;"", IFERROR(HYPERLINK("학력, 자격증-excel 연동 파일\" &amp; INDEX(학력!A:A, MATCH($P$4&amp;"_학력_"&amp;$N21, 학력!$N:$N, 0)) &amp; "\학력\" &amp; INDEX(학력!D:D, MATCH($P$4&amp;"_학력_"&amp;$N21, 학력!$N:$N, 0)) &amp; "_" &amp; INDEX(학력!E:E, MATCH($P$4&amp;"_학력_"&amp;$N21, 학력!$N:$N, 0)) &amp; "_" &amp; INDEX(학력!F:F, MATCH($P$4&amp;"_학력_"&amp;$N21, 학력!$N:$N, 0)) &amp; "_" &amp; INDEX(학력!A:A, MATCH($P$4&amp;"_학력_"&amp;$N21, 학력!$N:$N, 0)) &amp; ".pdf", "PDF"), "-"),
 IF($R$4&lt;&gt;"", IFERROR(HYPERLINK("학력, 자격증-excel 연동 파일\" &amp; INDEX(학력!A:A, MATCH($R$4&amp;"_학력_"&amp;$N21, 학력!$M:$M, 0)) &amp; "\학력\" &amp; INDEX(학력!D:D, MATCH($R$4&amp;"_학력_"&amp;$N21, 학력!$M:$M, 0)) &amp; "_" &amp; INDEX(학력!E:E, MATCH($R$4&amp;"_학력_"&amp;$N21, 학력!$M:$M, 0)) &amp; "_" &amp; INDEX(학력!F:F, MATCH($R$4&amp;"_학력_"&amp;$N21, 학력!$M:$M, 0)) &amp; "_" &amp; INDEX(학력!A:A, MATCH($R$4&amp;"_학력_"&amp;$N21, 학력!$M:$M, 0)) &amp; ".pdf", "PDF"), "-"), "-")))),
 IF(OR(_xlpm.res=0, _xlpm.res=""), "-", _xlpm.res))</f>
        <v>-</v>
      </c>
    </row>
    <row r="22" spans="2:21" ht="20.100000000000001" customHeight="1">
      <c r="B22" s="108">
        <v>15</v>
      </c>
      <c r="C22" s="105" t="str">
        <f>_xlfn.LET(_xlpm.res, IF(AND($E$4&lt;&gt;"", $L$4&lt;&gt;""), "검색창 삭제",
 IF($E$4&lt;&gt;"", IFERROR(INDEX(자격증!A:A, MATCH($E$4&amp;"_자격증_"&amp;$B22, 자격증!$Y:$Y, 0)), "-"),
 IF($L$4&lt;&gt;"", IFERROR(INDEX(자격증!A:A, MATCH($L$4&amp;"_자격증_"&amp;$B22, 자격증!$Z:$Z, 0)), "-"), "-"))), IF(OR(_xlpm.res=0, _xlpm.res=""), "-", _xlpm.res))</f>
        <v>-</v>
      </c>
      <c r="D22" s="106" t="str">
        <f>_xlfn.LET(_xlpm.res, IF(AND($E$4&lt;&gt;"", $L$4&lt;&gt;""), "검색창 삭제",
 IF($E$4&lt;&gt;"", IFERROR(INDEX(자격증!D:D, MATCH($E$4&amp;"_자격증_"&amp;$B22, 자격증!$Y:$Y, 0)), "-"),
 IF($L$4&lt;&gt;"", IFERROR(INDEX(자격증!D:D, MATCH($L$4&amp;"_자격증_"&amp;$B22, 자격증!$Z:$Z, 0)), "-"), "-"))), IF(OR(_xlpm.res=0, _xlpm.res=""), "-", _xlpm.res))</f>
        <v>-</v>
      </c>
      <c r="E22" s="105" t="str">
        <f>_xlfn.LET(_xlpm.res, IF(AND($E$4&lt;&gt;"", $L$4&lt;&gt;""), "검색창 삭제",
 IF($E$4&lt;&gt;"", IFERROR(INDEX(자격증!E:E, MATCH($E$4&amp;"_자격증_"&amp;$B22, 자격증!$Y:$Y, 0)), "-"),
 IF($L$4&lt;&gt;"", IFERROR(INDEX(자격증!E:E, MATCH($L$4&amp;"_자격증_"&amp;$B22, 자격증!$Z:$Z, 0)), "-"), "-"))), IF(OR(_xlpm.res=0, _xlpm.res=""), "-", _xlpm.res))</f>
        <v>-</v>
      </c>
      <c r="F22" s="105" t="str">
        <f>_xlfn.LET(_xlpm.res, IF(AND($E$4&lt;&gt;"", $L$4&lt;&gt;""), "검색창 삭제",
 IF($E$4&lt;&gt;"", IFERROR(INDEX(자격증!F:F, MATCH($E$4&amp;"_자격증_"&amp;$B22, 자격증!$Y:$Y, 0)), "-"),
 IF($L$4&lt;&gt;"", IFERROR(INDEX(자격증!F:F, MATCH($L$4&amp;"_자격증_"&amp;$B22, 자격증!$Z:$Z, 0)), "-"), "-"))), IF(OR(_xlpm.res=0, _xlpm.res=""), "-", _xlpm.res))</f>
        <v>-</v>
      </c>
      <c r="G22" s="105" t="str">
        <f>_xlfn.LET(_xlpm.res, IF(AND($E$4&lt;&gt;"", $L$4&lt;&gt;""), "검색창 삭제",
 IF($E$4&lt;&gt;"", IFERROR(INDEX(자격증!G:G, MATCH($E$4&amp;"_자격증_"&amp;$B22, 자격증!$Y:$Y, 0)), "-"),
 IF($L$4&lt;&gt;"", IFERROR(INDEX(자격증!G:G, MATCH($L$4&amp;"_자격증_"&amp;$B22, 자격증!$Z:$Z, 0)), "-"), "-"))), IF(OR(_xlpm.res=0, _xlpm.res=""), "-", _xlpm.res))</f>
        <v>-</v>
      </c>
      <c r="H22" s="105" t="str">
        <f>_xlfn.LET(_xlpm.res, IF(AND($E$4&lt;&gt;"", $L$4&lt;&gt;""), "검색창 삭제",
 IF($E$4&lt;&gt;"", IFERROR(INDEX(자격증!H:H, MATCH($E$4&amp;"_자격증_"&amp;$B22, 자격증!$Y:$Y, 0)), "-"),
 IF($L$4&lt;&gt;"", IFERROR(INDEX(자격증!H:H, MATCH($L$4&amp;"_자격증_"&amp;$B22, 자격증!$Z:$Z, 0)), "-"), "-"))), IF(OR(_xlpm.res=0, _xlpm.res=""), "-", _xlpm.res))</f>
        <v>-</v>
      </c>
      <c r="I22" s="367" t="str">
        <f>_xlfn.LET(_xlpm.res, IF(AND($E$4&lt;&gt;"", $L$4&lt;&gt;""), "검색창 삭제",
 IF($E$4&lt;&gt;"", IFERROR(INDEX(자격증!I:I, MATCH($E$4&amp;"_자격증_"&amp;$B22, 자격증!$Y:$Y, 0)), "-"),
 IF($L$4&lt;&gt;"", IFERROR(INDEX(자격증!I:I, MATCH($L$4&amp;"_자격증_"&amp;$B22, 자격증!$Z:$Z, 0)), "-"), "-"))), IF(OR(_xlpm.res=0, _xlpm.res=""), "-", _xlpm.res))</f>
        <v>-</v>
      </c>
      <c r="J22" s="367" t="str">
        <f>_xlfn.LET(_xlpm.res, IF(AND($E$4&lt;&gt;"", $L$4&lt;&gt;""), "검색창 삭제",
 IF($E$4&lt;&gt;"", IFERROR(INDEX(자격증!J:J, MATCH($E$4&amp;"_자격증_"&amp;$B22, 자격증!$Y:$Y, 0)), "-"),
 IF($L$4&lt;&gt;"", IFERROR(INDEX(자격증!J:J, MATCH($L$4&amp;"_자격증_"&amp;$B22, 자격증!$Z:$Z, 0)), "-"), "-"))), IF(OR(_xlpm.res=0, _xlpm.res=""), "-", _xlpm.res))</f>
        <v>-</v>
      </c>
      <c r="K22" s="367" t="str">
        <f>_xlfn.LET(_xlpm.res, IF(AND($E$4&lt;&gt;"", $L$4&lt;&gt;""), "검색창 삭제",
 IF($E$4&lt;&gt;"", IFERROR(INDEX(자격증!K:K, MATCH($E$4&amp;"_자격증_"&amp;$B22, 자격증!$Y:$Y, 0)), "-"),
 IF($L$4&lt;&gt;"", IFERROR(INDEX(자격증!K:K, MATCH($L$4&amp;"_자격증_"&amp;$B22, 자격증!$Z:$Z, 0)), "-"), "-"))), IF(OR(_xlpm.res=0, _xlpm.res=""), "-", _xlpm.res))</f>
        <v>-</v>
      </c>
      <c r="L22" s="105" t="str">
        <f>IF(AND($E$4&lt;&gt;"", $L$4&lt;&gt;""), "검색창 삭제",
 IF($E$4&lt;&gt;"", IFERROR(HYPERLINK("학력, 자격증-excel 연동 파일\" &amp; $E$4 &amp; "\자격증\" &amp; INDEX(자격증!D:D, MATCH($E$4&amp;"_자격증_"&amp;$B22, 자격증!$Y:$Y, 0)) &amp; "_" &amp; $E$4 &amp; ".pdf", "PDF 열기"), "-"),
 IF($L$4&lt;&gt;"", IFERROR(HYPERLINK("학력, 자격증-excel 연동 파일\" &amp; $C22 &amp; "\자격증\" &amp; INDEX(자격증!D:D, MATCH($D22&amp;"_자격증_"&amp;$B22, 자격증!$Z:$Z, 0)) &amp; "_" &amp; $C22 &amp; ".pdf", "PDF 열기"), "-"), "")))</f>
        <v/>
      </c>
      <c r="N22" s="108">
        <v>15</v>
      </c>
      <c r="O22" s="105" t="str">
        <f>_xlfn.LET(_xlpm.res, IF(COUNTA($E$4, $P$4, $R$4) &gt;= 2, "검색창 삭제",
 IF($E$4&lt;&gt;"", IFERROR(INDEX(학력!A:A, MATCH($E$4&amp;"_학력_"&amp;$N22, 학력!$L:$L, 0)), "-"),
 IF($P$4&lt;&gt;"", IFERROR(INDEX(학력!A:A, MATCH($P$4&amp;"_학력_"&amp;$N22, 학력!$N:$N, 0)), "-"),
 IF($R$4&lt;&gt;"", IFERROR(INDEX(학력!A:A, MATCH($R$4&amp;"_학력_"&amp;$N22, 학력!$M:$M, 0)), "-"), "-")))), IF(OR(_xlpm.res=0, _xlpm.res=""), "-", _xlpm.res))</f>
        <v>-</v>
      </c>
      <c r="P22" s="105" t="str">
        <f>_xlfn.LET(_xlpm.res, IF(COUNTA($E$4, $P$4, $R$4) &gt;= 2, "검색창 삭제",
 IF($E$4&lt;&gt;"", IFERROR(INDEX(학력!D:D, MATCH($E$4&amp;"_학력_"&amp;$N22, 학력!$L:$L, 0)), "-"),
 IF($P$4&lt;&gt;"", IFERROR(INDEX(학력!D:D, MATCH($P$4&amp;"_학력_"&amp;$N22, 학력!$N:$N, 0)), "-"),
 IF($R$4&lt;&gt;"", IFERROR(INDEX(학력!D:D, MATCH($R$4&amp;"_학력_"&amp;$N22, 학력!$M:$M, 0)), "-"), "-")))), IF(OR(_xlpm.res=0, _xlpm.res=""), "-", _xlpm.res))</f>
        <v>-</v>
      </c>
      <c r="Q22" s="105" t="str">
        <f>_xlfn.LET(_xlpm.res, IF(COUNTA($E$4, $P$4, $R$4) &gt;= 2, "검색창 삭제",
 IF($E$4&lt;&gt;"", IFERROR(INDEX(학력!E:E, MATCH($E$4&amp;"_학력_"&amp;$N22, 학력!$L:$L, 0)), "-"),
 IF($P$4&lt;&gt;"", IFERROR(INDEX(학력!E:E, MATCH($P$4&amp;"_학력_"&amp;$N22, 학력!$N:$N, 0)), "-"),
 IF($R$4&lt;&gt;"", IFERROR(INDEX(학력!E:E, MATCH($R$4&amp;"_학력_"&amp;$N22, 학력!$M:$M, 0)), "-"), "-")))), IF(OR(_xlpm.res=0, _xlpm.res=""), "-", _xlpm.res))</f>
        <v>-</v>
      </c>
      <c r="R22" s="105" t="str">
        <f>_xlfn.LET(_xlpm.res, IF(COUNTA($E$4, $P$4, $R$4) &gt;= 2, "검색창 삭제",
 IF($E$4&lt;&gt;"", IFERROR(INDEX(학력!F:F, MATCH($E$4&amp;"_학력_"&amp;$N22, 학력!$L:$L, 0)), "-"),
 IF($P$4&lt;&gt;"", IFERROR(INDEX(학력!F:F, MATCH($P$4&amp;"_학력_"&amp;$N22, 학력!$N:$N, 0)), "-"),
 IF($R$4&lt;&gt;"", IFERROR(INDEX(학력!F:F, MATCH($R$4&amp;"_학력_"&amp;$N22, 학력!$M:$M, 0)), "-"), "-")))), IF(OR(_xlpm.res=0, _xlpm.res=""), "-", _xlpm.res))</f>
        <v>-</v>
      </c>
      <c r="S22" s="105" t="str">
        <f>_xlfn.LET(
    _xlpm.result,
    IF(COUNTA($E$4, $P$4, $R$4) &gt;= 2, "검색창 삭제",
        IF($E$4&lt;&gt;"", IFERROR(INDEX(학력!G:G, MATCH($E$4&amp;"_학력_"&amp;$N22, 학력!$L:$L, 0)), "-"),
        IF($P$4&lt;&gt;"", IFERROR(INDEX(학력!G:G, MATCH($P$4&amp;"_학력_"&amp;$N22, 학력!$N:$N, 0)), "-"),
        IF($R$4&lt;&gt;"", IFERROR(INDEX(학력!G:G, MATCH($R$4&amp;"_학력_"&amp;$N22, 학력!$M:$M, 0)), "-"), "-")))
    ),
    IF(OR(_xlpm.result=0, _xlpm.result=""), "-", _xlpm.result)
)</f>
        <v>-</v>
      </c>
      <c r="T22" s="107" t="str">
        <f>_xlfn.LET(_xlpm.res, IF(COUNTA($E$4, $P$4, $R$4) &gt;= 2, "검색창 삭제",
 IF($E$4&lt;&gt;"", IFERROR(INDEX(학력!H:H, MATCH($E$4&amp;"_학력_"&amp;$N22, 학력!$L:$L, 0)), "-"),
 IF($P$4&lt;&gt;"", IFERROR(INDEX(학력!H:H, MATCH($P$4&amp;"_학력_"&amp;$N22, 학력!$N:$N, 0)), "-"),
 IF($R$4&lt;&gt;"", IFERROR(INDEX(학력!H:H, MATCH($R$4&amp;"_학력_"&amp;$N22, 학력!$M:$M, 0)), "-"), "-")))), IF(OR(_xlpm.res=0, _xlpm.res=""), "-", _xlpm.res))</f>
        <v>-</v>
      </c>
      <c r="U22" s="105" t="str">
        <f>_xlfn.LET(_xlpm.res, IF(COUNTA($E$4, $P$4, $R$4) &gt;= 2, "검색창 삭제",
 IF($E$4&lt;&gt;"", IFERROR(HYPERLINK("학력, 자격증-excel 연동 파일\" &amp; $E$4 &amp; "\학력\" &amp; INDEX(학력!D:D, MATCH($E$4&amp;"_학력_"&amp;$N22, 학력!$L:$L, 0)) &amp; "_" &amp; INDEX(학력!E:E, MATCH($E$4&amp;"_학력_"&amp;$N22, 학력!$L:$L, 0)) &amp; "_" &amp; INDEX(학력!F:F, MATCH($E$4&amp;"_학력_"&amp;$N22, 학력!$L:$L, 0)) &amp; "_" &amp; $E$4 &amp; ".pdf", "PDF"), "-"),
 IF($P$4&lt;&gt;"", IFERROR(HYPERLINK("학력, 자격증-excel 연동 파일\" &amp; INDEX(학력!A:A, MATCH($P$4&amp;"_학력_"&amp;$N22, 학력!$N:$N, 0)) &amp; "\학력\" &amp; INDEX(학력!D:D, MATCH($P$4&amp;"_학력_"&amp;$N22, 학력!$N:$N, 0)) &amp; "_" &amp; INDEX(학력!E:E, MATCH($P$4&amp;"_학력_"&amp;$N22, 학력!$N:$N, 0)) &amp; "_" &amp; INDEX(학력!F:F, MATCH($P$4&amp;"_학력_"&amp;$N22, 학력!$N:$N, 0)) &amp; "_" &amp; INDEX(학력!A:A, MATCH($P$4&amp;"_학력_"&amp;$N22, 학력!$N:$N, 0)) &amp; ".pdf", "PDF"), "-"),
 IF($R$4&lt;&gt;"", IFERROR(HYPERLINK("학력, 자격증-excel 연동 파일\" &amp; INDEX(학력!A:A, MATCH($R$4&amp;"_학력_"&amp;$N22, 학력!$M:$M, 0)) &amp; "\학력\" &amp; INDEX(학력!D:D, MATCH($R$4&amp;"_학력_"&amp;$N22, 학력!$M:$M, 0)) &amp; "_" &amp; INDEX(학력!E:E, MATCH($R$4&amp;"_학력_"&amp;$N22, 학력!$M:$M, 0)) &amp; "_" &amp; INDEX(학력!F:F, MATCH($R$4&amp;"_학력_"&amp;$N22, 학력!$M:$M, 0)) &amp; "_" &amp; INDEX(학력!A:A, MATCH($R$4&amp;"_학력_"&amp;$N22, 학력!$M:$M, 0)) &amp; ".pdf", "PDF"), "-"), "-")))),
 IF(OR(_xlpm.res=0, _xlpm.res=""), "-", _xlpm.res))</f>
        <v>-</v>
      </c>
    </row>
    <row r="23" spans="2:21" ht="20.100000000000001" customHeight="1">
      <c r="B23" s="108">
        <v>16</v>
      </c>
      <c r="C23" s="105" t="str">
        <f>_xlfn.LET(_xlpm.res, IF(AND($E$4&lt;&gt;"", $L$4&lt;&gt;""), "검색창 삭제",
 IF($E$4&lt;&gt;"", IFERROR(INDEX(자격증!A:A, MATCH($E$4&amp;"_자격증_"&amp;$B23, 자격증!$Y:$Y, 0)), "-"),
 IF($L$4&lt;&gt;"", IFERROR(INDEX(자격증!A:A, MATCH($L$4&amp;"_자격증_"&amp;$B23, 자격증!$Z:$Z, 0)), "-"), "-"))), IF(OR(_xlpm.res=0, _xlpm.res=""), "-", _xlpm.res))</f>
        <v>-</v>
      </c>
      <c r="D23" s="106" t="str">
        <f>_xlfn.LET(_xlpm.res, IF(AND($E$4&lt;&gt;"", $L$4&lt;&gt;""), "검색창 삭제",
 IF($E$4&lt;&gt;"", IFERROR(INDEX(자격증!D:D, MATCH($E$4&amp;"_자격증_"&amp;$B23, 자격증!$Y:$Y, 0)), "-"),
 IF($L$4&lt;&gt;"", IFERROR(INDEX(자격증!D:D, MATCH($L$4&amp;"_자격증_"&amp;$B23, 자격증!$Z:$Z, 0)), "-"), "-"))), IF(OR(_xlpm.res=0, _xlpm.res=""), "-", _xlpm.res))</f>
        <v>-</v>
      </c>
      <c r="E23" s="105" t="str">
        <f>_xlfn.LET(_xlpm.res, IF(AND($E$4&lt;&gt;"", $L$4&lt;&gt;""), "검색창 삭제",
 IF($E$4&lt;&gt;"", IFERROR(INDEX(자격증!E:E, MATCH($E$4&amp;"_자격증_"&amp;$B23, 자격증!$Y:$Y, 0)), "-"),
 IF($L$4&lt;&gt;"", IFERROR(INDEX(자격증!E:E, MATCH($L$4&amp;"_자격증_"&amp;$B23, 자격증!$Z:$Z, 0)), "-"), "-"))), IF(OR(_xlpm.res=0, _xlpm.res=""), "-", _xlpm.res))</f>
        <v>-</v>
      </c>
      <c r="F23" s="105" t="str">
        <f>_xlfn.LET(_xlpm.res, IF(AND($E$4&lt;&gt;"", $L$4&lt;&gt;""), "검색창 삭제",
 IF($E$4&lt;&gt;"", IFERROR(INDEX(자격증!F:F, MATCH($E$4&amp;"_자격증_"&amp;$B23, 자격증!$Y:$Y, 0)), "-"),
 IF($L$4&lt;&gt;"", IFERROR(INDEX(자격증!F:F, MATCH($L$4&amp;"_자격증_"&amp;$B23, 자격증!$Z:$Z, 0)), "-"), "-"))), IF(OR(_xlpm.res=0, _xlpm.res=""), "-", _xlpm.res))</f>
        <v>-</v>
      </c>
      <c r="G23" s="105" t="str">
        <f>_xlfn.LET(_xlpm.res, IF(AND($E$4&lt;&gt;"", $L$4&lt;&gt;""), "검색창 삭제",
 IF($E$4&lt;&gt;"", IFERROR(INDEX(자격증!G:G, MATCH($E$4&amp;"_자격증_"&amp;$B23, 자격증!$Y:$Y, 0)), "-"),
 IF($L$4&lt;&gt;"", IFERROR(INDEX(자격증!G:G, MATCH($L$4&amp;"_자격증_"&amp;$B23, 자격증!$Z:$Z, 0)), "-"), "-"))), IF(OR(_xlpm.res=0, _xlpm.res=""), "-", _xlpm.res))</f>
        <v>-</v>
      </c>
      <c r="H23" s="105" t="str">
        <f>_xlfn.LET(_xlpm.res, IF(AND($E$4&lt;&gt;"", $L$4&lt;&gt;""), "검색창 삭제",
 IF($E$4&lt;&gt;"", IFERROR(INDEX(자격증!H:H, MATCH($E$4&amp;"_자격증_"&amp;$B23, 자격증!$Y:$Y, 0)), "-"),
 IF($L$4&lt;&gt;"", IFERROR(INDEX(자격증!H:H, MATCH($L$4&amp;"_자격증_"&amp;$B23, 자격증!$Z:$Z, 0)), "-"), "-"))), IF(OR(_xlpm.res=0, _xlpm.res=""), "-", _xlpm.res))</f>
        <v>-</v>
      </c>
      <c r="I23" s="367" t="str">
        <f>_xlfn.LET(_xlpm.res, IF(AND($E$4&lt;&gt;"", $L$4&lt;&gt;""), "검색창 삭제",
 IF($E$4&lt;&gt;"", IFERROR(INDEX(자격증!I:I, MATCH($E$4&amp;"_자격증_"&amp;$B23, 자격증!$Y:$Y, 0)), "-"),
 IF($L$4&lt;&gt;"", IFERROR(INDEX(자격증!I:I, MATCH($L$4&amp;"_자격증_"&amp;$B23, 자격증!$Z:$Z, 0)), "-"), "-"))), IF(OR(_xlpm.res=0, _xlpm.res=""), "-", _xlpm.res))</f>
        <v>-</v>
      </c>
      <c r="J23" s="367" t="str">
        <f>_xlfn.LET(_xlpm.res, IF(AND($E$4&lt;&gt;"", $L$4&lt;&gt;""), "검색창 삭제",
 IF($E$4&lt;&gt;"", IFERROR(INDEX(자격증!J:J, MATCH($E$4&amp;"_자격증_"&amp;$B23, 자격증!$Y:$Y, 0)), "-"),
 IF($L$4&lt;&gt;"", IFERROR(INDEX(자격증!J:J, MATCH($L$4&amp;"_자격증_"&amp;$B23, 자격증!$Z:$Z, 0)), "-"), "-"))), IF(OR(_xlpm.res=0, _xlpm.res=""), "-", _xlpm.res))</f>
        <v>-</v>
      </c>
      <c r="K23" s="367" t="str">
        <f>_xlfn.LET(_xlpm.res, IF(AND($E$4&lt;&gt;"", $L$4&lt;&gt;""), "검색창 삭제",
 IF($E$4&lt;&gt;"", IFERROR(INDEX(자격증!K:K, MATCH($E$4&amp;"_자격증_"&amp;$B23, 자격증!$Y:$Y, 0)), "-"),
 IF($L$4&lt;&gt;"", IFERROR(INDEX(자격증!K:K, MATCH($L$4&amp;"_자격증_"&amp;$B23, 자격증!$Z:$Z, 0)), "-"), "-"))), IF(OR(_xlpm.res=0, _xlpm.res=""), "-", _xlpm.res))</f>
        <v>-</v>
      </c>
      <c r="L23" s="105" t="str">
        <f>IF(AND($E$4&lt;&gt;"", $L$4&lt;&gt;""), "검색창 삭제",
 IF($E$4&lt;&gt;"", IFERROR(HYPERLINK("학력, 자격증-excel 연동 파일\" &amp; $E$4 &amp; "\자격증\" &amp; INDEX(자격증!D:D, MATCH($E$4&amp;"_자격증_"&amp;$B23, 자격증!$Y:$Y, 0)) &amp; "_" &amp; $E$4 &amp; ".pdf", "PDF 열기"), "-"),
 IF($L$4&lt;&gt;"", IFERROR(HYPERLINK("학력, 자격증-excel 연동 파일\" &amp; $C23 &amp; "\자격증\" &amp; INDEX(자격증!D:D, MATCH($D23&amp;"_자격증_"&amp;$B23, 자격증!$Z:$Z, 0)) &amp; "_" &amp; $C23 &amp; ".pdf", "PDF 열기"), "-"), "")))</f>
        <v/>
      </c>
      <c r="N23" s="108">
        <v>16</v>
      </c>
      <c r="O23" s="105" t="str">
        <f>_xlfn.LET(_xlpm.res, IF(COUNTA($E$4, $P$4, $R$4) &gt;= 2, "검색창 삭제",
 IF($E$4&lt;&gt;"", IFERROR(INDEX(학력!A:A, MATCH($E$4&amp;"_학력_"&amp;$N23, 학력!$L:$L, 0)), "-"),
 IF($P$4&lt;&gt;"", IFERROR(INDEX(학력!A:A, MATCH($P$4&amp;"_학력_"&amp;$N23, 학력!$N:$N, 0)), "-"),
 IF($R$4&lt;&gt;"", IFERROR(INDEX(학력!A:A, MATCH($R$4&amp;"_학력_"&amp;$N23, 학력!$M:$M, 0)), "-"), "-")))), IF(OR(_xlpm.res=0, _xlpm.res=""), "-", _xlpm.res))</f>
        <v>-</v>
      </c>
      <c r="P23" s="105" t="str">
        <f>_xlfn.LET(_xlpm.res, IF(COUNTA($E$4, $P$4, $R$4) &gt;= 2, "검색창 삭제",
 IF($E$4&lt;&gt;"", IFERROR(INDEX(학력!D:D, MATCH($E$4&amp;"_학력_"&amp;$N23, 학력!$L:$L, 0)), "-"),
 IF($P$4&lt;&gt;"", IFERROR(INDEX(학력!D:D, MATCH($P$4&amp;"_학력_"&amp;$N23, 학력!$N:$N, 0)), "-"),
 IF($R$4&lt;&gt;"", IFERROR(INDEX(학력!D:D, MATCH($R$4&amp;"_학력_"&amp;$N23, 학력!$M:$M, 0)), "-"), "-")))), IF(OR(_xlpm.res=0, _xlpm.res=""), "-", _xlpm.res))</f>
        <v>-</v>
      </c>
      <c r="Q23" s="105" t="str">
        <f>_xlfn.LET(_xlpm.res, IF(COUNTA($E$4, $P$4, $R$4) &gt;= 2, "검색창 삭제",
 IF($E$4&lt;&gt;"", IFERROR(INDEX(학력!E:E, MATCH($E$4&amp;"_학력_"&amp;$N23, 학력!$L:$L, 0)), "-"),
 IF($P$4&lt;&gt;"", IFERROR(INDEX(학력!E:E, MATCH($P$4&amp;"_학력_"&amp;$N23, 학력!$N:$N, 0)), "-"),
 IF($R$4&lt;&gt;"", IFERROR(INDEX(학력!E:E, MATCH($R$4&amp;"_학력_"&amp;$N23, 학력!$M:$M, 0)), "-"), "-")))), IF(OR(_xlpm.res=0, _xlpm.res=""), "-", _xlpm.res))</f>
        <v>-</v>
      </c>
      <c r="R23" s="105" t="str">
        <f>_xlfn.LET(_xlpm.res, IF(COUNTA($E$4, $P$4, $R$4) &gt;= 2, "검색창 삭제",
 IF($E$4&lt;&gt;"", IFERROR(INDEX(학력!F:F, MATCH($E$4&amp;"_학력_"&amp;$N23, 학력!$L:$L, 0)), "-"),
 IF($P$4&lt;&gt;"", IFERROR(INDEX(학력!F:F, MATCH($P$4&amp;"_학력_"&amp;$N23, 학력!$N:$N, 0)), "-"),
 IF($R$4&lt;&gt;"", IFERROR(INDEX(학력!F:F, MATCH($R$4&amp;"_학력_"&amp;$N23, 학력!$M:$M, 0)), "-"), "-")))), IF(OR(_xlpm.res=0, _xlpm.res=""), "-", _xlpm.res))</f>
        <v>-</v>
      </c>
      <c r="S23" s="105" t="str">
        <f>_xlfn.LET(
    _xlpm.result,
    IF(COUNTA($E$4, $P$4, $R$4) &gt;= 2, "검색창 삭제",
        IF($E$4&lt;&gt;"", IFERROR(INDEX(학력!G:G, MATCH($E$4&amp;"_학력_"&amp;$N23, 학력!$L:$L, 0)), "-"),
        IF($P$4&lt;&gt;"", IFERROR(INDEX(학력!G:G, MATCH($P$4&amp;"_학력_"&amp;$N23, 학력!$N:$N, 0)), "-"),
        IF($R$4&lt;&gt;"", IFERROR(INDEX(학력!G:G, MATCH($R$4&amp;"_학력_"&amp;$N23, 학력!$M:$M, 0)), "-"), "-")))
    ),
    IF(OR(_xlpm.result=0, _xlpm.result=""), "-", _xlpm.result)
)</f>
        <v>-</v>
      </c>
      <c r="T23" s="107" t="str">
        <f>_xlfn.LET(_xlpm.res, IF(COUNTA($E$4, $P$4, $R$4) &gt;= 2, "검색창 삭제",
 IF($E$4&lt;&gt;"", IFERROR(INDEX(학력!H:H, MATCH($E$4&amp;"_학력_"&amp;$N23, 학력!$L:$L, 0)), "-"),
 IF($P$4&lt;&gt;"", IFERROR(INDEX(학력!H:H, MATCH($P$4&amp;"_학력_"&amp;$N23, 학력!$N:$N, 0)), "-"),
 IF($R$4&lt;&gt;"", IFERROR(INDEX(학력!H:H, MATCH($R$4&amp;"_학력_"&amp;$N23, 학력!$M:$M, 0)), "-"), "-")))), IF(OR(_xlpm.res=0, _xlpm.res=""), "-", _xlpm.res))</f>
        <v>-</v>
      </c>
      <c r="U23" s="105" t="str">
        <f>_xlfn.LET(_xlpm.res, IF(COUNTA($E$4, $P$4, $R$4) &gt;= 2, "검색창 삭제",
 IF($E$4&lt;&gt;"", IFERROR(HYPERLINK("학력, 자격증-excel 연동 파일\" &amp; $E$4 &amp; "\학력\" &amp; INDEX(학력!D:D, MATCH($E$4&amp;"_학력_"&amp;$N23, 학력!$L:$L, 0)) &amp; "_" &amp; INDEX(학력!E:E, MATCH($E$4&amp;"_학력_"&amp;$N23, 학력!$L:$L, 0)) &amp; "_" &amp; INDEX(학력!F:F, MATCH($E$4&amp;"_학력_"&amp;$N23, 학력!$L:$L, 0)) &amp; "_" &amp; $E$4 &amp; ".pdf", "PDF"), "-"),
 IF($P$4&lt;&gt;"", IFERROR(HYPERLINK("학력, 자격증-excel 연동 파일\" &amp; INDEX(학력!A:A, MATCH($P$4&amp;"_학력_"&amp;$N23, 학력!$N:$N, 0)) &amp; "\학력\" &amp; INDEX(학력!D:D, MATCH($P$4&amp;"_학력_"&amp;$N23, 학력!$N:$N, 0)) &amp; "_" &amp; INDEX(학력!E:E, MATCH($P$4&amp;"_학력_"&amp;$N23, 학력!$N:$N, 0)) &amp; "_" &amp; INDEX(학력!F:F, MATCH($P$4&amp;"_학력_"&amp;$N23, 학력!$N:$N, 0)) &amp; "_" &amp; INDEX(학력!A:A, MATCH($P$4&amp;"_학력_"&amp;$N23, 학력!$N:$N, 0)) &amp; ".pdf", "PDF"), "-"),
 IF($R$4&lt;&gt;"", IFERROR(HYPERLINK("학력, 자격증-excel 연동 파일\" &amp; INDEX(학력!A:A, MATCH($R$4&amp;"_학력_"&amp;$N23, 학력!$M:$M, 0)) &amp; "\학력\" &amp; INDEX(학력!D:D, MATCH($R$4&amp;"_학력_"&amp;$N23, 학력!$M:$M, 0)) &amp; "_" &amp; INDEX(학력!E:E, MATCH($R$4&amp;"_학력_"&amp;$N23, 학력!$M:$M, 0)) &amp; "_" &amp; INDEX(학력!F:F, MATCH($R$4&amp;"_학력_"&amp;$N23, 학력!$M:$M, 0)) &amp; "_" &amp; INDEX(학력!A:A, MATCH($R$4&amp;"_학력_"&amp;$N23, 학력!$M:$M, 0)) &amp; ".pdf", "PDF"), "-"), "-")))),
 IF(OR(_xlpm.res=0, _xlpm.res=""), "-", _xlpm.res))</f>
        <v>-</v>
      </c>
    </row>
    <row r="24" spans="2:21" ht="20.100000000000001" customHeight="1">
      <c r="B24" s="108">
        <v>17</v>
      </c>
      <c r="C24" s="105" t="str">
        <f>_xlfn.LET(_xlpm.res, IF(AND($E$4&lt;&gt;"", $L$4&lt;&gt;""), "검색창 삭제",
 IF($E$4&lt;&gt;"", IFERROR(INDEX(자격증!A:A, MATCH($E$4&amp;"_자격증_"&amp;$B24, 자격증!$Y:$Y, 0)), "-"),
 IF($L$4&lt;&gt;"", IFERROR(INDEX(자격증!A:A, MATCH($L$4&amp;"_자격증_"&amp;$B24, 자격증!$Z:$Z, 0)), "-"), "-"))), IF(OR(_xlpm.res=0, _xlpm.res=""), "-", _xlpm.res))</f>
        <v>-</v>
      </c>
      <c r="D24" s="106" t="str">
        <f>_xlfn.LET(_xlpm.res, IF(AND($E$4&lt;&gt;"", $L$4&lt;&gt;""), "검색창 삭제",
 IF($E$4&lt;&gt;"", IFERROR(INDEX(자격증!D:D, MATCH($E$4&amp;"_자격증_"&amp;$B24, 자격증!$Y:$Y, 0)), "-"),
 IF($L$4&lt;&gt;"", IFERROR(INDEX(자격증!D:D, MATCH($L$4&amp;"_자격증_"&amp;$B24, 자격증!$Z:$Z, 0)), "-"), "-"))), IF(OR(_xlpm.res=0, _xlpm.res=""), "-", _xlpm.res))</f>
        <v>-</v>
      </c>
      <c r="E24" s="105" t="str">
        <f>_xlfn.LET(_xlpm.res, IF(AND($E$4&lt;&gt;"", $L$4&lt;&gt;""), "검색창 삭제",
 IF($E$4&lt;&gt;"", IFERROR(INDEX(자격증!E:E, MATCH($E$4&amp;"_자격증_"&amp;$B24, 자격증!$Y:$Y, 0)), "-"),
 IF($L$4&lt;&gt;"", IFERROR(INDEX(자격증!E:E, MATCH($L$4&amp;"_자격증_"&amp;$B24, 자격증!$Z:$Z, 0)), "-"), "-"))), IF(OR(_xlpm.res=0, _xlpm.res=""), "-", _xlpm.res))</f>
        <v>-</v>
      </c>
      <c r="F24" s="105" t="str">
        <f>_xlfn.LET(_xlpm.res, IF(AND($E$4&lt;&gt;"", $L$4&lt;&gt;""), "검색창 삭제",
 IF($E$4&lt;&gt;"", IFERROR(INDEX(자격증!F:F, MATCH($E$4&amp;"_자격증_"&amp;$B24, 자격증!$Y:$Y, 0)), "-"),
 IF($L$4&lt;&gt;"", IFERROR(INDEX(자격증!F:F, MATCH($L$4&amp;"_자격증_"&amp;$B24, 자격증!$Z:$Z, 0)), "-"), "-"))), IF(OR(_xlpm.res=0, _xlpm.res=""), "-", _xlpm.res))</f>
        <v>-</v>
      </c>
      <c r="G24" s="105" t="str">
        <f>_xlfn.LET(_xlpm.res, IF(AND($E$4&lt;&gt;"", $L$4&lt;&gt;""), "검색창 삭제",
 IF($E$4&lt;&gt;"", IFERROR(INDEX(자격증!G:G, MATCH($E$4&amp;"_자격증_"&amp;$B24, 자격증!$Y:$Y, 0)), "-"),
 IF($L$4&lt;&gt;"", IFERROR(INDEX(자격증!G:G, MATCH($L$4&amp;"_자격증_"&amp;$B24, 자격증!$Z:$Z, 0)), "-"), "-"))), IF(OR(_xlpm.res=0, _xlpm.res=""), "-", _xlpm.res))</f>
        <v>-</v>
      </c>
      <c r="H24" s="105" t="str">
        <f>_xlfn.LET(_xlpm.res, IF(AND($E$4&lt;&gt;"", $L$4&lt;&gt;""), "검색창 삭제",
 IF($E$4&lt;&gt;"", IFERROR(INDEX(자격증!H:H, MATCH($E$4&amp;"_자격증_"&amp;$B24, 자격증!$Y:$Y, 0)), "-"),
 IF($L$4&lt;&gt;"", IFERROR(INDEX(자격증!H:H, MATCH($L$4&amp;"_자격증_"&amp;$B24, 자격증!$Z:$Z, 0)), "-"), "-"))), IF(OR(_xlpm.res=0, _xlpm.res=""), "-", _xlpm.res))</f>
        <v>-</v>
      </c>
      <c r="I24" s="367" t="str">
        <f>_xlfn.LET(_xlpm.res, IF(AND($E$4&lt;&gt;"", $L$4&lt;&gt;""), "검색창 삭제",
 IF($E$4&lt;&gt;"", IFERROR(INDEX(자격증!I:I, MATCH($E$4&amp;"_자격증_"&amp;$B24, 자격증!$Y:$Y, 0)), "-"),
 IF($L$4&lt;&gt;"", IFERROR(INDEX(자격증!I:I, MATCH($L$4&amp;"_자격증_"&amp;$B24, 자격증!$Z:$Z, 0)), "-"), "-"))), IF(OR(_xlpm.res=0, _xlpm.res=""), "-", _xlpm.res))</f>
        <v>-</v>
      </c>
      <c r="J24" s="367" t="str">
        <f>_xlfn.LET(_xlpm.res, IF(AND($E$4&lt;&gt;"", $L$4&lt;&gt;""), "검색창 삭제",
 IF($E$4&lt;&gt;"", IFERROR(INDEX(자격증!J:J, MATCH($E$4&amp;"_자격증_"&amp;$B24, 자격증!$Y:$Y, 0)), "-"),
 IF($L$4&lt;&gt;"", IFERROR(INDEX(자격증!J:J, MATCH($L$4&amp;"_자격증_"&amp;$B24, 자격증!$Z:$Z, 0)), "-"), "-"))), IF(OR(_xlpm.res=0, _xlpm.res=""), "-", _xlpm.res))</f>
        <v>-</v>
      </c>
      <c r="K24" s="367" t="str">
        <f>_xlfn.LET(_xlpm.res, IF(AND($E$4&lt;&gt;"", $L$4&lt;&gt;""), "검색창 삭제",
 IF($E$4&lt;&gt;"", IFERROR(INDEX(자격증!K:K, MATCH($E$4&amp;"_자격증_"&amp;$B24, 자격증!$Y:$Y, 0)), "-"),
 IF($L$4&lt;&gt;"", IFERROR(INDEX(자격증!K:K, MATCH($L$4&amp;"_자격증_"&amp;$B24, 자격증!$Z:$Z, 0)), "-"), "-"))), IF(OR(_xlpm.res=0, _xlpm.res=""), "-", _xlpm.res))</f>
        <v>-</v>
      </c>
      <c r="L24" s="105" t="str">
        <f>IF(AND($E$4&lt;&gt;"", $L$4&lt;&gt;""), "검색창 삭제",
 IF($E$4&lt;&gt;"", IFERROR(HYPERLINK("학력, 자격증-excel 연동 파일\" &amp; $E$4 &amp; "\자격증\" &amp; INDEX(자격증!D:D, MATCH($E$4&amp;"_자격증_"&amp;$B24, 자격증!$Y:$Y, 0)) &amp; "_" &amp; $E$4 &amp; ".pdf", "PDF 열기"), "-"),
 IF($L$4&lt;&gt;"", IFERROR(HYPERLINK("학력, 자격증-excel 연동 파일\" &amp; $C24 &amp; "\자격증\" &amp; INDEX(자격증!D:D, MATCH($D24&amp;"_자격증_"&amp;$B24, 자격증!$Z:$Z, 0)) &amp; "_" &amp; $C24 &amp; ".pdf", "PDF 열기"), "-"), "")))</f>
        <v/>
      </c>
      <c r="N24" s="108">
        <v>17</v>
      </c>
      <c r="O24" s="105" t="str">
        <f>_xlfn.LET(_xlpm.res, IF(COUNTA($E$4, $P$4, $R$4) &gt;= 2, "검색창 삭제",
 IF($E$4&lt;&gt;"", IFERROR(INDEX(학력!A:A, MATCH($E$4&amp;"_학력_"&amp;$N24, 학력!$L:$L, 0)), "-"),
 IF($P$4&lt;&gt;"", IFERROR(INDEX(학력!A:A, MATCH($P$4&amp;"_학력_"&amp;$N24, 학력!$N:$N, 0)), "-"),
 IF($R$4&lt;&gt;"", IFERROR(INDEX(학력!A:A, MATCH($R$4&amp;"_학력_"&amp;$N24, 학력!$M:$M, 0)), "-"), "-")))), IF(OR(_xlpm.res=0, _xlpm.res=""), "-", _xlpm.res))</f>
        <v>-</v>
      </c>
      <c r="P24" s="105" t="str">
        <f>_xlfn.LET(_xlpm.res, IF(COUNTA($E$4, $P$4, $R$4) &gt;= 2, "검색창 삭제",
 IF($E$4&lt;&gt;"", IFERROR(INDEX(학력!D:D, MATCH($E$4&amp;"_학력_"&amp;$N24, 학력!$L:$L, 0)), "-"),
 IF($P$4&lt;&gt;"", IFERROR(INDEX(학력!D:D, MATCH($P$4&amp;"_학력_"&amp;$N24, 학력!$N:$N, 0)), "-"),
 IF($R$4&lt;&gt;"", IFERROR(INDEX(학력!D:D, MATCH($R$4&amp;"_학력_"&amp;$N24, 학력!$M:$M, 0)), "-"), "-")))), IF(OR(_xlpm.res=0, _xlpm.res=""), "-", _xlpm.res))</f>
        <v>-</v>
      </c>
      <c r="Q24" s="105" t="str">
        <f>_xlfn.LET(_xlpm.res, IF(COUNTA($E$4, $P$4, $R$4) &gt;= 2, "검색창 삭제",
 IF($E$4&lt;&gt;"", IFERROR(INDEX(학력!E:E, MATCH($E$4&amp;"_학력_"&amp;$N24, 학력!$L:$L, 0)), "-"),
 IF($P$4&lt;&gt;"", IFERROR(INDEX(학력!E:E, MATCH($P$4&amp;"_학력_"&amp;$N24, 학력!$N:$N, 0)), "-"),
 IF($R$4&lt;&gt;"", IFERROR(INDEX(학력!E:E, MATCH($R$4&amp;"_학력_"&amp;$N24, 학력!$M:$M, 0)), "-"), "-")))), IF(OR(_xlpm.res=0, _xlpm.res=""), "-", _xlpm.res))</f>
        <v>-</v>
      </c>
      <c r="R24" s="105" t="str">
        <f>_xlfn.LET(_xlpm.res, IF(COUNTA($E$4, $P$4, $R$4) &gt;= 2, "검색창 삭제",
 IF($E$4&lt;&gt;"", IFERROR(INDEX(학력!F:F, MATCH($E$4&amp;"_학력_"&amp;$N24, 학력!$L:$L, 0)), "-"),
 IF($P$4&lt;&gt;"", IFERROR(INDEX(학력!F:F, MATCH($P$4&amp;"_학력_"&amp;$N24, 학력!$N:$N, 0)), "-"),
 IF($R$4&lt;&gt;"", IFERROR(INDEX(학력!F:F, MATCH($R$4&amp;"_학력_"&amp;$N24, 학력!$M:$M, 0)), "-"), "-")))), IF(OR(_xlpm.res=0, _xlpm.res=""), "-", _xlpm.res))</f>
        <v>-</v>
      </c>
      <c r="S24" s="105" t="str">
        <f>_xlfn.LET(
    _xlpm.result,
    IF(COUNTA($E$4, $P$4, $R$4) &gt;= 2, "검색창 삭제",
        IF($E$4&lt;&gt;"", IFERROR(INDEX(학력!G:G, MATCH($E$4&amp;"_학력_"&amp;$N24, 학력!$L:$L, 0)), "-"),
        IF($P$4&lt;&gt;"", IFERROR(INDEX(학력!G:G, MATCH($P$4&amp;"_학력_"&amp;$N24, 학력!$N:$N, 0)), "-"),
        IF($R$4&lt;&gt;"", IFERROR(INDEX(학력!G:G, MATCH($R$4&amp;"_학력_"&amp;$N24, 학력!$M:$M, 0)), "-"), "-")))
    ),
    IF(OR(_xlpm.result=0, _xlpm.result=""), "-", _xlpm.result)
)</f>
        <v>-</v>
      </c>
      <c r="T24" s="107" t="str">
        <f>_xlfn.LET(_xlpm.res, IF(COUNTA($E$4, $P$4, $R$4) &gt;= 2, "검색창 삭제",
 IF($E$4&lt;&gt;"", IFERROR(INDEX(학력!H:H, MATCH($E$4&amp;"_학력_"&amp;$N24, 학력!$L:$L, 0)), "-"),
 IF($P$4&lt;&gt;"", IFERROR(INDEX(학력!H:H, MATCH($P$4&amp;"_학력_"&amp;$N24, 학력!$N:$N, 0)), "-"),
 IF($R$4&lt;&gt;"", IFERROR(INDEX(학력!H:H, MATCH($R$4&amp;"_학력_"&amp;$N24, 학력!$M:$M, 0)), "-"), "-")))), IF(OR(_xlpm.res=0, _xlpm.res=""), "-", _xlpm.res))</f>
        <v>-</v>
      </c>
      <c r="U24" s="105" t="str">
        <f>_xlfn.LET(_xlpm.res, IF(COUNTA($E$4, $P$4, $R$4) &gt;= 2, "검색창 삭제",
 IF($E$4&lt;&gt;"", IFERROR(HYPERLINK("학력, 자격증-excel 연동 파일\" &amp; $E$4 &amp; "\학력\" &amp; INDEX(학력!D:D, MATCH($E$4&amp;"_학력_"&amp;$N24, 학력!$L:$L, 0)) &amp; "_" &amp; INDEX(학력!E:E, MATCH($E$4&amp;"_학력_"&amp;$N24, 학력!$L:$L, 0)) &amp; "_" &amp; INDEX(학력!F:F, MATCH($E$4&amp;"_학력_"&amp;$N24, 학력!$L:$L, 0)) &amp; "_" &amp; $E$4 &amp; ".pdf", "PDF"), "-"),
 IF($P$4&lt;&gt;"", IFERROR(HYPERLINK("학력, 자격증-excel 연동 파일\" &amp; INDEX(학력!A:A, MATCH($P$4&amp;"_학력_"&amp;$N24, 학력!$N:$N, 0)) &amp; "\학력\" &amp; INDEX(학력!D:D, MATCH($P$4&amp;"_학력_"&amp;$N24, 학력!$N:$N, 0)) &amp; "_" &amp; INDEX(학력!E:E, MATCH($P$4&amp;"_학력_"&amp;$N24, 학력!$N:$N, 0)) &amp; "_" &amp; INDEX(학력!F:F, MATCH($P$4&amp;"_학력_"&amp;$N24, 학력!$N:$N, 0)) &amp; "_" &amp; INDEX(학력!A:A, MATCH($P$4&amp;"_학력_"&amp;$N24, 학력!$N:$N, 0)) &amp; ".pdf", "PDF"), "-"),
 IF($R$4&lt;&gt;"", IFERROR(HYPERLINK("학력, 자격증-excel 연동 파일\" &amp; INDEX(학력!A:A, MATCH($R$4&amp;"_학력_"&amp;$N24, 학력!$M:$M, 0)) &amp; "\학력\" &amp; INDEX(학력!D:D, MATCH($R$4&amp;"_학력_"&amp;$N24, 학력!$M:$M, 0)) &amp; "_" &amp; INDEX(학력!E:E, MATCH($R$4&amp;"_학력_"&amp;$N24, 학력!$M:$M, 0)) &amp; "_" &amp; INDEX(학력!F:F, MATCH($R$4&amp;"_학력_"&amp;$N24, 학력!$M:$M, 0)) &amp; "_" &amp; INDEX(학력!A:A, MATCH($R$4&amp;"_학력_"&amp;$N24, 학력!$M:$M, 0)) &amp; ".pdf", "PDF"), "-"), "-")))),
 IF(OR(_xlpm.res=0, _xlpm.res=""), "-", _xlpm.res))</f>
        <v>-</v>
      </c>
    </row>
    <row r="25" spans="2:21" ht="20.100000000000001" customHeight="1">
      <c r="B25" s="108">
        <v>18</v>
      </c>
      <c r="C25" s="105" t="str">
        <f>_xlfn.LET(_xlpm.res, IF(AND($E$4&lt;&gt;"", $L$4&lt;&gt;""), "검색창 삭제",
 IF($E$4&lt;&gt;"", IFERROR(INDEX(자격증!A:A, MATCH($E$4&amp;"_자격증_"&amp;$B25, 자격증!$Y:$Y, 0)), "-"),
 IF($L$4&lt;&gt;"", IFERROR(INDEX(자격증!A:A, MATCH($L$4&amp;"_자격증_"&amp;$B25, 자격증!$Z:$Z, 0)), "-"), "-"))), IF(OR(_xlpm.res=0, _xlpm.res=""), "-", _xlpm.res))</f>
        <v>-</v>
      </c>
      <c r="D25" s="106" t="str">
        <f>_xlfn.LET(_xlpm.res, IF(AND($E$4&lt;&gt;"", $L$4&lt;&gt;""), "검색창 삭제",
 IF($E$4&lt;&gt;"", IFERROR(INDEX(자격증!D:D, MATCH($E$4&amp;"_자격증_"&amp;$B25, 자격증!$Y:$Y, 0)), "-"),
 IF($L$4&lt;&gt;"", IFERROR(INDEX(자격증!D:D, MATCH($L$4&amp;"_자격증_"&amp;$B25, 자격증!$Z:$Z, 0)), "-"), "-"))), IF(OR(_xlpm.res=0, _xlpm.res=""), "-", _xlpm.res))</f>
        <v>-</v>
      </c>
      <c r="E25" s="105" t="str">
        <f>_xlfn.LET(_xlpm.res, IF(AND($E$4&lt;&gt;"", $L$4&lt;&gt;""), "검색창 삭제",
 IF($E$4&lt;&gt;"", IFERROR(INDEX(자격증!E:E, MATCH($E$4&amp;"_자격증_"&amp;$B25, 자격증!$Y:$Y, 0)), "-"),
 IF($L$4&lt;&gt;"", IFERROR(INDEX(자격증!E:E, MATCH($L$4&amp;"_자격증_"&amp;$B25, 자격증!$Z:$Z, 0)), "-"), "-"))), IF(OR(_xlpm.res=0, _xlpm.res=""), "-", _xlpm.res))</f>
        <v>-</v>
      </c>
      <c r="F25" s="105" t="str">
        <f>_xlfn.LET(_xlpm.res, IF(AND($E$4&lt;&gt;"", $L$4&lt;&gt;""), "검색창 삭제",
 IF($E$4&lt;&gt;"", IFERROR(INDEX(자격증!F:F, MATCH($E$4&amp;"_자격증_"&amp;$B25, 자격증!$Y:$Y, 0)), "-"),
 IF($L$4&lt;&gt;"", IFERROR(INDEX(자격증!F:F, MATCH($L$4&amp;"_자격증_"&amp;$B25, 자격증!$Z:$Z, 0)), "-"), "-"))), IF(OR(_xlpm.res=0, _xlpm.res=""), "-", _xlpm.res))</f>
        <v>-</v>
      </c>
      <c r="G25" s="105" t="str">
        <f>_xlfn.LET(_xlpm.res, IF(AND($E$4&lt;&gt;"", $L$4&lt;&gt;""), "검색창 삭제",
 IF($E$4&lt;&gt;"", IFERROR(INDEX(자격증!G:G, MATCH($E$4&amp;"_자격증_"&amp;$B25, 자격증!$Y:$Y, 0)), "-"),
 IF($L$4&lt;&gt;"", IFERROR(INDEX(자격증!G:G, MATCH($L$4&amp;"_자격증_"&amp;$B25, 자격증!$Z:$Z, 0)), "-"), "-"))), IF(OR(_xlpm.res=0, _xlpm.res=""), "-", _xlpm.res))</f>
        <v>-</v>
      </c>
      <c r="H25" s="105" t="str">
        <f>_xlfn.LET(_xlpm.res, IF(AND($E$4&lt;&gt;"", $L$4&lt;&gt;""), "검색창 삭제",
 IF($E$4&lt;&gt;"", IFERROR(INDEX(자격증!H:H, MATCH($E$4&amp;"_자격증_"&amp;$B25, 자격증!$Y:$Y, 0)), "-"),
 IF($L$4&lt;&gt;"", IFERROR(INDEX(자격증!H:H, MATCH($L$4&amp;"_자격증_"&amp;$B25, 자격증!$Z:$Z, 0)), "-"), "-"))), IF(OR(_xlpm.res=0, _xlpm.res=""), "-", _xlpm.res))</f>
        <v>-</v>
      </c>
      <c r="I25" s="367" t="str">
        <f>_xlfn.LET(_xlpm.res, IF(AND($E$4&lt;&gt;"", $L$4&lt;&gt;""), "검색창 삭제",
 IF($E$4&lt;&gt;"", IFERROR(INDEX(자격증!I:I, MATCH($E$4&amp;"_자격증_"&amp;$B25, 자격증!$Y:$Y, 0)), "-"),
 IF($L$4&lt;&gt;"", IFERROR(INDEX(자격증!I:I, MATCH($L$4&amp;"_자격증_"&amp;$B25, 자격증!$Z:$Z, 0)), "-"), "-"))), IF(OR(_xlpm.res=0, _xlpm.res=""), "-", _xlpm.res))</f>
        <v>-</v>
      </c>
      <c r="J25" s="367" t="str">
        <f>_xlfn.LET(_xlpm.res, IF(AND($E$4&lt;&gt;"", $L$4&lt;&gt;""), "검색창 삭제",
 IF($E$4&lt;&gt;"", IFERROR(INDEX(자격증!J:J, MATCH($E$4&amp;"_자격증_"&amp;$B25, 자격증!$Y:$Y, 0)), "-"),
 IF($L$4&lt;&gt;"", IFERROR(INDEX(자격증!J:J, MATCH($L$4&amp;"_자격증_"&amp;$B25, 자격증!$Z:$Z, 0)), "-"), "-"))), IF(OR(_xlpm.res=0, _xlpm.res=""), "-", _xlpm.res))</f>
        <v>-</v>
      </c>
      <c r="K25" s="367" t="str">
        <f>_xlfn.LET(_xlpm.res, IF(AND($E$4&lt;&gt;"", $L$4&lt;&gt;""), "검색창 삭제",
 IF($E$4&lt;&gt;"", IFERROR(INDEX(자격증!K:K, MATCH($E$4&amp;"_자격증_"&amp;$B25, 자격증!$Y:$Y, 0)), "-"),
 IF($L$4&lt;&gt;"", IFERROR(INDEX(자격증!K:K, MATCH($L$4&amp;"_자격증_"&amp;$B25, 자격증!$Z:$Z, 0)), "-"), "-"))), IF(OR(_xlpm.res=0, _xlpm.res=""), "-", _xlpm.res))</f>
        <v>-</v>
      </c>
      <c r="L25" s="105" t="str">
        <f>IF(AND($E$4&lt;&gt;"", $L$4&lt;&gt;""), "검색창 삭제",
 IF($E$4&lt;&gt;"", IFERROR(HYPERLINK("학력, 자격증-excel 연동 파일\" &amp; $E$4 &amp; "\자격증\" &amp; INDEX(자격증!D:D, MATCH($E$4&amp;"_자격증_"&amp;$B25, 자격증!$Y:$Y, 0)) &amp; "_" &amp; $E$4 &amp; ".pdf", "PDF 열기"), "-"),
 IF($L$4&lt;&gt;"", IFERROR(HYPERLINK("학력, 자격증-excel 연동 파일\" &amp; $C25 &amp; "\자격증\" &amp; INDEX(자격증!D:D, MATCH($D25&amp;"_자격증_"&amp;$B25, 자격증!$Z:$Z, 0)) &amp; "_" &amp; $C25 &amp; ".pdf", "PDF 열기"), "-"), "")))</f>
        <v/>
      </c>
      <c r="N25" s="108">
        <v>18</v>
      </c>
      <c r="O25" s="105" t="str">
        <f>_xlfn.LET(_xlpm.res, IF(COUNTA($E$4, $P$4, $R$4) &gt;= 2, "검색창 삭제",
 IF($E$4&lt;&gt;"", IFERROR(INDEX(학력!A:A, MATCH($E$4&amp;"_학력_"&amp;$N25, 학력!$L:$L, 0)), "-"),
 IF($P$4&lt;&gt;"", IFERROR(INDEX(학력!A:A, MATCH($P$4&amp;"_학력_"&amp;$N25, 학력!$N:$N, 0)), "-"),
 IF($R$4&lt;&gt;"", IFERROR(INDEX(학력!A:A, MATCH($R$4&amp;"_학력_"&amp;$N25, 학력!$M:$M, 0)), "-"), "-")))), IF(OR(_xlpm.res=0, _xlpm.res=""), "-", _xlpm.res))</f>
        <v>-</v>
      </c>
      <c r="P25" s="105" t="str">
        <f>_xlfn.LET(_xlpm.res, IF(COUNTA($E$4, $P$4, $R$4) &gt;= 2, "검색창 삭제",
 IF($E$4&lt;&gt;"", IFERROR(INDEX(학력!D:D, MATCH($E$4&amp;"_학력_"&amp;$N25, 학력!$L:$L, 0)), "-"),
 IF($P$4&lt;&gt;"", IFERROR(INDEX(학력!D:D, MATCH($P$4&amp;"_학력_"&amp;$N25, 학력!$N:$N, 0)), "-"),
 IF($R$4&lt;&gt;"", IFERROR(INDEX(학력!D:D, MATCH($R$4&amp;"_학력_"&amp;$N25, 학력!$M:$M, 0)), "-"), "-")))), IF(OR(_xlpm.res=0, _xlpm.res=""), "-", _xlpm.res))</f>
        <v>-</v>
      </c>
      <c r="Q25" s="105" t="str">
        <f>_xlfn.LET(_xlpm.res, IF(COUNTA($E$4, $P$4, $R$4) &gt;= 2, "검색창 삭제",
 IF($E$4&lt;&gt;"", IFERROR(INDEX(학력!E:E, MATCH($E$4&amp;"_학력_"&amp;$N25, 학력!$L:$L, 0)), "-"),
 IF($P$4&lt;&gt;"", IFERROR(INDEX(학력!E:E, MATCH($P$4&amp;"_학력_"&amp;$N25, 학력!$N:$N, 0)), "-"),
 IF($R$4&lt;&gt;"", IFERROR(INDEX(학력!E:E, MATCH($R$4&amp;"_학력_"&amp;$N25, 학력!$M:$M, 0)), "-"), "-")))), IF(OR(_xlpm.res=0, _xlpm.res=""), "-", _xlpm.res))</f>
        <v>-</v>
      </c>
      <c r="R25" s="105" t="str">
        <f>_xlfn.LET(_xlpm.res, IF(COUNTA($E$4, $P$4, $R$4) &gt;= 2, "검색창 삭제",
 IF($E$4&lt;&gt;"", IFERROR(INDEX(학력!F:F, MATCH($E$4&amp;"_학력_"&amp;$N25, 학력!$L:$L, 0)), "-"),
 IF($P$4&lt;&gt;"", IFERROR(INDEX(학력!F:F, MATCH($P$4&amp;"_학력_"&amp;$N25, 학력!$N:$N, 0)), "-"),
 IF($R$4&lt;&gt;"", IFERROR(INDEX(학력!F:F, MATCH($R$4&amp;"_학력_"&amp;$N25, 학력!$M:$M, 0)), "-"), "-")))), IF(OR(_xlpm.res=0, _xlpm.res=""), "-", _xlpm.res))</f>
        <v>-</v>
      </c>
      <c r="S25" s="105" t="str">
        <f>_xlfn.LET(
    _xlpm.result,
    IF(COUNTA($E$4, $P$4, $R$4) &gt;= 2, "검색창 삭제",
        IF($E$4&lt;&gt;"", IFERROR(INDEX(학력!G:G, MATCH($E$4&amp;"_학력_"&amp;$N25, 학력!$L:$L, 0)), "-"),
        IF($P$4&lt;&gt;"", IFERROR(INDEX(학력!G:G, MATCH($P$4&amp;"_학력_"&amp;$N25, 학력!$N:$N, 0)), "-"),
        IF($R$4&lt;&gt;"", IFERROR(INDEX(학력!G:G, MATCH($R$4&amp;"_학력_"&amp;$N25, 학력!$M:$M, 0)), "-"), "-")))
    ),
    IF(OR(_xlpm.result=0, _xlpm.result=""), "-", _xlpm.result)
)</f>
        <v>-</v>
      </c>
      <c r="T25" s="107" t="str">
        <f>_xlfn.LET(_xlpm.res, IF(COUNTA($E$4, $P$4, $R$4) &gt;= 2, "검색창 삭제",
 IF($E$4&lt;&gt;"", IFERROR(INDEX(학력!H:H, MATCH($E$4&amp;"_학력_"&amp;$N25, 학력!$L:$L, 0)), "-"),
 IF($P$4&lt;&gt;"", IFERROR(INDEX(학력!H:H, MATCH($P$4&amp;"_학력_"&amp;$N25, 학력!$N:$N, 0)), "-"),
 IF($R$4&lt;&gt;"", IFERROR(INDEX(학력!H:H, MATCH($R$4&amp;"_학력_"&amp;$N25, 학력!$M:$M, 0)), "-"), "-")))), IF(OR(_xlpm.res=0, _xlpm.res=""), "-", _xlpm.res))</f>
        <v>-</v>
      </c>
      <c r="U25" s="105" t="str">
        <f>_xlfn.LET(_xlpm.res, IF(COUNTA($E$4, $P$4, $R$4) &gt;= 2, "검색창 삭제",
 IF($E$4&lt;&gt;"", IFERROR(HYPERLINK("학력, 자격증-excel 연동 파일\" &amp; $E$4 &amp; "\학력\" &amp; INDEX(학력!D:D, MATCH($E$4&amp;"_학력_"&amp;$N25, 학력!$L:$L, 0)) &amp; "_" &amp; INDEX(학력!E:E, MATCH($E$4&amp;"_학력_"&amp;$N25, 학력!$L:$L, 0)) &amp; "_" &amp; INDEX(학력!F:F, MATCH($E$4&amp;"_학력_"&amp;$N25, 학력!$L:$L, 0)) &amp; "_" &amp; $E$4 &amp; ".pdf", "PDF"), "-"),
 IF($P$4&lt;&gt;"", IFERROR(HYPERLINK("학력, 자격증-excel 연동 파일\" &amp; INDEX(학력!A:A, MATCH($P$4&amp;"_학력_"&amp;$N25, 학력!$N:$N, 0)) &amp; "\학력\" &amp; INDEX(학력!D:D, MATCH($P$4&amp;"_학력_"&amp;$N25, 학력!$N:$N, 0)) &amp; "_" &amp; INDEX(학력!E:E, MATCH($P$4&amp;"_학력_"&amp;$N25, 학력!$N:$N, 0)) &amp; "_" &amp; INDEX(학력!F:F, MATCH($P$4&amp;"_학력_"&amp;$N25, 학력!$N:$N, 0)) &amp; "_" &amp; INDEX(학력!A:A, MATCH($P$4&amp;"_학력_"&amp;$N25, 학력!$N:$N, 0)) &amp; ".pdf", "PDF"), "-"),
 IF($R$4&lt;&gt;"", IFERROR(HYPERLINK("학력, 자격증-excel 연동 파일\" &amp; INDEX(학력!A:A, MATCH($R$4&amp;"_학력_"&amp;$N25, 학력!$M:$M, 0)) &amp; "\학력\" &amp; INDEX(학력!D:D, MATCH($R$4&amp;"_학력_"&amp;$N25, 학력!$M:$M, 0)) &amp; "_" &amp; INDEX(학력!E:E, MATCH($R$4&amp;"_학력_"&amp;$N25, 학력!$M:$M, 0)) &amp; "_" &amp; INDEX(학력!F:F, MATCH($R$4&amp;"_학력_"&amp;$N25, 학력!$M:$M, 0)) &amp; "_" &amp; INDEX(학력!A:A, MATCH($R$4&amp;"_학력_"&amp;$N25, 학력!$M:$M, 0)) &amp; ".pdf", "PDF"), "-"), "-")))),
 IF(OR(_xlpm.res=0, _xlpm.res=""), "-", _xlpm.res))</f>
        <v>-</v>
      </c>
    </row>
    <row r="26" spans="2:21" ht="20.100000000000001" customHeight="1">
      <c r="B26" s="108">
        <v>19</v>
      </c>
      <c r="C26" s="105" t="str">
        <f>_xlfn.LET(_xlpm.res, IF(AND($E$4&lt;&gt;"", $L$4&lt;&gt;""), "검색창 삭제",
 IF($E$4&lt;&gt;"", IFERROR(INDEX(자격증!A:A, MATCH($E$4&amp;"_자격증_"&amp;$B26, 자격증!$Y:$Y, 0)), "-"),
 IF($L$4&lt;&gt;"", IFERROR(INDEX(자격증!A:A, MATCH($L$4&amp;"_자격증_"&amp;$B26, 자격증!$Z:$Z, 0)), "-"), "-"))), IF(OR(_xlpm.res=0, _xlpm.res=""), "-", _xlpm.res))</f>
        <v>-</v>
      </c>
      <c r="D26" s="106" t="str">
        <f>_xlfn.LET(_xlpm.res, IF(AND($E$4&lt;&gt;"", $L$4&lt;&gt;""), "검색창 삭제",
 IF($E$4&lt;&gt;"", IFERROR(INDEX(자격증!D:D, MATCH($E$4&amp;"_자격증_"&amp;$B26, 자격증!$Y:$Y, 0)), "-"),
 IF($L$4&lt;&gt;"", IFERROR(INDEX(자격증!D:D, MATCH($L$4&amp;"_자격증_"&amp;$B26, 자격증!$Z:$Z, 0)), "-"), "-"))), IF(OR(_xlpm.res=0, _xlpm.res=""), "-", _xlpm.res))</f>
        <v>-</v>
      </c>
      <c r="E26" s="105" t="str">
        <f>_xlfn.LET(_xlpm.res, IF(AND($E$4&lt;&gt;"", $L$4&lt;&gt;""), "검색창 삭제",
 IF($E$4&lt;&gt;"", IFERROR(INDEX(자격증!E:E, MATCH($E$4&amp;"_자격증_"&amp;$B26, 자격증!$Y:$Y, 0)), "-"),
 IF($L$4&lt;&gt;"", IFERROR(INDEX(자격증!E:E, MATCH($L$4&amp;"_자격증_"&amp;$B26, 자격증!$Z:$Z, 0)), "-"), "-"))), IF(OR(_xlpm.res=0, _xlpm.res=""), "-", _xlpm.res))</f>
        <v>-</v>
      </c>
      <c r="F26" s="105" t="str">
        <f>_xlfn.LET(_xlpm.res, IF(AND($E$4&lt;&gt;"", $L$4&lt;&gt;""), "검색창 삭제",
 IF($E$4&lt;&gt;"", IFERROR(INDEX(자격증!F:F, MATCH($E$4&amp;"_자격증_"&amp;$B26, 자격증!$Y:$Y, 0)), "-"),
 IF($L$4&lt;&gt;"", IFERROR(INDEX(자격증!F:F, MATCH($L$4&amp;"_자격증_"&amp;$B26, 자격증!$Z:$Z, 0)), "-"), "-"))), IF(OR(_xlpm.res=0, _xlpm.res=""), "-", _xlpm.res))</f>
        <v>-</v>
      </c>
      <c r="G26" s="105" t="str">
        <f>_xlfn.LET(_xlpm.res, IF(AND($E$4&lt;&gt;"", $L$4&lt;&gt;""), "검색창 삭제",
 IF($E$4&lt;&gt;"", IFERROR(INDEX(자격증!G:G, MATCH($E$4&amp;"_자격증_"&amp;$B26, 자격증!$Y:$Y, 0)), "-"),
 IF($L$4&lt;&gt;"", IFERROR(INDEX(자격증!G:G, MATCH($L$4&amp;"_자격증_"&amp;$B26, 자격증!$Z:$Z, 0)), "-"), "-"))), IF(OR(_xlpm.res=0, _xlpm.res=""), "-", _xlpm.res))</f>
        <v>-</v>
      </c>
      <c r="H26" s="105" t="str">
        <f>_xlfn.LET(_xlpm.res, IF(AND($E$4&lt;&gt;"", $L$4&lt;&gt;""), "검색창 삭제",
 IF($E$4&lt;&gt;"", IFERROR(INDEX(자격증!H:H, MATCH($E$4&amp;"_자격증_"&amp;$B26, 자격증!$Y:$Y, 0)), "-"),
 IF($L$4&lt;&gt;"", IFERROR(INDEX(자격증!H:H, MATCH($L$4&amp;"_자격증_"&amp;$B26, 자격증!$Z:$Z, 0)), "-"), "-"))), IF(OR(_xlpm.res=0, _xlpm.res=""), "-", _xlpm.res))</f>
        <v>-</v>
      </c>
      <c r="I26" s="367" t="str">
        <f>_xlfn.LET(_xlpm.res, IF(AND($E$4&lt;&gt;"", $L$4&lt;&gt;""), "검색창 삭제",
 IF($E$4&lt;&gt;"", IFERROR(INDEX(자격증!I:I, MATCH($E$4&amp;"_자격증_"&amp;$B26, 자격증!$Y:$Y, 0)), "-"),
 IF($L$4&lt;&gt;"", IFERROR(INDEX(자격증!I:I, MATCH($L$4&amp;"_자격증_"&amp;$B26, 자격증!$Z:$Z, 0)), "-"), "-"))), IF(OR(_xlpm.res=0, _xlpm.res=""), "-", _xlpm.res))</f>
        <v>-</v>
      </c>
      <c r="J26" s="367" t="str">
        <f>_xlfn.LET(_xlpm.res, IF(AND($E$4&lt;&gt;"", $L$4&lt;&gt;""), "검색창 삭제",
 IF($E$4&lt;&gt;"", IFERROR(INDEX(자격증!J:J, MATCH($E$4&amp;"_자격증_"&amp;$B26, 자격증!$Y:$Y, 0)), "-"),
 IF($L$4&lt;&gt;"", IFERROR(INDEX(자격증!J:J, MATCH($L$4&amp;"_자격증_"&amp;$B26, 자격증!$Z:$Z, 0)), "-"), "-"))), IF(OR(_xlpm.res=0, _xlpm.res=""), "-", _xlpm.res))</f>
        <v>-</v>
      </c>
      <c r="K26" s="367" t="str">
        <f>_xlfn.LET(_xlpm.res, IF(AND($E$4&lt;&gt;"", $L$4&lt;&gt;""), "검색창 삭제",
 IF($E$4&lt;&gt;"", IFERROR(INDEX(자격증!K:K, MATCH($E$4&amp;"_자격증_"&amp;$B26, 자격증!$Y:$Y, 0)), "-"),
 IF($L$4&lt;&gt;"", IFERROR(INDEX(자격증!K:K, MATCH($L$4&amp;"_자격증_"&amp;$B26, 자격증!$Z:$Z, 0)), "-"), "-"))), IF(OR(_xlpm.res=0, _xlpm.res=""), "-", _xlpm.res))</f>
        <v>-</v>
      </c>
      <c r="L26" s="105" t="str">
        <f>IF(AND($E$4&lt;&gt;"", $L$4&lt;&gt;""), "검색창 삭제",
 IF($E$4&lt;&gt;"", IFERROR(HYPERLINK("학력, 자격증-excel 연동 파일\" &amp; $E$4 &amp; "\자격증\" &amp; INDEX(자격증!D:D, MATCH($E$4&amp;"_자격증_"&amp;$B26, 자격증!$Y:$Y, 0)) &amp; "_" &amp; $E$4 &amp; ".pdf", "PDF 열기"), "-"),
 IF($L$4&lt;&gt;"", IFERROR(HYPERLINK("학력, 자격증-excel 연동 파일\" &amp; $C26 &amp; "\자격증\" &amp; INDEX(자격증!D:D, MATCH($D26&amp;"_자격증_"&amp;$B26, 자격증!$Z:$Z, 0)) &amp; "_" &amp; $C26 &amp; ".pdf", "PDF 열기"), "-"), "")))</f>
        <v/>
      </c>
      <c r="N26" s="108">
        <v>19</v>
      </c>
      <c r="O26" s="105" t="str">
        <f>_xlfn.LET(_xlpm.res, IF(COUNTA($E$4, $P$4, $R$4) &gt;= 2, "검색창 삭제",
 IF($E$4&lt;&gt;"", IFERROR(INDEX(학력!A:A, MATCH($E$4&amp;"_학력_"&amp;$N26, 학력!$L:$L, 0)), "-"),
 IF($P$4&lt;&gt;"", IFERROR(INDEX(학력!A:A, MATCH($P$4&amp;"_학력_"&amp;$N26, 학력!$N:$N, 0)), "-"),
 IF($R$4&lt;&gt;"", IFERROR(INDEX(학력!A:A, MATCH($R$4&amp;"_학력_"&amp;$N26, 학력!$M:$M, 0)), "-"), "-")))), IF(OR(_xlpm.res=0, _xlpm.res=""), "-", _xlpm.res))</f>
        <v>-</v>
      </c>
      <c r="P26" s="105" t="str">
        <f>_xlfn.LET(_xlpm.res, IF(COUNTA($E$4, $P$4, $R$4) &gt;= 2, "검색창 삭제",
 IF($E$4&lt;&gt;"", IFERROR(INDEX(학력!D:D, MATCH($E$4&amp;"_학력_"&amp;$N26, 학력!$L:$L, 0)), "-"),
 IF($P$4&lt;&gt;"", IFERROR(INDEX(학력!D:D, MATCH($P$4&amp;"_학력_"&amp;$N26, 학력!$N:$N, 0)), "-"),
 IF($R$4&lt;&gt;"", IFERROR(INDEX(학력!D:D, MATCH($R$4&amp;"_학력_"&amp;$N26, 학력!$M:$M, 0)), "-"), "-")))), IF(OR(_xlpm.res=0, _xlpm.res=""), "-", _xlpm.res))</f>
        <v>-</v>
      </c>
      <c r="Q26" s="105" t="str">
        <f>_xlfn.LET(_xlpm.res, IF(COUNTA($E$4, $P$4, $R$4) &gt;= 2, "검색창 삭제",
 IF($E$4&lt;&gt;"", IFERROR(INDEX(학력!E:E, MATCH($E$4&amp;"_학력_"&amp;$N26, 학력!$L:$L, 0)), "-"),
 IF($P$4&lt;&gt;"", IFERROR(INDEX(학력!E:E, MATCH($P$4&amp;"_학력_"&amp;$N26, 학력!$N:$N, 0)), "-"),
 IF($R$4&lt;&gt;"", IFERROR(INDEX(학력!E:E, MATCH($R$4&amp;"_학력_"&amp;$N26, 학력!$M:$M, 0)), "-"), "-")))), IF(OR(_xlpm.res=0, _xlpm.res=""), "-", _xlpm.res))</f>
        <v>-</v>
      </c>
      <c r="R26" s="105" t="str">
        <f>_xlfn.LET(_xlpm.res, IF(COUNTA($E$4, $P$4, $R$4) &gt;= 2, "검색창 삭제",
 IF($E$4&lt;&gt;"", IFERROR(INDEX(학력!F:F, MATCH($E$4&amp;"_학력_"&amp;$N26, 학력!$L:$L, 0)), "-"),
 IF($P$4&lt;&gt;"", IFERROR(INDEX(학력!F:F, MATCH($P$4&amp;"_학력_"&amp;$N26, 학력!$N:$N, 0)), "-"),
 IF($R$4&lt;&gt;"", IFERROR(INDEX(학력!F:F, MATCH($R$4&amp;"_학력_"&amp;$N26, 학력!$M:$M, 0)), "-"), "-")))), IF(OR(_xlpm.res=0, _xlpm.res=""), "-", _xlpm.res))</f>
        <v>-</v>
      </c>
      <c r="S26" s="105" t="str">
        <f>_xlfn.LET(
    _xlpm.result,
    IF(COUNTA($E$4, $P$4, $R$4) &gt;= 2, "검색창 삭제",
        IF($E$4&lt;&gt;"", IFERROR(INDEX(학력!G:G, MATCH($E$4&amp;"_학력_"&amp;$N26, 학력!$L:$L, 0)), "-"),
        IF($P$4&lt;&gt;"", IFERROR(INDEX(학력!G:G, MATCH($P$4&amp;"_학력_"&amp;$N26, 학력!$N:$N, 0)), "-"),
        IF($R$4&lt;&gt;"", IFERROR(INDEX(학력!G:G, MATCH($R$4&amp;"_학력_"&amp;$N26, 학력!$M:$M, 0)), "-"), "-")))
    ),
    IF(OR(_xlpm.result=0, _xlpm.result=""), "-", _xlpm.result)
)</f>
        <v>-</v>
      </c>
      <c r="T26" s="107" t="str">
        <f>_xlfn.LET(_xlpm.res, IF(COUNTA($E$4, $P$4, $R$4) &gt;= 2, "검색창 삭제",
 IF($E$4&lt;&gt;"", IFERROR(INDEX(학력!H:H, MATCH($E$4&amp;"_학력_"&amp;$N26, 학력!$L:$L, 0)), "-"),
 IF($P$4&lt;&gt;"", IFERROR(INDEX(학력!H:H, MATCH($P$4&amp;"_학력_"&amp;$N26, 학력!$N:$N, 0)), "-"),
 IF($R$4&lt;&gt;"", IFERROR(INDEX(학력!H:H, MATCH($R$4&amp;"_학력_"&amp;$N26, 학력!$M:$M, 0)), "-"), "-")))), IF(OR(_xlpm.res=0, _xlpm.res=""), "-", _xlpm.res))</f>
        <v>-</v>
      </c>
      <c r="U26" s="105" t="str">
        <f>_xlfn.LET(_xlpm.res, IF(COUNTA($E$4, $P$4, $R$4) &gt;= 2, "검색창 삭제",
 IF($E$4&lt;&gt;"", IFERROR(HYPERLINK("학력, 자격증-excel 연동 파일\" &amp; $E$4 &amp; "\학력\" &amp; INDEX(학력!D:D, MATCH($E$4&amp;"_학력_"&amp;$N26, 학력!$L:$L, 0)) &amp; "_" &amp; INDEX(학력!E:E, MATCH($E$4&amp;"_학력_"&amp;$N26, 학력!$L:$L, 0)) &amp; "_" &amp; INDEX(학력!F:F, MATCH($E$4&amp;"_학력_"&amp;$N26, 학력!$L:$L, 0)) &amp; "_" &amp; $E$4 &amp; ".pdf", "PDF"), "-"),
 IF($P$4&lt;&gt;"", IFERROR(HYPERLINK("학력, 자격증-excel 연동 파일\" &amp; INDEX(학력!A:A, MATCH($P$4&amp;"_학력_"&amp;$N26, 학력!$N:$N, 0)) &amp; "\학력\" &amp; INDEX(학력!D:D, MATCH($P$4&amp;"_학력_"&amp;$N26, 학력!$N:$N, 0)) &amp; "_" &amp; INDEX(학력!E:E, MATCH($P$4&amp;"_학력_"&amp;$N26, 학력!$N:$N, 0)) &amp; "_" &amp; INDEX(학력!F:F, MATCH($P$4&amp;"_학력_"&amp;$N26, 학력!$N:$N, 0)) &amp; "_" &amp; INDEX(학력!A:A, MATCH($P$4&amp;"_학력_"&amp;$N26, 학력!$N:$N, 0)) &amp; ".pdf", "PDF"), "-"),
 IF($R$4&lt;&gt;"", IFERROR(HYPERLINK("학력, 자격증-excel 연동 파일\" &amp; INDEX(학력!A:A, MATCH($R$4&amp;"_학력_"&amp;$N26, 학력!$M:$M, 0)) &amp; "\학력\" &amp; INDEX(학력!D:D, MATCH($R$4&amp;"_학력_"&amp;$N26, 학력!$M:$M, 0)) &amp; "_" &amp; INDEX(학력!E:E, MATCH($R$4&amp;"_학력_"&amp;$N26, 학력!$M:$M, 0)) &amp; "_" &amp; INDEX(학력!F:F, MATCH($R$4&amp;"_학력_"&amp;$N26, 학력!$M:$M, 0)) &amp; "_" &amp; INDEX(학력!A:A, MATCH($R$4&amp;"_학력_"&amp;$N26, 학력!$M:$M, 0)) &amp; ".pdf", "PDF"), "-"), "-")))),
 IF(OR(_xlpm.res=0, _xlpm.res=""), "-", _xlpm.res))</f>
        <v>-</v>
      </c>
    </row>
    <row r="27" spans="2:21" ht="20.100000000000001" customHeight="1">
      <c r="B27" s="108">
        <v>20</v>
      </c>
      <c r="C27" s="105" t="str">
        <f>_xlfn.LET(_xlpm.res, IF(AND($E$4&lt;&gt;"", $L$4&lt;&gt;""), "검색창 삭제",
 IF($E$4&lt;&gt;"", IFERROR(INDEX(자격증!A:A, MATCH($E$4&amp;"_자격증_"&amp;$B27, 자격증!$Y:$Y, 0)), "-"),
 IF($L$4&lt;&gt;"", IFERROR(INDEX(자격증!A:A, MATCH($L$4&amp;"_자격증_"&amp;$B27, 자격증!$Z:$Z, 0)), "-"), "-"))), IF(OR(_xlpm.res=0, _xlpm.res=""), "-", _xlpm.res))</f>
        <v>-</v>
      </c>
      <c r="D27" s="106" t="str">
        <f>_xlfn.LET(_xlpm.res, IF(AND($E$4&lt;&gt;"", $L$4&lt;&gt;""), "검색창 삭제",
 IF($E$4&lt;&gt;"", IFERROR(INDEX(자격증!D:D, MATCH($E$4&amp;"_자격증_"&amp;$B27, 자격증!$Y:$Y, 0)), "-"),
 IF($L$4&lt;&gt;"", IFERROR(INDEX(자격증!D:D, MATCH($L$4&amp;"_자격증_"&amp;$B27, 자격증!$Z:$Z, 0)), "-"), "-"))), IF(OR(_xlpm.res=0, _xlpm.res=""), "-", _xlpm.res))</f>
        <v>-</v>
      </c>
      <c r="E27" s="105" t="str">
        <f>_xlfn.LET(_xlpm.res, IF(AND($E$4&lt;&gt;"", $L$4&lt;&gt;""), "검색창 삭제",
 IF($E$4&lt;&gt;"", IFERROR(INDEX(자격증!E:E, MATCH($E$4&amp;"_자격증_"&amp;$B27, 자격증!$Y:$Y, 0)), "-"),
 IF($L$4&lt;&gt;"", IFERROR(INDEX(자격증!E:E, MATCH($L$4&amp;"_자격증_"&amp;$B27, 자격증!$Z:$Z, 0)), "-"), "-"))), IF(OR(_xlpm.res=0, _xlpm.res=""), "-", _xlpm.res))</f>
        <v>-</v>
      </c>
      <c r="F27" s="105" t="str">
        <f>_xlfn.LET(_xlpm.res, IF(AND($E$4&lt;&gt;"", $L$4&lt;&gt;""), "검색창 삭제",
 IF($E$4&lt;&gt;"", IFERROR(INDEX(자격증!F:F, MATCH($E$4&amp;"_자격증_"&amp;$B27, 자격증!$Y:$Y, 0)), "-"),
 IF($L$4&lt;&gt;"", IFERROR(INDEX(자격증!F:F, MATCH($L$4&amp;"_자격증_"&amp;$B27, 자격증!$Z:$Z, 0)), "-"), "-"))), IF(OR(_xlpm.res=0, _xlpm.res=""), "-", _xlpm.res))</f>
        <v>-</v>
      </c>
      <c r="G27" s="105" t="str">
        <f>_xlfn.LET(_xlpm.res, IF(AND($E$4&lt;&gt;"", $L$4&lt;&gt;""), "검색창 삭제",
 IF($E$4&lt;&gt;"", IFERROR(INDEX(자격증!G:G, MATCH($E$4&amp;"_자격증_"&amp;$B27, 자격증!$Y:$Y, 0)), "-"),
 IF($L$4&lt;&gt;"", IFERROR(INDEX(자격증!G:G, MATCH($L$4&amp;"_자격증_"&amp;$B27, 자격증!$Z:$Z, 0)), "-"), "-"))), IF(OR(_xlpm.res=0, _xlpm.res=""), "-", _xlpm.res))</f>
        <v>-</v>
      </c>
      <c r="H27" s="105" t="str">
        <f>_xlfn.LET(_xlpm.res, IF(AND($E$4&lt;&gt;"", $L$4&lt;&gt;""), "검색창 삭제",
 IF($E$4&lt;&gt;"", IFERROR(INDEX(자격증!H:H, MATCH($E$4&amp;"_자격증_"&amp;$B27, 자격증!$Y:$Y, 0)), "-"),
 IF($L$4&lt;&gt;"", IFERROR(INDEX(자격증!H:H, MATCH($L$4&amp;"_자격증_"&amp;$B27, 자격증!$Z:$Z, 0)), "-"), "-"))), IF(OR(_xlpm.res=0, _xlpm.res=""), "-", _xlpm.res))</f>
        <v>-</v>
      </c>
      <c r="I27" s="367" t="str">
        <f>_xlfn.LET(_xlpm.res, IF(AND($E$4&lt;&gt;"", $L$4&lt;&gt;""), "검색창 삭제",
 IF($E$4&lt;&gt;"", IFERROR(INDEX(자격증!I:I, MATCH($E$4&amp;"_자격증_"&amp;$B27, 자격증!$Y:$Y, 0)), "-"),
 IF($L$4&lt;&gt;"", IFERROR(INDEX(자격증!I:I, MATCH($L$4&amp;"_자격증_"&amp;$B27, 자격증!$Z:$Z, 0)), "-"), "-"))), IF(OR(_xlpm.res=0, _xlpm.res=""), "-", _xlpm.res))</f>
        <v>-</v>
      </c>
      <c r="J27" s="367" t="str">
        <f>_xlfn.LET(_xlpm.res, IF(AND($E$4&lt;&gt;"", $L$4&lt;&gt;""), "검색창 삭제",
 IF($E$4&lt;&gt;"", IFERROR(INDEX(자격증!J:J, MATCH($E$4&amp;"_자격증_"&amp;$B27, 자격증!$Y:$Y, 0)), "-"),
 IF($L$4&lt;&gt;"", IFERROR(INDEX(자격증!J:J, MATCH($L$4&amp;"_자격증_"&amp;$B27, 자격증!$Z:$Z, 0)), "-"), "-"))), IF(OR(_xlpm.res=0, _xlpm.res=""), "-", _xlpm.res))</f>
        <v>-</v>
      </c>
      <c r="K27" s="367" t="str">
        <f>_xlfn.LET(_xlpm.res, IF(AND($E$4&lt;&gt;"", $L$4&lt;&gt;""), "검색창 삭제",
 IF($E$4&lt;&gt;"", IFERROR(INDEX(자격증!K:K, MATCH($E$4&amp;"_자격증_"&amp;$B27, 자격증!$Y:$Y, 0)), "-"),
 IF($L$4&lt;&gt;"", IFERROR(INDEX(자격증!K:K, MATCH($L$4&amp;"_자격증_"&amp;$B27, 자격증!$Z:$Z, 0)), "-"), "-"))), IF(OR(_xlpm.res=0, _xlpm.res=""), "-", _xlpm.res))</f>
        <v>-</v>
      </c>
      <c r="L27" s="105" t="str">
        <f>IF(AND($E$4&lt;&gt;"", $L$4&lt;&gt;""), "검색창 삭제",
 IF($E$4&lt;&gt;"", IFERROR(HYPERLINK("학력, 자격증-excel 연동 파일\" &amp; $E$4 &amp; "\자격증\" &amp; INDEX(자격증!D:D, MATCH($E$4&amp;"_자격증_"&amp;$B27, 자격증!$Y:$Y, 0)) &amp; "_" &amp; $E$4 &amp; ".pdf", "PDF 열기"), "-"),
 IF($L$4&lt;&gt;"", IFERROR(HYPERLINK("학력, 자격증-excel 연동 파일\" &amp; $C27 &amp; "\자격증\" &amp; INDEX(자격증!D:D, MATCH($D27&amp;"_자격증_"&amp;$B27, 자격증!$Z:$Z, 0)) &amp; "_" &amp; $C27 &amp; ".pdf", "PDF 열기"), "-"), "")))</f>
        <v/>
      </c>
      <c r="N27" s="108">
        <v>20</v>
      </c>
      <c r="O27" s="105" t="str">
        <f>_xlfn.LET(_xlpm.res, IF(COUNTA($E$4, $P$4, $R$4) &gt;= 2, "검색창 삭제",
 IF($E$4&lt;&gt;"", IFERROR(INDEX(학력!A:A, MATCH($E$4&amp;"_학력_"&amp;$N27, 학력!$L:$L, 0)), "-"),
 IF($P$4&lt;&gt;"", IFERROR(INDEX(학력!A:A, MATCH($P$4&amp;"_학력_"&amp;$N27, 학력!$N:$N, 0)), "-"),
 IF($R$4&lt;&gt;"", IFERROR(INDEX(학력!A:A, MATCH($R$4&amp;"_학력_"&amp;$N27, 학력!$M:$M, 0)), "-"), "-")))), IF(OR(_xlpm.res=0, _xlpm.res=""), "-", _xlpm.res))</f>
        <v>-</v>
      </c>
      <c r="P27" s="105" t="str">
        <f>_xlfn.LET(_xlpm.res, IF(COUNTA($E$4, $P$4, $R$4) &gt;= 2, "검색창 삭제",
 IF($E$4&lt;&gt;"", IFERROR(INDEX(학력!D:D, MATCH($E$4&amp;"_학력_"&amp;$N27, 학력!$L:$L, 0)), "-"),
 IF($P$4&lt;&gt;"", IFERROR(INDEX(학력!D:D, MATCH($P$4&amp;"_학력_"&amp;$N27, 학력!$N:$N, 0)), "-"),
 IF($R$4&lt;&gt;"", IFERROR(INDEX(학력!D:D, MATCH($R$4&amp;"_학력_"&amp;$N27, 학력!$M:$M, 0)), "-"), "-")))), IF(OR(_xlpm.res=0, _xlpm.res=""), "-", _xlpm.res))</f>
        <v>-</v>
      </c>
      <c r="Q27" s="105" t="str">
        <f>_xlfn.LET(_xlpm.res, IF(COUNTA($E$4, $P$4, $R$4) &gt;= 2, "검색창 삭제",
 IF($E$4&lt;&gt;"", IFERROR(INDEX(학력!E:E, MATCH($E$4&amp;"_학력_"&amp;$N27, 학력!$L:$L, 0)), "-"),
 IF($P$4&lt;&gt;"", IFERROR(INDEX(학력!E:E, MATCH($P$4&amp;"_학력_"&amp;$N27, 학력!$N:$N, 0)), "-"),
 IF($R$4&lt;&gt;"", IFERROR(INDEX(학력!E:E, MATCH($R$4&amp;"_학력_"&amp;$N27, 학력!$M:$M, 0)), "-"), "-")))), IF(OR(_xlpm.res=0, _xlpm.res=""), "-", _xlpm.res))</f>
        <v>-</v>
      </c>
      <c r="R27" s="105" t="str">
        <f>_xlfn.LET(_xlpm.res, IF(COUNTA($E$4, $P$4, $R$4) &gt;= 2, "검색창 삭제",
 IF($E$4&lt;&gt;"", IFERROR(INDEX(학력!F:F, MATCH($E$4&amp;"_학력_"&amp;$N27, 학력!$L:$L, 0)), "-"),
 IF($P$4&lt;&gt;"", IFERROR(INDEX(학력!F:F, MATCH($P$4&amp;"_학력_"&amp;$N27, 학력!$N:$N, 0)), "-"),
 IF($R$4&lt;&gt;"", IFERROR(INDEX(학력!F:F, MATCH($R$4&amp;"_학력_"&amp;$N27, 학력!$M:$M, 0)), "-"), "-")))), IF(OR(_xlpm.res=0, _xlpm.res=""), "-", _xlpm.res))</f>
        <v>-</v>
      </c>
      <c r="S27" s="105" t="str">
        <f>_xlfn.LET(
    _xlpm.result,
    IF(COUNTA($E$4, $P$4, $R$4) &gt;= 2, "검색창 삭제",
        IF($E$4&lt;&gt;"", IFERROR(INDEX(학력!G:G, MATCH($E$4&amp;"_학력_"&amp;$N27, 학력!$L:$L, 0)), "-"),
        IF($P$4&lt;&gt;"", IFERROR(INDEX(학력!G:G, MATCH($P$4&amp;"_학력_"&amp;$N27, 학력!$N:$N, 0)), "-"),
        IF($R$4&lt;&gt;"", IFERROR(INDEX(학력!G:G, MATCH($R$4&amp;"_학력_"&amp;$N27, 학력!$M:$M, 0)), "-"), "-")))
    ),
    IF(OR(_xlpm.result=0, _xlpm.result=""), "-", _xlpm.result)
)</f>
        <v>-</v>
      </c>
      <c r="T27" s="107" t="str">
        <f>_xlfn.LET(_xlpm.res, IF(COUNTA($E$4, $P$4, $R$4) &gt;= 2, "검색창 삭제",
 IF($E$4&lt;&gt;"", IFERROR(INDEX(학력!H:H, MATCH($E$4&amp;"_학력_"&amp;$N27, 학력!$L:$L, 0)), "-"),
 IF($P$4&lt;&gt;"", IFERROR(INDEX(학력!H:H, MATCH($P$4&amp;"_학력_"&amp;$N27, 학력!$N:$N, 0)), "-"),
 IF($R$4&lt;&gt;"", IFERROR(INDEX(학력!H:H, MATCH($R$4&amp;"_학력_"&amp;$N27, 학력!$M:$M, 0)), "-"), "-")))), IF(OR(_xlpm.res=0, _xlpm.res=""), "-", _xlpm.res))</f>
        <v>-</v>
      </c>
      <c r="U27" s="105" t="str">
        <f>_xlfn.LET(_xlpm.res, IF(COUNTA($E$4, $P$4, $R$4) &gt;= 2, "검색창 삭제",
 IF($E$4&lt;&gt;"", IFERROR(HYPERLINK("학력, 자격증-excel 연동 파일\" &amp; $E$4 &amp; "\학력\" &amp; INDEX(학력!D:D, MATCH($E$4&amp;"_학력_"&amp;$N27, 학력!$L:$L, 0)) &amp; "_" &amp; INDEX(학력!E:E, MATCH($E$4&amp;"_학력_"&amp;$N27, 학력!$L:$L, 0)) &amp; "_" &amp; INDEX(학력!F:F, MATCH($E$4&amp;"_학력_"&amp;$N27, 학력!$L:$L, 0)) &amp; "_" &amp; $E$4 &amp; ".pdf", "PDF"), "-"),
 IF($P$4&lt;&gt;"", IFERROR(HYPERLINK("학력, 자격증-excel 연동 파일\" &amp; INDEX(학력!A:A, MATCH($P$4&amp;"_학력_"&amp;$N27, 학력!$N:$N, 0)) &amp; "\학력\" &amp; INDEX(학력!D:D, MATCH($P$4&amp;"_학력_"&amp;$N27, 학력!$N:$N, 0)) &amp; "_" &amp; INDEX(학력!E:E, MATCH($P$4&amp;"_학력_"&amp;$N27, 학력!$N:$N, 0)) &amp; "_" &amp; INDEX(학력!F:F, MATCH($P$4&amp;"_학력_"&amp;$N27, 학력!$N:$N, 0)) &amp; "_" &amp; INDEX(학력!A:A, MATCH($P$4&amp;"_학력_"&amp;$N27, 학력!$N:$N, 0)) &amp; ".pdf", "PDF"), "-"),
 IF($R$4&lt;&gt;"", IFERROR(HYPERLINK("학력, 자격증-excel 연동 파일\" &amp; INDEX(학력!A:A, MATCH($R$4&amp;"_학력_"&amp;$N27, 학력!$M:$M, 0)) &amp; "\학력\" &amp; INDEX(학력!D:D, MATCH($R$4&amp;"_학력_"&amp;$N27, 학력!$M:$M, 0)) &amp; "_" &amp; INDEX(학력!E:E, MATCH($R$4&amp;"_학력_"&amp;$N27, 학력!$M:$M, 0)) &amp; "_" &amp; INDEX(학력!F:F, MATCH($R$4&amp;"_학력_"&amp;$N27, 학력!$M:$M, 0)) &amp; "_" &amp; INDEX(학력!A:A, MATCH($R$4&amp;"_학력_"&amp;$N27, 학력!$M:$M, 0)) &amp; ".pdf", "PDF"), "-"), "-")))),
 IF(OR(_xlpm.res=0, _xlpm.res=""), "-", _xlpm.res))</f>
        <v>-</v>
      </c>
    </row>
    <row r="28" spans="2:21" ht="20.100000000000001" customHeight="1">
      <c r="B28" s="108">
        <v>21</v>
      </c>
      <c r="C28" s="105" t="str">
        <f>_xlfn.LET(_xlpm.res, IF(AND($E$4&lt;&gt;"", $L$4&lt;&gt;""), "검색창 삭제",
 IF($E$4&lt;&gt;"", IFERROR(INDEX(자격증!A:A, MATCH($E$4&amp;"_자격증_"&amp;$B28, 자격증!$Y:$Y, 0)), "-"),
 IF($L$4&lt;&gt;"", IFERROR(INDEX(자격증!A:A, MATCH($L$4&amp;"_자격증_"&amp;$B28, 자격증!$Z:$Z, 0)), "-"), "-"))), IF(OR(_xlpm.res=0, _xlpm.res=""), "-", _xlpm.res))</f>
        <v>-</v>
      </c>
      <c r="D28" s="106" t="str">
        <f>_xlfn.LET(_xlpm.res, IF(AND($E$4&lt;&gt;"", $L$4&lt;&gt;""), "검색창 삭제",
 IF($E$4&lt;&gt;"", IFERROR(INDEX(자격증!D:D, MATCH($E$4&amp;"_자격증_"&amp;$B28, 자격증!$Y:$Y, 0)), "-"),
 IF($L$4&lt;&gt;"", IFERROR(INDEX(자격증!D:D, MATCH($L$4&amp;"_자격증_"&amp;$B28, 자격증!$Z:$Z, 0)), "-"), "-"))), IF(OR(_xlpm.res=0, _xlpm.res=""), "-", _xlpm.res))</f>
        <v>-</v>
      </c>
      <c r="E28" s="105" t="str">
        <f>_xlfn.LET(_xlpm.res, IF(AND($E$4&lt;&gt;"", $L$4&lt;&gt;""), "검색창 삭제",
 IF($E$4&lt;&gt;"", IFERROR(INDEX(자격증!E:E, MATCH($E$4&amp;"_자격증_"&amp;$B28, 자격증!$Y:$Y, 0)), "-"),
 IF($L$4&lt;&gt;"", IFERROR(INDEX(자격증!E:E, MATCH($L$4&amp;"_자격증_"&amp;$B28, 자격증!$Z:$Z, 0)), "-"), "-"))), IF(OR(_xlpm.res=0, _xlpm.res=""), "-", _xlpm.res))</f>
        <v>-</v>
      </c>
      <c r="F28" s="105" t="str">
        <f>_xlfn.LET(_xlpm.res, IF(AND($E$4&lt;&gt;"", $L$4&lt;&gt;""), "검색창 삭제",
 IF($E$4&lt;&gt;"", IFERROR(INDEX(자격증!F:F, MATCH($E$4&amp;"_자격증_"&amp;$B28, 자격증!$Y:$Y, 0)), "-"),
 IF($L$4&lt;&gt;"", IFERROR(INDEX(자격증!F:F, MATCH($L$4&amp;"_자격증_"&amp;$B28, 자격증!$Z:$Z, 0)), "-"), "-"))), IF(OR(_xlpm.res=0, _xlpm.res=""), "-", _xlpm.res))</f>
        <v>-</v>
      </c>
      <c r="G28" s="105" t="str">
        <f>_xlfn.LET(_xlpm.res, IF(AND($E$4&lt;&gt;"", $L$4&lt;&gt;""), "검색창 삭제",
 IF($E$4&lt;&gt;"", IFERROR(INDEX(자격증!G:G, MATCH($E$4&amp;"_자격증_"&amp;$B28, 자격증!$Y:$Y, 0)), "-"),
 IF($L$4&lt;&gt;"", IFERROR(INDEX(자격증!G:G, MATCH($L$4&amp;"_자격증_"&amp;$B28, 자격증!$Z:$Z, 0)), "-"), "-"))), IF(OR(_xlpm.res=0, _xlpm.res=""), "-", _xlpm.res))</f>
        <v>-</v>
      </c>
      <c r="H28" s="105" t="str">
        <f>_xlfn.LET(_xlpm.res, IF(AND($E$4&lt;&gt;"", $L$4&lt;&gt;""), "검색창 삭제",
 IF($E$4&lt;&gt;"", IFERROR(INDEX(자격증!H:H, MATCH($E$4&amp;"_자격증_"&amp;$B28, 자격증!$Y:$Y, 0)), "-"),
 IF($L$4&lt;&gt;"", IFERROR(INDEX(자격증!H:H, MATCH($L$4&amp;"_자격증_"&amp;$B28, 자격증!$Z:$Z, 0)), "-"), "-"))), IF(OR(_xlpm.res=0, _xlpm.res=""), "-", _xlpm.res))</f>
        <v>-</v>
      </c>
      <c r="I28" s="367" t="str">
        <f>_xlfn.LET(_xlpm.res, IF(AND($E$4&lt;&gt;"", $L$4&lt;&gt;""), "검색창 삭제",
 IF($E$4&lt;&gt;"", IFERROR(INDEX(자격증!I:I, MATCH($E$4&amp;"_자격증_"&amp;$B28, 자격증!$Y:$Y, 0)), "-"),
 IF($L$4&lt;&gt;"", IFERROR(INDEX(자격증!I:I, MATCH($L$4&amp;"_자격증_"&amp;$B28, 자격증!$Z:$Z, 0)), "-"), "-"))), IF(OR(_xlpm.res=0, _xlpm.res=""), "-", _xlpm.res))</f>
        <v>-</v>
      </c>
      <c r="J28" s="367" t="str">
        <f>_xlfn.LET(_xlpm.res, IF(AND($E$4&lt;&gt;"", $L$4&lt;&gt;""), "검색창 삭제",
 IF($E$4&lt;&gt;"", IFERROR(INDEX(자격증!J:J, MATCH($E$4&amp;"_자격증_"&amp;$B28, 자격증!$Y:$Y, 0)), "-"),
 IF($L$4&lt;&gt;"", IFERROR(INDEX(자격증!J:J, MATCH($L$4&amp;"_자격증_"&amp;$B28, 자격증!$Z:$Z, 0)), "-"), "-"))), IF(OR(_xlpm.res=0, _xlpm.res=""), "-", _xlpm.res))</f>
        <v>-</v>
      </c>
      <c r="K28" s="367" t="str">
        <f>_xlfn.LET(_xlpm.res, IF(AND($E$4&lt;&gt;"", $L$4&lt;&gt;""), "검색창 삭제",
 IF($E$4&lt;&gt;"", IFERROR(INDEX(자격증!K:K, MATCH($E$4&amp;"_자격증_"&amp;$B28, 자격증!$Y:$Y, 0)), "-"),
 IF($L$4&lt;&gt;"", IFERROR(INDEX(자격증!K:K, MATCH($L$4&amp;"_자격증_"&amp;$B28, 자격증!$Z:$Z, 0)), "-"), "-"))), IF(OR(_xlpm.res=0, _xlpm.res=""), "-", _xlpm.res))</f>
        <v>-</v>
      </c>
      <c r="L28" s="105" t="str">
        <f>IF(AND($E$4&lt;&gt;"", $L$4&lt;&gt;""), "검색창 삭제",
 IF($E$4&lt;&gt;"", IFERROR(HYPERLINK("학력, 자격증-excel 연동 파일\" &amp; $E$4 &amp; "\자격증\" &amp; INDEX(자격증!D:D, MATCH($E$4&amp;"_자격증_"&amp;$B28, 자격증!$Y:$Y, 0)) &amp; "_" &amp; $E$4 &amp; ".pdf", "PDF 열기"), "-"),
 IF($L$4&lt;&gt;"", IFERROR(HYPERLINK("학력, 자격증-excel 연동 파일\" &amp; $C28 &amp; "\자격증\" &amp; INDEX(자격증!D:D, MATCH($D28&amp;"_자격증_"&amp;$B28, 자격증!$Z:$Z, 0)) &amp; "_" &amp; $C28 &amp; ".pdf", "PDF 열기"), "-"), "")))</f>
        <v/>
      </c>
      <c r="N28" s="108">
        <v>21</v>
      </c>
      <c r="O28" s="105" t="str">
        <f>_xlfn.LET(_xlpm.res, IF(COUNTA($E$4, $P$4, $R$4) &gt;= 2, "검색창 삭제",
 IF($E$4&lt;&gt;"", IFERROR(INDEX(학력!A:A, MATCH($E$4&amp;"_학력_"&amp;$N28, 학력!$L:$L, 0)), "-"),
 IF($P$4&lt;&gt;"", IFERROR(INDEX(학력!A:A, MATCH($P$4&amp;"_학력_"&amp;$N28, 학력!$N:$N, 0)), "-"),
 IF($R$4&lt;&gt;"", IFERROR(INDEX(학력!A:A, MATCH($R$4&amp;"_학력_"&amp;$N28, 학력!$M:$M, 0)), "-"), "-")))), IF(OR(_xlpm.res=0, _xlpm.res=""), "-", _xlpm.res))</f>
        <v>-</v>
      </c>
      <c r="P28" s="105" t="str">
        <f>_xlfn.LET(_xlpm.res, IF(COUNTA($E$4, $P$4, $R$4) &gt;= 2, "검색창 삭제",
 IF($E$4&lt;&gt;"", IFERROR(INDEX(학력!D:D, MATCH($E$4&amp;"_학력_"&amp;$N28, 학력!$L:$L, 0)), "-"),
 IF($P$4&lt;&gt;"", IFERROR(INDEX(학력!D:D, MATCH($P$4&amp;"_학력_"&amp;$N28, 학력!$N:$N, 0)), "-"),
 IF($R$4&lt;&gt;"", IFERROR(INDEX(학력!D:D, MATCH($R$4&amp;"_학력_"&amp;$N28, 학력!$M:$M, 0)), "-"), "-")))), IF(OR(_xlpm.res=0, _xlpm.res=""), "-", _xlpm.res))</f>
        <v>-</v>
      </c>
      <c r="Q28" s="105" t="str">
        <f>_xlfn.LET(_xlpm.res, IF(COUNTA($E$4, $P$4, $R$4) &gt;= 2, "검색창 삭제",
 IF($E$4&lt;&gt;"", IFERROR(INDEX(학력!E:E, MATCH($E$4&amp;"_학력_"&amp;$N28, 학력!$L:$L, 0)), "-"),
 IF($P$4&lt;&gt;"", IFERROR(INDEX(학력!E:E, MATCH($P$4&amp;"_학력_"&amp;$N28, 학력!$N:$N, 0)), "-"),
 IF($R$4&lt;&gt;"", IFERROR(INDEX(학력!E:E, MATCH($R$4&amp;"_학력_"&amp;$N28, 학력!$M:$M, 0)), "-"), "-")))), IF(OR(_xlpm.res=0, _xlpm.res=""), "-", _xlpm.res))</f>
        <v>-</v>
      </c>
      <c r="R28" s="105" t="str">
        <f>_xlfn.LET(_xlpm.res, IF(COUNTA($E$4, $P$4, $R$4) &gt;= 2, "검색창 삭제",
 IF($E$4&lt;&gt;"", IFERROR(INDEX(학력!F:F, MATCH($E$4&amp;"_학력_"&amp;$N28, 학력!$L:$L, 0)), "-"),
 IF($P$4&lt;&gt;"", IFERROR(INDEX(학력!F:F, MATCH($P$4&amp;"_학력_"&amp;$N28, 학력!$N:$N, 0)), "-"),
 IF($R$4&lt;&gt;"", IFERROR(INDEX(학력!F:F, MATCH($R$4&amp;"_학력_"&amp;$N28, 학력!$M:$M, 0)), "-"), "-")))), IF(OR(_xlpm.res=0, _xlpm.res=""), "-", _xlpm.res))</f>
        <v>-</v>
      </c>
      <c r="S28" s="105" t="str">
        <f>_xlfn.LET(
    _xlpm.result,
    IF(COUNTA($E$4, $P$4, $R$4) &gt;= 2, "검색창 삭제",
        IF($E$4&lt;&gt;"", IFERROR(INDEX(학력!G:G, MATCH($E$4&amp;"_학력_"&amp;$N28, 학력!$L:$L, 0)), "-"),
        IF($P$4&lt;&gt;"", IFERROR(INDEX(학력!G:G, MATCH($P$4&amp;"_학력_"&amp;$N28, 학력!$N:$N, 0)), "-"),
        IF($R$4&lt;&gt;"", IFERROR(INDEX(학력!G:G, MATCH($R$4&amp;"_학력_"&amp;$N28, 학력!$M:$M, 0)), "-"), "-")))
    ),
    IF(OR(_xlpm.result=0, _xlpm.result=""), "-", _xlpm.result)
)</f>
        <v>-</v>
      </c>
      <c r="T28" s="107" t="str">
        <f>_xlfn.LET(_xlpm.res, IF(COUNTA($E$4, $P$4, $R$4) &gt;= 2, "검색창 삭제",
 IF($E$4&lt;&gt;"", IFERROR(INDEX(학력!H:H, MATCH($E$4&amp;"_학력_"&amp;$N28, 학력!$L:$L, 0)), "-"),
 IF($P$4&lt;&gt;"", IFERROR(INDEX(학력!H:H, MATCH($P$4&amp;"_학력_"&amp;$N28, 학력!$N:$N, 0)), "-"),
 IF($R$4&lt;&gt;"", IFERROR(INDEX(학력!H:H, MATCH($R$4&amp;"_학력_"&amp;$N28, 학력!$M:$M, 0)), "-"), "-")))), IF(OR(_xlpm.res=0, _xlpm.res=""), "-", _xlpm.res))</f>
        <v>-</v>
      </c>
      <c r="U28" s="105" t="str">
        <f>_xlfn.LET(_xlpm.res, IF(COUNTA($E$4, $P$4, $R$4) &gt;= 2, "검색창 삭제",
 IF($E$4&lt;&gt;"", IFERROR(HYPERLINK("학력, 자격증-excel 연동 파일\" &amp; $E$4 &amp; "\학력\" &amp; INDEX(학력!D:D, MATCH($E$4&amp;"_학력_"&amp;$N28, 학력!$L:$L, 0)) &amp; "_" &amp; INDEX(학력!E:E, MATCH($E$4&amp;"_학력_"&amp;$N28, 학력!$L:$L, 0)) &amp; "_" &amp; INDEX(학력!F:F, MATCH($E$4&amp;"_학력_"&amp;$N28, 학력!$L:$L, 0)) &amp; "_" &amp; $E$4 &amp; ".pdf", "PDF"), "-"),
 IF($P$4&lt;&gt;"", IFERROR(HYPERLINK("학력, 자격증-excel 연동 파일\" &amp; INDEX(학력!A:A, MATCH($P$4&amp;"_학력_"&amp;$N28, 학력!$N:$N, 0)) &amp; "\학력\" &amp; INDEX(학력!D:D, MATCH($P$4&amp;"_학력_"&amp;$N28, 학력!$N:$N, 0)) &amp; "_" &amp; INDEX(학력!E:E, MATCH($P$4&amp;"_학력_"&amp;$N28, 학력!$N:$N, 0)) &amp; "_" &amp; INDEX(학력!F:F, MATCH($P$4&amp;"_학력_"&amp;$N28, 학력!$N:$N, 0)) &amp; "_" &amp; INDEX(학력!A:A, MATCH($P$4&amp;"_학력_"&amp;$N28, 학력!$N:$N, 0)) &amp; ".pdf", "PDF"), "-"),
 IF($R$4&lt;&gt;"", IFERROR(HYPERLINK("학력, 자격증-excel 연동 파일\" &amp; INDEX(학력!A:A, MATCH($R$4&amp;"_학력_"&amp;$N28, 학력!$M:$M, 0)) &amp; "\학력\" &amp; INDEX(학력!D:D, MATCH($R$4&amp;"_학력_"&amp;$N28, 학력!$M:$M, 0)) &amp; "_" &amp; INDEX(학력!E:E, MATCH($R$4&amp;"_학력_"&amp;$N28, 학력!$M:$M, 0)) &amp; "_" &amp; INDEX(학력!F:F, MATCH($R$4&amp;"_학력_"&amp;$N28, 학력!$M:$M, 0)) &amp; "_" &amp; INDEX(학력!A:A, MATCH($R$4&amp;"_학력_"&amp;$N28, 학력!$M:$M, 0)) &amp; ".pdf", "PDF"), "-"), "-")))),
 IF(OR(_xlpm.res=0, _xlpm.res=""), "-", _xlpm.res))</f>
        <v>-</v>
      </c>
    </row>
    <row r="29" spans="2:21" ht="20.100000000000001" customHeight="1">
      <c r="B29" s="108">
        <v>22</v>
      </c>
      <c r="C29" s="105" t="str">
        <f>_xlfn.LET(_xlpm.res, IF(AND($E$4&lt;&gt;"", $L$4&lt;&gt;""), "검색창 삭제",
 IF($E$4&lt;&gt;"", IFERROR(INDEX(자격증!A:A, MATCH($E$4&amp;"_자격증_"&amp;$B29, 자격증!$Y:$Y, 0)), "-"),
 IF($L$4&lt;&gt;"", IFERROR(INDEX(자격증!A:A, MATCH($L$4&amp;"_자격증_"&amp;$B29, 자격증!$Z:$Z, 0)), "-"), "-"))), IF(OR(_xlpm.res=0, _xlpm.res=""), "-", _xlpm.res))</f>
        <v>-</v>
      </c>
      <c r="D29" s="106" t="str">
        <f>_xlfn.LET(_xlpm.res, IF(AND($E$4&lt;&gt;"", $L$4&lt;&gt;""), "검색창 삭제",
 IF($E$4&lt;&gt;"", IFERROR(INDEX(자격증!D:D, MATCH($E$4&amp;"_자격증_"&amp;$B29, 자격증!$Y:$Y, 0)), "-"),
 IF($L$4&lt;&gt;"", IFERROR(INDEX(자격증!D:D, MATCH($L$4&amp;"_자격증_"&amp;$B29, 자격증!$Z:$Z, 0)), "-"), "-"))), IF(OR(_xlpm.res=0, _xlpm.res=""), "-", _xlpm.res))</f>
        <v>-</v>
      </c>
      <c r="E29" s="105" t="str">
        <f>_xlfn.LET(_xlpm.res, IF(AND($E$4&lt;&gt;"", $L$4&lt;&gt;""), "검색창 삭제",
 IF($E$4&lt;&gt;"", IFERROR(INDEX(자격증!E:E, MATCH($E$4&amp;"_자격증_"&amp;$B29, 자격증!$Y:$Y, 0)), "-"),
 IF($L$4&lt;&gt;"", IFERROR(INDEX(자격증!E:E, MATCH($L$4&amp;"_자격증_"&amp;$B29, 자격증!$Z:$Z, 0)), "-"), "-"))), IF(OR(_xlpm.res=0, _xlpm.res=""), "-", _xlpm.res))</f>
        <v>-</v>
      </c>
      <c r="F29" s="105" t="str">
        <f>_xlfn.LET(_xlpm.res, IF(AND($E$4&lt;&gt;"", $L$4&lt;&gt;""), "검색창 삭제",
 IF($E$4&lt;&gt;"", IFERROR(INDEX(자격증!F:F, MATCH($E$4&amp;"_자격증_"&amp;$B29, 자격증!$Y:$Y, 0)), "-"),
 IF($L$4&lt;&gt;"", IFERROR(INDEX(자격증!F:F, MATCH($L$4&amp;"_자격증_"&amp;$B29, 자격증!$Z:$Z, 0)), "-"), "-"))), IF(OR(_xlpm.res=0, _xlpm.res=""), "-", _xlpm.res))</f>
        <v>-</v>
      </c>
      <c r="G29" s="105" t="str">
        <f>_xlfn.LET(_xlpm.res, IF(AND($E$4&lt;&gt;"", $L$4&lt;&gt;""), "검색창 삭제",
 IF($E$4&lt;&gt;"", IFERROR(INDEX(자격증!G:G, MATCH($E$4&amp;"_자격증_"&amp;$B29, 자격증!$Y:$Y, 0)), "-"),
 IF($L$4&lt;&gt;"", IFERROR(INDEX(자격증!G:G, MATCH($L$4&amp;"_자격증_"&amp;$B29, 자격증!$Z:$Z, 0)), "-"), "-"))), IF(OR(_xlpm.res=0, _xlpm.res=""), "-", _xlpm.res))</f>
        <v>-</v>
      </c>
      <c r="H29" s="105" t="str">
        <f>_xlfn.LET(_xlpm.res, IF(AND($E$4&lt;&gt;"", $L$4&lt;&gt;""), "검색창 삭제",
 IF($E$4&lt;&gt;"", IFERROR(INDEX(자격증!H:H, MATCH($E$4&amp;"_자격증_"&amp;$B29, 자격증!$Y:$Y, 0)), "-"),
 IF($L$4&lt;&gt;"", IFERROR(INDEX(자격증!H:H, MATCH($L$4&amp;"_자격증_"&amp;$B29, 자격증!$Z:$Z, 0)), "-"), "-"))), IF(OR(_xlpm.res=0, _xlpm.res=""), "-", _xlpm.res))</f>
        <v>-</v>
      </c>
      <c r="I29" s="367" t="str">
        <f>_xlfn.LET(_xlpm.res, IF(AND($E$4&lt;&gt;"", $L$4&lt;&gt;""), "검색창 삭제",
 IF($E$4&lt;&gt;"", IFERROR(INDEX(자격증!I:I, MATCH($E$4&amp;"_자격증_"&amp;$B29, 자격증!$Y:$Y, 0)), "-"),
 IF($L$4&lt;&gt;"", IFERROR(INDEX(자격증!I:I, MATCH($L$4&amp;"_자격증_"&amp;$B29, 자격증!$Z:$Z, 0)), "-"), "-"))), IF(OR(_xlpm.res=0, _xlpm.res=""), "-", _xlpm.res))</f>
        <v>-</v>
      </c>
      <c r="J29" s="367" t="str">
        <f>_xlfn.LET(_xlpm.res, IF(AND($E$4&lt;&gt;"", $L$4&lt;&gt;""), "검색창 삭제",
 IF($E$4&lt;&gt;"", IFERROR(INDEX(자격증!J:J, MATCH($E$4&amp;"_자격증_"&amp;$B29, 자격증!$Y:$Y, 0)), "-"),
 IF($L$4&lt;&gt;"", IFERROR(INDEX(자격증!J:J, MATCH($L$4&amp;"_자격증_"&amp;$B29, 자격증!$Z:$Z, 0)), "-"), "-"))), IF(OR(_xlpm.res=0, _xlpm.res=""), "-", _xlpm.res))</f>
        <v>-</v>
      </c>
      <c r="K29" s="367" t="str">
        <f>_xlfn.LET(_xlpm.res, IF(AND($E$4&lt;&gt;"", $L$4&lt;&gt;""), "검색창 삭제",
 IF($E$4&lt;&gt;"", IFERROR(INDEX(자격증!K:K, MATCH($E$4&amp;"_자격증_"&amp;$B29, 자격증!$Y:$Y, 0)), "-"),
 IF($L$4&lt;&gt;"", IFERROR(INDEX(자격증!K:K, MATCH($L$4&amp;"_자격증_"&amp;$B29, 자격증!$Z:$Z, 0)), "-"), "-"))), IF(OR(_xlpm.res=0, _xlpm.res=""), "-", _xlpm.res))</f>
        <v>-</v>
      </c>
      <c r="L29" s="105" t="str">
        <f>IF(AND($E$4&lt;&gt;"", $L$4&lt;&gt;""), "검색창 삭제",
 IF($E$4&lt;&gt;"", IFERROR(HYPERLINK("학력, 자격증-excel 연동 파일\" &amp; $E$4 &amp; "\자격증\" &amp; INDEX(자격증!D:D, MATCH($E$4&amp;"_자격증_"&amp;$B29, 자격증!$Y:$Y, 0)) &amp; "_" &amp; $E$4 &amp; ".pdf", "PDF 열기"), "-"),
 IF($L$4&lt;&gt;"", IFERROR(HYPERLINK("학력, 자격증-excel 연동 파일\" &amp; $C29 &amp; "\자격증\" &amp; INDEX(자격증!D:D, MATCH($D29&amp;"_자격증_"&amp;$B29, 자격증!$Z:$Z, 0)) &amp; "_" &amp; $C29 &amp; ".pdf", "PDF 열기"), "-"), "")))</f>
        <v/>
      </c>
      <c r="N29" s="108">
        <v>22</v>
      </c>
      <c r="O29" s="105" t="str">
        <f>_xlfn.LET(_xlpm.res, IF(COUNTA($E$4, $P$4, $R$4) &gt;= 2, "검색창 삭제",
 IF($E$4&lt;&gt;"", IFERROR(INDEX(학력!A:A, MATCH($E$4&amp;"_학력_"&amp;$N29, 학력!$L:$L, 0)), "-"),
 IF($P$4&lt;&gt;"", IFERROR(INDEX(학력!A:A, MATCH($P$4&amp;"_학력_"&amp;$N29, 학력!$N:$N, 0)), "-"),
 IF($R$4&lt;&gt;"", IFERROR(INDEX(학력!A:A, MATCH($R$4&amp;"_학력_"&amp;$N29, 학력!$M:$M, 0)), "-"), "-")))), IF(OR(_xlpm.res=0, _xlpm.res=""), "-", _xlpm.res))</f>
        <v>-</v>
      </c>
      <c r="P29" s="105" t="str">
        <f>_xlfn.LET(_xlpm.res, IF(COUNTA($E$4, $P$4, $R$4) &gt;= 2, "검색창 삭제",
 IF($E$4&lt;&gt;"", IFERROR(INDEX(학력!D:D, MATCH($E$4&amp;"_학력_"&amp;$N29, 학력!$L:$L, 0)), "-"),
 IF($P$4&lt;&gt;"", IFERROR(INDEX(학력!D:D, MATCH($P$4&amp;"_학력_"&amp;$N29, 학력!$N:$N, 0)), "-"),
 IF($R$4&lt;&gt;"", IFERROR(INDEX(학력!D:D, MATCH($R$4&amp;"_학력_"&amp;$N29, 학력!$M:$M, 0)), "-"), "-")))), IF(OR(_xlpm.res=0, _xlpm.res=""), "-", _xlpm.res))</f>
        <v>-</v>
      </c>
      <c r="Q29" s="105" t="str">
        <f>_xlfn.LET(_xlpm.res, IF(COUNTA($E$4, $P$4, $R$4) &gt;= 2, "검색창 삭제",
 IF($E$4&lt;&gt;"", IFERROR(INDEX(학력!E:E, MATCH($E$4&amp;"_학력_"&amp;$N29, 학력!$L:$L, 0)), "-"),
 IF($P$4&lt;&gt;"", IFERROR(INDEX(학력!E:E, MATCH($P$4&amp;"_학력_"&amp;$N29, 학력!$N:$N, 0)), "-"),
 IF($R$4&lt;&gt;"", IFERROR(INDEX(학력!E:E, MATCH($R$4&amp;"_학력_"&amp;$N29, 학력!$M:$M, 0)), "-"), "-")))), IF(OR(_xlpm.res=0, _xlpm.res=""), "-", _xlpm.res))</f>
        <v>-</v>
      </c>
      <c r="R29" s="105" t="str">
        <f>_xlfn.LET(_xlpm.res, IF(COUNTA($E$4, $P$4, $R$4) &gt;= 2, "검색창 삭제",
 IF($E$4&lt;&gt;"", IFERROR(INDEX(학력!F:F, MATCH($E$4&amp;"_학력_"&amp;$N29, 학력!$L:$L, 0)), "-"),
 IF($P$4&lt;&gt;"", IFERROR(INDEX(학력!F:F, MATCH($P$4&amp;"_학력_"&amp;$N29, 학력!$N:$N, 0)), "-"),
 IF($R$4&lt;&gt;"", IFERROR(INDEX(학력!F:F, MATCH($R$4&amp;"_학력_"&amp;$N29, 학력!$M:$M, 0)), "-"), "-")))), IF(OR(_xlpm.res=0, _xlpm.res=""), "-", _xlpm.res))</f>
        <v>-</v>
      </c>
      <c r="S29" s="105" t="str">
        <f>_xlfn.LET(
    _xlpm.result,
    IF(COUNTA($E$4, $P$4, $R$4) &gt;= 2, "검색창 삭제",
        IF($E$4&lt;&gt;"", IFERROR(INDEX(학력!G:G, MATCH($E$4&amp;"_학력_"&amp;$N29, 학력!$L:$L, 0)), "-"),
        IF($P$4&lt;&gt;"", IFERROR(INDEX(학력!G:G, MATCH($P$4&amp;"_학력_"&amp;$N29, 학력!$N:$N, 0)), "-"),
        IF($R$4&lt;&gt;"", IFERROR(INDEX(학력!G:G, MATCH($R$4&amp;"_학력_"&amp;$N29, 학력!$M:$M, 0)), "-"), "-")))
    ),
    IF(OR(_xlpm.result=0, _xlpm.result=""), "-", _xlpm.result)
)</f>
        <v>-</v>
      </c>
      <c r="T29" s="107" t="str">
        <f>_xlfn.LET(_xlpm.res, IF(COUNTA($E$4, $P$4, $R$4) &gt;= 2, "검색창 삭제",
 IF($E$4&lt;&gt;"", IFERROR(INDEX(학력!H:H, MATCH($E$4&amp;"_학력_"&amp;$N29, 학력!$L:$L, 0)), "-"),
 IF($P$4&lt;&gt;"", IFERROR(INDEX(학력!H:H, MATCH($P$4&amp;"_학력_"&amp;$N29, 학력!$N:$N, 0)), "-"),
 IF($R$4&lt;&gt;"", IFERROR(INDEX(학력!H:H, MATCH($R$4&amp;"_학력_"&amp;$N29, 학력!$M:$M, 0)), "-"), "-")))), IF(OR(_xlpm.res=0, _xlpm.res=""), "-", _xlpm.res))</f>
        <v>-</v>
      </c>
      <c r="U29" s="105" t="str">
        <f>_xlfn.LET(_xlpm.res, IF(COUNTA($E$4, $P$4, $R$4) &gt;= 2, "검색창 삭제",
 IF($E$4&lt;&gt;"", IFERROR(HYPERLINK("학력, 자격증-excel 연동 파일\" &amp; $E$4 &amp; "\학력\" &amp; INDEX(학력!D:D, MATCH($E$4&amp;"_학력_"&amp;$N29, 학력!$L:$L, 0)) &amp; "_" &amp; INDEX(학력!E:E, MATCH($E$4&amp;"_학력_"&amp;$N29, 학력!$L:$L, 0)) &amp; "_" &amp; INDEX(학력!F:F, MATCH($E$4&amp;"_학력_"&amp;$N29, 학력!$L:$L, 0)) &amp; "_" &amp; $E$4 &amp; ".pdf", "PDF"), "-"),
 IF($P$4&lt;&gt;"", IFERROR(HYPERLINK("학력, 자격증-excel 연동 파일\" &amp; INDEX(학력!A:A, MATCH($P$4&amp;"_학력_"&amp;$N29, 학력!$N:$N, 0)) &amp; "\학력\" &amp; INDEX(학력!D:D, MATCH($P$4&amp;"_학력_"&amp;$N29, 학력!$N:$N, 0)) &amp; "_" &amp; INDEX(학력!E:E, MATCH($P$4&amp;"_학력_"&amp;$N29, 학력!$N:$N, 0)) &amp; "_" &amp; INDEX(학력!F:F, MATCH($P$4&amp;"_학력_"&amp;$N29, 학력!$N:$N, 0)) &amp; "_" &amp; INDEX(학력!A:A, MATCH($P$4&amp;"_학력_"&amp;$N29, 학력!$N:$N, 0)) &amp; ".pdf", "PDF"), "-"),
 IF($R$4&lt;&gt;"", IFERROR(HYPERLINK("학력, 자격증-excel 연동 파일\" &amp; INDEX(학력!A:A, MATCH($R$4&amp;"_학력_"&amp;$N29, 학력!$M:$M, 0)) &amp; "\학력\" &amp; INDEX(학력!D:D, MATCH($R$4&amp;"_학력_"&amp;$N29, 학력!$M:$M, 0)) &amp; "_" &amp; INDEX(학력!E:E, MATCH($R$4&amp;"_학력_"&amp;$N29, 학력!$M:$M, 0)) &amp; "_" &amp; INDEX(학력!F:F, MATCH($R$4&amp;"_학력_"&amp;$N29, 학력!$M:$M, 0)) &amp; "_" &amp; INDEX(학력!A:A, MATCH($R$4&amp;"_학력_"&amp;$N29, 학력!$M:$M, 0)) &amp; ".pdf", "PDF"), "-"), "-")))),
 IF(OR(_xlpm.res=0, _xlpm.res=""), "-", _xlpm.res))</f>
        <v>-</v>
      </c>
    </row>
    <row r="30" spans="2:21" ht="20.100000000000001" customHeight="1">
      <c r="B30" s="108">
        <v>23</v>
      </c>
      <c r="C30" s="105" t="str">
        <f>_xlfn.LET(_xlpm.res, IF(AND($E$4&lt;&gt;"", $L$4&lt;&gt;""), "검색창 삭제",
 IF($E$4&lt;&gt;"", IFERROR(INDEX(자격증!A:A, MATCH($E$4&amp;"_자격증_"&amp;$B30, 자격증!$Y:$Y, 0)), "-"),
 IF($L$4&lt;&gt;"", IFERROR(INDEX(자격증!A:A, MATCH($L$4&amp;"_자격증_"&amp;$B30, 자격증!$Z:$Z, 0)), "-"), "-"))), IF(OR(_xlpm.res=0, _xlpm.res=""), "-", _xlpm.res))</f>
        <v>-</v>
      </c>
      <c r="D30" s="106" t="str">
        <f>_xlfn.LET(_xlpm.res, IF(AND($E$4&lt;&gt;"", $L$4&lt;&gt;""), "검색창 삭제",
 IF($E$4&lt;&gt;"", IFERROR(INDEX(자격증!D:D, MATCH($E$4&amp;"_자격증_"&amp;$B30, 자격증!$Y:$Y, 0)), "-"),
 IF($L$4&lt;&gt;"", IFERROR(INDEX(자격증!D:D, MATCH($L$4&amp;"_자격증_"&amp;$B30, 자격증!$Z:$Z, 0)), "-"), "-"))), IF(OR(_xlpm.res=0, _xlpm.res=""), "-", _xlpm.res))</f>
        <v>-</v>
      </c>
      <c r="E30" s="105" t="str">
        <f>_xlfn.LET(_xlpm.res, IF(AND($E$4&lt;&gt;"", $L$4&lt;&gt;""), "검색창 삭제",
 IF($E$4&lt;&gt;"", IFERROR(INDEX(자격증!E:E, MATCH($E$4&amp;"_자격증_"&amp;$B30, 자격증!$Y:$Y, 0)), "-"),
 IF($L$4&lt;&gt;"", IFERROR(INDEX(자격증!E:E, MATCH($L$4&amp;"_자격증_"&amp;$B30, 자격증!$Z:$Z, 0)), "-"), "-"))), IF(OR(_xlpm.res=0, _xlpm.res=""), "-", _xlpm.res))</f>
        <v>-</v>
      </c>
      <c r="F30" s="105" t="str">
        <f>_xlfn.LET(_xlpm.res, IF(AND($E$4&lt;&gt;"", $L$4&lt;&gt;""), "검색창 삭제",
 IF($E$4&lt;&gt;"", IFERROR(INDEX(자격증!F:F, MATCH($E$4&amp;"_자격증_"&amp;$B30, 자격증!$Y:$Y, 0)), "-"),
 IF($L$4&lt;&gt;"", IFERROR(INDEX(자격증!F:F, MATCH($L$4&amp;"_자격증_"&amp;$B30, 자격증!$Z:$Z, 0)), "-"), "-"))), IF(OR(_xlpm.res=0, _xlpm.res=""), "-", _xlpm.res))</f>
        <v>-</v>
      </c>
      <c r="G30" s="105" t="str">
        <f>_xlfn.LET(_xlpm.res, IF(AND($E$4&lt;&gt;"", $L$4&lt;&gt;""), "검색창 삭제",
 IF($E$4&lt;&gt;"", IFERROR(INDEX(자격증!G:G, MATCH($E$4&amp;"_자격증_"&amp;$B30, 자격증!$Y:$Y, 0)), "-"),
 IF($L$4&lt;&gt;"", IFERROR(INDEX(자격증!G:G, MATCH($L$4&amp;"_자격증_"&amp;$B30, 자격증!$Z:$Z, 0)), "-"), "-"))), IF(OR(_xlpm.res=0, _xlpm.res=""), "-", _xlpm.res))</f>
        <v>-</v>
      </c>
      <c r="H30" s="105" t="str">
        <f>_xlfn.LET(_xlpm.res, IF(AND($E$4&lt;&gt;"", $L$4&lt;&gt;""), "검색창 삭제",
 IF($E$4&lt;&gt;"", IFERROR(INDEX(자격증!H:H, MATCH($E$4&amp;"_자격증_"&amp;$B30, 자격증!$Y:$Y, 0)), "-"),
 IF($L$4&lt;&gt;"", IFERROR(INDEX(자격증!H:H, MATCH($L$4&amp;"_자격증_"&amp;$B30, 자격증!$Z:$Z, 0)), "-"), "-"))), IF(OR(_xlpm.res=0, _xlpm.res=""), "-", _xlpm.res))</f>
        <v>-</v>
      </c>
      <c r="I30" s="367" t="str">
        <f>_xlfn.LET(_xlpm.res, IF(AND($E$4&lt;&gt;"", $L$4&lt;&gt;""), "검색창 삭제",
 IF($E$4&lt;&gt;"", IFERROR(INDEX(자격증!I:I, MATCH($E$4&amp;"_자격증_"&amp;$B30, 자격증!$Y:$Y, 0)), "-"),
 IF($L$4&lt;&gt;"", IFERROR(INDEX(자격증!I:I, MATCH($L$4&amp;"_자격증_"&amp;$B30, 자격증!$Z:$Z, 0)), "-"), "-"))), IF(OR(_xlpm.res=0, _xlpm.res=""), "-", _xlpm.res))</f>
        <v>-</v>
      </c>
      <c r="J30" s="367" t="str">
        <f>_xlfn.LET(_xlpm.res, IF(AND($E$4&lt;&gt;"", $L$4&lt;&gt;""), "검색창 삭제",
 IF($E$4&lt;&gt;"", IFERROR(INDEX(자격증!J:J, MATCH($E$4&amp;"_자격증_"&amp;$B30, 자격증!$Y:$Y, 0)), "-"),
 IF($L$4&lt;&gt;"", IFERROR(INDEX(자격증!J:J, MATCH($L$4&amp;"_자격증_"&amp;$B30, 자격증!$Z:$Z, 0)), "-"), "-"))), IF(OR(_xlpm.res=0, _xlpm.res=""), "-", _xlpm.res))</f>
        <v>-</v>
      </c>
      <c r="K30" s="367" t="str">
        <f>_xlfn.LET(_xlpm.res, IF(AND($E$4&lt;&gt;"", $L$4&lt;&gt;""), "검색창 삭제",
 IF($E$4&lt;&gt;"", IFERROR(INDEX(자격증!K:K, MATCH($E$4&amp;"_자격증_"&amp;$B30, 자격증!$Y:$Y, 0)), "-"),
 IF($L$4&lt;&gt;"", IFERROR(INDEX(자격증!K:K, MATCH($L$4&amp;"_자격증_"&amp;$B30, 자격증!$Z:$Z, 0)), "-"), "-"))), IF(OR(_xlpm.res=0, _xlpm.res=""), "-", _xlpm.res))</f>
        <v>-</v>
      </c>
      <c r="L30" s="105" t="str">
        <f>IF(AND($E$4&lt;&gt;"", $L$4&lt;&gt;""), "검색창 삭제",
 IF($E$4&lt;&gt;"", IFERROR(HYPERLINK("학력, 자격증-excel 연동 파일\" &amp; $E$4 &amp; "\자격증\" &amp; INDEX(자격증!D:D, MATCH($E$4&amp;"_자격증_"&amp;$B30, 자격증!$Y:$Y, 0)) &amp; "_" &amp; $E$4 &amp; ".pdf", "PDF 열기"), "-"),
 IF($L$4&lt;&gt;"", IFERROR(HYPERLINK("학력, 자격증-excel 연동 파일\" &amp; $C30 &amp; "\자격증\" &amp; INDEX(자격증!D:D, MATCH($D30&amp;"_자격증_"&amp;$B30, 자격증!$Z:$Z, 0)) &amp; "_" &amp; $C30 &amp; ".pdf", "PDF 열기"), "-"), "")))</f>
        <v/>
      </c>
      <c r="N30" s="108">
        <v>23</v>
      </c>
      <c r="O30" s="105" t="str">
        <f>_xlfn.LET(_xlpm.res, IF(COUNTA($E$4, $P$4, $R$4) &gt;= 2, "검색창 삭제",
 IF($E$4&lt;&gt;"", IFERROR(INDEX(학력!A:A, MATCH($E$4&amp;"_학력_"&amp;$N30, 학력!$L:$L, 0)), "-"),
 IF($P$4&lt;&gt;"", IFERROR(INDEX(학력!A:A, MATCH($P$4&amp;"_학력_"&amp;$N30, 학력!$N:$N, 0)), "-"),
 IF($R$4&lt;&gt;"", IFERROR(INDEX(학력!A:A, MATCH($R$4&amp;"_학력_"&amp;$N30, 학력!$M:$M, 0)), "-"), "-")))), IF(OR(_xlpm.res=0, _xlpm.res=""), "-", _xlpm.res))</f>
        <v>-</v>
      </c>
      <c r="P30" s="105" t="str">
        <f>_xlfn.LET(_xlpm.res, IF(COUNTA($E$4, $P$4, $R$4) &gt;= 2, "검색창 삭제",
 IF($E$4&lt;&gt;"", IFERROR(INDEX(학력!D:D, MATCH($E$4&amp;"_학력_"&amp;$N30, 학력!$L:$L, 0)), "-"),
 IF($P$4&lt;&gt;"", IFERROR(INDEX(학력!D:D, MATCH($P$4&amp;"_학력_"&amp;$N30, 학력!$N:$N, 0)), "-"),
 IF($R$4&lt;&gt;"", IFERROR(INDEX(학력!D:D, MATCH($R$4&amp;"_학력_"&amp;$N30, 학력!$M:$M, 0)), "-"), "-")))), IF(OR(_xlpm.res=0, _xlpm.res=""), "-", _xlpm.res))</f>
        <v>-</v>
      </c>
      <c r="Q30" s="105" t="str">
        <f>_xlfn.LET(_xlpm.res, IF(COUNTA($E$4, $P$4, $R$4) &gt;= 2, "검색창 삭제",
 IF($E$4&lt;&gt;"", IFERROR(INDEX(학력!E:E, MATCH($E$4&amp;"_학력_"&amp;$N30, 학력!$L:$L, 0)), "-"),
 IF($P$4&lt;&gt;"", IFERROR(INDEX(학력!E:E, MATCH($P$4&amp;"_학력_"&amp;$N30, 학력!$N:$N, 0)), "-"),
 IF($R$4&lt;&gt;"", IFERROR(INDEX(학력!E:E, MATCH($R$4&amp;"_학력_"&amp;$N30, 학력!$M:$M, 0)), "-"), "-")))), IF(OR(_xlpm.res=0, _xlpm.res=""), "-", _xlpm.res))</f>
        <v>-</v>
      </c>
      <c r="R30" s="105" t="str">
        <f>_xlfn.LET(_xlpm.res, IF(COUNTA($E$4, $P$4, $R$4) &gt;= 2, "검색창 삭제",
 IF($E$4&lt;&gt;"", IFERROR(INDEX(학력!F:F, MATCH($E$4&amp;"_학력_"&amp;$N30, 학력!$L:$L, 0)), "-"),
 IF($P$4&lt;&gt;"", IFERROR(INDEX(학력!F:F, MATCH($P$4&amp;"_학력_"&amp;$N30, 학력!$N:$N, 0)), "-"),
 IF($R$4&lt;&gt;"", IFERROR(INDEX(학력!F:F, MATCH($R$4&amp;"_학력_"&amp;$N30, 학력!$M:$M, 0)), "-"), "-")))), IF(OR(_xlpm.res=0, _xlpm.res=""), "-", _xlpm.res))</f>
        <v>-</v>
      </c>
      <c r="S30" s="105" t="str">
        <f>_xlfn.LET(
    _xlpm.result,
    IF(COUNTA($E$4, $P$4, $R$4) &gt;= 2, "검색창 삭제",
        IF($E$4&lt;&gt;"", IFERROR(INDEX(학력!G:G, MATCH($E$4&amp;"_학력_"&amp;$N30, 학력!$L:$L, 0)), "-"),
        IF($P$4&lt;&gt;"", IFERROR(INDEX(학력!G:G, MATCH($P$4&amp;"_학력_"&amp;$N30, 학력!$N:$N, 0)), "-"),
        IF($R$4&lt;&gt;"", IFERROR(INDEX(학력!G:G, MATCH($R$4&amp;"_학력_"&amp;$N30, 학력!$M:$M, 0)), "-"), "-")))
    ),
    IF(OR(_xlpm.result=0, _xlpm.result=""), "-", _xlpm.result)
)</f>
        <v>-</v>
      </c>
      <c r="T30" s="107" t="str">
        <f>_xlfn.LET(_xlpm.res, IF(COUNTA($E$4, $P$4, $R$4) &gt;= 2, "검색창 삭제",
 IF($E$4&lt;&gt;"", IFERROR(INDEX(학력!H:H, MATCH($E$4&amp;"_학력_"&amp;$N30, 학력!$L:$L, 0)), "-"),
 IF($P$4&lt;&gt;"", IFERROR(INDEX(학력!H:H, MATCH($P$4&amp;"_학력_"&amp;$N30, 학력!$N:$N, 0)), "-"),
 IF($R$4&lt;&gt;"", IFERROR(INDEX(학력!H:H, MATCH($R$4&amp;"_학력_"&amp;$N30, 학력!$M:$M, 0)), "-"), "-")))), IF(OR(_xlpm.res=0, _xlpm.res=""), "-", _xlpm.res))</f>
        <v>-</v>
      </c>
      <c r="U30" s="105" t="str">
        <f>_xlfn.LET(_xlpm.res, IF(COUNTA($E$4, $P$4, $R$4) &gt;= 2, "검색창 삭제",
 IF($E$4&lt;&gt;"", IFERROR(HYPERLINK("학력, 자격증-excel 연동 파일\" &amp; $E$4 &amp; "\학력\" &amp; INDEX(학력!D:D, MATCH($E$4&amp;"_학력_"&amp;$N30, 학력!$L:$L, 0)) &amp; "_" &amp; INDEX(학력!E:E, MATCH($E$4&amp;"_학력_"&amp;$N30, 학력!$L:$L, 0)) &amp; "_" &amp; INDEX(학력!F:F, MATCH($E$4&amp;"_학력_"&amp;$N30, 학력!$L:$L, 0)) &amp; "_" &amp; $E$4 &amp; ".pdf", "PDF"), "-"),
 IF($P$4&lt;&gt;"", IFERROR(HYPERLINK("학력, 자격증-excel 연동 파일\" &amp; INDEX(학력!A:A, MATCH($P$4&amp;"_학력_"&amp;$N30, 학력!$N:$N, 0)) &amp; "\학력\" &amp; INDEX(학력!D:D, MATCH($P$4&amp;"_학력_"&amp;$N30, 학력!$N:$N, 0)) &amp; "_" &amp; INDEX(학력!E:E, MATCH($P$4&amp;"_학력_"&amp;$N30, 학력!$N:$N, 0)) &amp; "_" &amp; INDEX(학력!F:F, MATCH($P$4&amp;"_학력_"&amp;$N30, 학력!$N:$N, 0)) &amp; "_" &amp; INDEX(학력!A:A, MATCH($P$4&amp;"_학력_"&amp;$N30, 학력!$N:$N, 0)) &amp; ".pdf", "PDF"), "-"),
 IF($R$4&lt;&gt;"", IFERROR(HYPERLINK("학력, 자격증-excel 연동 파일\" &amp; INDEX(학력!A:A, MATCH($R$4&amp;"_학력_"&amp;$N30, 학력!$M:$M, 0)) &amp; "\학력\" &amp; INDEX(학력!D:D, MATCH($R$4&amp;"_학력_"&amp;$N30, 학력!$M:$M, 0)) &amp; "_" &amp; INDEX(학력!E:E, MATCH($R$4&amp;"_학력_"&amp;$N30, 학력!$M:$M, 0)) &amp; "_" &amp; INDEX(학력!F:F, MATCH($R$4&amp;"_학력_"&amp;$N30, 학력!$M:$M, 0)) &amp; "_" &amp; INDEX(학력!A:A, MATCH($R$4&amp;"_학력_"&amp;$N30, 학력!$M:$M, 0)) &amp; ".pdf", "PDF"), "-"), "-")))),
 IF(OR(_xlpm.res=0, _xlpm.res=""), "-", _xlpm.res))</f>
        <v>-</v>
      </c>
    </row>
    <row r="31" spans="2:21" ht="20.100000000000001" customHeight="1">
      <c r="B31" s="108">
        <v>24</v>
      </c>
      <c r="C31" s="105" t="str">
        <f>_xlfn.LET(_xlpm.res, IF(AND($E$4&lt;&gt;"", $L$4&lt;&gt;""), "검색창 삭제",
 IF($E$4&lt;&gt;"", IFERROR(INDEX(자격증!A:A, MATCH($E$4&amp;"_자격증_"&amp;$B31, 자격증!$Y:$Y, 0)), "-"),
 IF($L$4&lt;&gt;"", IFERROR(INDEX(자격증!A:A, MATCH($L$4&amp;"_자격증_"&amp;$B31, 자격증!$Z:$Z, 0)), "-"), "-"))), IF(OR(_xlpm.res=0, _xlpm.res=""), "-", _xlpm.res))</f>
        <v>-</v>
      </c>
      <c r="D31" s="106" t="str">
        <f>_xlfn.LET(_xlpm.res, IF(AND($E$4&lt;&gt;"", $L$4&lt;&gt;""), "검색창 삭제",
 IF($E$4&lt;&gt;"", IFERROR(INDEX(자격증!D:D, MATCH($E$4&amp;"_자격증_"&amp;$B31, 자격증!$Y:$Y, 0)), "-"),
 IF($L$4&lt;&gt;"", IFERROR(INDEX(자격증!D:D, MATCH($L$4&amp;"_자격증_"&amp;$B31, 자격증!$Z:$Z, 0)), "-"), "-"))), IF(OR(_xlpm.res=0, _xlpm.res=""), "-", _xlpm.res))</f>
        <v>-</v>
      </c>
      <c r="E31" s="105" t="str">
        <f>_xlfn.LET(_xlpm.res, IF(AND($E$4&lt;&gt;"", $L$4&lt;&gt;""), "검색창 삭제",
 IF($E$4&lt;&gt;"", IFERROR(INDEX(자격증!E:E, MATCH($E$4&amp;"_자격증_"&amp;$B31, 자격증!$Y:$Y, 0)), "-"),
 IF($L$4&lt;&gt;"", IFERROR(INDEX(자격증!E:E, MATCH($L$4&amp;"_자격증_"&amp;$B31, 자격증!$Z:$Z, 0)), "-"), "-"))), IF(OR(_xlpm.res=0, _xlpm.res=""), "-", _xlpm.res))</f>
        <v>-</v>
      </c>
      <c r="F31" s="105" t="str">
        <f>_xlfn.LET(_xlpm.res, IF(AND($E$4&lt;&gt;"", $L$4&lt;&gt;""), "검색창 삭제",
 IF($E$4&lt;&gt;"", IFERROR(INDEX(자격증!F:F, MATCH($E$4&amp;"_자격증_"&amp;$B31, 자격증!$Y:$Y, 0)), "-"),
 IF($L$4&lt;&gt;"", IFERROR(INDEX(자격증!F:F, MATCH($L$4&amp;"_자격증_"&amp;$B31, 자격증!$Z:$Z, 0)), "-"), "-"))), IF(OR(_xlpm.res=0, _xlpm.res=""), "-", _xlpm.res))</f>
        <v>-</v>
      </c>
      <c r="G31" s="105" t="str">
        <f>_xlfn.LET(_xlpm.res, IF(AND($E$4&lt;&gt;"", $L$4&lt;&gt;""), "검색창 삭제",
 IF($E$4&lt;&gt;"", IFERROR(INDEX(자격증!G:G, MATCH($E$4&amp;"_자격증_"&amp;$B31, 자격증!$Y:$Y, 0)), "-"),
 IF($L$4&lt;&gt;"", IFERROR(INDEX(자격증!G:G, MATCH($L$4&amp;"_자격증_"&amp;$B31, 자격증!$Z:$Z, 0)), "-"), "-"))), IF(OR(_xlpm.res=0, _xlpm.res=""), "-", _xlpm.res))</f>
        <v>-</v>
      </c>
      <c r="H31" s="105" t="str">
        <f>_xlfn.LET(_xlpm.res, IF(AND($E$4&lt;&gt;"", $L$4&lt;&gt;""), "검색창 삭제",
 IF($E$4&lt;&gt;"", IFERROR(INDEX(자격증!H:H, MATCH($E$4&amp;"_자격증_"&amp;$B31, 자격증!$Y:$Y, 0)), "-"),
 IF($L$4&lt;&gt;"", IFERROR(INDEX(자격증!H:H, MATCH($L$4&amp;"_자격증_"&amp;$B31, 자격증!$Z:$Z, 0)), "-"), "-"))), IF(OR(_xlpm.res=0, _xlpm.res=""), "-", _xlpm.res))</f>
        <v>-</v>
      </c>
      <c r="I31" s="367" t="str">
        <f>_xlfn.LET(_xlpm.res, IF(AND($E$4&lt;&gt;"", $L$4&lt;&gt;""), "검색창 삭제",
 IF($E$4&lt;&gt;"", IFERROR(INDEX(자격증!I:I, MATCH($E$4&amp;"_자격증_"&amp;$B31, 자격증!$Y:$Y, 0)), "-"),
 IF($L$4&lt;&gt;"", IFERROR(INDEX(자격증!I:I, MATCH($L$4&amp;"_자격증_"&amp;$B31, 자격증!$Z:$Z, 0)), "-"), "-"))), IF(OR(_xlpm.res=0, _xlpm.res=""), "-", _xlpm.res))</f>
        <v>-</v>
      </c>
      <c r="J31" s="367" t="str">
        <f>_xlfn.LET(_xlpm.res, IF(AND($E$4&lt;&gt;"", $L$4&lt;&gt;""), "검색창 삭제",
 IF($E$4&lt;&gt;"", IFERROR(INDEX(자격증!J:J, MATCH($E$4&amp;"_자격증_"&amp;$B31, 자격증!$Y:$Y, 0)), "-"),
 IF($L$4&lt;&gt;"", IFERROR(INDEX(자격증!J:J, MATCH($L$4&amp;"_자격증_"&amp;$B31, 자격증!$Z:$Z, 0)), "-"), "-"))), IF(OR(_xlpm.res=0, _xlpm.res=""), "-", _xlpm.res))</f>
        <v>-</v>
      </c>
      <c r="K31" s="367" t="str">
        <f>_xlfn.LET(_xlpm.res, IF(AND($E$4&lt;&gt;"", $L$4&lt;&gt;""), "검색창 삭제",
 IF($E$4&lt;&gt;"", IFERROR(INDEX(자격증!K:K, MATCH($E$4&amp;"_자격증_"&amp;$B31, 자격증!$Y:$Y, 0)), "-"),
 IF($L$4&lt;&gt;"", IFERROR(INDEX(자격증!K:K, MATCH($L$4&amp;"_자격증_"&amp;$B31, 자격증!$Z:$Z, 0)), "-"), "-"))), IF(OR(_xlpm.res=0, _xlpm.res=""), "-", _xlpm.res))</f>
        <v>-</v>
      </c>
      <c r="L31" s="105" t="str">
        <f>IF(AND($E$4&lt;&gt;"", $L$4&lt;&gt;""), "검색창 삭제",
 IF($E$4&lt;&gt;"", IFERROR(HYPERLINK("학력, 자격증-excel 연동 파일\" &amp; $E$4 &amp; "\자격증\" &amp; INDEX(자격증!D:D, MATCH($E$4&amp;"_자격증_"&amp;$B31, 자격증!$Y:$Y, 0)) &amp; "_" &amp; $E$4 &amp; ".pdf", "PDF 열기"), "-"),
 IF($L$4&lt;&gt;"", IFERROR(HYPERLINK("학력, 자격증-excel 연동 파일\" &amp; $C31 &amp; "\자격증\" &amp; INDEX(자격증!D:D, MATCH($D31&amp;"_자격증_"&amp;$B31, 자격증!$Z:$Z, 0)) &amp; "_" &amp; $C31 &amp; ".pdf", "PDF 열기"), "-"), "")))</f>
        <v/>
      </c>
      <c r="N31" s="108">
        <v>24</v>
      </c>
      <c r="O31" s="105" t="str">
        <f>_xlfn.LET(_xlpm.res, IF(COUNTA($E$4, $P$4, $R$4) &gt;= 2, "검색창 삭제",
 IF($E$4&lt;&gt;"", IFERROR(INDEX(학력!A:A, MATCH($E$4&amp;"_학력_"&amp;$N31, 학력!$L:$L, 0)), "-"),
 IF($P$4&lt;&gt;"", IFERROR(INDEX(학력!A:A, MATCH($P$4&amp;"_학력_"&amp;$N31, 학력!$N:$N, 0)), "-"),
 IF($R$4&lt;&gt;"", IFERROR(INDEX(학력!A:A, MATCH($R$4&amp;"_학력_"&amp;$N31, 학력!$M:$M, 0)), "-"), "-")))), IF(OR(_xlpm.res=0, _xlpm.res=""), "-", _xlpm.res))</f>
        <v>-</v>
      </c>
      <c r="P31" s="105" t="str">
        <f>_xlfn.LET(_xlpm.res, IF(COUNTA($E$4, $P$4, $R$4) &gt;= 2, "검색창 삭제",
 IF($E$4&lt;&gt;"", IFERROR(INDEX(학력!D:D, MATCH($E$4&amp;"_학력_"&amp;$N31, 학력!$L:$L, 0)), "-"),
 IF($P$4&lt;&gt;"", IFERROR(INDEX(학력!D:D, MATCH($P$4&amp;"_학력_"&amp;$N31, 학력!$N:$N, 0)), "-"),
 IF($R$4&lt;&gt;"", IFERROR(INDEX(학력!D:D, MATCH($R$4&amp;"_학력_"&amp;$N31, 학력!$M:$M, 0)), "-"), "-")))), IF(OR(_xlpm.res=0, _xlpm.res=""), "-", _xlpm.res))</f>
        <v>-</v>
      </c>
      <c r="Q31" s="105" t="str">
        <f>_xlfn.LET(_xlpm.res, IF(COUNTA($E$4, $P$4, $R$4) &gt;= 2, "검색창 삭제",
 IF($E$4&lt;&gt;"", IFERROR(INDEX(학력!E:E, MATCH($E$4&amp;"_학력_"&amp;$N31, 학력!$L:$L, 0)), "-"),
 IF($P$4&lt;&gt;"", IFERROR(INDEX(학력!E:E, MATCH($P$4&amp;"_학력_"&amp;$N31, 학력!$N:$N, 0)), "-"),
 IF($R$4&lt;&gt;"", IFERROR(INDEX(학력!E:E, MATCH($R$4&amp;"_학력_"&amp;$N31, 학력!$M:$M, 0)), "-"), "-")))), IF(OR(_xlpm.res=0, _xlpm.res=""), "-", _xlpm.res))</f>
        <v>-</v>
      </c>
      <c r="R31" s="105" t="str">
        <f>_xlfn.LET(_xlpm.res, IF(COUNTA($E$4, $P$4, $R$4) &gt;= 2, "검색창 삭제",
 IF($E$4&lt;&gt;"", IFERROR(INDEX(학력!F:F, MATCH($E$4&amp;"_학력_"&amp;$N31, 학력!$L:$L, 0)), "-"),
 IF($P$4&lt;&gt;"", IFERROR(INDEX(학력!F:F, MATCH($P$4&amp;"_학력_"&amp;$N31, 학력!$N:$N, 0)), "-"),
 IF($R$4&lt;&gt;"", IFERROR(INDEX(학력!F:F, MATCH($R$4&amp;"_학력_"&amp;$N31, 학력!$M:$M, 0)), "-"), "-")))), IF(OR(_xlpm.res=0, _xlpm.res=""), "-", _xlpm.res))</f>
        <v>-</v>
      </c>
      <c r="S31" s="105" t="str">
        <f>_xlfn.LET(
    _xlpm.result,
    IF(COUNTA($E$4, $P$4, $R$4) &gt;= 2, "검색창 삭제",
        IF($E$4&lt;&gt;"", IFERROR(INDEX(학력!G:G, MATCH($E$4&amp;"_학력_"&amp;$N31, 학력!$L:$L, 0)), "-"),
        IF($P$4&lt;&gt;"", IFERROR(INDEX(학력!G:G, MATCH($P$4&amp;"_학력_"&amp;$N31, 학력!$N:$N, 0)), "-"),
        IF($R$4&lt;&gt;"", IFERROR(INDEX(학력!G:G, MATCH($R$4&amp;"_학력_"&amp;$N31, 학력!$M:$M, 0)), "-"), "-")))
    ),
    IF(OR(_xlpm.result=0, _xlpm.result=""), "-", _xlpm.result)
)</f>
        <v>-</v>
      </c>
      <c r="T31" s="107" t="str">
        <f>_xlfn.LET(_xlpm.res, IF(COUNTA($E$4, $P$4, $R$4) &gt;= 2, "검색창 삭제",
 IF($E$4&lt;&gt;"", IFERROR(INDEX(학력!H:H, MATCH($E$4&amp;"_학력_"&amp;$N31, 학력!$L:$L, 0)), "-"),
 IF($P$4&lt;&gt;"", IFERROR(INDEX(학력!H:H, MATCH($P$4&amp;"_학력_"&amp;$N31, 학력!$N:$N, 0)), "-"),
 IF($R$4&lt;&gt;"", IFERROR(INDEX(학력!H:H, MATCH($R$4&amp;"_학력_"&amp;$N31, 학력!$M:$M, 0)), "-"), "-")))), IF(OR(_xlpm.res=0, _xlpm.res=""), "-", _xlpm.res))</f>
        <v>-</v>
      </c>
      <c r="U31" s="105" t="str">
        <f>_xlfn.LET(_xlpm.res, IF(COUNTA($E$4, $P$4, $R$4) &gt;= 2, "검색창 삭제",
 IF($E$4&lt;&gt;"", IFERROR(HYPERLINK("학력, 자격증-excel 연동 파일\" &amp; $E$4 &amp; "\학력\" &amp; INDEX(학력!D:D, MATCH($E$4&amp;"_학력_"&amp;$N31, 학력!$L:$L, 0)) &amp; "_" &amp; INDEX(학력!E:E, MATCH($E$4&amp;"_학력_"&amp;$N31, 학력!$L:$L, 0)) &amp; "_" &amp; INDEX(학력!F:F, MATCH($E$4&amp;"_학력_"&amp;$N31, 학력!$L:$L, 0)) &amp; "_" &amp; $E$4 &amp; ".pdf", "PDF"), "-"),
 IF($P$4&lt;&gt;"", IFERROR(HYPERLINK("학력, 자격증-excel 연동 파일\" &amp; INDEX(학력!A:A, MATCH($P$4&amp;"_학력_"&amp;$N31, 학력!$N:$N, 0)) &amp; "\학력\" &amp; INDEX(학력!D:D, MATCH($P$4&amp;"_학력_"&amp;$N31, 학력!$N:$N, 0)) &amp; "_" &amp; INDEX(학력!E:E, MATCH($P$4&amp;"_학력_"&amp;$N31, 학력!$N:$N, 0)) &amp; "_" &amp; INDEX(학력!F:F, MATCH($P$4&amp;"_학력_"&amp;$N31, 학력!$N:$N, 0)) &amp; "_" &amp; INDEX(학력!A:A, MATCH($P$4&amp;"_학력_"&amp;$N31, 학력!$N:$N, 0)) &amp; ".pdf", "PDF"), "-"),
 IF($R$4&lt;&gt;"", IFERROR(HYPERLINK("학력, 자격증-excel 연동 파일\" &amp; INDEX(학력!A:A, MATCH($R$4&amp;"_학력_"&amp;$N31, 학력!$M:$M, 0)) &amp; "\학력\" &amp; INDEX(학력!D:D, MATCH($R$4&amp;"_학력_"&amp;$N31, 학력!$M:$M, 0)) &amp; "_" &amp; INDEX(학력!E:E, MATCH($R$4&amp;"_학력_"&amp;$N31, 학력!$M:$M, 0)) &amp; "_" &amp; INDEX(학력!F:F, MATCH($R$4&amp;"_학력_"&amp;$N31, 학력!$M:$M, 0)) &amp; "_" &amp; INDEX(학력!A:A, MATCH($R$4&amp;"_학력_"&amp;$N31, 학력!$M:$M, 0)) &amp; ".pdf", "PDF"), "-"), "-")))),
 IF(OR(_xlpm.res=0, _xlpm.res=""), "-", _xlpm.res))</f>
        <v>-</v>
      </c>
    </row>
    <row r="32" spans="2:21" ht="20.100000000000001" customHeight="1">
      <c r="B32" s="108">
        <v>25</v>
      </c>
      <c r="C32" s="105" t="str">
        <f>_xlfn.LET(_xlpm.res, IF(AND($E$4&lt;&gt;"", $L$4&lt;&gt;""), "검색창 삭제",
 IF($E$4&lt;&gt;"", IFERROR(INDEX(자격증!A:A, MATCH($E$4&amp;"_자격증_"&amp;$B32, 자격증!$Y:$Y, 0)), "-"),
 IF($L$4&lt;&gt;"", IFERROR(INDEX(자격증!A:A, MATCH($L$4&amp;"_자격증_"&amp;$B32, 자격증!$Z:$Z, 0)), "-"), "-"))), IF(OR(_xlpm.res=0, _xlpm.res=""), "-", _xlpm.res))</f>
        <v>-</v>
      </c>
      <c r="D32" s="106" t="str">
        <f>_xlfn.LET(_xlpm.res, IF(AND($E$4&lt;&gt;"", $L$4&lt;&gt;""), "검색창 삭제",
 IF($E$4&lt;&gt;"", IFERROR(INDEX(자격증!D:D, MATCH($E$4&amp;"_자격증_"&amp;$B32, 자격증!$Y:$Y, 0)), "-"),
 IF($L$4&lt;&gt;"", IFERROR(INDEX(자격증!D:D, MATCH($L$4&amp;"_자격증_"&amp;$B32, 자격증!$Z:$Z, 0)), "-"), "-"))), IF(OR(_xlpm.res=0, _xlpm.res=""), "-", _xlpm.res))</f>
        <v>-</v>
      </c>
      <c r="E32" s="105" t="str">
        <f>_xlfn.LET(_xlpm.res, IF(AND($E$4&lt;&gt;"", $L$4&lt;&gt;""), "검색창 삭제",
 IF($E$4&lt;&gt;"", IFERROR(INDEX(자격증!E:E, MATCH($E$4&amp;"_자격증_"&amp;$B32, 자격증!$Y:$Y, 0)), "-"),
 IF($L$4&lt;&gt;"", IFERROR(INDEX(자격증!E:E, MATCH($L$4&amp;"_자격증_"&amp;$B32, 자격증!$Z:$Z, 0)), "-"), "-"))), IF(OR(_xlpm.res=0, _xlpm.res=""), "-", _xlpm.res))</f>
        <v>-</v>
      </c>
      <c r="F32" s="105" t="str">
        <f>_xlfn.LET(_xlpm.res, IF(AND($E$4&lt;&gt;"", $L$4&lt;&gt;""), "검색창 삭제",
 IF($E$4&lt;&gt;"", IFERROR(INDEX(자격증!F:F, MATCH($E$4&amp;"_자격증_"&amp;$B32, 자격증!$Y:$Y, 0)), "-"),
 IF($L$4&lt;&gt;"", IFERROR(INDEX(자격증!F:F, MATCH($L$4&amp;"_자격증_"&amp;$B32, 자격증!$Z:$Z, 0)), "-"), "-"))), IF(OR(_xlpm.res=0, _xlpm.res=""), "-", _xlpm.res))</f>
        <v>-</v>
      </c>
      <c r="G32" s="105" t="str">
        <f>_xlfn.LET(_xlpm.res, IF(AND($E$4&lt;&gt;"", $L$4&lt;&gt;""), "검색창 삭제",
 IF($E$4&lt;&gt;"", IFERROR(INDEX(자격증!G:G, MATCH($E$4&amp;"_자격증_"&amp;$B32, 자격증!$Y:$Y, 0)), "-"),
 IF($L$4&lt;&gt;"", IFERROR(INDEX(자격증!G:G, MATCH($L$4&amp;"_자격증_"&amp;$B32, 자격증!$Z:$Z, 0)), "-"), "-"))), IF(OR(_xlpm.res=0, _xlpm.res=""), "-", _xlpm.res))</f>
        <v>-</v>
      </c>
      <c r="H32" s="105" t="str">
        <f>_xlfn.LET(_xlpm.res, IF(AND($E$4&lt;&gt;"", $L$4&lt;&gt;""), "검색창 삭제",
 IF($E$4&lt;&gt;"", IFERROR(INDEX(자격증!H:H, MATCH($E$4&amp;"_자격증_"&amp;$B32, 자격증!$Y:$Y, 0)), "-"),
 IF($L$4&lt;&gt;"", IFERROR(INDEX(자격증!H:H, MATCH($L$4&amp;"_자격증_"&amp;$B32, 자격증!$Z:$Z, 0)), "-"), "-"))), IF(OR(_xlpm.res=0, _xlpm.res=""), "-", _xlpm.res))</f>
        <v>-</v>
      </c>
      <c r="I32" s="367" t="str">
        <f>_xlfn.LET(_xlpm.res, IF(AND($E$4&lt;&gt;"", $L$4&lt;&gt;""), "검색창 삭제",
 IF($E$4&lt;&gt;"", IFERROR(INDEX(자격증!I:I, MATCH($E$4&amp;"_자격증_"&amp;$B32, 자격증!$Y:$Y, 0)), "-"),
 IF($L$4&lt;&gt;"", IFERROR(INDEX(자격증!I:I, MATCH($L$4&amp;"_자격증_"&amp;$B32, 자격증!$Z:$Z, 0)), "-"), "-"))), IF(OR(_xlpm.res=0, _xlpm.res=""), "-", _xlpm.res))</f>
        <v>-</v>
      </c>
      <c r="J32" s="367" t="str">
        <f>_xlfn.LET(_xlpm.res, IF(AND($E$4&lt;&gt;"", $L$4&lt;&gt;""), "검색창 삭제",
 IF($E$4&lt;&gt;"", IFERROR(INDEX(자격증!J:J, MATCH($E$4&amp;"_자격증_"&amp;$B32, 자격증!$Y:$Y, 0)), "-"),
 IF($L$4&lt;&gt;"", IFERROR(INDEX(자격증!J:J, MATCH($L$4&amp;"_자격증_"&amp;$B32, 자격증!$Z:$Z, 0)), "-"), "-"))), IF(OR(_xlpm.res=0, _xlpm.res=""), "-", _xlpm.res))</f>
        <v>-</v>
      </c>
      <c r="K32" s="367" t="str">
        <f>_xlfn.LET(_xlpm.res, IF(AND($E$4&lt;&gt;"", $L$4&lt;&gt;""), "검색창 삭제",
 IF($E$4&lt;&gt;"", IFERROR(INDEX(자격증!K:K, MATCH($E$4&amp;"_자격증_"&amp;$B32, 자격증!$Y:$Y, 0)), "-"),
 IF($L$4&lt;&gt;"", IFERROR(INDEX(자격증!K:K, MATCH($L$4&amp;"_자격증_"&amp;$B32, 자격증!$Z:$Z, 0)), "-"), "-"))), IF(OR(_xlpm.res=0, _xlpm.res=""), "-", _xlpm.res))</f>
        <v>-</v>
      </c>
      <c r="L32" s="105" t="str">
        <f>IF(AND($E$4&lt;&gt;"", $L$4&lt;&gt;""), "검색창 삭제",
 IF($E$4&lt;&gt;"", IFERROR(HYPERLINK("학력, 자격증-excel 연동 파일\" &amp; $E$4 &amp; "\자격증\" &amp; INDEX(자격증!D:D, MATCH($E$4&amp;"_자격증_"&amp;$B32, 자격증!$Y:$Y, 0)) &amp; "_" &amp; $E$4 &amp; ".pdf", "PDF 열기"), "-"),
 IF($L$4&lt;&gt;"", IFERROR(HYPERLINK("학력, 자격증-excel 연동 파일\" &amp; $C32 &amp; "\자격증\" &amp; INDEX(자격증!D:D, MATCH($D32&amp;"_자격증_"&amp;$B32, 자격증!$Z:$Z, 0)) &amp; "_" &amp; $C32 &amp; ".pdf", "PDF 열기"), "-"), "")))</f>
        <v/>
      </c>
      <c r="N32" s="108">
        <v>25</v>
      </c>
      <c r="O32" s="105" t="str">
        <f>_xlfn.LET(_xlpm.res, IF(COUNTA($E$4, $P$4, $R$4) &gt;= 2, "검색창 삭제",
 IF($E$4&lt;&gt;"", IFERROR(INDEX(학력!A:A, MATCH($E$4&amp;"_학력_"&amp;$N32, 학력!$L:$L, 0)), "-"),
 IF($P$4&lt;&gt;"", IFERROR(INDEX(학력!A:A, MATCH($P$4&amp;"_학력_"&amp;$N32, 학력!$N:$N, 0)), "-"),
 IF($R$4&lt;&gt;"", IFERROR(INDEX(학력!A:A, MATCH($R$4&amp;"_학력_"&amp;$N32, 학력!$M:$M, 0)), "-"), "-")))), IF(OR(_xlpm.res=0, _xlpm.res=""), "-", _xlpm.res))</f>
        <v>-</v>
      </c>
      <c r="P32" s="105" t="str">
        <f>_xlfn.LET(_xlpm.res, IF(COUNTA($E$4, $P$4, $R$4) &gt;= 2, "검색창 삭제",
 IF($E$4&lt;&gt;"", IFERROR(INDEX(학력!D:D, MATCH($E$4&amp;"_학력_"&amp;$N32, 학력!$L:$L, 0)), "-"),
 IF($P$4&lt;&gt;"", IFERROR(INDEX(학력!D:D, MATCH($P$4&amp;"_학력_"&amp;$N32, 학력!$N:$N, 0)), "-"),
 IF($R$4&lt;&gt;"", IFERROR(INDEX(학력!D:D, MATCH($R$4&amp;"_학력_"&amp;$N32, 학력!$M:$M, 0)), "-"), "-")))), IF(OR(_xlpm.res=0, _xlpm.res=""), "-", _xlpm.res))</f>
        <v>-</v>
      </c>
      <c r="Q32" s="105" t="str">
        <f>_xlfn.LET(_xlpm.res, IF(COUNTA($E$4, $P$4, $R$4) &gt;= 2, "검색창 삭제",
 IF($E$4&lt;&gt;"", IFERROR(INDEX(학력!E:E, MATCH($E$4&amp;"_학력_"&amp;$N32, 학력!$L:$L, 0)), "-"),
 IF($P$4&lt;&gt;"", IFERROR(INDEX(학력!E:E, MATCH($P$4&amp;"_학력_"&amp;$N32, 학력!$N:$N, 0)), "-"),
 IF($R$4&lt;&gt;"", IFERROR(INDEX(학력!E:E, MATCH($R$4&amp;"_학력_"&amp;$N32, 학력!$M:$M, 0)), "-"), "-")))), IF(OR(_xlpm.res=0, _xlpm.res=""), "-", _xlpm.res))</f>
        <v>-</v>
      </c>
      <c r="R32" s="105" t="str">
        <f>_xlfn.LET(_xlpm.res, IF(COUNTA($E$4, $P$4, $R$4) &gt;= 2, "검색창 삭제",
 IF($E$4&lt;&gt;"", IFERROR(INDEX(학력!F:F, MATCH($E$4&amp;"_학력_"&amp;$N32, 학력!$L:$L, 0)), "-"),
 IF($P$4&lt;&gt;"", IFERROR(INDEX(학력!F:F, MATCH($P$4&amp;"_학력_"&amp;$N32, 학력!$N:$N, 0)), "-"),
 IF($R$4&lt;&gt;"", IFERROR(INDEX(학력!F:F, MATCH($R$4&amp;"_학력_"&amp;$N32, 학력!$M:$M, 0)), "-"), "-")))), IF(OR(_xlpm.res=0, _xlpm.res=""), "-", _xlpm.res))</f>
        <v>-</v>
      </c>
      <c r="S32" s="105" t="str">
        <f>_xlfn.LET(
    _xlpm.result,
    IF(COUNTA($E$4, $P$4, $R$4) &gt;= 2, "검색창 삭제",
        IF($E$4&lt;&gt;"", IFERROR(INDEX(학력!G:G, MATCH($E$4&amp;"_학력_"&amp;$N32, 학력!$L:$L, 0)), "-"),
        IF($P$4&lt;&gt;"", IFERROR(INDEX(학력!G:G, MATCH($P$4&amp;"_학력_"&amp;$N32, 학력!$N:$N, 0)), "-"),
        IF($R$4&lt;&gt;"", IFERROR(INDEX(학력!G:G, MATCH($R$4&amp;"_학력_"&amp;$N32, 학력!$M:$M, 0)), "-"), "-")))
    ),
    IF(OR(_xlpm.result=0, _xlpm.result=""), "-", _xlpm.result)
)</f>
        <v>-</v>
      </c>
      <c r="T32" s="107" t="str">
        <f>_xlfn.LET(_xlpm.res, IF(COUNTA($E$4, $P$4, $R$4) &gt;= 2, "검색창 삭제",
 IF($E$4&lt;&gt;"", IFERROR(INDEX(학력!H:H, MATCH($E$4&amp;"_학력_"&amp;$N32, 학력!$L:$L, 0)), "-"),
 IF($P$4&lt;&gt;"", IFERROR(INDEX(학력!H:H, MATCH($P$4&amp;"_학력_"&amp;$N32, 학력!$N:$N, 0)), "-"),
 IF($R$4&lt;&gt;"", IFERROR(INDEX(학력!H:H, MATCH($R$4&amp;"_학력_"&amp;$N32, 학력!$M:$M, 0)), "-"), "-")))), IF(OR(_xlpm.res=0, _xlpm.res=""), "-", _xlpm.res))</f>
        <v>-</v>
      </c>
      <c r="U32" s="105" t="str">
        <f>_xlfn.LET(_xlpm.res, IF(COUNTA($E$4, $P$4, $R$4) &gt;= 2, "검색창 삭제",
 IF($E$4&lt;&gt;"", IFERROR(HYPERLINK("학력, 자격증-excel 연동 파일\" &amp; $E$4 &amp; "\학력\" &amp; INDEX(학력!D:D, MATCH($E$4&amp;"_학력_"&amp;$N32, 학력!$L:$L, 0)) &amp; "_" &amp; INDEX(학력!E:E, MATCH($E$4&amp;"_학력_"&amp;$N32, 학력!$L:$L, 0)) &amp; "_" &amp; INDEX(학력!F:F, MATCH($E$4&amp;"_학력_"&amp;$N32, 학력!$L:$L, 0)) &amp; "_" &amp; $E$4 &amp; ".pdf", "PDF"), "-"),
 IF($P$4&lt;&gt;"", IFERROR(HYPERLINK("학력, 자격증-excel 연동 파일\" &amp; INDEX(학력!A:A, MATCH($P$4&amp;"_학력_"&amp;$N32, 학력!$N:$N, 0)) &amp; "\학력\" &amp; INDEX(학력!D:D, MATCH($P$4&amp;"_학력_"&amp;$N32, 학력!$N:$N, 0)) &amp; "_" &amp; INDEX(학력!E:E, MATCH($P$4&amp;"_학력_"&amp;$N32, 학력!$N:$N, 0)) &amp; "_" &amp; INDEX(학력!F:F, MATCH($P$4&amp;"_학력_"&amp;$N32, 학력!$N:$N, 0)) &amp; "_" &amp; INDEX(학력!A:A, MATCH($P$4&amp;"_학력_"&amp;$N32, 학력!$N:$N, 0)) &amp; ".pdf", "PDF"), "-"),
 IF($R$4&lt;&gt;"", IFERROR(HYPERLINK("학력, 자격증-excel 연동 파일\" &amp; INDEX(학력!A:A, MATCH($R$4&amp;"_학력_"&amp;$N32, 학력!$M:$M, 0)) &amp; "\학력\" &amp; INDEX(학력!D:D, MATCH($R$4&amp;"_학력_"&amp;$N32, 학력!$M:$M, 0)) &amp; "_" &amp; INDEX(학력!E:E, MATCH($R$4&amp;"_학력_"&amp;$N32, 학력!$M:$M, 0)) &amp; "_" &amp; INDEX(학력!F:F, MATCH($R$4&amp;"_학력_"&amp;$N32, 학력!$M:$M, 0)) &amp; "_" &amp; INDEX(학력!A:A, MATCH($R$4&amp;"_학력_"&amp;$N32, 학력!$M:$M, 0)) &amp; ".pdf", "PDF"), "-"), "-")))),
 IF(OR(_xlpm.res=0, _xlpm.res=""), "-", _xlpm.res))</f>
        <v>-</v>
      </c>
    </row>
    <row r="33" spans="2:21" ht="20.100000000000001" customHeight="1">
      <c r="B33" s="108">
        <v>26</v>
      </c>
      <c r="C33" s="105" t="str">
        <f>_xlfn.LET(_xlpm.res, IF(AND($E$4&lt;&gt;"", $L$4&lt;&gt;""), "검색창 삭제",
 IF($E$4&lt;&gt;"", IFERROR(INDEX(자격증!A:A, MATCH($E$4&amp;"_자격증_"&amp;$B33, 자격증!$Y:$Y, 0)), "-"),
 IF($L$4&lt;&gt;"", IFERROR(INDEX(자격증!A:A, MATCH($L$4&amp;"_자격증_"&amp;$B33, 자격증!$Z:$Z, 0)), "-"), "-"))), IF(OR(_xlpm.res=0, _xlpm.res=""), "-", _xlpm.res))</f>
        <v>-</v>
      </c>
      <c r="D33" s="106" t="str">
        <f>_xlfn.LET(_xlpm.res, IF(AND($E$4&lt;&gt;"", $L$4&lt;&gt;""), "검색창 삭제",
 IF($E$4&lt;&gt;"", IFERROR(INDEX(자격증!D:D, MATCH($E$4&amp;"_자격증_"&amp;$B33, 자격증!$Y:$Y, 0)), "-"),
 IF($L$4&lt;&gt;"", IFERROR(INDEX(자격증!D:D, MATCH($L$4&amp;"_자격증_"&amp;$B33, 자격증!$Z:$Z, 0)), "-"), "-"))), IF(OR(_xlpm.res=0, _xlpm.res=""), "-", _xlpm.res))</f>
        <v>-</v>
      </c>
      <c r="E33" s="105" t="str">
        <f>_xlfn.LET(_xlpm.res, IF(AND($E$4&lt;&gt;"", $L$4&lt;&gt;""), "검색창 삭제",
 IF($E$4&lt;&gt;"", IFERROR(INDEX(자격증!E:E, MATCH($E$4&amp;"_자격증_"&amp;$B33, 자격증!$Y:$Y, 0)), "-"),
 IF($L$4&lt;&gt;"", IFERROR(INDEX(자격증!E:E, MATCH($L$4&amp;"_자격증_"&amp;$B33, 자격증!$Z:$Z, 0)), "-"), "-"))), IF(OR(_xlpm.res=0, _xlpm.res=""), "-", _xlpm.res))</f>
        <v>-</v>
      </c>
      <c r="F33" s="105" t="str">
        <f>_xlfn.LET(_xlpm.res, IF(AND($E$4&lt;&gt;"", $L$4&lt;&gt;""), "검색창 삭제",
 IF($E$4&lt;&gt;"", IFERROR(INDEX(자격증!F:F, MATCH($E$4&amp;"_자격증_"&amp;$B33, 자격증!$Y:$Y, 0)), "-"),
 IF($L$4&lt;&gt;"", IFERROR(INDEX(자격증!F:F, MATCH($L$4&amp;"_자격증_"&amp;$B33, 자격증!$Z:$Z, 0)), "-"), "-"))), IF(OR(_xlpm.res=0, _xlpm.res=""), "-", _xlpm.res))</f>
        <v>-</v>
      </c>
      <c r="G33" s="105" t="str">
        <f>_xlfn.LET(_xlpm.res, IF(AND($E$4&lt;&gt;"", $L$4&lt;&gt;""), "검색창 삭제",
 IF($E$4&lt;&gt;"", IFERROR(INDEX(자격증!G:G, MATCH($E$4&amp;"_자격증_"&amp;$B33, 자격증!$Y:$Y, 0)), "-"),
 IF($L$4&lt;&gt;"", IFERROR(INDEX(자격증!G:G, MATCH($L$4&amp;"_자격증_"&amp;$B33, 자격증!$Z:$Z, 0)), "-"), "-"))), IF(OR(_xlpm.res=0, _xlpm.res=""), "-", _xlpm.res))</f>
        <v>-</v>
      </c>
      <c r="H33" s="105" t="str">
        <f>_xlfn.LET(_xlpm.res, IF(AND($E$4&lt;&gt;"", $L$4&lt;&gt;""), "검색창 삭제",
 IF($E$4&lt;&gt;"", IFERROR(INDEX(자격증!H:H, MATCH($E$4&amp;"_자격증_"&amp;$B33, 자격증!$Y:$Y, 0)), "-"),
 IF($L$4&lt;&gt;"", IFERROR(INDEX(자격증!H:H, MATCH($L$4&amp;"_자격증_"&amp;$B33, 자격증!$Z:$Z, 0)), "-"), "-"))), IF(OR(_xlpm.res=0, _xlpm.res=""), "-", _xlpm.res))</f>
        <v>-</v>
      </c>
      <c r="I33" s="367" t="str">
        <f>_xlfn.LET(_xlpm.res, IF(AND($E$4&lt;&gt;"", $L$4&lt;&gt;""), "검색창 삭제",
 IF($E$4&lt;&gt;"", IFERROR(INDEX(자격증!I:I, MATCH($E$4&amp;"_자격증_"&amp;$B33, 자격증!$Y:$Y, 0)), "-"),
 IF($L$4&lt;&gt;"", IFERROR(INDEX(자격증!I:I, MATCH($L$4&amp;"_자격증_"&amp;$B33, 자격증!$Z:$Z, 0)), "-"), "-"))), IF(OR(_xlpm.res=0, _xlpm.res=""), "-", _xlpm.res))</f>
        <v>-</v>
      </c>
      <c r="J33" s="367" t="str">
        <f>_xlfn.LET(_xlpm.res, IF(AND($E$4&lt;&gt;"", $L$4&lt;&gt;""), "검색창 삭제",
 IF($E$4&lt;&gt;"", IFERROR(INDEX(자격증!J:J, MATCH($E$4&amp;"_자격증_"&amp;$B33, 자격증!$Y:$Y, 0)), "-"),
 IF($L$4&lt;&gt;"", IFERROR(INDEX(자격증!J:J, MATCH($L$4&amp;"_자격증_"&amp;$B33, 자격증!$Z:$Z, 0)), "-"), "-"))), IF(OR(_xlpm.res=0, _xlpm.res=""), "-", _xlpm.res))</f>
        <v>-</v>
      </c>
      <c r="K33" s="367" t="str">
        <f>_xlfn.LET(_xlpm.res, IF(AND($E$4&lt;&gt;"", $L$4&lt;&gt;""), "검색창 삭제",
 IF($E$4&lt;&gt;"", IFERROR(INDEX(자격증!K:K, MATCH($E$4&amp;"_자격증_"&amp;$B33, 자격증!$Y:$Y, 0)), "-"),
 IF($L$4&lt;&gt;"", IFERROR(INDEX(자격증!K:K, MATCH($L$4&amp;"_자격증_"&amp;$B33, 자격증!$Z:$Z, 0)), "-"), "-"))), IF(OR(_xlpm.res=0, _xlpm.res=""), "-", _xlpm.res))</f>
        <v>-</v>
      </c>
      <c r="L33" s="105" t="str">
        <f>IF(AND($E$4&lt;&gt;"", $L$4&lt;&gt;""), "검색창 삭제",
 IF($E$4&lt;&gt;"", IFERROR(HYPERLINK("학력, 자격증-excel 연동 파일\" &amp; $E$4 &amp; "\자격증\" &amp; INDEX(자격증!D:D, MATCH($E$4&amp;"_자격증_"&amp;$B33, 자격증!$Y:$Y, 0)) &amp; "_" &amp; $E$4 &amp; ".pdf", "PDF 열기"), "-"),
 IF($L$4&lt;&gt;"", IFERROR(HYPERLINK("학력, 자격증-excel 연동 파일\" &amp; $C33 &amp; "\자격증\" &amp; INDEX(자격증!D:D, MATCH($D33&amp;"_자격증_"&amp;$B33, 자격증!$Z:$Z, 0)) &amp; "_" &amp; $C33 &amp; ".pdf", "PDF 열기"), "-"), "")))</f>
        <v/>
      </c>
      <c r="N33" s="108">
        <v>26</v>
      </c>
      <c r="O33" s="105" t="str">
        <f>_xlfn.LET(_xlpm.res, IF(COUNTA($E$4, $P$4, $R$4) &gt;= 2, "검색창 삭제",
 IF($E$4&lt;&gt;"", IFERROR(INDEX(학력!A:A, MATCH($E$4&amp;"_학력_"&amp;$N33, 학력!$L:$L, 0)), "-"),
 IF($P$4&lt;&gt;"", IFERROR(INDEX(학력!A:A, MATCH($P$4&amp;"_학력_"&amp;$N33, 학력!$N:$N, 0)), "-"),
 IF($R$4&lt;&gt;"", IFERROR(INDEX(학력!A:A, MATCH($R$4&amp;"_학력_"&amp;$N33, 학력!$M:$M, 0)), "-"), "-")))), IF(OR(_xlpm.res=0, _xlpm.res=""), "-", _xlpm.res))</f>
        <v>-</v>
      </c>
      <c r="P33" s="105" t="str">
        <f>_xlfn.LET(_xlpm.res, IF(COUNTA($E$4, $P$4, $R$4) &gt;= 2, "검색창 삭제",
 IF($E$4&lt;&gt;"", IFERROR(INDEX(학력!D:D, MATCH($E$4&amp;"_학력_"&amp;$N33, 학력!$L:$L, 0)), "-"),
 IF($P$4&lt;&gt;"", IFERROR(INDEX(학력!D:D, MATCH($P$4&amp;"_학력_"&amp;$N33, 학력!$N:$N, 0)), "-"),
 IF($R$4&lt;&gt;"", IFERROR(INDEX(학력!D:D, MATCH($R$4&amp;"_학력_"&amp;$N33, 학력!$M:$M, 0)), "-"), "-")))), IF(OR(_xlpm.res=0, _xlpm.res=""), "-", _xlpm.res))</f>
        <v>-</v>
      </c>
      <c r="Q33" s="105" t="str">
        <f>_xlfn.LET(_xlpm.res, IF(COUNTA($E$4, $P$4, $R$4) &gt;= 2, "검색창 삭제",
 IF($E$4&lt;&gt;"", IFERROR(INDEX(학력!E:E, MATCH($E$4&amp;"_학력_"&amp;$N33, 학력!$L:$L, 0)), "-"),
 IF($P$4&lt;&gt;"", IFERROR(INDEX(학력!E:E, MATCH($P$4&amp;"_학력_"&amp;$N33, 학력!$N:$N, 0)), "-"),
 IF($R$4&lt;&gt;"", IFERROR(INDEX(학력!E:E, MATCH($R$4&amp;"_학력_"&amp;$N33, 학력!$M:$M, 0)), "-"), "-")))), IF(OR(_xlpm.res=0, _xlpm.res=""), "-", _xlpm.res))</f>
        <v>-</v>
      </c>
      <c r="R33" s="105" t="str">
        <f>_xlfn.LET(_xlpm.res, IF(COUNTA($E$4, $P$4, $R$4) &gt;= 2, "검색창 삭제",
 IF($E$4&lt;&gt;"", IFERROR(INDEX(학력!F:F, MATCH($E$4&amp;"_학력_"&amp;$N33, 학력!$L:$L, 0)), "-"),
 IF($P$4&lt;&gt;"", IFERROR(INDEX(학력!F:F, MATCH($P$4&amp;"_학력_"&amp;$N33, 학력!$N:$N, 0)), "-"),
 IF($R$4&lt;&gt;"", IFERROR(INDEX(학력!F:F, MATCH($R$4&amp;"_학력_"&amp;$N33, 학력!$M:$M, 0)), "-"), "-")))), IF(OR(_xlpm.res=0, _xlpm.res=""), "-", _xlpm.res))</f>
        <v>-</v>
      </c>
      <c r="S33" s="105" t="str">
        <f>_xlfn.LET(
    _xlpm.result,
    IF(COUNTA($E$4, $P$4, $R$4) &gt;= 2, "검색창 삭제",
        IF($E$4&lt;&gt;"", IFERROR(INDEX(학력!G:G, MATCH($E$4&amp;"_학력_"&amp;$N33, 학력!$L:$L, 0)), "-"),
        IF($P$4&lt;&gt;"", IFERROR(INDEX(학력!G:G, MATCH($P$4&amp;"_학력_"&amp;$N33, 학력!$N:$N, 0)), "-"),
        IF($R$4&lt;&gt;"", IFERROR(INDEX(학력!G:G, MATCH($R$4&amp;"_학력_"&amp;$N33, 학력!$M:$M, 0)), "-"), "-")))
    ),
    IF(OR(_xlpm.result=0, _xlpm.result=""), "-", _xlpm.result)
)</f>
        <v>-</v>
      </c>
      <c r="T33" s="107" t="str">
        <f>_xlfn.LET(_xlpm.res, IF(COUNTA($E$4, $P$4, $R$4) &gt;= 2, "검색창 삭제",
 IF($E$4&lt;&gt;"", IFERROR(INDEX(학력!H:H, MATCH($E$4&amp;"_학력_"&amp;$N33, 학력!$L:$L, 0)), "-"),
 IF($P$4&lt;&gt;"", IFERROR(INDEX(학력!H:H, MATCH($P$4&amp;"_학력_"&amp;$N33, 학력!$N:$N, 0)), "-"),
 IF($R$4&lt;&gt;"", IFERROR(INDEX(학력!H:H, MATCH($R$4&amp;"_학력_"&amp;$N33, 학력!$M:$M, 0)), "-"), "-")))), IF(OR(_xlpm.res=0, _xlpm.res=""), "-", _xlpm.res))</f>
        <v>-</v>
      </c>
      <c r="U33" s="105" t="str">
        <f>_xlfn.LET(_xlpm.res, IF(COUNTA($E$4, $P$4, $R$4) &gt;= 2, "검색창 삭제",
 IF($E$4&lt;&gt;"", IFERROR(HYPERLINK("학력, 자격증-excel 연동 파일\" &amp; $E$4 &amp; "\학력\" &amp; INDEX(학력!D:D, MATCH($E$4&amp;"_학력_"&amp;$N33, 학력!$L:$L, 0)) &amp; "_" &amp; INDEX(학력!E:E, MATCH($E$4&amp;"_학력_"&amp;$N33, 학력!$L:$L, 0)) &amp; "_" &amp; INDEX(학력!F:F, MATCH($E$4&amp;"_학력_"&amp;$N33, 학력!$L:$L, 0)) &amp; "_" &amp; $E$4 &amp; ".pdf", "PDF"), "-"),
 IF($P$4&lt;&gt;"", IFERROR(HYPERLINK("학력, 자격증-excel 연동 파일\" &amp; INDEX(학력!A:A, MATCH($P$4&amp;"_학력_"&amp;$N33, 학력!$N:$N, 0)) &amp; "\학력\" &amp; INDEX(학력!D:D, MATCH($P$4&amp;"_학력_"&amp;$N33, 학력!$N:$N, 0)) &amp; "_" &amp; INDEX(학력!E:E, MATCH($P$4&amp;"_학력_"&amp;$N33, 학력!$N:$N, 0)) &amp; "_" &amp; INDEX(학력!F:F, MATCH($P$4&amp;"_학력_"&amp;$N33, 학력!$N:$N, 0)) &amp; "_" &amp; INDEX(학력!A:A, MATCH($P$4&amp;"_학력_"&amp;$N33, 학력!$N:$N, 0)) &amp; ".pdf", "PDF"), "-"),
 IF($R$4&lt;&gt;"", IFERROR(HYPERLINK("학력, 자격증-excel 연동 파일\" &amp; INDEX(학력!A:A, MATCH($R$4&amp;"_학력_"&amp;$N33, 학력!$M:$M, 0)) &amp; "\학력\" &amp; INDEX(학력!D:D, MATCH($R$4&amp;"_학력_"&amp;$N33, 학력!$M:$M, 0)) &amp; "_" &amp; INDEX(학력!E:E, MATCH($R$4&amp;"_학력_"&amp;$N33, 학력!$M:$M, 0)) &amp; "_" &amp; INDEX(학력!F:F, MATCH($R$4&amp;"_학력_"&amp;$N33, 학력!$M:$M, 0)) &amp; "_" &amp; INDEX(학력!A:A, MATCH($R$4&amp;"_학력_"&amp;$N33, 학력!$M:$M, 0)) &amp; ".pdf", "PDF"), "-"), "-")))),
 IF(OR(_xlpm.res=0, _xlpm.res=""), "-", _xlpm.res))</f>
        <v>-</v>
      </c>
    </row>
    <row r="34" spans="2:21" ht="20.100000000000001" customHeight="1">
      <c r="B34" s="108">
        <v>27</v>
      </c>
      <c r="C34" s="105" t="str">
        <f>_xlfn.LET(_xlpm.res, IF(AND($E$4&lt;&gt;"", $L$4&lt;&gt;""), "검색창 삭제",
 IF($E$4&lt;&gt;"", IFERROR(INDEX(자격증!A:A, MATCH($E$4&amp;"_자격증_"&amp;$B34, 자격증!$Y:$Y, 0)), "-"),
 IF($L$4&lt;&gt;"", IFERROR(INDEX(자격증!A:A, MATCH($L$4&amp;"_자격증_"&amp;$B34, 자격증!$Z:$Z, 0)), "-"), "-"))), IF(OR(_xlpm.res=0, _xlpm.res=""), "-", _xlpm.res))</f>
        <v>-</v>
      </c>
      <c r="D34" s="106" t="str">
        <f>_xlfn.LET(_xlpm.res, IF(AND($E$4&lt;&gt;"", $L$4&lt;&gt;""), "검색창 삭제",
 IF($E$4&lt;&gt;"", IFERROR(INDEX(자격증!D:D, MATCH($E$4&amp;"_자격증_"&amp;$B34, 자격증!$Y:$Y, 0)), "-"),
 IF($L$4&lt;&gt;"", IFERROR(INDEX(자격증!D:D, MATCH($L$4&amp;"_자격증_"&amp;$B34, 자격증!$Z:$Z, 0)), "-"), "-"))), IF(OR(_xlpm.res=0, _xlpm.res=""), "-", _xlpm.res))</f>
        <v>-</v>
      </c>
      <c r="E34" s="105" t="str">
        <f>_xlfn.LET(_xlpm.res, IF(AND($E$4&lt;&gt;"", $L$4&lt;&gt;""), "검색창 삭제",
 IF($E$4&lt;&gt;"", IFERROR(INDEX(자격증!E:E, MATCH($E$4&amp;"_자격증_"&amp;$B34, 자격증!$Y:$Y, 0)), "-"),
 IF($L$4&lt;&gt;"", IFERROR(INDEX(자격증!E:E, MATCH($L$4&amp;"_자격증_"&amp;$B34, 자격증!$Z:$Z, 0)), "-"), "-"))), IF(OR(_xlpm.res=0, _xlpm.res=""), "-", _xlpm.res))</f>
        <v>-</v>
      </c>
      <c r="F34" s="105" t="str">
        <f>_xlfn.LET(_xlpm.res, IF(AND($E$4&lt;&gt;"", $L$4&lt;&gt;""), "검색창 삭제",
 IF($E$4&lt;&gt;"", IFERROR(INDEX(자격증!F:F, MATCH($E$4&amp;"_자격증_"&amp;$B34, 자격증!$Y:$Y, 0)), "-"),
 IF($L$4&lt;&gt;"", IFERROR(INDEX(자격증!F:F, MATCH($L$4&amp;"_자격증_"&amp;$B34, 자격증!$Z:$Z, 0)), "-"), "-"))), IF(OR(_xlpm.res=0, _xlpm.res=""), "-", _xlpm.res))</f>
        <v>-</v>
      </c>
      <c r="G34" s="105" t="str">
        <f>_xlfn.LET(_xlpm.res, IF(AND($E$4&lt;&gt;"", $L$4&lt;&gt;""), "검색창 삭제",
 IF($E$4&lt;&gt;"", IFERROR(INDEX(자격증!G:G, MATCH($E$4&amp;"_자격증_"&amp;$B34, 자격증!$Y:$Y, 0)), "-"),
 IF($L$4&lt;&gt;"", IFERROR(INDEX(자격증!G:G, MATCH($L$4&amp;"_자격증_"&amp;$B34, 자격증!$Z:$Z, 0)), "-"), "-"))), IF(OR(_xlpm.res=0, _xlpm.res=""), "-", _xlpm.res))</f>
        <v>-</v>
      </c>
      <c r="H34" s="105" t="str">
        <f>_xlfn.LET(_xlpm.res, IF(AND($E$4&lt;&gt;"", $L$4&lt;&gt;""), "검색창 삭제",
 IF($E$4&lt;&gt;"", IFERROR(INDEX(자격증!H:H, MATCH($E$4&amp;"_자격증_"&amp;$B34, 자격증!$Y:$Y, 0)), "-"),
 IF($L$4&lt;&gt;"", IFERROR(INDEX(자격증!H:H, MATCH($L$4&amp;"_자격증_"&amp;$B34, 자격증!$Z:$Z, 0)), "-"), "-"))), IF(OR(_xlpm.res=0, _xlpm.res=""), "-", _xlpm.res))</f>
        <v>-</v>
      </c>
      <c r="I34" s="367" t="str">
        <f>_xlfn.LET(_xlpm.res, IF(AND($E$4&lt;&gt;"", $L$4&lt;&gt;""), "검색창 삭제",
 IF($E$4&lt;&gt;"", IFERROR(INDEX(자격증!I:I, MATCH($E$4&amp;"_자격증_"&amp;$B34, 자격증!$Y:$Y, 0)), "-"),
 IF($L$4&lt;&gt;"", IFERROR(INDEX(자격증!I:I, MATCH($L$4&amp;"_자격증_"&amp;$B34, 자격증!$Z:$Z, 0)), "-"), "-"))), IF(OR(_xlpm.res=0, _xlpm.res=""), "-", _xlpm.res))</f>
        <v>-</v>
      </c>
      <c r="J34" s="367" t="str">
        <f>_xlfn.LET(_xlpm.res, IF(AND($E$4&lt;&gt;"", $L$4&lt;&gt;""), "검색창 삭제",
 IF($E$4&lt;&gt;"", IFERROR(INDEX(자격증!J:J, MATCH($E$4&amp;"_자격증_"&amp;$B34, 자격증!$Y:$Y, 0)), "-"),
 IF($L$4&lt;&gt;"", IFERROR(INDEX(자격증!J:J, MATCH($L$4&amp;"_자격증_"&amp;$B34, 자격증!$Z:$Z, 0)), "-"), "-"))), IF(OR(_xlpm.res=0, _xlpm.res=""), "-", _xlpm.res))</f>
        <v>-</v>
      </c>
      <c r="K34" s="367" t="str">
        <f>_xlfn.LET(_xlpm.res, IF(AND($E$4&lt;&gt;"", $L$4&lt;&gt;""), "검색창 삭제",
 IF($E$4&lt;&gt;"", IFERROR(INDEX(자격증!K:K, MATCH($E$4&amp;"_자격증_"&amp;$B34, 자격증!$Y:$Y, 0)), "-"),
 IF($L$4&lt;&gt;"", IFERROR(INDEX(자격증!K:K, MATCH($L$4&amp;"_자격증_"&amp;$B34, 자격증!$Z:$Z, 0)), "-"), "-"))), IF(OR(_xlpm.res=0, _xlpm.res=""), "-", _xlpm.res))</f>
        <v>-</v>
      </c>
      <c r="L34" s="105" t="str">
        <f>IF(AND($E$4&lt;&gt;"", $L$4&lt;&gt;""), "검색창 삭제",
 IF($E$4&lt;&gt;"", IFERROR(HYPERLINK("학력, 자격증-excel 연동 파일\" &amp; $E$4 &amp; "\자격증\" &amp; INDEX(자격증!D:D, MATCH($E$4&amp;"_자격증_"&amp;$B34, 자격증!$Y:$Y, 0)) &amp; "_" &amp; $E$4 &amp; ".pdf", "PDF 열기"), "-"),
 IF($L$4&lt;&gt;"", IFERROR(HYPERLINK("학력, 자격증-excel 연동 파일\" &amp; $C34 &amp; "\자격증\" &amp; INDEX(자격증!D:D, MATCH($D34&amp;"_자격증_"&amp;$B34, 자격증!$Z:$Z, 0)) &amp; "_" &amp; $C34 &amp; ".pdf", "PDF 열기"), "-"), "")))</f>
        <v/>
      </c>
      <c r="N34" s="108">
        <v>27</v>
      </c>
      <c r="O34" s="105" t="str">
        <f>_xlfn.LET(_xlpm.res, IF(COUNTA($E$4, $P$4, $R$4) &gt;= 2, "검색창 삭제",
 IF($E$4&lt;&gt;"", IFERROR(INDEX(학력!A:A, MATCH($E$4&amp;"_학력_"&amp;$N34, 학력!$L:$L, 0)), "-"),
 IF($P$4&lt;&gt;"", IFERROR(INDEX(학력!A:A, MATCH($P$4&amp;"_학력_"&amp;$N34, 학력!$N:$N, 0)), "-"),
 IF($R$4&lt;&gt;"", IFERROR(INDEX(학력!A:A, MATCH($R$4&amp;"_학력_"&amp;$N34, 학력!$M:$M, 0)), "-"), "-")))), IF(OR(_xlpm.res=0, _xlpm.res=""), "-", _xlpm.res))</f>
        <v>-</v>
      </c>
      <c r="P34" s="105" t="str">
        <f>_xlfn.LET(_xlpm.res, IF(COUNTA($E$4, $P$4, $R$4) &gt;= 2, "검색창 삭제",
 IF($E$4&lt;&gt;"", IFERROR(INDEX(학력!D:D, MATCH($E$4&amp;"_학력_"&amp;$N34, 학력!$L:$L, 0)), "-"),
 IF($P$4&lt;&gt;"", IFERROR(INDEX(학력!D:D, MATCH($P$4&amp;"_학력_"&amp;$N34, 학력!$N:$N, 0)), "-"),
 IF($R$4&lt;&gt;"", IFERROR(INDEX(학력!D:D, MATCH($R$4&amp;"_학력_"&amp;$N34, 학력!$M:$M, 0)), "-"), "-")))), IF(OR(_xlpm.res=0, _xlpm.res=""), "-", _xlpm.res))</f>
        <v>-</v>
      </c>
      <c r="Q34" s="105" t="str">
        <f>_xlfn.LET(_xlpm.res, IF(COUNTA($E$4, $P$4, $R$4) &gt;= 2, "검색창 삭제",
 IF($E$4&lt;&gt;"", IFERROR(INDEX(학력!E:E, MATCH($E$4&amp;"_학력_"&amp;$N34, 학력!$L:$L, 0)), "-"),
 IF($P$4&lt;&gt;"", IFERROR(INDEX(학력!E:E, MATCH($P$4&amp;"_학력_"&amp;$N34, 학력!$N:$N, 0)), "-"),
 IF($R$4&lt;&gt;"", IFERROR(INDEX(학력!E:E, MATCH($R$4&amp;"_학력_"&amp;$N34, 학력!$M:$M, 0)), "-"), "-")))), IF(OR(_xlpm.res=0, _xlpm.res=""), "-", _xlpm.res))</f>
        <v>-</v>
      </c>
      <c r="R34" s="105" t="str">
        <f>_xlfn.LET(_xlpm.res, IF(COUNTA($E$4, $P$4, $R$4) &gt;= 2, "검색창 삭제",
 IF($E$4&lt;&gt;"", IFERROR(INDEX(학력!F:F, MATCH($E$4&amp;"_학력_"&amp;$N34, 학력!$L:$L, 0)), "-"),
 IF($P$4&lt;&gt;"", IFERROR(INDEX(학력!F:F, MATCH($P$4&amp;"_학력_"&amp;$N34, 학력!$N:$N, 0)), "-"),
 IF($R$4&lt;&gt;"", IFERROR(INDEX(학력!F:F, MATCH($R$4&amp;"_학력_"&amp;$N34, 학력!$M:$M, 0)), "-"), "-")))), IF(OR(_xlpm.res=0, _xlpm.res=""), "-", _xlpm.res))</f>
        <v>-</v>
      </c>
      <c r="S34" s="105" t="str">
        <f>_xlfn.LET(
    _xlpm.result,
    IF(COUNTA($E$4, $P$4, $R$4) &gt;= 2, "검색창 삭제",
        IF($E$4&lt;&gt;"", IFERROR(INDEX(학력!G:G, MATCH($E$4&amp;"_학력_"&amp;$N34, 학력!$L:$L, 0)), "-"),
        IF($P$4&lt;&gt;"", IFERROR(INDEX(학력!G:G, MATCH($P$4&amp;"_학력_"&amp;$N34, 학력!$N:$N, 0)), "-"),
        IF($R$4&lt;&gt;"", IFERROR(INDEX(학력!G:G, MATCH($R$4&amp;"_학력_"&amp;$N34, 학력!$M:$M, 0)), "-"), "-")))
    ),
    IF(OR(_xlpm.result=0, _xlpm.result=""), "-", _xlpm.result)
)</f>
        <v>-</v>
      </c>
      <c r="T34" s="107" t="str">
        <f>_xlfn.LET(_xlpm.res, IF(COUNTA($E$4, $P$4, $R$4) &gt;= 2, "검색창 삭제",
 IF($E$4&lt;&gt;"", IFERROR(INDEX(학력!H:H, MATCH($E$4&amp;"_학력_"&amp;$N34, 학력!$L:$L, 0)), "-"),
 IF($P$4&lt;&gt;"", IFERROR(INDEX(학력!H:H, MATCH($P$4&amp;"_학력_"&amp;$N34, 학력!$N:$N, 0)), "-"),
 IF($R$4&lt;&gt;"", IFERROR(INDEX(학력!H:H, MATCH($R$4&amp;"_학력_"&amp;$N34, 학력!$M:$M, 0)), "-"), "-")))), IF(OR(_xlpm.res=0, _xlpm.res=""), "-", _xlpm.res))</f>
        <v>-</v>
      </c>
      <c r="U34" s="105" t="str">
        <f>_xlfn.LET(_xlpm.res, IF(COUNTA($E$4, $P$4, $R$4) &gt;= 2, "검색창 삭제",
 IF($E$4&lt;&gt;"", IFERROR(HYPERLINK("학력, 자격증-excel 연동 파일\" &amp; $E$4 &amp; "\학력\" &amp; INDEX(학력!D:D, MATCH($E$4&amp;"_학력_"&amp;$N34, 학력!$L:$L, 0)) &amp; "_" &amp; INDEX(학력!E:E, MATCH($E$4&amp;"_학력_"&amp;$N34, 학력!$L:$L, 0)) &amp; "_" &amp; INDEX(학력!F:F, MATCH($E$4&amp;"_학력_"&amp;$N34, 학력!$L:$L, 0)) &amp; "_" &amp; $E$4 &amp; ".pdf", "PDF"), "-"),
 IF($P$4&lt;&gt;"", IFERROR(HYPERLINK("학력, 자격증-excel 연동 파일\" &amp; INDEX(학력!A:A, MATCH($P$4&amp;"_학력_"&amp;$N34, 학력!$N:$N, 0)) &amp; "\학력\" &amp; INDEX(학력!D:D, MATCH($P$4&amp;"_학력_"&amp;$N34, 학력!$N:$N, 0)) &amp; "_" &amp; INDEX(학력!E:E, MATCH($P$4&amp;"_학력_"&amp;$N34, 학력!$N:$N, 0)) &amp; "_" &amp; INDEX(학력!F:F, MATCH($P$4&amp;"_학력_"&amp;$N34, 학력!$N:$N, 0)) &amp; "_" &amp; INDEX(학력!A:A, MATCH($P$4&amp;"_학력_"&amp;$N34, 학력!$N:$N, 0)) &amp; ".pdf", "PDF"), "-"),
 IF($R$4&lt;&gt;"", IFERROR(HYPERLINK("학력, 자격증-excel 연동 파일\" &amp; INDEX(학력!A:A, MATCH($R$4&amp;"_학력_"&amp;$N34, 학력!$M:$M, 0)) &amp; "\학력\" &amp; INDEX(학력!D:D, MATCH($R$4&amp;"_학력_"&amp;$N34, 학력!$M:$M, 0)) &amp; "_" &amp; INDEX(학력!E:E, MATCH($R$4&amp;"_학력_"&amp;$N34, 학력!$M:$M, 0)) &amp; "_" &amp; INDEX(학력!F:F, MATCH($R$4&amp;"_학력_"&amp;$N34, 학력!$M:$M, 0)) &amp; "_" &amp; INDEX(학력!A:A, MATCH($R$4&amp;"_학력_"&amp;$N34, 학력!$M:$M, 0)) &amp; ".pdf", "PDF"), "-"), "-")))),
 IF(OR(_xlpm.res=0, _xlpm.res=""), "-", _xlpm.res))</f>
        <v>-</v>
      </c>
    </row>
    <row r="35" spans="2:21" ht="20.100000000000001" customHeight="1">
      <c r="B35" s="108">
        <v>28</v>
      </c>
      <c r="C35" s="105" t="str">
        <f>_xlfn.LET(_xlpm.res, IF(AND($E$4&lt;&gt;"", $L$4&lt;&gt;""), "검색창 삭제",
 IF($E$4&lt;&gt;"", IFERROR(INDEX(자격증!A:A, MATCH($E$4&amp;"_자격증_"&amp;$B35, 자격증!$Y:$Y, 0)), "-"),
 IF($L$4&lt;&gt;"", IFERROR(INDEX(자격증!A:A, MATCH($L$4&amp;"_자격증_"&amp;$B35, 자격증!$Z:$Z, 0)), "-"), "-"))), IF(OR(_xlpm.res=0, _xlpm.res=""), "-", _xlpm.res))</f>
        <v>-</v>
      </c>
      <c r="D35" s="106" t="str">
        <f>_xlfn.LET(_xlpm.res, IF(AND($E$4&lt;&gt;"", $L$4&lt;&gt;""), "검색창 삭제",
 IF($E$4&lt;&gt;"", IFERROR(INDEX(자격증!D:D, MATCH($E$4&amp;"_자격증_"&amp;$B35, 자격증!$Y:$Y, 0)), "-"),
 IF($L$4&lt;&gt;"", IFERROR(INDEX(자격증!D:D, MATCH($L$4&amp;"_자격증_"&amp;$B35, 자격증!$Z:$Z, 0)), "-"), "-"))), IF(OR(_xlpm.res=0, _xlpm.res=""), "-", _xlpm.res))</f>
        <v>-</v>
      </c>
      <c r="E35" s="105" t="str">
        <f>_xlfn.LET(_xlpm.res, IF(AND($E$4&lt;&gt;"", $L$4&lt;&gt;""), "검색창 삭제",
 IF($E$4&lt;&gt;"", IFERROR(INDEX(자격증!E:E, MATCH($E$4&amp;"_자격증_"&amp;$B35, 자격증!$Y:$Y, 0)), "-"),
 IF($L$4&lt;&gt;"", IFERROR(INDEX(자격증!E:E, MATCH($L$4&amp;"_자격증_"&amp;$B35, 자격증!$Z:$Z, 0)), "-"), "-"))), IF(OR(_xlpm.res=0, _xlpm.res=""), "-", _xlpm.res))</f>
        <v>-</v>
      </c>
      <c r="F35" s="105" t="str">
        <f>_xlfn.LET(_xlpm.res, IF(AND($E$4&lt;&gt;"", $L$4&lt;&gt;""), "검색창 삭제",
 IF($E$4&lt;&gt;"", IFERROR(INDEX(자격증!F:F, MATCH($E$4&amp;"_자격증_"&amp;$B35, 자격증!$Y:$Y, 0)), "-"),
 IF($L$4&lt;&gt;"", IFERROR(INDEX(자격증!F:F, MATCH($L$4&amp;"_자격증_"&amp;$B35, 자격증!$Z:$Z, 0)), "-"), "-"))), IF(OR(_xlpm.res=0, _xlpm.res=""), "-", _xlpm.res))</f>
        <v>-</v>
      </c>
      <c r="G35" s="105" t="str">
        <f>_xlfn.LET(_xlpm.res, IF(AND($E$4&lt;&gt;"", $L$4&lt;&gt;""), "검색창 삭제",
 IF($E$4&lt;&gt;"", IFERROR(INDEX(자격증!G:G, MATCH($E$4&amp;"_자격증_"&amp;$B35, 자격증!$Y:$Y, 0)), "-"),
 IF($L$4&lt;&gt;"", IFERROR(INDEX(자격증!G:G, MATCH($L$4&amp;"_자격증_"&amp;$B35, 자격증!$Z:$Z, 0)), "-"), "-"))), IF(OR(_xlpm.res=0, _xlpm.res=""), "-", _xlpm.res))</f>
        <v>-</v>
      </c>
      <c r="H35" s="105" t="str">
        <f>_xlfn.LET(_xlpm.res, IF(AND($E$4&lt;&gt;"", $L$4&lt;&gt;""), "검색창 삭제",
 IF($E$4&lt;&gt;"", IFERROR(INDEX(자격증!H:H, MATCH($E$4&amp;"_자격증_"&amp;$B35, 자격증!$Y:$Y, 0)), "-"),
 IF($L$4&lt;&gt;"", IFERROR(INDEX(자격증!H:H, MATCH($L$4&amp;"_자격증_"&amp;$B35, 자격증!$Z:$Z, 0)), "-"), "-"))), IF(OR(_xlpm.res=0, _xlpm.res=""), "-", _xlpm.res))</f>
        <v>-</v>
      </c>
      <c r="I35" s="367" t="str">
        <f>_xlfn.LET(_xlpm.res, IF(AND($E$4&lt;&gt;"", $L$4&lt;&gt;""), "검색창 삭제",
 IF($E$4&lt;&gt;"", IFERROR(INDEX(자격증!I:I, MATCH($E$4&amp;"_자격증_"&amp;$B35, 자격증!$Y:$Y, 0)), "-"),
 IF($L$4&lt;&gt;"", IFERROR(INDEX(자격증!I:I, MATCH($L$4&amp;"_자격증_"&amp;$B35, 자격증!$Z:$Z, 0)), "-"), "-"))), IF(OR(_xlpm.res=0, _xlpm.res=""), "-", _xlpm.res))</f>
        <v>-</v>
      </c>
      <c r="J35" s="367" t="str">
        <f>_xlfn.LET(_xlpm.res, IF(AND($E$4&lt;&gt;"", $L$4&lt;&gt;""), "검색창 삭제",
 IF($E$4&lt;&gt;"", IFERROR(INDEX(자격증!J:J, MATCH($E$4&amp;"_자격증_"&amp;$B35, 자격증!$Y:$Y, 0)), "-"),
 IF($L$4&lt;&gt;"", IFERROR(INDEX(자격증!J:J, MATCH($L$4&amp;"_자격증_"&amp;$B35, 자격증!$Z:$Z, 0)), "-"), "-"))), IF(OR(_xlpm.res=0, _xlpm.res=""), "-", _xlpm.res))</f>
        <v>-</v>
      </c>
      <c r="K35" s="367" t="str">
        <f>_xlfn.LET(_xlpm.res, IF(AND($E$4&lt;&gt;"", $L$4&lt;&gt;""), "검색창 삭제",
 IF($E$4&lt;&gt;"", IFERROR(INDEX(자격증!K:K, MATCH($E$4&amp;"_자격증_"&amp;$B35, 자격증!$Y:$Y, 0)), "-"),
 IF($L$4&lt;&gt;"", IFERROR(INDEX(자격증!K:K, MATCH($L$4&amp;"_자격증_"&amp;$B35, 자격증!$Z:$Z, 0)), "-"), "-"))), IF(OR(_xlpm.res=0, _xlpm.res=""), "-", _xlpm.res))</f>
        <v>-</v>
      </c>
      <c r="L35" s="105" t="str">
        <f>IF(AND($E$4&lt;&gt;"", $L$4&lt;&gt;""), "검색창 삭제",
 IF($E$4&lt;&gt;"", IFERROR(HYPERLINK("학력, 자격증-excel 연동 파일\" &amp; $E$4 &amp; "\자격증\" &amp; INDEX(자격증!D:D, MATCH($E$4&amp;"_자격증_"&amp;$B35, 자격증!$Y:$Y, 0)) &amp; "_" &amp; $E$4 &amp; ".pdf", "PDF 열기"), "-"),
 IF($L$4&lt;&gt;"", IFERROR(HYPERLINK("학력, 자격증-excel 연동 파일\" &amp; $C35 &amp; "\자격증\" &amp; INDEX(자격증!D:D, MATCH($D35&amp;"_자격증_"&amp;$B35, 자격증!$Z:$Z, 0)) &amp; "_" &amp; $C35 &amp; ".pdf", "PDF 열기"), "-"), "")))</f>
        <v/>
      </c>
      <c r="N35" s="108">
        <v>28</v>
      </c>
      <c r="O35" s="105" t="str">
        <f>_xlfn.LET(_xlpm.res, IF(COUNTA($E$4, $P$4, $R$4) &gt;= 2, "검색창 삭제",
 IF($E$4&lt;&gt;"", IFERROR(INDEX(학력!A:A, MATCH($E$4&amp;"_학력_"&amp;$N35, 학력!$L:$L, 0)), "-"),
 IF($P$4&lt;&gt;"", IFERROR(INDEX(학력!A:A, MATCH($P$4&amp;"_학력_"&amp;$N35, 학력!$N:$N, 0)), "-"),
 IF($R$4&lt;&gt;"", IFERROR(INDEX(학력!A:A, MATCH($R$4&amp;"_학력_"&amp;$N35, 학력!$M:$M, 0)), "-"), "-")))), IF(OR(_xlpm.res=0, _xlpm.res=""), "-", _xlpm.res))</f>
        <v>-</v>
      </c>
      <c r="P35" s="105" t="str">
        <f>_xlfn.LET(_xlpm.res, IF(COUNTA($E$4, $P$4, $R$4) &gt;= 2, "검색창 삭제",
 IF($E$4&lt;&gt;"", IFERROR(INDEX(학력!D:D, MATCH($E$4&amp;"_학력_"&amp;$N35, 학력!$L:$L, 0)), "-"),
 IF($P$4&lt;&gt;"", IFERROR(INDEX(학력!D:D, MATCH($P$4&amp;"_학력_"&amp;$N35, 학력!$N:$N, 0)), "-"),
 IF($R$4&lt;&gt;"", IFERROR(INDEX(학력!D:D, MATCH($R$4&amp;"_학력_"&amp;$N35, 학력!$M:$M, 0)), "-"), "-")))), IF(OR(_xlpm.res=0, _xlpm.res=""), "-", _xlpm.res))</f>
        <v>-</v>
      </c>
      <c r="Q35" s="105" t="str">
        <f>_xlfn.LET(_xlpm.res, IF(COUNTA($E$4, $P$4, $R$4) &gt;= 2, "검색창 삭제",
 IF($E$4&lt;&gt;"", IFERROR(INDEX(학력!E:E, MATCH($E$4&amp;"_학력_"&amp;$N35, 학력!$L:$L, 0)), "-"),
 IF($P$4&lt;&gt;"", IFERROR(INDEX(학력!E:E, MATCH($P$4&amp;"_학력_"&amp;$N35, 학력!$N:$N, 0)), "-"),
 IF($R$4&lt;&gt;"", IFERROR(INDEX(학력!E:E, MATCH($R$4&amp;"_학력_"&amp;$N35, 학력!$M:$M, 0)), "-"), "-")))), IF(OR(_xlpm.res=0, _xlpm.res=""), "-", _xlpm.res))</f>
        <v>-</v>
      </c>
      <c r="R35" s="105" t="str">
        <f>_xlfn.LET(_xlpm.res, IF(COUNTA($E$4, $P$4, $R$4) &gt;= 2, "검색창 삭제",
 IF($E$4&lt;&gt;"", IFERROR(INDEX(학력!F:F, MATCH($E$4&amp;"_학력_"&amp;$N35, 학력!$L:$L, 0)), "-"),
 IF($P$4&lt;&gt;"", IFERROR(INDEX(학력!F:F, MATCH($P$4&amp;"_학력_"&amp;$N35, 학력!$N:$N, 0)), "-"),
 IF($R$4&lt;&gt;"", IFERROR(INDEX(학력!F:F, MATCH($R$4&amp;"_학력_"&amp;$N35, 학력!$M:$M, 0)), "-"), "-")))), IF(OR(_xlpm.res=0, _xlpm.res=""), "-", _xlpm.res))</f>
        <v>-</v>
      </c>
      <c r="S35" s="105" t="str">
        <f>_xlfn.LET(
    _xlpm.result,
    IF(COUNTA($E$4, $P$4, $R$4) &gt;= 2, "검색창 삭제",
        IF($E$4&lt;&gt;"", IFERROR(INDEX(학력!G:G, MATCH($E$4&amp;"_학력_"&amp;$N35, 학력!$L:$L, 0)), "-"),
        IF($P$4&lt;&gt;"", IFERROR(INDEX(학력!G:G, MATCH($P$4&amp;"_학력_"&amp;$N35, 학력!$N:$N, 0)), "-"),
        IF($R$4&lt;&gt;"", IFERROR(INDEX(학력!G:G, MATCH($R$4&amp;"_학력_"&amp;$N35, 학력!$M:$M, 0)), "-"), "-")))
    ),
    IF(OR(_xlpm.result=0, _xlpm.result=""), "-", _xlpm.result)
)</f>
        <v>-</v>
      </c>
      <c r="T35" s="107" t="str">
        <f>_xlfn.LET(_xlpm.res, IF(COUNTA($E$4, $P$4, $R$4) &gt;= 2, "검색창 삭제",
 IF($E$4&lt;&gt;"", IFERROR(INDEX(학력!H:H, MATCH($E$4&amp;"_학력_"&amp;$N35, 학력!$L:$L, 0)), "-"),
 IF($P$4&lt;&gt;"", IFERROR(INDEX(학력!H:H, MATCH($P$4&amp;"_학력_"&amp;$N35, 학력!$N:$N, 0)), "-"),
 IF($R$4&lt;&gt;"", IFERROR(INDEX(학력!H:H, MATCH($R$4&amp;"_학력_"&amp;$N35, 학력!$M:$M, 0)), "-"), "-")))), IF(OR(_xlpm.res=0, _xlpm.res=""), "-", _xlpm.res))</f>
        <v>-</v>
      </c>
      <c r="U35" s="105" t="str">
        <f>_xlfn.LET(_xlpm.res, IF(COUNTA($E$4, $P$4, $R$4) &gt;= 2, "검색창 삭제",
 IF($E$4&lt;&gt;"", IFERROR(HYPERLINK("학력, 자격증-excel 연동 파일\" &amp; $E$4 &amp; "\학력\" &amp; INDEX(학력!D:D, MATCH($E$4&amp;"_학력_"&amp;$N35, 학력!$L:$L, 0)) &amp; "_" &amp; INDEX(학력!E:E, MATCH($E$4&amp;"_학력_"&amp;$N35, 학력!$L:$L, 0)) &amp; "_" &amp; INDEX(학력!F:F, MATCH($E$4&amp;"_학력_"&amp;$N35, 학력!$L:$L, 0)) &amp; "_" &amp; $E$4 &amp; ".pdf", "PDF"), "-"),
 IF($P$4&lt;&gt;"", IFERROR(HYPERLINK("학력, 자격증-excel 연동 파일\" &amp; INDEX(학력!A:A, MATCH($P$4&amp;"_학력_"&amp;$N35, 학력!$N:$N, 0)) &amp; "\학력\" &amp; INDEX(학력!D:D, MATCH($P$4&amp;"_학력_"&amp;$N35, 학력!$N:$N, 0)) &amp; "_" &amp; INDEX(학력!E:E, MATCH($P$4&amp;"_학력_"&amp;$N35, 학력!$N:$N, 0)) &amp; "_" &amp; INDEX(학력!F:F, MATCH($P$4&amp;"_학력_"&amp;$N35, 학력!$N:$N, 0)) &amp; "_" &amp; INDEX(학력!A:A, MATCH($P$4&amp;"_학력_"&amp;$N35, 학력!$N:$N, 0)) &amp; ".pdf", "PDF"), "-"),
 IF($R$4&lt;&gt;"", IFERROR(HYPERLINK("학력, 자격증-excel 연동 파일\" &amp; INDEX(학력!A:A, MATCH($R$4&amp;"_학력_"&amp;$N35, 학력!$M:$M, 0)) &amp; "\학력\" &amp; INDEX(학력!D:D, MATCH($R$4&amp;"_학력_"&amp;$N35, 학력!$M:$M, 0)) &amp; "_" &amp; INDEX(학력!E:E, MATCH($R$4&amp;"_학력_"&amp;$N35, 학력!$M:$M, 0)) &amp; "_" &amp; INDEX(학력!F:F, MATCH($R$4&amp;"_학력_"&amp;$N35, 학력!$M:$M, 0)) &amp; "_" &amp; INDEX(학력!A:A, MATCH($R$4&amp;"_학력_"&amp;$N35, 학력!$M:$M, 0)) &amp; ".pdf", "PDF"), "-"), "-")))),
 IF(OR(_xlpm.res=0, _xlpm.res=""), "-", _xlpm.res))</f>
        <v>-</v>
      </c>
    </row>
    <row r="36" spans="2:21" ht="20.100000000000001" customHeight="1">
      <c r="B36" s="108">
        <v>29</v>
      </c>
      <c r="C36" s="105" t="str">
        <f>_xlfn.LET(_xlpm.res, IF(AND($E$4&lt;&gt;"", $L$4&lt;&gt;""), "검색창 삭제",
 IF($E$4&lt;&gt;"", IFERROR(INDEX(자격증!A:A, MATCH($E$4&amp;"_자격증_"&amp;$B36, 자격증!$Y:$Y, 0)), "-"),
 IF($L$4&lt;&gt;"", IFERROR(INDEX(자격증!A:A, MATCH($L$4&amp;"_자격증_"&amp;$B36, 자격증!$Z:$Z, 0)), "-"), "-"))), IF(OR(_xlpm.res=0, _xlpm.res=""), "-", _xlpm.res))</f>
        <v>-</v>
      </c>
      <c r="D36" s="106" t="str">
        <f>_xlfn.LET(_xlpm.res, IF(AND($E$4&lt;&gt;"", $L$4&lt;&gt;""), "검색창 삭제",
 IF($E$4&lt;&gt;"", IFERROR(INDEX(자격증!D:D, MATCH($E$4&amp;"_자격증_"&amp;$B36, 자격증!$Y:$Y, 0)), "-"),
 IF($L$4&lt;&gt;"", IFERROR(INDEX(자격증!D:D, MATCH($L$4&amp;"_자격증_"&amp;$B36, 자격증!$Z:$Z, 0)), "-"), "-"))), IF(OR(_xlpm.res=0, _xlpm.res=""), "-", _xlpm.res))</f>
        <v>-</v>
      </c>
      <c r="E36" s="105" t="str">
        <f>_xlfn.LET(_xlpm.res, IF(AND($E$4&lt;&gt;"", $L$4&lt;&gt;""), "검색창 삭제",
 IF($E$4&lt;&gt;"", IFERROR(INDEX(자격증!E:E, MATCH($E$4&amp;"_자격증_"&amp;$B36, 자격증!$Y:$Y, 0)), "-"),
 IF($L$4&lt;&gt;"", IFERROR(INDEX(자격증!E:E, MATCH($L$4&amp;"_자격증_"&amp;$B36, 자격증!$Z:$Z, 0)), "-"), "-"))), IF(OR(_xlpm.res=0, _xlpm.res=""), "-", _xlpm.res))</f>
        <v>-</v>
      </c>
      <c r="F36" s="105" t="str">
        <f>_xlfn.LET(_xlpm.res, IF(AND($E$4&lt;&gt;"", $L$4&lt;&gt;""), "검색창 삭제",
 IF($E$4&lt;&gt;"", IFERROR(INDEX(자격증!F:F, MATCH($E$4&amp;"_자격증_"&amp;$B36, 자격증!$Y:$Y, 0)), "-"),
 IF($L$4&lt;&gt;"", IFERROR(INDEX(자격증!F:F, MATCH($L$4&amp;"_자격증_"&amp;$B36, 자격증!$Z:$Z, 0)), "-"), "-"))), IF(OR(_xlpm.res=0, _xlpm.res=""), "-", _xlpm.res))</f>
        <v>-</v>
      </c>
      <c r="G36" s="105" t="str">
        <f>_xlfn.LET(_xlpm.res, IF(AND($E$4&lt;&gt;"", $L$4&lt;&gt;""), "검색창 삭제",
 IF($E$4&lt;&gt;"", IFERROR(INDEX(자격증!G:G, MATCH($E$4&amp;"_자격증_"&amp;$B36, 자격증!$Y:$Y, 0)), "-"),
 IF($L$4&lt;&gt;"", IFERROR(INDEX(자격증!G:G, MATCH($L$4&amp;"_자격증_"&amp;$B36, 자격증!$Z:$Z, 0)), "-"), "-"))), IF(OR(_xlpm.res=0, _xlpm.res=""), "-", _xlpm.res))</f>
        <v>-</v>
      </c>
      <c r="H36" s="105" t="str">
        <f>_xlfn.LET(_xlpm.res, IF(AND($E$4&lt;&gt;"", $L$4&lt;&gt;""), "검색창 삭제",
 IF($E$4&lt;&gt;"", IFERROR(INDEX(자격증!H:H, MATCH($E$4&amp;"_자격증_"&amp;$B36, 자격증!$Y:$Y, 0)), "-"),
 IF($L$4&lt;&gt;"", IFERROR(INDEX(자격증!H:H, MATCH($L$4&amp;"_자격증_"&amp;$B36, 자격증!$Z:$Z, 0)), "-"), "-"))), IF(OR(_xlpm.res=0, _xlpm.res=""), "-", _xlpm.res))</f>
        <v>-</v>
      </c>
      <c r="I36" s="367" t="str">
        <f>_xlfn.LET(_xlpm.res, IF(AND($E$4&lt;&gt;"", $L$4&lt;&gt;""), "검색창 삭제",
 IF($E$4&lt;&gt;"", IFERROR(INDEX(자격증!I:I, MATCH($E$4&amp;"_자격증_"&amp;$B36, 자격증!$Y:$Y, 0)), "-"),
 IF($L$4&lt;&gt;"", IFERROR(INDEX(자격증!I:I, MATCH($L$4&amp;"_자격증_"&amp;$B36, 자격증!$Z:$Z, 0)), "-"), "-"))), IF(OR(_xlpm.res=0, _xlpm.res=""), "-", _xlpm.res))</f>
        <v>-</v>
      </c>
      <c r="J36" s="367" t="str">
        <f>_xlfn.LET(_xlpm.res, IF(AND($E$4&lt;&gt;"", $L$4&lt;&gt;""), "검색창 삭제",
 IF($E$4&lt;&gt;"", IFERROR(INDEX(자격증!J:J, MATCH($E$4&amp;"_자격증_"&amp;$B36, 자격증!$Y:$Y, 0)), "-"),
 IF($L$4&lt;&gt;"", IFERROR(INDEX(자격증!J:J, MATCH($L$4&amp;"_자격증_"&amp;$B36, 자격증!$Z:$Z, 0)), "-"), "-"))), IF(OR(_xlpm.res=0, _xlpm.res=""), "-", _xlpm.res))</f>
        <v>-</v>
      </c>
      <c r="K36" s="367" t="str">
        <f>_xlfn.LET(_xlpm.res, IF(AND($E$4&lt;&gt;"", $L$4&lt;&gt;""), "검색창 삭제",
 IF($E$4&lt;&gt;"", IFERROR(INDEX(자격증!K:K, MATCH($E$4&amp;"_자격증_"&amp;$B36, 자격증!$Y:$Y, 0)), "-"),
 IF($L$4&lt;&gt;"", IFERROR(INDEX(자격증!K:K, MATCH($L$4&amp;"_자격증_"&amp;$B36, 자격증!$Z:$Z, 0)), "-"), "-"))), IF(OR(_xlpm.res=0, _xlpm.res=""), "-", _xlpm.res))</f>
        <v>-</v>
      </c>
      <c r="L36" s="105" t="str">
        <f>IF(AND($E$4&lt;&gt;"", $L$4&lt;&gt;""), "검색창 삭제",
 IF($E$4&lt;&gt;"", IFERROR(HYPERLINK("학력, 자격증-excel 연동 파일\" &amp; $E$4 &amp; "\자격증\" &amp; INDEX(자격증!D:D, MATCH($E$4&amp;"_자격증_"&amp;$B36, 자격증!$Y:$Y, 0)) &amp; "_" &amp; $E$4 &amp; ".pdf", "PDF 열기"), "-"),
 IF($L$4&lt;&gt;"", IFERROR(HYPERLINK("학력, 자격증-excel 연동 파일\" &amp; $C36 &amp; "\자격증\" &amp; INDEX(자격증!D:D, MATCH($D36&amp;"_자격증_"&amp;$B36, 자격증!$Z:$Z, 0)) &amp; "_" &amp; $C36 &amp; ".pdf", "PDF 열기"), "-"), "")))</f>
        <v/>
      </c>
      <c r="N36" s="108">
        <v>29</v>
      </c>
      <c r="O36" s="105" t="str">
        <f>_xlfn.LET(_xlpm.res, IF(COUNTA($E$4, $P$4, $R$4) &gt;= 2, "검색창 삭제",
 IF($E$4&lt;&gt;"", IFERROR(INDEX(학력!A:A, MATCH($E$4&amp;"_학력_"&amp;$N36, 학력!$L:$L, 0)), "-"),
 IF($P$4&lt;&gt;"", IFERROR(INDEX(학력!A:A, MATCH($P$4&amp;"_학력_"&amp;$N36, 학력!$N:$N, 0)), "-"),
 IF($R$4&lt;&gt;"", IFERROR(INDEX(학력!A:A, MATCH($R$4&amp;"_학력_"&amp;$N36, 학력!$M:$M, 0)), "-"), "-")))), IF(OR(_xlpm.res=0, _xlpm.res=""), "-", _xlpm.res))</f>
        <v>-</v>
      </c>
      <c r="P36" s="105" t="str">
        <f>_xlfn.LET(_xlpm.res, IF(COUNTA($E$4, $P$4, $R$4) &gt;= 2, "검색창 삭제",
 IF($E$4&lt;&gt;"", IFERROR(INDEX(학력!D:D, MATCH($E$4&amp;"_학력_"&amp;$N36, 학력!$L:$L, 0)), "-"),
 IF($P$4&lt;&gt;"", IFERROR(INDEX(학력!D:D, MATCH($P$4&amp;"_학력_"&amp;$N36, 학력!$N:$N, 0)), "-"),
 IF($R$4&lt;&gt;"", IFERROR(INDEX(학력!D:D, MATCH($R$4&amp;"_학력_"&amp;$N36, 학력!$M:$M, 0)), "-"), "-")))), IF(OR(_xlpm.res=0, _xlpm.res=""), "-", _xlpm.res))</f>
        <v>-</v>
      </c>
      <c r="Q36" s="105" t="str">
        <f>_xlfn.LET(_xlpm.res, IF(COUNTA($E$4, $P$4, $R$4) &gt;= 2, "검색창 삭제",
 IF($E$4&lt;&gt;"", IFERROR(INDEX(학력!E:E, MATCH($E$4&amp;"_학력_"&amp;$N36, 학력!$L:$L, 0)), "-"),
 IF($P$4&lt;&gt;"", IFERROR(INDEX(학력!E:E, MATCH($P$4&amp;"_학력_"&amp;$N36, 학력!$N:$N, 0)), "-"),
 IF($R$4&lt;&gt;"", IFERROR(INDEX(학력!E:E, MATCH($R$4&amp;"_학력_"&amp;$N36, 학력!$M:$M, 0)), "-"), "-")))), IF(OR(_xlpm.res=0, _xlpm.res=""), "-", _xlpm.res))</f>
        <v>-</v>
      </c>
      <c r="R36" s="105" t="str">
        <f>_xlfn.LET(_xlpm.res, IF(COUNTA($E$4, $P$4, $R$4) &gt;= 2, "검색창 삭제",
 IF($E$4&lt;&gt;"", IFERROR(INDEX(학력!F:F, MATCH($E$4&amp;"_학력_"&amp;$N36, 학력!$L:$L, 0)), "-"),
 IF($P$4&lt;&gt;"", IFERROR(INDEX(학력!F:F, MATCH($P$4&amp;"_학력_"&amp;$N36, 학력!$N:$N, 0)), "-"),
 IF($R$4&lt;&gt;"", IFERROR(INDEX(학력!F:F, MATCH($R$4&amp;"_학력_"&amp;$N36, 학력!$M:$M, 0)), "-"), "-")))), IF(OR(_xlpm.res=0, _xlpm.res=""), "-", _xlpm.res))</f>
        <v>-</v>
      </c>
      <c r="S36" s="105" t="str">
        <f>_xlfn.LET(
    _xlpm.result,
    IF(COUNTA($E$4, $P$4, $R$4) &gt;= 2, "검색창 삭제",
        IF($E$4&lt;&gt;"", IFERROR(INDEX(학력!G:G, MATCH($E$4&amp;"_학력_"&amp;$N36, 학력!$L:$L, 0)), "-"),
        IF($P$4&lt;&gt;"", IFERROR(INDEX(학력!G:G, MATCH($P$4&amp;"_학력_"&amp;$N36, 학력!$N:$N, 0)), "-"),
        IF($R$4&lt;&gt;"", IFERROR(INDEX(학력!G:G, MATCH($R$4&amp;"_학력_"&amp;$N36, 학력!$M:$M, 0)), "-"), "-")))
    ),
    IF(OR(_xlpm.result=0, _xlpm.result=""), "-", _xlpm.result)
)</f>
        <v>-</v>
      </c>
      <c r="T36" s="107" t="str">
        <f>_xlfn.LET(_xlpm.res, IF(COUNTA($E$4, $P$4, $R$4) &gt;= 2, "검색창 삭제",
 IF($E$4&lt;&gt;"", IFERROR(INDEX(학력!H:H, MATCH($E$4&amp;"_학력_"&amp;$N36, 학력!$L:$L, 0)), "-"),
 IF($P$4&lt;&gt;"", IFERROR(INDEX(학력!H:H, MATCH($P$4&amp;"_학력_"&amp;$N36, 학력!$N:$N, 0)), "-"),
 IF($R$4&lt;&gt;"", IFERROR(INDEX(학력!H:H, MATCH($R$4&amp;"_학력_"&amp;$N36, 학력!$M:$M, 0)), "-"), "-")))), IF(OR(_xlpm.res=0, _xlpm.res=""), "-", _xlpm.res))</f>
        <v>-</v>
      </c>
      <c r="U36" s="105" t="str">
        <f>_xlfn.LET(_xlpm.res, IF(COUNTA($E$4, $P$4, $R$4) &gt;= 2, "검색창 삭제",
 IF($E$4&lt;&gt;"", IFERROR(HYPERLINK("학력, 자격증-excel 연동 파일\" &amp; $E$4 &amp; "\학력\" &amp; INDEX(학력!D:D, MATCH($E$4&amp;"_학력_"&amp;$N36, 학력!$L:$L, 0)) &amp; "_" &amp; INDEX(학력!E:E, MATCH($E$4&amp;"_학력_"&amp;$N36, 학력!$L:$L, 0)) &amp; "_" &amp; INDEX(학력!F:F, MATCH($E$4&amp;"_학력_"&amp;$N36, 학력!$L:$L, 0)) &amp; "_" &amp; $E$4 &amp; ".pdf", "PDF"), "-"),
 IF($P$4&lt;&gt;"", IFERROR(HYPERLINK("학력, 자격증-excel 연동 파일\" &amp; INDEX(학력!A:A, MATCH($P$4&amp;"_학력_"&amp;$N36, 학력!$N:$N, 0)) &amp; "\학력\" &amp; INDEX(학력!D:D, MATCH($P$4&amp;"_학력_"&amp;$N36, 학력!$N:$N, 0)) &amp; "_" &amp; INDEX(학력!E:E, MATCH($P$4&amp;"_학력_"&amp;$N36, 학력!$N:$N, 0)) &amp; "_" &amp; INDEX(학력!F:F, MATCH($P$4&amp;"_학력_"&amp;$N36, 학력!$N:$N, 0)) &amp; "_" &amp; INDEX(학력!A:A, MATCH($P$4&amp;"_학력_"&amp;$N36, 학력!$N:$N, 0)) &amp; ".pdf", "PDF"), "-"),
 IF($R$4&lt;&gt;"", IFERROR(HYPERLINK("학력, 자격증-excel 연동 파일\" &amp; INDEX(학력!A:A, MATCH($R$4&amp;"_학력_"&amp;$N36, 학력!$M:$M, 0)) &amp; "\학력\" &amp; INDEX(학력!D:D, MATCH($R$4&amp;"_학력_"&amp;$N36, 학력!$M:$M, 0)) &amp; "_" &amp; INDEX(학력!E:E, MATCH($R$4&amp;"_학력_"&amp;$N36, 학력!$M:$M, 0)) &amp; "_" &amp; INDEX(학력!F:F, MATCH($R$4&amp;"_학력_"&amp;$N36, 학력!$M:$M, 0)) &amp; "_" &amp; INDEX(학력!A:A, MATCH($R$4&amp;"_학력_"&amp;$N36, 학력!$M:$M, 0)) &amp; ".pdf", "PDF"), "-"), "-")))),
 IF(OR(_xlpm.res=0, _xlpm.res=""), "-", _xlpm.res))</f>
        <v>-</v>
      </c>
    </row>
    <row r="37" spans="2:21" ht="20.100000000000001" customHeight="1">
      <c r="B37" s="108">
        <v>30</v>
      </c>
      <c r="C37" s="105" t="str">
        <f>_xlfn.LET(_xlpm.res, IF(AND($E$4&lt;&gt;"", $L$4&lt;&gt;""), "검색창 삭제",
 IF($E$4&lt;&gt;"", IFERROR(INDEX(자격증!A:A, MATCH($E$4&amp;"_자격증_"&amp;$B37, 자격증!$Y:$Y, 0)), "-"),
 IF($L$4&lt;&gt;"", IFERROR(INDEX(자격증!A:A, MATCH($L$4&amp;"_자격증_"&amp;$B37, 자격증!$Z:$Z, 0)), "-"), "-"))), IF(OR(_xlpm.res=0, _xlpm.res=""), "-", _xlpm.res))</f>
        <v>-</v>
      </c>
      <c r="D37" s="106" t="str">
        <f>_xlfn.LET(_xlpm.res, IF(AND($E$4&lt;&gt;"", $L$4&lt;&gt;""), "검색창 삭제",
 IF($E$4&lt;&gt;"", IFERROR(INDEX(자격증!D:D, MATCH($E$4&amp;"_자격증_"&amp;$B37, 자격증!$Y:$Y, 0)), "-"),
 IF($L$4&lt;&gt;"", IFERROR(INDEX(자격증!D:D, MATCH($L$4&amp;"_자격증_"&amp;$B37, 자격증!$Z:$Z, 0)), "-"), "-"))), IF(OR(_xlpm.res=0, _xlpm.res=""), "-", _xlpm.res))</f>
        <v>-</v>
      </c>
      <c r="E37" s="105" t="str">
        <f>_xlfn.LET(_xlpm.res, IF(AND($E$4&lt;&gt;"", $L$4&lt;&gt;""), "검색창 삭제",
 IF($E$4&lt;&gt;"", IFERROR(INDEX(자격증!E:E, MATCH($E$4&amp;"_자격증_"&amp;$B37, 자격증!$Y:$Y, 0)), "-"),
 IF($L$4&lt;&gt;"", IFERROR(INDEX(자격증!E:E, MATCH($L$4&amp;"_자격증_"&amp;$B37, 자격증!$Z:$Z, 0)), "-"), "-"))), IF(OR(_xlpm.res=0, _xlpm.res=""), "-", _xlpm.res))</f>
        <v>-</v>
      </c>
      <c r="F37" s="105" t="str">
        <f>_xlfn.LET(_xlpm.res, IF(AND($E$4&lt;&gt;"", $L$4&lt;&gt;""), "검색창 삭제",
 IF($E$4&lt;&gt;"", IFERROR(INDEX(자격증!F:F, MATCH($E$4&amp;"_자격증_"&amp;$B37, 자격증!$Y:$Y, 0)), "-"),
 IF($L$4&lt;&gt;"", IFERROR(INDEX(자격증!F:F, MATCH($L$4&amp;"_자격증_"&amp;$B37, 자격증!$Z:$Z, 0)), "-"), "-"))), IF(OR(_xlpm.res=0, _xlpm.res=""), "-", _xlpm.res))</f>
        <v>-</v>
      </c>
      <c r="G37" s="105" t="str">
        <f>_xlfn.LET(_xlpm.res, IF(AND($E$4&lt;&gt;"", $L$4&lt;&gt;""), "검색창 삭제",
 IF($E$4&lt;&gt;"", IFERROR(INDEX(자격증!G:G, MATCH($E$4&amp;"_자격증_"&amp;$B37, 자격증!$Y:$Y, 0)), "-"),
 IF($L$4&lt;&gt;"", IFERROR(INDEX(자격증!G:G, MATCH($L$4&amp;"_자격증_"&amp;$B37, 자격증!$Z:$Z, 0)), "-"), "-"))), IF(OR(_xlpm.res=0, _xlpm.res=""), "-", _xlpm.res))</f>
        <v>-</v>
      </c>
      <c r="H37" s="105" t="str">
        <f>_xlfn.LET(_xlpm.res, IF(AND($E$4&lt;&gt;"", $L$4&lt;&gt;""), "검색창 삭제",
 IF($E$4&lt;&gt;"", IFERROR(INDEX(자격증!H:H, MATCH($E$4&amp;"_자격증_"&amp;$B37, 자격증!$Y:$Y, 0)), "-"),
 IF($L$4&lt;&gt;"", IFERROR(INDEX(자격증!H:H, MATCH($L$4&amp;"_자격증_"&amp;$B37, 자격증!$Z:$Z, 0)), "-"), "-"))), IF(OR(_xlpm.res=0, _xlpm.res=""), "-", _xlpm.res))</f>
        <v>-</v>
      </c>
      <c r="I37" s="367" t="str">
        <f>_xlfn.LET(_xlpm.res, IF(AND($E$4&lt;&gt;"", $L$4&lt;&gt;""), "검색창 삭제",
 IF($E$4&lt;&gt;"", IFERROR(INDEX(자격증!I:I, MATCH($E$4&amp;"_자격증_"&amp;$B37, 자격증!$Y:$Y, 0)), "-"),
 IF($L$4&lt;&gt;"", IFERROR(INDEX(자격증!I:I, MATCH($L$4&amp;"_자격증_"&amp;$B37, 자격증!$Z:$Z, 0)), "-"), "-"))), IF(OR(_xlpm.res=0, _xlpm.res=""), "-", _xlpm.res))</f>
        <v>-</v>
      </c>
      <c r="J37" s="367" t="str">
        <f>_xlfn.LET(_xlpm.res, IF(AND($E$4&lt;&gt;"", $L$4&lt;&gt;""), "검색창 삭제",
 IF($E$4&lt;&gt;"", IFERROR(INDEX(자격증!J:J, MATCH($E$4&amp;"_자격증_"&amp;$B37, 자격증!$Y:$Y, 0)), "-"),
 IF($L$4&lt;&gt;"", IFERROR(INDEX(자격증!J:J, MATCH($L$4&amp;"_자격증_"&amp;$B37, 자격증!$Z:$Z, 0)), "-"), "-"))), IF(OR(_xlpm.res=0, _xlpm.res=""), "-", _xlpm.res))</f>
        <v>-</v>
      </c>
      <c r="K37" s="367" t="str">
        <f>_xlfn.LET(_xlpm.res, IF(AND($E$4&lt;&gt;"", $L$4&lt;&gt;""), "검색창 삭제",
 IF($E$4&lt;&gt;"", IFERROR(INDEX(자격증!K:K, MATCH($E$4&amp;"_자격증_"&amp;$B37, 자격증!$Y:$Y, 0)), "-"),
 IF($L$4&lt;&gt;"", IFERROR(INDEX(자격증!K:K, MATCH($L$4&amp;"_자격증_"&amp;$B37, 자격증!$Z:$Z, 0)), "-"), "-"))), IF(OR(_xlpm.res=0, _xlpm.res=""), "-", _xlpm.res))</f>
        <v>-</v>
      </c>
      <c r="L37" s="105" t="str">
        <f>IF(AND($E$4&lt;&gt;"", $L$4&lt;&gt;""), "검색창 삭제",
 IF($E$4&lt;&gt;"", IFERROR(HYPERLINK("학력, 자격증-excel 연동 파일\" &amp; $E$4 &amp; "\자격증\" &amp; INDEX(자격증!D:D, MATCH($E$4&amp;"_자격증_"&amp;$B37, 자격증!$Y:$Y, 0)) &amp; "_" &amp; $E$4 &amp; ".pdf", "PDF 열기"), "-"),
 IF($L$4&lt;&gt;"", IFERROR(HYPERLINK("학력, 자격증-excel 연동 파일\" &amp; $C37 &amp; "\자격증\" &amp; INDEX(자격증!D:D, MATCH($D37&amp;"_자격증_"&amp;$B37, 자격증!$Z:$Z, 0)) &amp; "_" &amp; $C37 &amp; ".pdf", "PDF 열기"), "-"), "")))</f>
        <v/>
      </c>
      <c r="N37" s="108">
        <v>30</v>
      </c>
      <c r="O37" s="105" t="str">
        <f>_xlfn.LET(_xlpm.res, IF(COUNTA($E$4, $P$4, $R$4) &gt;= 2, "검색창 삭제",
 IF($E$4&lt;&gt;"", IFERROR(INDEX(학력!A:A, MATCH($E$4&amp;"_학력_"&amp;$N37, 학력!$L:$L, 0)), "-"),
 IF($P$4&lt;&gt;"", IFERROR(INDEX(학력!A:A, MATCH($P$4&amp;"_학력_"&amp;$N37, 학력!$N:$N, 0)), "-"),
 IF($R$4&lt;&gt;"", IFERROR(INDEX(학력!A:A, MATCH($R$4&amp;"_학력_"&amp;$N37, 학력!$M:$M, 0)), "-"), "-")))), IF(OR(_xlpm.res=0, _xlpm.res=""), "-", _xlpm.res))</f>
        <v>-</v>
      </c>
      <c r="P37" s="105" t="str">
        <f>_xlfn.LET(_xlpm.res, IF(COUNTA($E$4, $P$4, $R$4) &gt;= 2, "검색창 삭제",
 IF($E$4&lt;&gt;"", IFERROR(INDEX(학력!D:D, MATCH($E$4&amp;"_학력_"&amp;$N37, 학력!$L:$L, 0)), "-"),
 IF($P$4&lt;&gt;"", IFERROR(INDEX(학력!D:D, MATCH($P$4&amp;"_학력_"&amp;$N37, 학력!$N:$N, 0)), "-"),
 IF($R$4&lt;&gt;"", IFERROR(INDEX(학력!D:D, MATCH($R$4&amp;"_학력_"&amp;$N37, 학력!$M:$M, 0)), "-"), "-")))), IF(OR(_xlpm.res=0, _xlpm.res=""), "-", _xlpm.res))</f>
        <v>-</v>
      </c>
      <c r="Q37" s="105" t="str">
        <f>_xlfn.LET(_xlpm.res, IF(COUNTA($E$4, $P$4, $R$4) &gt;= 2, "검색창 삭제",
 IF($E$4&lt;&gt;"", IFERROR(INDEX(학력!E:E, MATCH($E$4&amp;"_학력_"&amp;$N37, 학력!$L:$L, 0)), "-"),
 IF($P$4&lt;&gt;"", IFERROR(INDEX(학력!E:E, MATCH($P$4&amp;"_학력_"&amp;$N37, 학력!$N:$N, 0)), "-"),
 IF($R$4&lt;&gt;"", IFERROR(INDEX(학력!E:E, MATCH($R$4&amp;"_학력_"&amp;$N37, 학력!$M:$M, 0)), "-"), "-")))), IF(OR(_xlpm.res=0, _xlpm.res=""), "-", _xlpm.res))</f>
        <v>-</v>
      </c>
      <c r="R37" s="105" t="str">
        <f>_xlfn.LET(_xlpm.res, IF(COUNTA($E$4, $P$4, $R$4) &gt;= 2, "검색창 삭제",
 IF($E$4&lt;&gt;"", IFERROR(INDEX(학력!F:F, MATCH($E$4&amp;"_학력_"&amp;$N37, 학력!$L:$L, 0)), "-"),
 IF($P$4&lt;&gt;"", IFERROR(INDEX(학력!F:F, MATCH($P$4&amp;"_학력_"&amp;$N37, 학력!$N:$N, 0)), "-"),
 IF($R$4&lt;&gt;"", IFERROR(INDEX(학력!F:F, MATCH($R$4&amp;"_학력_"&amp;$N37, 학력!$M:$M, 0)), "-"), "-")))), IF(OR(_xlpm.res=0, _xlpm.res=""), "-", _xlpm.res))</f>
        <v>-</v>
      </c>
      <c r="S37" s="105" t="str">
        <f>_xlfn.LET(
    _xlpm.result,
    IF(COUNTA($E$4, $P$4, $R$4) &gt;= 2, "검색창 삭제",
        IF($E$4&lt;&gt;"", IFERROR(INDEX(학력!G:G, MATCH($E$4&amp;"_학력_"&amp;$N37, 학력!$L:$L, 0)), "-"),
        IF($P$4&lt;&gt;"", IFERROR(INDEX(학력!G:G, MATCH($P$4&amp;"_학력_"&amp;$N37, 학력!$N:$N, 0)), "-"),
        IF($R$4&lt;&gt;"", IFERROR(INDEX(학력!G:G, MATCH($R$4&amp;"_학력_"&amp;$N37, 학력!$M:$M, 0)), "-"), "-")))
    ),
    IF(OR(_xlpm.result=0, _xlpm.result=""), "-", _xlpm.result)
)</f>
        <v>-</v>
      </c>
      <c r="T37" s="107" t="str">
        <f>_xlfn.LET(_xlpm.res, IF(COUNTA($E$4, $P$4, $R$4) &gt;= 2, "검색창 삭제",
 IF($E$4&lt;&gt;"", IFERROR(INDEX(학력!H:H, MATCH($E$4&amp;"_학력_"&amp;$N37, 학력!$L:$L, 0)), "-"),
 IF($P$4&lt;&gt;"", IFERROR(INDEX(학력!H:H, MATCH($P$4&amp;"_학력_"&amp;$N37, 학력!$N:$N, 0)), "-"),
 IF($R$4&lt;&gt;"", IFERROR(INDEX(학력!H:H, MATCH($R$4&amp;"_학력_"&amp;$N37, 학력!$M:$M, 0)), "-"), "-")))), IF(OR(_xlpm.res=0, _xlpm.res=""), "-", _xlpm.res))</f>
        <v>-</v>
      </c>
      <c r="U37" s="105" t="str">
        <f>_xlfn.LET(_xlpm.res, IF(COUNTA($E$4, $P$4, $R$4) &gt;= 2, "검색창 삭제",
 IF($E$4&lt;&gt;"", IFERROR(HYPERLINK("학력, 자격증-excel 연동 파일\" &amp; $E$4 &amp; "\학력\" &amp; INDEX(학력!D:D, MATCH($E$4&amp;"_학력_"&amp;$N37, 학력!$L:$L, 0)) &amp; "_" &amp; INDEX(학력!E:E, MATCH($E$4&amp;"_학력_"&amp;$N37, 학력!$L:$L, 0)) &amp; "_" &amp; INDEX(학력!F:F, MATCH($E$4&amp;"_학력_"&amp;$N37, 학력!$L:$L, 0)) &amp; "_" &amp; $E$4 &amp; ".pdf", "PDF"), "-"),
 IF($P$4&lt;&gt;"", IFERROR(HYPERLINK("학력, 자격증-excel 연동 파일\" &amp; INDEX(학력!A:A, MATCH($P$4&amp;"_학력_"&amp;$N37, 학력!$N:$N, 0)) &amp; "\학력\" &amp; INDEX(학력!D:D, MATCH($P$4&amp;"_학력_"&amp;$N37, 학력!$N:$N, 0)) &amp; "_" &amp; INDEX(학력!E:E, MATCH($P$4&amp;"_학력_"&amp;$N37, 학력!$N:$N, 0)) &amp; "_" &amp; INDEX(학력!F:F, MATCH($P$4&amp;"_학력_"&amp;$N37, 학력!$N:$N, 0)) &amp; "_" &amp; INDEX(학력!A:A, MATCH($P$4&amp;"_학력_"&amp;$N37, 학력!$N:$N, 0)) &amp; ".pdf", "PDF"), "-"),
 IF($R$4&lt;&gt;"", IFERROR(HYPERLINK("학력, 자격증-excel 연동 파일\" &amp; INDEX(학력!A:A, MATCH($R$4&amp;"_학력_"&amp;$N37, 학력!$M:$M, 0)) &amp; "\학력\" &amp; INDEX(학력!D:D, MATCH($R$4&amp;"_학력_"&amp;$N37, 학력!$M:$M, 0)) &amp; "_" &amp; INDEX(학력!E:E, MATCH($R$4&amp;"_학력_"&amp;$N37, 학력!$M:$M, 0)) &amp; "_" &amp; INDEX(학력!F:F, MATCH($R$4&amp;"_학력_"&amp;$N37, 학력!$M:$M, 0)) &amp; "_" &amp; INDEX(학력!A:A, MATCH($R$4&amp;"_학력_"&amp;$N37, 학력!$M:$M, 0)) &amp; ".pdf", "PDF"), "-"), "-")))),
 IF(OR(_xlpm.res=0, _xlpm.res=""), "-", _xlpm.res))</f>
        <v>-</v>
      </c>
    </row>
    <row r="38" spans="2:21" ht="20.100000000000001" customHeight="1">
      <c r="B38" s="108">
        <v>31</v>
      </c>
      <c r="C38" s="105" t="str">
        <f>_xlfn.LET(_xlpm.res, IF(AND($E$4&lt;&gt;"", $L$4&lt;&gt;""), "검색창 삭제",
 IF($E$4&lt;&gt;"", IFERROR(INDEX(자격증!A:A, MATCH($E$4&amp;"_자격증_"&amp;$B38, 자격증!$Y:$Y, 0)), "-"),
 IF($L$4&lt;&gt;"", IFERROR(INDEX(자격증!A:A, MATCH($L$4&amp;"_자격증_"&amp;$B38, 자격증!$Z:$Z, 0)), "-"), "-"))), IF(OR(_xlpm.res=0, _xlpm.res=""), "-", _xlpm.res))</f>
        <v>-</v>
      </c>
      <c r="D38" s="106" t="str">
        <f>_xlfn.LET(_xlpm.res, IF(AND($E$4&lt;&gt;"", $L$4&lt;&gt;""), "검색창 삭제",
 IF($E$4&lt;&gt;"", IFERROR(INDEX(자격증!D:D, MATCH($E$4&amp;"_자격증_"&amp;$B38, 자격증!$Y:$Y, 0)), "-"),
 IF($L$4&lt;&gt;"", IFERROR(INDEX(자격증!D:D, MATCH($L$4&amp;"_자격증_"&amp;$B38, 자격증!$Z:$Z, 0)), "-"), "-"))), IF(OR(_xlpm.res=0, _xlpm.res=""), "-", _xlpm.res))</f>
        <v>-</v>
      </c>
      <c r="E38" s="105" t="str">
        <f>_xlfn.LET(_xlpm.res, IF(AND($E$4&lt;&gt;"", $L$4&lt;&gt;""), "검색창 삭제",
 IF($E$4&lt;&gt;"", IFERROR(INDEX(자격증!E:E, MATCH($E$4&amp;"_자격증_"&amp;$B38, 자격증!$Y:$Y, 0)), "-"),
 IF($L$4&lt;&gt;"", IFERROR(INDEX(자격증!E:E, MATCH($L$4&amp;"_자격증_"&amp;$B38, 자격증!$Z:$Z, 0)), "-"), "-"))), IF(OR(_xlpm.res=0, _xlpm.res=""), "-", _xlpm.res))</f>
        <v>-</v>
      </c>
      <c r="F38" s="105" t="str">
        <f>_xlfn.LET(_xlpm.res, IF(AND($E$4&lt;&gt;"", $L$4&lt;&gt;""), "검색창 삭제",
 IF($E$4&lt;&gt;"", IFERROR(INDEX(자격증!F:F, MATCH($E$4&amp;"_자격증_"&amp;$B38, 자격증!$Y:$Y, 0)), "-"),
 IF($L$4&lt;&gt;"", IFERROR(INDEX(자격증!F:F, MATCH($L$4&amp;"_자격증_"&amp;$B38, 자격증!$Z:$Z, 0)), "-"), "-"))), IF(OR(_xlpm.res=0, _xlpm.res=""), "-", _xlpm.res))</f>
        <v>-</v>
      </c>
      <c r="G38" s="105" t="str">
        <f>_xlfn.LET(_xlpm.res, IF(AND($E$4&lt;&gt;"", $L$4&lt;&gt;""), "검색창 삭제",
 IF($E$4&lt;&gt;"", IFERROR(INDEX(자격증!G:G, MATCH($E$4&amp;"_자격증_"&amp;$B38, 자격증!$Y:$Y, 0)), "-"),
 IF($L$4&lt;&gt;"", IFERROR(INDEX(자격증!G:G, MATCH($L$4&amp;"_자격증_"&amp;$B38, 자격증!$Z:$Z, 0)), "-"), "-"))), IF(OR(_xlpm.res=0, _xlpm.res=""), "-", _xlpm.res))</f>
        <v>-</v>
      </c>
      <c r="H38" s="105" t="str">
        <f>_xlfn.LET(_xlpm.res, IF(AND($E$4&lt;&gt;"", $L$4&lt;&gt;""), "검색창 삭제",
 IF($E$4&lt;&gt;"", IFERROR(INDEX(자격증!H:H, MATCH($E$4&amp;"_자격증_"&amp;$B38, 자격증!$Y:$Y, 0)), "-"),
 IF($L$4&lt;&gt;"", IFERROR(INDEX(자격증!H:H, MATCH($L$4&amp;"_자격증_"&amp;$B38, 자격증!$Z:$Z, 0)), "-"), "-"))), IF(OR(_xlpm.res=0, _xlpm.res=""), "-", _xlpm.res))</f>
        <v>-</v>
      </c>
      <c r="I38" s="367" t="str">
        <f>_xlfn.LET(_xlpm.res, IF(AND($E$4&lt;&gt;"", $L$4&lt;&gt;""), "검색창 삭제",
 IF($E$4&lt;&gt;"", IFERROR(INDEX(자격증!I:I, MATCH($E$4&amp;"_자격증_"&amp;$B38, 자격증!$Y:$Y, 0)), "-"),
 IF($L$4&lt;&gt;"", IFERROR(INDEX(자격증!I:I, MATCH($L$4&amp;"_자격증_"&amp;$B38, 자격증!$Z:$Z, 0)), "-"), "-"))), IF(OR(_xlpm.res=0, _xlpm.res=""), "-", _xlpm.res))</f>
        <v>-</v>
      </c>
      <c r="J38" s="367" t="str">
        <f>_xlfn.LET(_xlpm.res, IF(AND($E$4&lt;&gt;"", $L$4&lt;&gt;""), "검색창 삭제",
 IF($E$4&lt;&gt;"", IFERROR(INDEX(자격증!J:J, MATCH($E$4&amp;"_자격증_"&amp;$B38, 자격증!$Y:$Y, 0)), "-"),
 IF($L$4&lt;&gt;"", IFERROR(INDEX(자격증!J:J, MATCH($L$4&amp;"_자격증_"&amp;$B38, 자격증!$Z:$Z, 0)), "-"), "-"))), IF(OR(_xlpm.res=0, _xlpm.res=""), "-", _xlpm.res))</f>
        <v>-</v>
      </c>
      <c r="K38" s="367" t="str">
        <f>_xlfn.LET(_xlpm.res, IF(AND($E$4&lt;&gt;"", $L$4&lt;&gt;""), "검색창 삭제",
 IF($E$4&lt;&gt;"", IFERROR(INDEX(자격증!K:K, MATCH($E$4&amp;"_자격증_"&amp;$B38, 자격증!$Y:$Y, 0)), "-"),
 IF($L$4&lt;&gt;"", IFERROR(INDEX(자격증!K:K, MATCH($L$4&amp;"_자격증_"&amp;$B38, 자격증!$Z:$Z, 0)), "-"), "-"))), IF(OR(_xlpm.res=0, _xlpm.res=""), "-", _xlpm.res))</f>
        <v>-</v>
      </c>
      <c r="L38" s="105" t="str">
        <f>IF(AND($E$4&lt;&gt;"", $L$4&lt;&gt;""), "검색창 삭제",
 IF($E$4&lt;&gt;"", IFERROR(HYPERLINK("학력, 자격증-excel 연동 파일\" &amp; $E$4 &amp; "\자격증\" &amp; INDEX(자격증!D:D, MATCH($E$4&amp;"_자격증_"&amp;$B38, 자격증!$Y:$Y, 0)) &amp; "_" &amp; $E$4 &amp; ".pdf", "PDF 열기"), "-"),
 IF($L$4&lt;&gt;"", IFERROR(HYPERLINK("학력, 자격증-excel 연동 파일\" &amp; $C38 &amp; "\자격증\" &amp; INDEX(자격증!D:D, MATCH($D38&amp;"_자격증_"&amp;$B38, 자격증!$Z:$Z, 0)) &amp; "_" &amp; $C38 &amp; ".pdf", "PDF 열기"), "-"), "")))</f>
        <v/>
      </c>
      <c r="N38" s="108">
        <v>31</v>
      </c>
      <c r="O38" s="105" t="str">
        <f>_xlfn.LET(_xlpm.res, IF(COUNTA($E$4, $P$4, $R$4) &gt;= 2, "검색창 삭제",
 IF($E$4&lt;&gt;"", IFERROR(INDEX(학력!A:A, MATCH($E$4&amp;"_학력_"&amp;$N38, 학력!$L:$L, 0)), "-"),
 IF($P$4&lt;&gt;"", IFERROR(INDEX(학력!A:A, MATCH($P$4&amp;"_학력_"&amp;$N38, 학력!$N:$N, 0)), "-"),
 IF($R$4&lt;&gt;"", IFERROR(INDEX(학력!A:A, MATCH($R$4&amp;"_학력_"&amp;$N38, 학력!$M:$M, 0)), "-"), "-")))), IF(OR(_xlpm.res=0, _xlpm.res=""), "-", _xlpm.res))</f>
        <v>-</v>
      </c>
      <c r="P38" s="105" t="str">
        <f>_xlfn.LET(_xlpm.res, IF(COUNTA($E$4, $P$4, $R$4) &gt;= 2, "검색창 삭제",
 IF($E$4&lt;&gt;"", IFERROR(INDEX(학력!D:D, MATCH($E$4&amp;"_학력_"&amp;$N38, 학력!$L:$L, 0)), "-"),
 IF($P$4&lt;&gt;"", IFERROR(INDEX(학력!D:D, MATCH($P$4&amp;"_학력_"&amp;$N38, 학력!$N:$N, 0)), "-"),
 IF($R$4&lt;&gt;"", IFERROR(INDEX(학력!D:D, MATCH($R$4&amp;"_학력_"&amp;$N38, 학력!$M:$M, 0)), "-"), "-")))), IF(OR(_xlpm.res=0, _xlpm.res=""), "-", _xlpm.res))</f>
        <v>-</v>
      </c>
      <c r="Q38" s="105" t="str">
        <f>_xlfn.LET(_xlpm.res, IF(COUNTA($E$4, $P$4, $R$4) &gt;= 2, "검색창 삭제",
 IF($E$4&lt;&gt;"", IFERROR(INDEX(학력!E:E, MATCH($E$4&amp;"_학력_"&amp;$N38, 학력!$L:$L, 0)), "-"),
 IF($P$4&lt;&gt;"", IFERROR(INDEX(학력!E:E, MATCH($P$4&amp;"_학력_"&amp;$N38, 학력!$N:$N, 0)), "-"),
 IF($R$4&lt;&gt;"", IFERROR(INDEX(학력!E:E, MATCH($R$4&amp;"_학력_"&amp;$N38, 학력!$M:$M, 0)), "-"), "-")))), IF(OR(_xlpm.res=0, _xlpm.res=""), "-", _xlpm.res))</f>
        <v>-</v>
      </c>
      <c r="R38" s="105" t="str">
        <f>_xlfn.LET(_xlpm.res, IF(COUNTA($E$4, $P$4, $R$4) &gt;= 2, "검색창 삭제",
 IF($E$4&lt;&gt;"", IFERROR(INDEX(학력!F:F, MATCH($E$4&amp;"_학력_"&amp;$N38, 학력!$L:$L, 0)), "-"),
 IF($P$4&lt;&gt;"", IFERROR(INDEX(학력!F:F, MATCH($P$4&amp;"_학력_"&amp;$N38, 학력!$N:$N, 0)), "-"),
 IF($R$4&lt;&gt;"", IFERROR(INDEX(학력!F:F, MATCH($R$4&amp;"_학력_"&amp;$N38, 학력!$M:$M, 0)), "-"), "-")))), IF(OR(_xlpm.res=0, _xlpm.res=""), "-", _xlpm.res))</f>
        <v>-</v>
      </c>
      <c r="S38" s="105" t="str">
        <f>_xlfn.LET(
    _xlpm.result,
    IF(COUNTA($E$4, $P$4, $R$4) &gt;= 2, "검색창 삭제",
        IF($E$4&lt;&gt;"", IFERROR(INDEX(학력!G:G, MATCH($E$4&amp;"_학력_"&amp;$N38, 학력!$L:$L, 0)), "-"),
        IF($P$4&lt;&gt;"", IFERROR(INDEX(학력!G:G, MATCH($P$4&amp;"_학력_"&amp;$N38, 학력!$N:$N, 0)), "-"),
        IF($R$4&lt;&gt;"", IFERROR(INDEX(학력!G:G, MATCH($R$4&amp;"_학력_"&amp;$N38, 학력!$M:$M, 0)), "-"), "-")))
    ),
    IF(OR(_xlpm.result=0, _xlpm.result=""), "-", _xlpm.result)
)</f>
        <v>-</v>
      </c>
      <c r="T38" s="107" t="str">
        <f>_xlfn.LET(_xlpm.res, IF(COUNTA($E$4, $P$4, $R$4) &gt;= 2, "검색창 삭제",
 IF($E$4&lt;&gt;"", IFERROR(INDEX(학력!H:H, MATCH($E$4&amp;"_학력_"&amp;$N38, 학력!$L:$L, 0)), "-"),
 IF($P$4&lt;&gt;"", IFERROR(INDEX(학력!H:H, MATCH($P$4&amp;"_학력_"&amp;$N38, 학력!$N:$N, 0)), "-"),
 IF($R$4&lt;&gt;"", IFERROR(INDEX(학력!H:H, MATCH($R$4&amp;"_학력_"&amp;$N38, 학력!$M:$M, 0)), "-"), "-")))), IF(OR(_xlpm.res=0, _xlpm.res=""), "-", _xlpm.res))</f>
        <v>-</v>
      </c>
      <c r="U38" s="105" t="str">
        <f>_xlfn.LET(_xlpm.res, IF(COUNTA($E$4, $P$4, $R$4) &gt;= 2, "검색창 삭제",
 IF($E$4&lt;&gt;"", IFERROR(HYPERLINK("학력, 자격증-excel 연동 파일\" &amp; $E$4 &amp; "\학력\" &amp; INDEX(학력!D:D, MATCH($E$4&amp;"_학력_"&amp;$N38, 학력!$L:$L, 0)) &amp; "_" &amp; INDEX(학력!E:E, MATCH($E$4&amp;"_학력_"&amp;$N38, 학력!$L:$L, 0)) &amp; "_" &amp; INDEX(학력!F:F, MATCH($E$4&amp;"_학력_"&amp;$N38, 학력!$L:$L, 0)) &amp; "_" &amp; $E$4 &amp; ".pdf", "PDF"), "-"),
 IF($P$4&lt;&gt;"", IFERROR(HYPERLINK("학력, 자격증-excel 연동 파일\" &amp; INDEX(학력!A:A, MATCH($P$4&amp;"_학력_"&amp;$N38, 학력!$N:$N, 0)) &amp; "\학력\" &amp; INDEX(학력!D:D, MATCH($P$4&amp;"_학력_"&amp;$N38, 학력!$N:$N, 0)) &amp; "_" &amp; INDEX(학력!E:E, MATCH($P$4&amp;"_학력_"&amp;$N38, 학력!$N:$N, 0)) &amp; "_" &amp; INDEX(학력!F:F, MATCH($P$4&amp;"_학력_"&amp;$N38, 학력!$N:$N, 0)) &amp; "_" &amp; INDEX(학력!A:A, MATCH($P$4&amp;"_학력_"&amp;$N38, 학력!$N:$N, 0)) &amp; ".pdf", "PDF"), "-"),
 IF($R$4&lt;&gt;"", IFERROR(HYPERLINK("학력, 자격증-excel 연동 파일\" &amp; INDEX(학력!A:A, MATCH($R$4&amp;"_학력_"&amp;$N38, 학력!$M:$M, 0)) &amp; "\학력\" &amp; INDEX(학력!D:D, MATCH($R$4&amp;"_학력_"&amp;$N38, 학력!$M:$M, 0)) &amp; "_" &amp; INDEX(학력!E:E, MATCH($R$4&amp;"_학력_"&amp;$N38, 학력!$M:$M, 0)) &amp; "_" &amp; INDEX(학력!F:F, MATCH($R$4&amp;"_학력_"&amp;$N38, 학력!$M:$M, 0)) &amp; "_" &amp; INDEX(학력!A:A, MATCH($R$4&amp;"_학력_"&amp;$N38, 학력!$M:$M, 0)) &amp; ".pdf", "PDF"), "-"), "-")))),
 IF(OR(_xlpm.res=0, _xlpm.res=""), "-", _xlpm.res))</f>
        <v>-</v>
      </c>
    </row>
    <row r="39" spans="2:21" ht="20.100000000000001" customHeight="1">
      <c r="B39" s="108">
        <v>32</v>
      </c>
      <c r="C39" s="105" t="str">
        <f>_xlfn.LET(_xlpm.res, IF(AND($E$4&lt;&gt;"", $L$4&lt;&gt;""), "검색창 삭제",
 IF($E$4&lt;&gt;"", IFERROR(INDEX(자격증!A:A, MATCH($E$4&amp;"_자격증_"&amp;$B39, 자격증!$Y:$Y, 0)), "-"),
 IF($L$4&lt;&gt;"", IFERROR(INDEX(자격증!A:A, MATCH($L$4&amp;"_자격증_"&amp;$B39, 자격증!$Z:$Z, 0)), "-"), "-"))), IF(OR(_xlpm.res=0, _xlpm.res=""), "-", _xlpm.res))</f>
        <v>-</v>
      </c>
      <c r="D39" s="106" t="str">
        <f>_xlfn.LET(_xlpm.res, IF(AND($E$4&lt;&gt;"", $L$4&lt;&gt;""), "검색창 삭제",
 IF($E$4&lt;&gt;"", IFERROR(INDEX(자격증!D:D, MATCH($E$4&amp;"_자격증_"&amp;$B39, 자격증!$Y:$Y, 0)), "-"),
 IF($L$4&lt;&gt;"", IFERROR(INDEX(자격증!D:D, MATCH($L$4&amp;"_자격증_"&amp;$B39, 자격증!$Z:$Z, 0)), "-"), "-"))), IF(OR(_xlpm.res=0, _xlpm.res=""), "-", _xlpm.res))</f>
        <v>-</v>
      </c>
      <c r="E39" s="105" t="str">
        <f>_xlfn.LET(_xlpm.res, IF(AND($E$4&lt;&gt;"", $L$4&lt;&gt;""), "검색창 삭제",
 IF($E$4&lt;&gt;"", IFERROR(INDEX(자격증!E:E, MATCH($E$4&amp;"_자격증_"&amp;$B39, 자격증!$Y:$Y, 0)), "-"),
 IF($L$4&lt;&gt;"", IFERROR(INDEX(자격증!E:E, MATCH($L$4&amp;"_자격증_"&amp;$B39, 자격증!$Z:$Z, 0)), "-"), "-"))), IF(OR(_xlpm.res=0, _xlpm.res=""), "-", _xlpm.res))</f>
        <v>-</v>
      </c>
      <c r="F39" s="105" t="str">
        <f>_xlfn.LET(_xlpm.res, IF(AND($E$4&lt;&gt;"", $L$4&lt;&gt;""), "검색창 삭제",
 IF($E$4&lt;&gt;"", IFERROR(INDEX(자격증!F:F, MATCH($E$4&amp;"_자격증_"&amp;$B39, 자격증!$Y:$Y, 0)), "-"),
 IF($L$4&lt;&gt;"", IFERROR(INDEX(자격증!F:F, MATCH($L$4&amp;"_자격증_"&amp;$B39, 자격증!$Z:$Z, 0)), "-"), "-"))), IF(OR(_xlpm.res=0, _xlpm.res=""), "-", _xlpm.res))</f>
        <v>-</v>
      </c>
      <c r="G39" s="105" t="str">
        <f>_xlfn.LET(_xlpm.res, IF(AND($E$4&lt;&gt;"", $L$4&lt;&gt;""), "검색창 삭제",
 IF($E$4&lt;&gt;"", IFERROR(INDEX(자격증!G:G, MATCH($E$4&amp;"_자격증_"&amp;$B39, 자격증!$Y:$Y, 0)), "-"),
 IF($L$4&lt;&gt;"", IFERROR(INDEX(자격증!G:G, MATCH($L$4&amp;"_자격증_"&amp;$B39, 자격증!$Z:$Z, 0)), "-"), "-"))), IF(OR(_xlpm.res=0, _xlpm.res=""), "-", _xlpm.res))</f>
        <v>-</v>
      </c>
      <c r="H39" s="105" t="str">
        <f>_xlfn.LET(_xlpm.res, IF(AND($E$4&lt;&gt;"", $L$4&lt;&gt;""), "검색창 삭제",
 IF($E$4&lt;&gt;"", IFERROR(INDEX(자격증!H:H, MATCH($E$4&amp;"_자격증_"&amp;$B39, 자격증!$Y:$Y, 0)), "-"),
 IF($L$4&lt;&gt;"", IFERROR(INDEX(자격증!H:H, MATCH($L$4&amp;"_자격증_"&amp;$B39, 자격증!$Z:$Z, 0)), "-"), "-"))), IF(OR(_xlpm.res=0, _xlpm.res=""), "-", _xlpm.res))</f>
        <v>-</v>
      </c>
      <c r="I39" s="367" t="str">
        <f>_xlfn.LET(_xlpm.res, IF(AND($E$4&lt;&gt;"", $L$4&lt;&gt;""), "검색창 삭제",
 IF($E$4&lt;&gt;"", IFERROR(INDEX(자격증!I:I, MATCH($E$4&amp;"_자격증_"&amp;$B39, 자격증!$Y:$Y, 0)), "-"),
 IF($L$4&lt;&gt;"", IFERROR(INDEX(자격증!I:I, MATCH($L$4&amp;"_자격증_"&amp;$B39, 자격증!$Z:$Z, 0)), "-"), "-"))), IF(OR(_xlpm.res=0, _xlpm.res=""), "-", _xlpm.res))</f>
        <v>-</v>
      </c>
      <c r="J39" s="367" t="str">
        <f>_xlfn.LET(_xlpm.res, IF(AND($E$4&lt;&gt;"", $L$4&lt;&gt;""), "검색창 삭제",
 IF($E$4&lt;&gt;"", IFERROR(INDEX(자격증!J:J, MATCH($E$4&amp;"_자격증_"&amp;$B39, 자격증!$Y:$Y, 0)), "-"),
 IF($L$4&lt;&gt;"", IFERROR(INDEX(자격증!J:J, MATCH($L$4&amp;"_자격증_"&amp;$B39, 자격증!$Z:$Z, 0)), "-"), "-"))), IF(OR(_xlpm.res=0, _xlpm.res=""), "-", _xlpm.res))</f>
        <v>-</v>
      </c>
      <c r="K39" s="367" t="str">
        <f>_xlfn.LET(_xlpm.res, IF(AND($E$4&lt;&gt;"", $L$4&lt;&gt;""), "검색창 삭제",
 IF($E$4&lt;&gt;"", IFERROR(INDEX(자격증!K:K, MATCH($E$4&amp;"_자격증_"&amp;$B39, 자격증!$Y:$Y, 0)), "-"),
 IF($L$4&lt;&gt;"", IFERROR(INDEX(자격증!K:K, MATCH($L$4&amp;"_자격증_"&amp;$B39, 자격증!$Z:$Z, 0)), "-"), "-"))), IF(OR(_xlpm.res=0, _xlpm.res=""), "-", _xlpm.res))</f>
        <v>-</v>
      </c>
      <c r="L39" s="105" t="str">
        <f>IF(AND($E$4&lt;&gt;"", $L$4&lt;&gt;""), "검색창 삭제",
 IF($E$4&lt;&gt;"", IFERROR(HYPERLINK("학력, 자격증-excel 연동 파일\" &amp; $E$4 &amp; "\자격증\" &amp; INDEX(자격증!D:D, MATCH($E$4&amp;"_자격증_"&amp;$B39, 자격증!$Y:$Y, 0)) &amp; "_" &amp; $E$4 &amp; ".pdf", "PDF 열기"), "-"),
 IF($L$4&lt;&gt;"", IFERROR(HYPERLINK("학력, 자격증-excel 연동 파일\" &amp; $C39 &amp; "\자격증\" &amp; INDEX(자격증!D:D, MATCH($D39&amp;"_자격증_"&amp;$B39, 자격증!$Z:$Z, 0)) &amp; "_" &amp; $C39 &amp; ".pdf", "PDF 열기"), "-"), "")))</f>
        <v/>
      </c>
      <c r="N39" s="108">
        <v>32</v>
      </c>
      <c r="O39" s="105" t="str">
        <f>_xlfn.LET(_xlpm.res, IF(COUNTA($E$4, $P$4, $R$4) &gt;= 2, "검색창 삭제",
 IF($E$4&lt;&gt;"", IFERROR(INDEX(학력!A:A, MATCH($E$4&amp;"_학력_"&amp;$N39, 학력!$L:$L, 0)), "-"),
 IF($P$4&lt;&gt;"", IFERROR(INDEX(학력!A:A, MATCH($P$4&amp;"_학력_"&amp;$N39, 학력!$N:$N, 0)), "-"),
 IF($R$4&lt;&gt;"", IFERROR(INDEX(학력!A:A, MATCH($R$4&amp;"_학력_"&amp;$N39, 학력!$M:$M, 0)), "-"), "-")))), IF(OR(_xlpm.res=0, _xlpm.res=""), "-", _xlpm.res))</f>
        <v>-</v>
      </c>
      <c r="P39" s="105" t="str">
        <f>_xlfn.LET(_xlpm.res, IF(COUNTA($E$4, $P$4, $R$4) &gt;= 2, "검색창 삭제",
 IF($E$4&lt;&gt;"", IFERROR(INDEX(학력!D:D, MATCH($E$4&amp;"_학력_"&amp;$N39, 학력!$L:$L, 0)), "-"),
 IF($P$4&lt;&gt;"", IFERROR(INDEX(학력!D:D, MATCH($P$4&amp;"_학력_"&amp;$N39, 학력!$N:$N, 0)), "-"),
 IF($R$4&lt;&gt;"", IFERROR(INDEX(학력!D:D, MATCH($R$4&amp;"_학력_"&amp;$N39, 학력!$M:$M, 0)), "-"), "-")))), IF(OR(_xlpm.res=0, _xlpm.res=""), "-", _xlpm.res))</f>
        <v>-</v>
      </c>
      <c r="Q39" s="105" t="str">
        <f>_xlfn.LET(_xlpm.res, IF(COUNTA($E$4, $P$4, $R$4) &gt;= 2, "검색창 삭제",
 IF($E$4&lt;&gt;"", IFERROR(INDEX(학력!E:E, MATCH($E$4&amp;"_학력_"&amp;$N39, 학력!$L:$L, 0)), "-"),
 IF($P$4&lt;&gt;"", IFERROR(INDEX(학력!E:E, MATCH($P$4&amp;"_학력_"&amp;$N39, 학력!$N:$N, 0)), "-"),
 IF($R$4&lt;&gt;"", IFERROR(INDEX(학력!E:E, MATCH($R$4&amp;"_학력_"&amp;$N39, 학력!$M:$M, 0)), "-"), "-")))), IF(OR(_xlpm.res=0, _xlpm.res=""), "-", _xlpm.res))</f>
        <v>-</v>
      </c>
      <c r="R39" s="105" t="str">
        <f>_xlfn.LET(_xlpm.res, IF(COUNTA($E$4, $P$4, $R$4) &gt;= 2, "검색창 삭제",
 IF($E$4&lt;&gt;"", IFERROR(INDEX(학력!F:F, MATCH($E$4&amp;"_학력_"&amp;$N39, 학력!$L:$L, 0)), "-"),
 IF($P$4&lt;&gt;"", IFERROR(INDEX(학력!F:F, MATCH($P$4&amp;"_학력_"&amp;$N39, 학력!$N:$N, 0)), "-"),
 IF($R$4&lt;&gt;"", IFERROR(INDEX(학력!F:F, MATCH($R$4&amp;"_학력_"&amp;$N39, 학력!$M:$M, 0)), "-"), "-")))), IF(OR(_xlpm.res=0, _xlpm.res=""), "-", _xlpm.res))</f>
        <v>-</v>
      </c>
      <c r="S39" s="105" t="str">
        <f>_xlfn.LET(
    _xlpm.result,
    IF(COUNTA($E$4, $P$4, $R$4) &gt;= 2, "검색창 삭제",
        IF($E$4&lt;&gt;"", IFERROR(INDEX(학력!G:G, MATCH($E$4&amp;"_학력_"&amp;$N39, 학력!$L:$L, 0)), "-"),
        IF($P$4&lt;&gt;"", IFERROR(INDEX(학력!G:G, MATCH($P$4&amp;"_학력_"&amp;$N39, 학력!$N:$N, 0)), "-"),
        IF($R$4&lt;&gt;"", IFERROR(INDEX(학력!G:G, MATCH($R$4&amp;"_학력_"&amp;$N39, 학력!$M:$M, 0)), "-"), "-")))
    ),
    IF(OR(_xlpm.result=0, _xlpm.result=""), "-", _xlpm.result)
)</f>
        <v>-</v>
      </c>
      <c r="T39" s="107" t="str">
        <f>_xlfn.LET(_xlpm.res, IF(COUNTA($E$4, $P$4, $R$4) &gt;= 2, "검색창 삭제",
 IF($E$4&lt;&gt;"", IFERROR(INDEX(학력!H:H, MATCH($E$4&amp;"_학력_"&amp;$N39, 학력!$L:$L, 0)), "-"),
 IF($P$4&lt;&gt;"", IFERROR(INDEX(학력!H:H, MATCH($P$4&amp;"_학력_"&amp;$N39, 학력!$N:$N, 0)), "-"),
 IF($R$4&lt;&gt;"", IFERROR(INDEX(학력!H:H, MATCH($R$4&amp;"_학력_"&amp;$N39, 학력!$M:$M, 0)), "-"), "-")))), IF(OR(_xlpm.res=0, _xlpm.res=""), "-", _xlpm.res))</f>
        <v>-</v>
      </c>
      <c r="U39" s="105" t="str">
        <f>_xlfn.LET(_xlpm.res, IF(COUNTA($E$4, $P$4, $R$4) &gt;= 2, "검색창 삭제",
 IF($E$4&lt;&gt;"", IFERROR(HYPERLINK("학력, 자격증-excel 연동 파일\" &amp; $E$4 &amp; "\학력\" &amp; INDEX(학력!D:D, MATCH($E$4&amp;"_학력_"&amp;$N39, 학력!$L:$L, 0)) &amp; "_" &amp; INDEX(학력!E:E, MATCH($E$4&amp;"_학력_"&amp;$N39, 학력!$L:$L, 0)) &amp; "_" &amp; INDEX(학력!F:F, MATCH($E$4&amp;"_학력_"&amp;$N39, 학력!$L:$L, 0)) &amp; "_" &amp; $E$4 &amp; ".pdf", "PDF"), "-"),
 IF($P$4&lt;&gt;"", IFERROR(HYPERLINK("학력, 자격증-excel 연동 파일\" &amp; INDEX(학력!A:A, MATCH($P$4&amp;"_학력_"&amp;$N39, 학력!$N:$N, 0)) &amp; "\학력\" &amp; INDEX(학력!D:D, MATCH($P$4&amp;"_학력_"&amp;$N39, 학력!$N:$N, 0)) &amp; "_" &amp; INDEX(학력!E:E, MATCH($P$4&amp;"_학력_"&amp;$N39, 학력!$N:$N, 0)) &amp; "_" &amp; INDEX(학력!F:F, MATCH($P$4&amp;"_학력_"&amp;$N39, 학력!$N:$N, 0)) &amp; "_" &amp; INDEX(학력!A:A, MATCH($P$4&amp;"_학력_"&amp;$N39, 학력!$N:$N, 0)) &amp; ".pdf", "PDF"), "-"),
 IF($R$4&lt;&gt;"", IFERROR(HYPERLINK("학력, 자격증-excel 연동 파일\" &amp; INDEX(학력!A:A, MATCH($R$4&amp;"_학력_"&amp;$N39, 학력!$M:$M, 0)) &amp; "\학력\" &amp; INDEX(학력!D:D, MATCH($R$4&amp;"_학력_"&amp;$N39, 학력!$M:$M, 0)) &amp; "_" &amp; INDEX(학력!E:E, MATCH($R$4&amp;"_학력_"&amp;$N39, 학력!$M:$M, 0)) &amp; "_" &amp; INDEX(학력!F:F, MATCH($R$4&amp;"_학력_"&amp;$N39, 학력!$M:$M, 0)) &amp; "_" &amp; INDEX(학력!A:A, MATCH($R$4&amp;"_학력_"&amp;$N39, 학력!$M:$M, 0)) &amp; ".pdf", "PDF"), "-"), "-")))),
 IF(OR(_xlpm.res=0, _xlpm.res=""), "-", _xlpm.res))</f>
        <v>-</v>
      </c>
    </row>
    <row r="40" spans="2:21" ht="20.100000000000001" customHeight="1">
      <c r="B40" s="108">
        <v>33</v>
      </c>
      <c r="C40" s="105" t="str">
        <f>_xlfn.LET(_xlpm.res, IF(AND($E$4&lt;&gt;"", $L$4&lt;&gt;""), "검색창 삭제",
 IF($E$4&lt;&gt;"", IFERROR(INDEX(자격증!A:A, MATCH($E$4&amp;"_자격증_"&amp;$B40, 자격증!$Y:$Y, 0)), "-"),
 IF($L$4&lt;&gt;"", IFERROR(INDEX(자격증!A:A, MATCH($L$4&amp;"_자격증_"&amp;$B40, 자격증!$Z:$Z, 0)), "-"), "-"))), IF(OR(_xlpm.res=0, _xlpm.res=""), "-", _xlpm.res))</f>
        <v>-</v>
      </c>
      <c r="D40" s="106" t="str">
        <f>_xlfn.LET(_xlpm.res, IF(AND($E$4&lt;&gt;"", $L$4&lt;&gt;""), "검색창 삭제",
 IF($E$4&lt;&gt;"", IFERROR(INDEX(자격증!D:D, MATCH($E$4&amp;"_자격증_"&amp;$B40, 자격증!$Y:$Y, 0)), "-"),
 IF($L$4&lt;&gt;"", IFERROR(INDEX(자격증!D:D, MATCH($L$4&amp;"_자격증_"&amp;$B40, 자격증!$Z:$Z, 0)), "-"), "-"))), IF(OR(_xlpm.res=0, _xlpm.res=""), "-", _xlpm.res))</f>
        <v>-</v>
      </c>
      <c r="E40" s="105" t="str">
        <f>_xlfn.LET(_xlpm.res, IF(AND($E$4&lt;&gt;"", $L$4&lt;&gt;""), "검색창 삭제",
 IF($E$4&lt;&gt;"", IFERROR(INDEX(자격증!E:E, MATCH($E$4&amp;"_자격증_"&amp;$B40, 자격증!$Y:$Y, 0)), "-"),
 IF($L$4&lt;&gt;"", IFERROR(INDEX(자격증!E:E, MATCH($L$4&amp;"_자격증_"&amp;$B40, 자격증!$Z:$Z, 0)), "-"), "-"))), IF(OR(_xlpm.res=0, _xlpm.res=""), "-", _xlpm.res))</f>
        <v>-</v>
      </c>
      <c r="F40" s="105" t="str">
        <f>_xlfn.LET(_xlpm.res, IF(AND($E$4&lt;&gt;"", $L$4&lt;&gt;""), "검색창 삭제",
 IF($E$4&lt;&gt;"", IFERROR(INDEX(자격증!F:F, MATCH($E$4&amp;"_자격증_"&amp;$B40, 자격증!$Y:$Y, 0)), "-"),
 IF($L$4&lt;&gt;"", IFERROR(INDEX(자격증!F:F, MATCH($L$4&amp;"_자격증_"&amp;$B40, 자격증!$Z:$Z, 0)), "-"), "-"))), IF(OR(_xlpm.res=0, _xlpm.res=""), "-", _xlpm.res))</f>
        <v>-</v>
      </c>
      <c r="G40" s="105" t="str">
        <f>_xlfn.LET(_xlpm.res, IF(AND($E$4&lt;&gt;"", $L$4&lt;&gt;""), "검색창 삭제",
 IF($E$4&lt;&gt;"", IFERROR(INDEX(자격증!G:G, MATCH($E$4&amp;"_자격증_"&amp;$B40, 자격증!$Y:$Y, 0)), "-"),
 IF($L$4&lt;&gt;"", IFERROR(INDEX(자격증!G:G, MATCH($L$4&amp;"_자격증_"&amp;$B40, 자격증!$Z:$Z, 0)), "-"), "-"))), IF(OR(_xlpm.res=0, _xlpm.res=""), "-", _xlpm.res))</f>
        <v>-</v>
      </c>
      <c r="H40" s="105" t="str">
        <f>_xlfn.LET(_xlpm.res, IF(AND($E$4&lt;&gt;"", $L$4&lt;&gt;""), "검색창 삭제",
 IF($E$4&lt;&gt;"", IFERROR(INDEX(자격증!H:H, MATCH($E$4&amp;"_자격증_"&amp;$B40, 자격증!$Y:$Y, 0)), "-"),
 IF($L$4&lt;&gt;"", IFERROR(INDEX(자격증!H:H, MATCH($L$4&amp;"_자격증_"&amp;$B40, 자격증!$Z:$Z, 0)), "-"), "-"))), IF(OR(_xlpm.res=0, _xlpm.res=""), "-", _xlpm.res))</f>
        <v>-</v>
      </c>
      <c r="I40" s="367" t="str">
        <f>_xlfn.LET(_xlpm.res, IF(AND($E$4&lt;&gt;"", $L$4&lt;&gt;""), "검색창 삭제",
 IF($E$4&lt;&gt;"", IFERROR(INDEX(자격증!I:I, MATCH($E$4&amp;"_자격증_"&amp;$B40, 자격증!$Y:$Y, 0)), "-"),
 IF($L$4&lt;&gt;"", IFERROR(INDEX(자격증!I:I, MATCH($L$4&amp;"_자격증_"&amp;$B40, 자격증!$Z:$Z, 0)), "-"), "-"))), IF(OR(_xlpm.res=0, _xlpm.res=""), "-", _xlpm.res))</f>
        <v>-</v>
      </c>
      <c r="J40" s="367" t="str">
        <f>_xlfn.LET(_xlpm.res, IF(AND($E$4&lt;&gt;"", $L$4&lt;&gt;""), "검색창 삭제",
 IF($E$4&lt;&gt;"", IFERROR(INDEX(자격증!J:J, MATCH($E$4&amp;"_자격증_"&amp;$B40, 자격증!$Y:$Y, 0)), "-"),
 IF($L$4&lt;&gt;"", IFERROR(INDEX(자격증!J:J, MATCH($L$4&amp;"_자격증_"&amp;$B40, 자격증!$Z:$Z, 0)), "-"), "-"))), IF(OR(_xlpm.res=0, _xlpm.res=""), "-", _xlpm.res))</f>
        <v>-</v>
      </c>
      <c r="K40" s="367" t="str">
        <f>_xlfn.LET(_xlpm.res, IF(AND($E$4&lt;&gt;"", $L$4&lt;&gt;""), "검색창 삭제",
 IF($E$4&lt;&gt;"", IFERROR(INDEX(자격증!K:K, MATCH($E$4&amp;"_자격증_"&amp;$B40, 자격증!$Y:$Y, 0)), "-"),
 IF($L$4&lt;&gt;"", IFERROR(INDEX(자격증!K:K, MATCH($L$4&amp;"_자격증_"&amp;$B40, 자격증!$Z:$Z, 0)), "-"), "-"))), IF(OR(_xlpm.res=0, _xlpm.res=""), "-", _xlpm.res))</f>
        <v>-</v>
      </c>
      <c r="L40" s="105" t="str">
        <f>IF(AND($E$4&lt;&gt;"", $L$4&lt;&gt;""), "검색창 삭제",
 IF($E$4&lt;&gt;"", IFERROR(HYPERLINK("학력, 자격증-excel 연동 파일\" &amp; $E$4 &amp; "\자격증\" &amp; INDEX(자격증!D:D, MATCH($E$4&amp;"_자격증_"&amp;$B40, 자격증!$Y:$Y, 0)) &amp; "_" &amp; $E$4 &amp; ".pdf", "PDF 열기"), "-"),
 IF($L$4&lt;&gt;"", IFERROR(HYPERLINK("학력, 자격증-excel 연동 파일\" &amp; $C40 &amp; "\자격증\" &amp; INDEX(자격증!D:D, MATCH($D40&amp;"_자격증_"&amp;$B40, 자격증!$Z:$Z, 0)) &amp; "_" &amp; $C40 &amp; ".pdf", "PDF 열기"), "-"), "")))</f>
        <v/>
      </c>
      <c r="N40" s="108">
        <v>33</v>
      </c>
      <c r="O40" s="105" t="str">
        <f>_xlfn.LET(_xlpm.res, IF(COUNTA($E$4, $P$4, $R$4) &gt;= 2, "검색창 삭제",
 IF($E$4&lt;&gt;"", IFERROR(INDEX(학력!A:A, MATCH($E$4&amp;"_학력_"&amp;$N40, 학력!$L:$L, 0)), "-"),
 IF($P$4&lt;&gt;"", IFERROR(INDEX(학력!A:A, MATCH($P$4&amp;"_학력_"&amp;$N40, 학력!$N:$N, 0)), "-"),
 IF($R$4&lt;&gt;"", IFERROR(INDEX(학력!A:A, MATCH($R$4&amp;"_학력_"&amp;$N40, 학력!$M:$M, 0)), "-"), "-")))), IF(OR(_xlpm.res=0, _xlpm.res=""), "-", _xlpm.res))</f>
        <v>-</v>
      </c>
      <c r="P40" s="105" t="str">
        <f>_xlfn.LET(_xlpm.res, IF(COUNTA($E$4, $P$4, $R$4) &gt;= 2, "검색창 삭제",
 IF($E$4&lt;&gt;"", IFERROR(INDEX(학력!D:D, MATCH($E$4&amp;"_학력_"&amp;$N40, 학력!$L:$L, 0)), "-"),
 IF($P$4&lt;&gt;"", IFERROR(INDEX(학력!D:D, MATCH($P$4&amp;"_학력_"&amp;$N40, 학력!$N:$N, 0)), "-"),
 IF($R$4&lt;&gt;"", IFERROR(INDEX(학력!D:D, MATCH($R$4&amp;"_학력_"&amp;$N40, 학력!$M:$M, 0)), "-"), "-")))), IF(OR(_xlpm.res=0, _xlpm.res=""), "-", _xlpm.res))</f>
        <v>-</v>
      </c>
      <c r="Q40" s="105" t="str">
        <f>_xlfn.LET(_xlpm.res, IF(COUNTA($E$4, $P$4, $R$4) &gt;= 2, "검색창 삭제",
 IF($E$4&lt;&gt;"", IFERROR(INDEX(학력!E:E, MATCH($E$4&amp;"_학력_"&amp;$N40, 학력!$L:$L, 0)), "-"),
 IF($P$4&lt;&gt;"", IFERROR(INDEX(학력!E:E, MATCH($P$4&amp;"_학력_"&amp;$N40, 학력!$N:$N, 0)), "-"),
 IF($R$4&lt;&gt;"", IFERROR(INDEX(학력!E:E, MATCH($R$4&amp;"_학력_"&amp;$N40, 학력!$M:$M, 0)), "-"), "-")))), IF(OR(_xlpm.res=0, _xlpm.res=""), "-", _xlpm.res))</f>
        <v>-</v>
      </c>
      <c r="R40" s="105" t="str">
        <f>_xlfn.LET(_xlpm.res, IF(COUNTA($E$4, $P$4, $R$4) &gt;= 2, "검색창 삭제",
 IF($E$4&lt;&gt;"", IFERROR(INDEX(학력!F:F, MATCH($E$4&amp;"_학력_"&amp;$N40, 학력!$L:$L, 0)), "-"),
 IF($P$4&lt;&gt;"", IFERROR(INDEX(학력!F:F, MATCH($P$4&amp;"_학력_"&amp;$N40, 학력!$N:$N, 0)), "-"),
 IF($R$4&lt;&gt;"", IFERROR(INDEX(학력!F:F, MATCH($R$4&amp;"_학력_"&amp;$N40, 학력!$M:$M, 0)), "-"), "-")))), IF(OR(_xlpm.res=0, _xlpm.res=""), "-", _xlpm.res))</f>
        <v>-</v>
      </c>
      <c r="S40" s="105" t="str">
        <f>_xlfn.LET(
    _xlpm.result,
    IF(COUNTA($E$4, $P$4, $R$4) &gt;= 2, "검색창 삭제",
        IF($E$4&lt;&gt;"", IFERROR(INDEX(학력!G:G, MATCH($E$4&amp;"_학력_"&amp;$N40, 학력!$L:$L, 0)), "-"),
        IF($P$4&lt;&gt;"", IFERROR(INDEX(학력!G:G, MATCH($P$4&amp;"_학력_"&amp;$N40, 학력!$N:$N, 0)), "-"),
        IF($R$4&lt;&gt;"", IFERROR(INDEX(학력!G:G, MATCH($R$4&amp;"_학력_"&amp;$N40, 학력!$M:$M, 0)), "-"), "-")))
    ),
    IF(OR(_xlpm.result=0, _xlpm.result=""), "-", _xlpm.result)
)</f>
        <v>-</v>
      </c>
      <c r="T40" s="107" t="str">
        <f>_xlfn.LET(_xlpm.res, IF(COUNTA($E$4, $P$4, $R$4) &gt;= 2, "검색창 삭제",
 IF($E$4&lt;&gt;"", IFERROR(INDEX(학력!H:H, MATCH($E$4&amp;"_학력_"&amp;$N40, 학력!$L:$L, 0)), "-"),
 IF($P$4&lt;&gt;"", IFERROR(INDEX(학력!H:H, MATCH($P$4&amp;"_학력_"&amp;$N40, 학력!$N:$N, 0)), "-"),
 IF($R$4&lt;&gt;"", IFERROR(INDEX(학력!H:H, MATCH($R$4&amp;"_학력_"&amp;$N40, 학력!$M:$M, 0)), "-"), "-")))), IF(OR(_xlpm.res=0, _xlpm.res=""), "-", _xlpm.res))</f>
        <v>-</v>
      </c>
      <c r="U40" s="105" t="str">
        <f>_xlfn.LET(_xlpm.res, IF(COUNTA($E$4, $P$4, $R$4) &gt;= 2, "검색창 삭제",
 IF($E$4&lt;&gt;"", IFERROR(HYPERLINK("학력, 자격증-excel 연동 파일\" &amp; $E$4 &amp; "\학력\" &amp; INDEX(학력!D:D, MATCH($E$4&amp;"_학력_"&amp;$N40, 학력!$L:$L, 0)) &amp; "_" &amp; INDEX(학력!E:E, MATCH($E$4&amp;"_학력_"&amp;$N40, 학력!$L:$L, 0)) &amp; "_" &amp; INDEX(학력!F:F, MATCH($E$4&amp;"_학력_"&amp;$N40, 학력!$L:$L, 0)) &amp; "_" &amp; $E$4 &amp; ".pdf", "PDF"), "-"),
 IF($P$4&lt;&gt;"", IFERROR(HYPERLINK("학력, 자격증-excel 연동 파일\" &amp; INDEX(학력!A:A, MATCH($P$4&amp;"_학력_"&amp;$N40, 학력!$N:$N, 0)) &amp; "\학력\" &amp; INDEX(학력!D:D, MATCH($P$4&amp;"_학력_"&amp;$N40, 학력!$N:$N, 0)) &amp; "_" &amp; INDEX(학력!E:E, MATCH($P$4&amp;"_학력_"&amp;$N40, 학력!$N:$N, 0)) &amp; "_" &amp; INDEX(학력!F:F, MATCH($P$4&amp;"_학력_"&amp;$N40, 학력!$N:$N, 0)) &amp; "_" &amp; INDEX(학력!A:A, MATCH($P$4&amp;"_학력_"&amp;$N40, 학력!$N:$N, 0)) &amp; ".pdf", "PDF"), "-"),
 IF($R$4&lt;&gt;"", IFERROR(HYPERLINK("학력, 자격증-excel 연동 파일\" &amp; INDEX(학력!A:A, MATCH($R$4&amp;"_학력_"&amp;$N40, 학력!$M:$M, 0)) &amp; "\학력\" &amp; INDEX(학력!D:D, MATCH($R$4&amp;"_학력_"&amp;$N40, 학력!$M:$M, 0)) &amp; "_" &amp; INDEX(학력!E:E, MATCH($R$4&amp;"_학력_"&amp;$N40, 학력!$M:$M, 0)) &amp; "_" &amp; INDEX(학력!F:F, MATCH($R$4&amp;"_학력_"&amp;$N40, 학력!$M:$M, 0)) &amp; "_" &amp; INDEX(학력!A:A, MATCH($R$4&amp;"_학력_"&amp;$N40, 학력!$M:$M, 0)) &amp; ".pdf", "PDF"), "-"), "-")))),
 IF(OR(_xlpm.res=0, _xlpm.res=""), "-", _xlpm.res))</f>
        <v>-</v>
      </c>
    </row>
    <row r="41" spans="2:21" ht="20.100000000000001" customHeight="1">
      <c r="B41" s="108">
        <v>34</v>
      </c>
      <c r="C41" s="105" t="str">
        <f>_xlfn.LET(_xlpm.res, IF(AND($E$4&lt;&gt;"", $L$4&lt;&gt;""), "검색창 삭제",
 IF($E$4&lt;&gt;"", IFERROR(INDEX(자격증!A:A, MATCH($E$4&amp;"_자격증_"&amp;$B41, 자격증!$Y:$Y, 0)), "-"),
 IF($L$4&lt;&gt;"", IFERROR(INDEX(자격증!A:A, MATCH($L$4&amp;"_자격증_"&amp;$B41, 자격증!$Z:$Z, 0)), "-"), "-"))), IF(OR(_xlpm.res=0, _xlpm.res=""), "-", _xlpm.res))</f>
        <v>-</v>
      </c>
      <c r="D41" s="106" t="str">
        <f>_xlfn.LET(_xlpm.res, IF(AND($E$4&lt;&gt;"", $L$4&lt;&gt;""), "검색창 삭제",
 IF($E$4&lt;&gt;"", IFERROR(INDEX(자격증!D:D, MATCH($E$4&amp;"_자격증_"&amp;$B41, 자격증!$Y:$Y, 0)), "-"),
 IF($L$4&lt;&gt;"", IFERROR(INDEX(자격증!D:D, MATCH($L$4&amp;"_자격증_"&amp;$B41, 자격증!$Z:$Z, 0)), "-"), "-"))), IF(OR(_xlpm.res=0, _xlpm.res=""), "-", _xlpm.res))</f>
        <v>-</v>
      </c>
      <c r="E41" s="105" t="str">
        <f>_xlfn.LET(_xlpm.res, IF(AND($E$4&lt;&gt;"", $L$4&lt;&gt;""), "검색창 삭제",
 IF($E$4&lt;&gt;"", IFERROR(INDEX(자격증!E:E, MATCH($E$4&amp;"_자격증_"&amp;$B41, 자격증!$Y:$Y, 0)), "-"),
 IF($L$4&lt;&gt;"", IFERROR(INDEX(자격증!E:E, MATCH($L$4&amp;"_자격증_"&amp;$B41, 자격증!$Z:$Z, 0)), "-"), "-"))), IF(OR(_xlpm.res=0, _xlpm.res=""), "-", _xlpm.res))</f>
        <v>-</v>
      </c>
      <c r="F41" s="105" t="str">
        <f>_xlfn.LET(_xlpm.res, IF(AND($E$4&lt;&gt;"", $L$4&lt;&gt;""), "검색창 삭제",
 IF($E$4&lt;&gt;"", IFERROR(INDEX(자격증!F:F, MATCH($E$4&amp;"_자격증_"&amp;$B41, 자격증!$Y:$Y, 0)), "-"),
 IF($L$4&lt;&gt;"", IFERROR(INDEX(자격증!F:F, MATCH($L$4&amp;"_자격증_"&amp;$B41, 자격증!$Z:$Z, 0)), "-"), "-"))), IF(OR(_xlpm.res=0, _xlpm.res=""), "-", _xlpm.res))</f>
        <v>-</v>
      </c>
      <c r="G41" s="105" t="str">
        <f>_xlfn.LET(_xlpm.res, IF(AND($E$4&lt;&gt;"", $L$4&lt;&gt;""), "검색창 삭제",
 IF($E$4&lt;&gt;"", IFERROR(INDEX(자격증!G:G, MATCH($E$4&amp;"_자격증_"&amp;$B41, 자격증!$Y:$Y, 0)), "-"),
 IF($L$4&lt;&gt;"", IFERROR(INDEX(자격증!G:G, MATCH($L$4&amp;"_자격증_"&amp;$B41, 자격증!$Z:$Z, 0)), "-"), "-"))), IF(OR(_xlpm.res=0, _xlpm.res=""), "-", _xlpm.res))</f>
        <v>-</v>
      </c>
      <c r="H41" s="105" t="str">
        <f>_xlfn.LET(_xlpm.res, IF(AND($E$4&lt;&gt;"", $L$4&lt;&gt;""), "검색창 삭제",
 IF($E$4&lt;&gt;"", IFERROR(INDEX(자격증!H:H, MATCH($E$4&amp;"_자격증_"&amp;$B41, 자격증!$Y:$Y, 0)), "-"),
 IF($L$4&lt;&gt;"", IFERROR(INDEX(자격증!H:H, MATCH($L$4&amp;"_자격증_"&amp;$B41, 자격증!$Z:$Z, 0)), "-"), "-"))), IF(OR(_xlpm.res=0, _xlpm.res=""), "-", _xlpm.res))</f>
        <v>-</v>
      </c>
      <c r="I41" s="367" t="str">
        <f>_xlfn.LET(_xlpm.res, IF(AND($E$4&lt;&gt;"", $L$4&lt;&gt;""), "검색창 삭제",
 IF($E$4&lt;&gt;"", IFERROR(INDEX(자격증!I:I, MATCH($E$4&amp;"_자격증_"&amp;$B41, 자격증!$Y:$Y, 0)), "-"),
 IF($L$4&lt;&gt;"", IFERROR(INDEX(자격증!I:I, MATCH($L$4&amp;"_자격증_"&amp;$B41, 자격증!$Z:$Z, 0)), "-"), "-"))), IF(OR(_xlpm.res=0, _xlpm.res=""), "-", _xlpm.res))</f>
        <v>-</v>
      </c>
      <c r="J41" s="367" t="str">
        <f>_xlfn.LET(_xlpm.res, IF(AND($E$4&lt;&gt;"", $L$4&lt;&gt;""), "검색창 삭제",
 IF($E$4&lt;&gt;"", IFERROR(INDEX(자격증!J:J, MATCH($E$4&amp;"_자격증_"&amp;$B41, 자격증!$Y:$Y, 0)), "-"),
 IF($L$4&lt;&gt;"", IFERROR(INDEX(자격증!J:J, MATCH($L$4&amp;"_자격증_"&amp;$B41, 자격증!$Z:$Z, 0)), "-"), "-"))), IF(OR(_xlpm.res=0, _xlpm.res=""), "-", _xlpm.res))</f>
        <v>-</v>
      </c>
      <c r="K41" s="367" t="str">
        <f>_xlfn.LET(_xlpm.res, IF(AND($E$4&lt;&gt;"", $L$4&lt;&gt;""), "검색창 삭제",
 IF($E$4&lt;&gt;"", IFERROR(INDEX(자격증!K:K, MATCH($E$4&amp;"_자격증_"&amp;$B41, 자격증!$Y:$Y, 0)), "-"),
 IF($L$4&lt;&gt;"", IFERROR(INDEX(자격증!K:K, MATCH($L$4&amp;"_자격증_"&amp;$B41, 자격증!$Z:$Z, 0)), "-"), "-"))), IF(OR(_xlpm.res=0, _xlpm.res=""), "-", _xlpm.res))</f>
        <v>-</v>
      </c>
      <c r="L41" s="105" t="str">
        <f>IF(AND($E$4&lt;&gt;"", $L$4&lt;&gt;""), "검색창 삭제",
 IF($E$4&lt;&gt;"", IFERROR(HYPERLINK("학력, 자격증-excel 연동 파일\" &amp; $E$4 &amp; "\자격증\" &amp; INDEX(자격증!D:D, MATCH($E$4&amp;"_자격증_"&amp;$B41, 자격증!$Y:$Y, 0)) &amp; "_" &amp; $E$4 &amp; ".pdf", "PDF 열기"), "-"),
 IF($L$4&lt;&gt;"", IFERROR(HYPERLINK("학력, 자격증-excel 연동 파일\" &amp; $C41 &amp; "\자격증\" &amp; INDEX(자격증!D:D, MATCH($D41&amp;"_자격증_"&amp;$B41, 자격증!$Z:$Z, 0)) &amp; "_" &amp; $C41 &amp; ".pdf", "PDF 열기"), "-"), "")))</f>
        <v/>
      </c>
      <c r="N41" s="108">
        <v>34</v>
      </c>
      <c r="O41" s="105" t="str">
        <f>_xlfn.LET(_xlpm.res, IF(COUNTA($E$4, $P$4, $R$4) &gt;= 2, "검색창 삭제",
 IF($E$4&lt;&gt;"", IFERROR(INDEX(학력!A:A, MATCH($E$4&amp;"_학력_"&amp;$N41, 학력!$L:$L, 0)), "-"),
 IF($P$4&lt;&gt;"", IFERROR(INDEX(학력!A:A, MATCH($P$4&amp;"_학력_"&amp;$N41, 학력!$N:$N, 0)), "-"),
 IF($R$4&lt;&gt;"", IFERROR(INDEX(학력!A:A, MATCH($R$4&amp;"_학력_"&amp;$N41, 학력!$M:$M, 0)), "-"), "-")))), IF(OR(_xlpm.res=0, _xlpm.res=""), "-", _xlpm.res))</f>
        <v>-</v>
      </c>
      <c r="P41" s="105" t="str">
        <f>_xlfn.LET(_xlpm.res, IF(COUNTA($E$4, $P$4, $R$4) &gt;= 2, "검색창 삭제",
 IF($E$4&lt;&gt;"", IFERROR(INDEX(학력!D:D, MATCH($E$4&amp;"_학력_"&amp;$N41, 학력!$L:$L, 0)), "-"),
 IF($P$4&lt;&gt;"", IFERROR(INDEX(학력!D:D, MATCH($P$4&amp;"_학력_"&amp;$N41, 학력!$N:$N, 0)), "-"),
 IF($R$4&lt;&gt;"", IFERROR(INDEX(학력!D:D, MATCH($R$4&amp;"_학력_"&amp;$N41, 학력!$M:$M, 0)), "-"), "-")))), IF(OR(_xlpm.res=0, _xlpm.res=""), "-", _xlpm.res))</f>
        <v>-</v>
      </c>
      <c r="Q41" s="105" t="str">
        <f>_xlfn.LET(_xlpm.res, IF(COUNTA($E$4, $P$4, $R$4) &gt;= 2, "검색창 삭제",
 IF($E$4&lt;&gt;"", IFERROR(INDEX(학력!E:E, MATCH($E$4&amp;"_학력_"&amp;$N41, 학력!$L:$L, 0)), "-"),
 IF($P$4&lt;&gt;"", IFERROR(INDEX(학력!E:E, MATCH($P$4&amp;"_학력_"&amp;$N41, 학력!$N:$N, 0)), "-"),
 IF($R$4&lt;&gt;"", IFERROR(INDEX(학력!E:E, MATCH($R$4&amp;"_학력_"&amp;$N41, 학력!$M:$M, 0)), "-"), "-")))), IF(OR(_xlpm.res=0, _xlpm.res=""), "-", _xlpm.res))</f>
        <v>-</v>
      </c>
      <c r="R41" s="105" t="str">
        <f>_xlfn.LET(_xlpm.res, IF(COUNTA($E$4, $P$4, $R$4) &gt;= 2, "검색창 삭제",
 IF($E$4&lt;&gt;"", IFERROR(INDEX(학력!F:F, MATCH($E$4&amp;"_학력_"&amp;$N41, 학력!$L:$L, 0)), "-"),
 IF($P$4&lt;&gt;"", IFERROR(INDEX(학력!F:F, MATCH($P$4&amp;"_학력_"&amp;$N41, 학력!$N:$N, 0)), "-"),
 IF($R$4&lt;&gt;"", IFERROR(INDEX(학력!F:F, MATCH($R$4&amp;"_학력_"&amp;$N41, 학력!$M:$M, 0)), "-"), "-")))), IF(OR(_xlpm.res=0, _xlpm.res=""), "-", _xlpm.res))</f>
        <v>-</v>
      </c>
      <c r="S41" s="105" t="str">
        <f>_xlfn.LET(
    _xlpm.result,
    IF(COUNTA($E$4, $P$4, $R$4) &gt;= 2, "검색창 삭제",
        IF($E$4&lt;&gt;"", IFERROR(INDEX(학력!G:G, MATCH($E$4&amp;"_학력_"&amp;$N41, 학력!$L:$L, 0)), "-"),
        IF($P$4&lt;&gt;"", IFERROR(INDEX(학력!G:G, MATCH($P$4&amp;"_학력_"&amp;$N41, 학력!$N:$N, 0)), "-"),
        IF($R$4&lt;&gt;"", IFERROR(INDEX(학력!G:G, MATCH($R$4&amp;"_학력_"&amp;$N41, 학력!$M:$M, 0)), "-"), "-")))
    ),
    IF(OR(_xlpm.result=0, _xlpm.result=""), "-", _xlpm.result)
)</f>
        <v>-</v>
      </c>
      <c r="T41" s="107" t="str">
        <f>_xlfn.LET(_xlpm.res, IF(COUNTA($E$4, $P$4, $R$4) &gt;= 2, "검색창 삭제",
 IF($E$4&lt;&gt;"", IFERROR(INDEX(학력!H:H, MATCH($E$4&amp;"_학력_"&amp;$N41, 학력!$L:$L, 0)), "-"),
 IF($P$4&lt;&gt;"", IFERROR(INDEX(학력!H:H, MATCH($P$4&amp;"_학력_"&amp;$N41, 학력!$N:$N, 0)), "-"),
 IF($R$4&lt;&gt;"", IFERROR(INDEX(학력!H:H, MATCH($R$4&amp;"_학력_"&amp;$N41, 학력!$M:$M, 0)), "-"), "-")))), IF(OR(_xlpm.res=0, _xlpm.res=""), "-", _xlpm.res))</f>
        <v>-</v>
      </c>
      <c r="U41" s="105" t="str">
        <f>_xlfn.LET(_xlpm.res, IF(COUNTA($E$4, $P$4, $R$4) &gt;= 2, "검색창 삭제",
 IF($E$4&lt;&gt;"", IFERROR(HYPERLINK("학력, 자격증-excel 연동 파일\" &amp; $E$4 &amp; "\학력\" &amp; INDEX(학력!D:D, MATCH($E$4&amp;"_학력_"&amp;$N41, 학력!$L:$L, 0)) &amp; "_" &amp; INDEX(학력!E:E, MATCH($E$4&amp;"_학력_"&amp;$N41, 학력!$L:$L, 0)) &amp; "_" &amp; INDEX(학력!F:F, MATCH($E$4&amp;"_학력_"&amp;$N41, 학력!$L:$L, 0)) &amp; "_" &amp; $E$4 &amp; ".pdf", "PDF"), "-"),
 IF($P$4&lt;&gt;"", IFERROR(HYPERLINK("학력, 자격증-excel 연동 파일\" &amp; INDEX(학력!A:A, MATCH($P$4&amp;"_학력_"&amp;$N41, 학력!$N:$N, 0)) &amp; "\학력\" &amp; INDEX(학력!D:D, MATCH($P$4&amp;"_학력_"&amp;$N41, 학력!$N:$N, 0)) &amp; "_" &amp; INDEX(학력!E:E, MATCH($P$4&amp;"_학력_"&amp;$N41, 학력!$N:$N, 0)) &amp; "_" &amp; INDEX(학력!F:F, MATCH($P$4&amp;"_학력_"&amp;$N41, 학력!$N:$N, 0)) &amp; "_" &amp; INDEX(학력!A:A, MATCH($P$4&amp;"_학력_"&amp;$N41, 학력!$N:$N, 0)) &amp; ".pdf", "PDF"), "-"),
 IF($R$4&lt;&gt;"", IFERROR(HYPERLINK("학력, 자격증-excel 연동 파일\" &amp; INDEX(학력!A:A, MATCH($R$4&amp;"_학력_"&amp;$N41, 학력!$M:$M, 0)) &amp; "\학력\" &amp; INDEX(학력!D:D, MATCH($R$4&amp;"_학력_"&amp;$N41, 학력!$M:$M, 0)) &amp; "_" &amp; INDEX(학력!E:E, MATCH($R$4&amp;"_학력_"&amp;$N41, 학력!$M:$M, 0)) &amp; "_" &amp; INDEX(학력!F:F, MATCH($R$4&amp;"_학력_"&amp;$N41, 학력!$M:$M, 0)) &amp; "_" &amp; INDEX(학력!A:A, MATCH($R$4&amp;"_학력_"&amp;$N41, 학력!$M:$M, 0)) &amp; ".pdf", "PDF"), "-"), "-")))),
 IF(OR(_xlpm.res=0, _xlpm.res=""), "-", _xlpm.res))</f>
        <v>-</v>
      </c>
    </row>
    <row r="42" spans="2:21" ht="20.100000000000001" customHeight="1">
      <c r="B42" s="108">
        <v>35</v>
      </c>
      <c r="C42" s="105" t="str">
        <f>_xlfn.LET(_xlpm.res, IF(AND($E$4&lt;&gt;"", $L$4&lt;&gt;""), "검색창 삭제",
 IF($E$4&lt;&gt;"", IFERROR(INDEX(자격증!A:A, MATCH($E$4&amp;"_자격증_"&amp;$B42, 자격증!$Y:$Y, 0)), "-"),
 IF($L$4&lt;&gt;"", IFERROR(INDEX(자격증!A:A, MATCH($L$4&amp;"_자격증_"&amp;$B42, 자격증!$Z:$Z, 0)), "-"), "-"))), IF(OR(_xlpm.res=0, _xlpm.res=""), "-", _xlpm.res))</f>
        <v>-</v>
      </c>
      <c r="D42" s="106" t="str">
        <f>_xlfn.LET(_xlpm.res, IF(AND($E$4&lt;&gt;"", $L$4&lt;&gt;""), "검색창 삭제",
 IF($E$4&lt;&gt;"", IFERROR(INDEX(자격증!D:D, MATCH($E$4&amp;"_자격증_"&amp;$B42, 자격증!$Y:$Y, 0)), "-"),
 IF($L$4&lt;&gt;"", IFERROR(INDEX(자격증!D:D, MATCH($L$4&amp;"_자격증_"&amp;$B42, 자격증!$Z:$Z, 0)), "-"), "-"))), IF(OR(_xlpm.res=0, _xlpm.res=""), "-", _xlpm.res))</f>
        <v>-</v>
      </c>
      <c r="E42" s="105" t="str">
        <f>_xlfn.LET(_xlpm.res, IF(AND($E$4&lt;&gt;"", $L$4&lt;&gt;""), "검색창 삭제",
 IF($E$4&lt;&gt;"", IFERROR(INDEX(자격증!E:E, MATCH($E$4&amp;"_자격증_"&amp;$B42, 자격증!$Y:$Y, 0)), "-"),
 IF($L$4&lt;&gt;"", IFERROR(INDEX(자격증!E:E, MATCH($L$4&amp;"_자격증_"&amp;$B42, 자격증!$Z:$Z, 0)), "-"), "-"))), IF(OR(_xlpm.res=0, _xlpm.res=""), "-", _xlpm.res))</f>
        <v>-</v>
      </c>
      <c r="F42" s="105" t="str">
        <f>_xlfn.LET(_xlpm.res, IF(AND($E$4&lt;&gt;"", $L$4&lt;&gt;""), "검색창 삭제",
 IF($E$4&lt;&gt;"", IFERROR(INDEX(자격증!F:F, MATCH($E$4&amp;"_자격증_"&amp;$B42, 자격증!$Y:$Y, 0)), "-"),
 IF($L$4&lt;&gt;"", IFERROR(INDEX(자격증!F:F, MATCH($L$4&amp;"_자격증_"&amp;$B42, 자격증!$Z:$Z, 0)), "-"), "-"))), IF(OR(_xlpm.res=0, _xlpm.res=""), "-", _xlpm.res))</f>
        <v>-</v>
      </c>
      <c r="G42" s="105" t="str">
        <f>_xlfn.LET(_xlpm.res, IF(AND($E$4&lt;&gt;"", $L$4&lt;&gt;""), "검색창 삭제",
 IF($E$4&lt;&gt;"", IFERROR(INDEX(자격증!G:G, MATCH($E$4&amp;"_자격증_"&amp;$B42, 자격증!$Y:$Y, 0)), "-"),
 IF($L$4&lt;&gt;"", IFERROR(INDEX(자격증!G:G, MATCH($L$4&amp;"_자격증_"&amp;$B42, 자격증!$Z:$Z, 0)), "-"), "-"))), IF(OR(_xlpm.res=0, _xlpm.res=""), "-", _xlpm.res))</f>
        <v>-</v>
      </c>
      <c r="H42" s="105" t="str">
        <f>_xlfn.LET(_xlpm.res, IF(AND($E$4&lt;&gt;"", $L$4&lt;&gt;""), "검색창 삭제",
 IF($E$4&lt;&gt;"", IFERROR(INDEX(자격증!H:H, MATCH($E$4&amp;"_자격증_"&amp;$B42, 자격증!$Y:$Y, 0)), "-"),
 IF($L$4&lt;&gt;"", IFERROR(INDEX(자격증!H:H, MATCH($L$4&amp;"_자격증_"&amp;$B42, 자격증!$Z:$Z, 0)), "-"), "-"))), IF(OR(_xlpm.res=0, _xlpm.res=""), "-", _xlpm.res))</f>
        <v>-</v>
      </c>
      <c r="I42" s="367" t="str">
        <f>_xlfn.LET(_xlpm.res, IF(AND($E$4&lt;&gt;"", $L$4&lt;&gt;""), "검색창 삭제",
 IF($E$4&lt;&gt;"", IFERROR(INDEX(자격증!I:I, MATCH($E$4&amp;"_자격증_"&amp;$B42, 자격증!$Y:$Y, 0)), "-"),
 IF($L$4&lt;&gt;"", IFERROR(INDEX(자격증!I:I, MATCH($L$4&amp;"_자격증_"&amp;$B42, 자격증!$Z:$Z, 0)), "-"), "-"))), IF(OR(_xlpm.res=0, _xlpm.res=""), "-", _xlpm.res))</f>
        <v>-</v>
      </c>
      <c r="J42" s="367" t="str">
        <f>_xlfn.LET(_xlpm.res, IF(AND($E$4&lt;&gt;"", $L$4&lt;&gt;""), "검색창 삭제",
 IF($E$4&lt;&gt;"", IFERROR(INDEX(자격증!J:J, MATCH($E$4&amp;"_자격증_"&amp;$B42, 자격증!$Y:$Y, 0)), "-"),
 IF($L$4&lt;&gt;"", IFERROR(INDEX(자격증!J:J, MATCH($L$4&amp;"_자격증_"&amp;$B42, 자격증!$Z:$Z, 0)), "-"), "-"))), IF(OR(_xlpm.res=0, _xlpm.res=""), "-", _xlpm.res))</f>
        <v>-</v>
      </c>
      <c r="K42" s="367" t="str">
        <f>_xlfn.LET(_xlpm.res, IF(AND($E$4&lt;&gt;"", $L$4&lt;&gt;""), "검색창 삭제",
 IF($E$4&lt;&gt;"", IFERROR(INDEX(자격증!K:K, MATCH($E$4&amp;"_자격증_"&amp;$B42, 자격증!$Y:$Y, 0)), "-"),
 IF($L$4&lt;&gt;"", IFERROR(INDEX(자격증!K:K, MATCH($L$4&amp;"_자격증_"&amp;$B42, 자격증!$Z:$Z, 0)), "-"), "-"))), IF(OR(_xlpm.res=0, _xlpm.res=""), "-", _xlpm.res))</f>
        <v>-</v>
      </c>
      <c r="L42" s="105" t="str">
        <f>IF(AND($E$4&lt;&gt;"", $L$4&lt;&gt;""), "검색창 삭제",
 IF($E$4&lt;&gt;"", IFERROR(HYPERLINK("학력, 자격증-excel 연동 파일\" &amp; $E$4 &amp; "\자격증\" &amp; INDEX(자격증!D:D, MATCH($E$4&amp;"_자격증_"&amp;$B42, 자격증!$Y:$Y, 0)) &amp; "_" &amp; $E$4 &amp; ".pdf", "PDF 열기"), "-"),
 IF($L$4&lt;&gt;"", IFERROR(HYPERLINK("학력, 자격증-excel 연동 파일\" &amp; $C42 &amp; "\자격증\" &amp; INDEX(자격증!D:D, MATCH($D42&amp;"_자격증_"&amp;$B42, 자격증!$Z:$Z, 0)) &amp; "_" &amp; $C42 &amp; ".pdf", "PDF 열기"), "-"), "")))</f>
        <v/>
      </c>
      <c r="N42" s="108">
        <v>35</v>
      </c>
      <c r="O42" s="105" t="str">
        <f>_xlfn.LET(_xlpm.res, IF(COUNTA($E$4, $P$4, $R$4) &gt;= 2, "검색창 삭제",
 IF($E$4&lt;&gt;"", IFERROR(INDEX(학력!A:A, MATCH($E$4&amp;"_학력_"&amp;$N42, 학력!$L:$L, 0)), "-"),
 IF($P$4&lt;&gt;"", IFERROR(INDEX(학력!A:A, MATCH($P$4&amp;"_학력_"&amp;$N42, 학력!$N:$N, 0)), "-"),
 IF($R$4&lt;&gt;"", IFERROR(INDEX(학력!A:A, MATCH($R$4&amp;"_학력_"&amp;$N42, 학력!$M:$M, 0)), "-"), "-")))), IF(OR(_xlpm.res=0, _xlpm.res=""), "-", _xlpm.res))</f>
        <v>-</v>
      </c>
      <c r="P42" s="105" t="str">
        <f>_xlfn.LET(_xlpm.res, IF(COUNTA($E$4, $P$4, $R$4) &gt;= 2, "검색창 삭제",
 IF($E$4&lt;&gt;"", IFERROR(INDEX(학력!D:D, MATCH($E$4&amp;"_학력_"&amp;$N42, 학력!$L:$L, 0)), "-"),
 IF($P$4&lt;&gt;"", IFERROR(INDEX(학력!D:D, MATCH($P$4&amp;"_학력_"&amp;$N42, 학력!$N:$N, 0)), "-"),
 IF($R$4&lt;&gt;"", IFERROR(INDEX(학력!D:D, MATCH($R$4&amp;"_학력_"&amp;$N42, 학력!$M:$M, 0)), "-"), "-")))), IF(OR(_xlpm.res=0, _xlpm.res=""), "-", _xlpm.res))</f>
        <v>-</v>
      </c>
      <c r="Q42" s="105" t="str">
        <f>_xlfn.LET(_xlpm.res, IF(COUNTA($E$4, $P$4, $R$4) &gt;= 2, "검색창 삭제",
 IF($E$4&lt;&gt;"", IFERROR(INDEX(학력!E:E, MATCH($E$4&amp;"_학력_"&amp;$N42, 학력!$L:$L, 0)), "-"),
 IF($P$4&lt;&gt;"", IFERROR(INDEX(학력!E:E, MATCH($P$4&amp;"_학력_"&amp;$N42, 학력!$N:$N, 0)), "-"),
 IF($R$4&lt;&gt;"", IFERROR(INDEX(학력!E:E, MATCH($R$4&amp;"_학력_"&amp;$N42, 학력!$M:$M, 0)), "-"), "-")))), IF(OR(_xlpm.res=0, _xlpm.res=""), "-", _xlpm.res))</f>
        <v>-</v>
      </c>
      <c r="R42" s="105" t="str">
        <f>_xlfn.LET(_xlpm.res, IF(COUNTA($E$4, $P$4, $R$4) &gt;= 2, "검색창 삭제",
 IF($E$4&lt;&gt;"", IFERROR(INDEX(학력!F:F, MATCH($E$4&amp;"_학력_"&amp;$N42, 학력!$L:$L, 0)), "-"),
 IF($P$4&lt;&gt;"", IFERROR(INDEX(학력!F:F, MATCH($P$4&amp;"_학력_"&amp;$N42, 학력!$N:$N, 0)), "-"),
 IF($R$4&lt;&gt;"", IFERROR(INDEX(학력!F:F, MATCH($R$4&amp;"_학력_"&amp;$N42, 학력!$M:$M, 0)), "-"), "-")))), IF(OR(_xlpm.res=0, _xlpm.res=""), "-", _xlpm.res))</f>
        <v>-</v>
      </c>
      <c r="S42" s="105" t="str">
        <f>_xlfn.LET(
    _xlpm.result,
    IF(COUNTA($E$4, $P$4, $R$4) &gt;= 2, "검색창 삭제",
        IF($E$4&lt;&gt;"", IFERROR(INDEX(학력!G:G, MATCH($E$4&amp;"_학력_"&amp;$N42, 학력!$L:$L, 0)), "-"),
        IF($P$4&lt;&gt;"", IFERROR(INDEX(학력!G:G, MATCH($P$4&amp;"_학력_"&amp;$N42, 학력!$N:$N, 0)), "-"),
        IF($R$4&lt;&gt;"", IFERROR(INDEX(학력!G:G, MATCH($R$4&amp;"_학력_"&amp;$N42, 학력!$M:$M, 0)), "-"), "-")))
    ),
    IF(OR(_xlpm.result=0, _xlpm.result=""), "-", _xlpm.result)
)</f>
        <v>-</v>
      </c>
      <c r="T42" s="107" t="str">
        <f>_xlfn.LET(_xlpm.res, IF(COUNTA($E$4, $P$4, $R$4) &gt;= 2, "검색창 삭제",
 IF($E$4&lt;&gt;"", IFERROR(INDEX(학력!H:H, MATCH($E$4&amp;"_학력_"&amp;$N42, 학력!$L:$L, 0)), "-"),
 IF($P$4&lt;&gt;"", IFERROR(INDEX(학력!H:H, MATCH($P$4&amp;"_학력_"&amp;$N42, 학력!$N:$N, 0)), "-"),
 IF($R$4&lt;&gt;"", IFERROR(INDEX(학력!H:H, MATCH($R$4&amp;"_학력_"&amp;$N42, 학력!$M:$M, 0)), "-"), "-")))), IF(OR(_xlpm.res=0, _xlpm.res=""), "-", _xlpm.res))</f>
        <v>-</v>
      </c>
      <c r="U42" s="105" t="str">
        <f>_xlfn.LET(_xlpm.res, IF(COUNTA($E$4, $P$4, $R$4) &gt;= 2, "검색창 삭제",
 IF($E$4&lt;&gt;"", IFERROR(HYPERLINK("학력, 자격증-excel 연동 파일\" &amp; $E$4 &amp; "\학력\" &amp; INDEX(학력!D:D, MATCH($E$4&amp;"_학력_"&amp;$N42, 학력!$L:$L, 0)) &amp; "_" &amp; INDEX(학력!E:E, MATCH($E$4&amp;"_학력_"&amp;$N42, 학력!$L:$L, 0)) &amp; "_" &amp; INDEX(학력!F:F, MATCH($E$4&amp;"_학력_"&amp;$N42, 학력!$L:$L, 0)) &amp; "_" &amp; $E$4 &amp; ".pdf", "PDF"), "-"),
 IF($P$4&lt;&gt;"", IFERROR(HYPERLINK("학력, 자격증-excel 연동 파일\" &amp; INDEX(학력!A:A, MATCH($P$4&amp;"_학력_"&amp;$N42, 학력!$N:$N, 0)) &amp; "\학력\" &amp; INDEX(학력!D:D, MATCH($P$4&amp;"_학력_"&amp;$N42, 학력!$N:$N, 0)) &amp; "_" &amp; INDEX(학력!E:E, MATCH($P$4&amp;"_학력_"&amp;$N42, 학력!$N:$N, 0)) &amp; "_" &amp; INDEX(학력!F:F, MATCH($P$4&amp;"_학력_"&amp;$N42, 학력!$N:$N, 0)) &amp; "_" &amp; INDEX(학력!A:A, MATCH($P$4&amp;"_학력_"&amp;$N42, 학력!$N:$N, 0)) &amp; ".pdf", "PDF"), "-"),
 IF($R$4&lt;&gt;"", IFERROR(HYPERLINK("학력, 자격증-excel 연동 파일\" &amp; INDEX(학력!A:A, MATCH($R$4&amp;"_학력_"&amp;$N42, 학력!$M:$M, 0)) &amp; "\학력\" &amp; INDEX(학력!D:D, MATCH($R$4&amp;"_학력_"&amp;$N42, 학력!$M:$M, 0)) &amp; "_" &amp; INDEX(학력!E:E, MATCH($R$4&amp;"_학력_"&amp;$N42, 학력!$M:$M, 0)) &amp; "_" &amp; INDEX(학력!F:F, MATCH($R$4&amp;"_학력_"&amp;$N42, 학력!$M:$M, 0)) &amp; "_" &amp; INDEX(학력!A:A, MATCH($R$4&amp;"_학력_"&amp;$N42, 학력!$M:$M, 0)) &amp; ".pdf", "PDF"), "-"), "-")))),
 IF(OR(_xlpm.res=0, _xlpm.res=""), "-", _xlpm.res))</f>
        <v>-</v>
      </c>
    </row>
    <row r="43" spans="2:21" ht="20.100000000000001" customHeight="1">
      <c r="B43" s="108">
        <v>36</v>
      </c>
      <c r="C43" s="105" t="str">
        <f>_xlfn.LET(_xlpm.res, IF(AND($E$4&lt;&gt;"", $L$4&lt;&gt;""), "검색창 삭제",
 IF($E$4&lt;&gt;"", IFERROR(INDEX(자격증!A:A, MATCH($E$4&amp;"_자격증_"&amp;$B43, 자격증!$Y:$Y, 0)), "-"),
 IF($L$4&lt;&gt;"", IFERROR(INDEX(자격증!A:A, MATCH($L$4&amp;"_자격증_"&amp;$B43, 자격증!$Z:$Z, 0)), "-"), "-"))), IF(OR(_xlpm.res=0, _xlpm.res=""), "-", _xlpm.res))</f>
        <v>-</v>
      </c>
      <c r="D43" s="106" t="str">
        <f>_xlfn.LET(_xlpm.res, IF(AND($E$4&lt;&gt;"", $L$4&lt;&gt;""), "검색창 삭제",
 IF($E$4&lt;&gt;"", IFERROR(INDEX(자격증!D:D, MATCH($E$4&amp;"_자격증_"&amp;$B43, 자격증!$Y:$Y, 0)), "-"),
 IF($L$4&lt;&gt;"", IFERROR(INDEX(자격증!D:D, MATCH($L$4&amp;"_자격증_"&amp;$B43, 자격증!$Z:$Z, 0)), "-"), "-"))), IF(OR(_xlpm.res=0, _xlpm.res=""), "-", _xlpm.res))</f>
        <v>-</v>
      </c>
      <c r="E43" s="105" t="str">
        <f>_xlfn.LET(_xlpm.res, IF(AND($E$4&lt;&gt;"", $L$4&lt;&gt;""), "검색창 삭제",
 IF($E$4&lt;&gt;"", IFERROR(INDEX(자격증!E:E, MATCH($E$4&amp;"_자격증_"&amp;$B43, 자격증!$Y:$Y, 0)), "-"),
 IF($L$4&lt;&gt;"", IFERROR(INDEX(자격증!E:E, MATCH($L$4&amp;"_자격증_"&amp;$B43, 자격증!$Z:$Z, 0)), "-"), "-"))), IF(OR(_xlpm.res=0, _xlpm.res=""), "-", _xlpm.res))</f>
        <v>-</v>
      </c>
      <c r="F43" s="105" t="str">
        <f>_xlfn.LET(_xlpm.res, IF(AND($E$4&lt;&gt;"", $L$4&lt;&gt;""), "검색창 삭제",
 IF($E$4&lt;&gt;"", IFERROR(INDEX(자격증!F:F, MATCH($E$4&amp;"_자격증_"&amp;$B43, 자격증!$Y:$Y, 0)), "-"),
 IF($L$4&lt;&gt;"", IFERROR(INDEX(자격증!F:F, MATCH($L$4&amp;"_자격증_"&amp;$B43, 자격증!$Z:$Z, 0)), "-"), "-"))), IF(OR(_xlpm.res=0, _xlpm.res=""), "-", _xlpm.res))</f>
        <v>-</v>
      </c>
      <c r="G43" s="105" t="str">
        <f>_xlfn.LET(_xlpm.res, IF(AND($E$4&lt;&gt;"", $L$4&lt;&gt;""), "검색창 삭제",
 IF($E$4&lt;&gt;"", IFERROR(INDEX(자격증!G:G, MATCH($E$4&amp;"_자격증_"&amp;$B43, 자격증!$Y:$Y, 0)), "-"),
 IF($L$4&lt;&gt;"", IFERROR(INDEX(자격증!G:G, MATCH($L$4&amp;"_자격증_"&amp;$B43, 자격증!$Z:$Z, 0)), "-"), "-"))), IF(OR(_xlpm.res=0, _xlpm.res=""), "-", _xlpm.res))</f>
        <v>-</v>
      </c>
      <c r="H43" s="105" t="str">
        <f>_xlfn.LET(_xlpm.res, IF(AND($E$4&lt;&gt;"", $L$4&lt;&gt;""), "검색창 삭제",
 IF($E$4&lt;&gt;"", IFERROR(INDEX(자격증!H:H, MATCH($E$4&amp;"_자격증_"&amp;$B43, 자격증!$Y:$Y, 0)), "-"),
 IF($L$4&lt;&gt;"", IFERROR(INDEX(자격증!H:H, MATCH($L$4&amp;"_자격증_"&amp;$B43, 자격증!$Z:$Z, 0)), "-"), "-"))), IF(OR(_xlpm.res=0, _xlpm.res=""), "-", _xlpm.res))</f>
        <v>-</v>
      </c>
      <c r="I43" s="367" t="str">
        <f>_xlfn.LET(_xlpm.res, IF(AND($E$4&lt;&gt;"", $L$4&lt;&gt;""), "검색창 삭제",
 IF($E$4&lt;&gt;"", IFERROR(INDEX(자격증!I:I, MATCH($E$4&amp;"_자격증_"&amp;$B43, 자격증!$Y:$Y, 0)), "-"),
 IF($L$4&lt;&gt;"", IFERROR(INDEX(자격증!I:I, MATCH($L$4&amp;"_자격증_"&amp;$B43, 자격증!$Z:$Z, 0)), "-"), "-"))), IF(OR(_xlpm.res=0, _xlpm.res=""), "-", _xlpm.res))</f>
        <v>-</v>
      </c>
      <c r="J43" s="367" t="str">
        <f>_xlfn.LET(_xlpm.res, IF(AND($E$4&lt;&gt;"", $L$4&lt;&gt;""), "검색창 삭제",
 IF($E$4&lt;&gt;"", IFERROR(INDEX(자격증!J:J, MATCH($E$4&amp;"_자격증_"&amp;$B43, 자격증!$Y:$Y, 0)), "-"),
 IF($L$4&lt;&gt;"", IFERROR(INDEX(자격증!J:J, MATCH($L$4&amp;"_자격증_"&amp;$B43, 자격증!$Z:$Z, 0)), "-"), "-"))), IF(OR(_xlpm.res=0, _xlpm.res=""), "-", _xlpm.res))</f>
        <v>-</v>
      </c>
      <c r="K43" s="367" t="str">
        <f>_xlfn.LET(_xlpm.res, IF(AND($E$4&lt;&gt;"", $L$4&lt;&gt;""), "검색창 삭제",
 IF($E$4&lt;&gt;"", IFERROR(INDEX(자격증!K:K, MATCH($E$4&amp;"_자격증_"&amp;$B43, 자격증!$Y:$Y, 0)), "-"),
 IF($L$4&lt;&gt;"", IFERROR(INDEX(자격증!K:K, MATCH($L$4&amp;"_자격증_"&amp;$B43, 자격증!$Z:$Z, 0)), "-"), "-"))), IF(OR(_xlpm.res=0, _xlpm.res=""), "-", _xlpm.res))</f>
        <v>-</v>
      </c>
      <c r="L43" s="105" t="str">
        <f>IF(AND($E$4&lt;&gt;"", $L$4&lt;&gt;""), "검색창 삭제",
 IF($E$4&lt;&gt;"", IFERROR(HYPERLINK("학력, 자격증-excel 연동 파일\" &amp; $E$4 &amp; "\자격증\" &amp; INDEX(자격증!D:D, MATCH($E$4&amp;"_자격증_"&amp;$B43, 자격증!$Y:$Y, 0)) &amp; "_" &amp; $E$4 &amp; ".pdf", "PDF 열기"), "-"),
 IF($L$4&lt;&gt;"", IFERROR(HYPERLINK("학력, 자격증-excel 연동 파일\" &amp; $C43 &amp; "\자격증\" &amp; INDEX(자격증!D:D, MATCH($D43&amp;"_자격증_"&amp;$B43, 자격증!$Z:$Z, 0)) &amp; "_" &amp; $C43 &amp; ".pdf", "PDF 열기"), "-"), "")))</f>
        <v/>
      </c>
      <c r="N43" s="108">
        <v>36</v>
      </c>
      <c r="O43" s="105" t="str">
        <f>_xlfn.LET(_xlpm.res, IF(COUNTA($E$4, $P$4, $R$4) &gt;= 2, "검색창 삭제",
 IF($E$4&lt;&gt;"", IFERROR(INDEX(학력!A:A, MATCH($E$4&amp;"_학력_"&amp;$N43, 학력!$L:$L, 0)), "-"),
 IF($P$4&lt;&gt;"", IFERROR(INDEX(학력!A:A, MATCH($P$4&amp;"_학력_"&amp;$N43, 학력!$N:$N, 0)), "-"),
 IF($R$4&lt;&gt;"", IFERROR(INDEX(학력!A:A, MATCH($R$4&amp;"_학력_"&amp;$N43, 학력!$M:$M, 0)), "-"), "-")))), IF(OR(_xlpm.res=0, _xlpm.res=""), "-", _xlpm.res))</f>
        <v>-</v>
      </c>
      <c r="P43" s="105" t="str">
        <f>_xlfn.LET(_xlpm.res, IF(COUNTA($E$4, $P$4, $R$4) &gt;= 2, "검색창 삭제",
 IF($E$4&lt;&gt;"", IFERROR(INDEX(학력!D:D, MATCH($E$4&amp;"_학력_"&amp;$N43, 학력!$L:$L, 0)), "-"),
 IF($P$4&lt;&gt;"", IFERROR(INDEX(학력!D:D, MATCH($P$4&amp;"_학력_"&amp;$N43, 학력!$N:$N, 0)), "-"),
 IF($R$4&lt;&gt;"", IFERROR(INDEX(학력!D:D, MATCH($R$4&amp;"_학력_"&amp;$N43, 학력!$M:$M, 0)), "-"), "-")))), IF(OR(_xlpm.res=0, _xlpm.res=""), "-", _xlpm.res))</f>
        <v>-</v>
      </c>
      <c r="Q43" s="105" t="str">
        <f>_xlfn.LET(_xlpm.res, IF(COUNTA($E$4, $P$4, $R$4) &gt;= 2, "검색창 삭제",
 IF($E$4&lt;&gt;"", IFERROR(INDEX(학력!E:E, MATCH($E$4&amp;"_학력_"&amp;$N43, 학력!$L:$L, 0)), "-"),
 IF($P$4&lt;&gt;"", IFERROR(INDEX(학력!E:E, MATCH($P$4&amp;"_학력_"&amp;$N43, 학력!$N:$N, 0)), "-"),
 IF($R$4&lt;&gt;"", IFERROR(INDEX(학력!E:E, MATCH($R$4&amp;"_학력_"&amp;$N43, 학력!$M:$M, 0)), "-"), "-")))), IF(OR(_xlpm.res=0, _xlpm.res=""), "-", _xlpm.res))</f>
        <v>-</v>
      </c>
      <c r="R43" s="105" t="str">
        <f>_xlfn.LET(_xlpm.res, IF(COUNTA($E$4, $P$4, $R$4) &gt;= 2, "검색창 삭제",
 IF($E$4&lt;&gt;"", IFERROR(INDEX(학력!F:F, MATCH($E$4&amp;"_학력_"&amp;$N43, 학력!$L:$L, 0)), "-"),
 IF($P$4&lt;&gt;"", IFERROR(INDEX(학력!F:F, MATCH($P$4&amp;"_학력_"&amp;$N43, 학력!$N:$N, 0)), "-"),
 IF($R$4&lt;&gt;"", IFERROR(INDEX(학력!F:F, MATCH($R$4&amp;"_학력_"&amp;$N43, 학력!$M:$M, 0)), "-"), "-")))), IF(OR(_xlpm.res=0, _xlpm.res=""), "-", _xlpm.res))</f>
        <v>-</v>
      </c>
      <c r="S43" s="105" t="str">
        <f>_xlfn.LET(
    _xlpm.result,
    IF(COUNTA($E$4, $P$4, $R$4) &gt;= 2, "검색창 삭제",
        IF($E$4&lt;&gt;"", IFERROR(INDEX(학력!G:G, MATCH($E$4&amp;"_학력_"&amp;$N43, 학력!$L:$L, 0)), "-"),
        IF($P$4&lt;&gt;"", IFERROR(INDEX(학력!G:G, MATCH($P$4&amp;"_학력_"&amp;$N43, 학력!$N:$N, 0)), "-"),
        IF($R$4&lt;&gt;"", IFERROR(INDEX(학력!G:G, MATCH($R$4&amp;"_학력_"&amp;$N43, 학력!$M:$M, 0)), "-"), "-")))
    ),
    IF(OR(_xlpm.result=0, _xlpm.result=""), "-", _xlpm.result)
)</f>
        <v>-</v>
      </c>
      <c r="T43" s="107" t="str">
        <f>_xlfn.LET(_xlpm.res, IF(COUNTA($E$4, $P$4, $R$4) &gt;= 2, "검색창 삭제",
 IF($E$4&lt;&gt;"", IFERROR(INDEX(학력!H:H, MATCH($E$4&amp;"_학력_"&amp;$N43, 학력!$L:$L, 0)), "-"),
 IF($P$4&lt;&gt;"", IFERROR(INDEX(학력!H:H, MATCH($P$4&amp;"_학력_"&amp;$N43, 학력!$N:$N, 0)), "-"),
 IF($R$4&lt;&gt;"", IFERROR(INDEX(학력!H:H, MATCH($R$4&amp;"_학력_"&amp;$N43, 학력!$M:$M, 0)), "-"), "-")))), IF(OR(_xlpm.res=0, _xlpm.res=""), "-", _xlpm.res))</f>
        <v>-</v>
      </c>
      <c r="U43" s="105" t="str">
        <f>_xlfn.LET(_xlpm.res, IF(COUNTA($E$4, $P$4, $R$4) &gt;= 2, "검색창 삭제",
 IF($E$4&lt;&gt;"", IFERROR(HYPERLINK("학력, 자격증-excel 연동 파일\" &amp; $E$4 &amp; "\학력\" &amp; INDEX(학력!D:D, MATCH($E$4&amp;"_학력_"&amp;$N43, 학력!$L:$L, 0)) &amp; "_" &amp; INDEX(학력!E:E, MATCH($E$4&amp;"_학력_"&amp;$N43, 학력!$L:$L, 0)) &amp; "_" &amp; INDEX(학력!F:F, MATCH($E$4&amp;"_학력_"&amp;$N43, 학력!$L:$L, 0)) &amp; "_" &amp; $E$4 &amp; ".pdf", "PDF"), "-"),
 IF($P$4&lt;&gt;"", IFERROR(HYPERLINK("학력, 자격증-excel 연동 파일\" &amp; INDEX(학력!A:A, MATCH($P$4&amp;"_학력_"&amp;$N43, 학력!$N:$N, 0)) &amp; "\학력\" &amp; INDEX(학력!D:D, MATCH($P$4&amp;"_학력_"&amp;$N43, 학력!$N:$N, 0)) &amp; "_" &amp; INDEX(학력!E:E, MATCH($P$4&amp;"_학력_"&amp;$N43, 학력!$N:$N, 0)) &amp; "_" &amp; INDEX(학력!F:F, MATCH($P$4&amp;"_학력_"&amp;$N43, 학력!$N:$N, 0)) &amp; "_" &amp; INDEX(학력!A:A, MATCH($P$4&amp;"_학력_"&amp;$N43, 학력!$N:$N, 0)) &amp; ".pdf", "PDF"), "-"),
 IF($R$4&lt;&gt;"", IFERROR(HYPERLINK("학력, 자격증-excel 연동 파일\" &amp; INDEX(학력!A:A, MATCH($R$4&amp;"_학력_"&amp;$N43, 학력!$M:$M, 0)) &amp; "\학력\" &amp; INDEX(학력!D:D, MATCH($R$4&amp;"_학력_"&amp;$N43, 학력!$M:$M, 0)) &amp; "_" &amp; INDEX(학력!E:E, MATCH($R$4&amp;"_학력_"&amp;$N43, 학력!$M:$M, 0)) &amp; "_" &amp; INDEX(학력!F:F, MATCH($R$4&amp;"_학력_"&amp;$N43, 학력!$M:$M, 0)) &amp; "_" &amp; INDEX(학력!A:A, MATCH($R$4&amp;"_학력_"&amp;$N43, 학력!$M:$M, 0)) &amp; ".pdf", "PDF"), "-"), "-")))),
 IF(OR(_xlpm.res=0, _xlpm.res=""), "-", _xlpm.res))</f>
        <v>-</v>
      </c>
    </row>
    <row r="44" spans="2:21" ht="20.100000000000001" customHeight="1">
      <c r="B44" s="108">
        <v>37</v>
      </c>
      <c r="C44" s="105" t="str">
        <f>_xlfn.LET(_xlpm.res, IF(AND($E$4&lt;&gt;"", $L$4&lt;&gt;""), "검색창 삭제",
 IF($E$4&lt;&gt;"", IFERROR(INDEX(자격증!A:A, MATCH($E$4&amp;"_자격증_"&amp;$B44, 자격증!$Y:$Y, 0)), "-"),
 IF($L$4&lt;&gt;"", IFERROR(INDEX(자격증!A:A, MATCH($L$4&amp;"_자격증_"&amp;$B44, 자격증!$Z:$Z, 0)), "-"), "-"))), IF(OR(_xlpm.res=0, _xlpm.res=""), "-", _xlpm.res))</f>
        <v>-</v>
      </c>
      <c r="D44" s="106" t="str">
        <f>_xlfn.LET(_xlpm.res, IF(AND($E$4&lt;&gt;"", $L$4&lt;&gt;""), "검색창 삭제",
 IF($E$4&lt;&gt;"", IFERROR(INDEX(자격증!D:D, MATCH($E$4&amp;"_자격증_"&amp;$B44, 자격증!$Y:$Y, 0)), "-"),
 IF($L$4&lt;&gt;"", IFERROR(INDEX(자격증!D:D, MATCH($L$4&amp;"_자격증_"&amp;$B44, 자격증!$Z:$Z, 0)), "-"), "-"))), IF(OR(_xlpm.res=0, _xlpm.res=""), "-", _xlpm.res))</f>
        <v>-</v>
      </c>
      <c r="E44" s="105" t="str">
        <f>_xlfn.LET(_xlpm.res, IF(AND($E$4&lt;&gt;"", $L$4&lt;&gt;""), "검색창 삭제",
 IF($E$4&lt;&gt;"", IFERROR(INDEX(자격증!E:E, MATCH($E$4&amp;"_자격증_"&amp;$B44, 자격증!$Y:$Y, 0)), "-"),
 IF($L$4&lt;&gt;"", IFERROR(INDEX(자격증!E:E, MATCH($L$4&amp;"_자격증_"&amp;$B44, 자격증!$Z:$Z, 0)), "-"), "-"))), IF(OR(_xlpm.res=0, _xlpm.res=""), "-", _xlpm.res))</f>
        <v>-</v>
      </c>
      <c r="F44" s="105" t="str">
        <f>_xlfn.LET(_xlpm.res, IF(AND($E$4&lt;&gt;"", $L$4&lt;&gt;""), "검색창 삭제",
 IF($E$4&lt;&gt;"", IFERROR(INDEX(자격증!F:F, MATCH($E$4&amp;"_자격증_"&amp;$B44, 자격증!$Y:$Y, 0)), "-"),
 IF($L$4&lt;&gt;"", IFERROR(INDEX(자격증!F:F, MATCH($L$4&amp;"_자격증_"&amp;$B44, 자격증!$Z:$Z, 0)), "-"), "-"))), IF(OR(_xlpm.res=0, _xlpm.res=""), "-", _xlpm.res))</f>
        <v>-</v>
      </c>
      <c r="G44" s="105" t="str">
        <f>_xlfn.LET(_xlpm.res, IF(AND($E$4&lt;&gt;"", $L$4&lt;&gt;""), "검색창 삭제",
 IF($E$4&lt;&gt;"", IFERROR(INDEX(자격증!G:G, MATCH($E$4&amp;"_자격증_"&amp;$B44, 자격증!$Y:$Y, 0)), "-"),
 IF($L$4&lt;&gt;"", IFERROR(INDEX(자격증!G:G, MATCH($L$4&amp;"_자격증_"&amp;$B44, 자격증!$Z:$Z, 0)), "-"), "-"))), IF(OR(_xlpm.res=0, _xlpm.res=""), "-", _xlpm.res))</f>
        <v>-</v>
      </c>
      <c r="H44" s="105" t="str">
        <f>_xlfn.LET(_xlpm.res, IF(AND($E$4&lt;&gt;"", $L$4&lt;&gt;""), "검색창 삭제",
 IF($E$4&lt;&gt;"", IFERROR(INDEX(자격증!H:H, MATCH($E$4&amp;"_자격증_"&amp;$B44, 자격증!$Y:$Y, 0)), "-"),
 IF($L$4&lt;&gt;"", IFERROR(INDEX(자격증!H:H, MATCH($L$4&amp;"_자격증_"&amp;$B44, 자격증!$Z:$Z, 0)), "-"), "-"))), IF(OR(_xlpm.res=0, _xlpm.res=""), "-", _xlpm.res))</f>
        <v>-</v>
      </c>
      <c r="I44" s="367" t="str">
        <f>_xlfn.LET(_xlpm.res, IF(AND($E$4&lt;&gt;"", $L$4&lt;&gt;""), "검색창 삭제",
 IF($E$4&lt;&gt;"", IFERROR(INDEX(자격증!I:I, MATCH($E$4&amp;"_자격증_"&amp;$B44, 자격증!$Y:$Y, 0)), "-"),
 IF($L$4&lt;&gt;"", IFERROR(INDEX(자격증!I:I, MATCH($L$4&amp;"_자격증_"&amp;$B44, 자격증!$Z:$Z, 0)), "-"), "-"))), IF(OR(_xlpm.res=0, _xlpm.res=""), "-", _xlpm.res))</f>
        <v>-</v>
      </c>
      <c r="J44" s="367" t="str">
        <f>_xlfn.LET(_xlpm.res, IF(AND($E$4&lt;&gt;"", $L$4&lt;&gt;""), "검색창 삭제",
 IF($E$4&lt;&gt;"", IFERROR(INDEX(자격증!J:J, MATCH($E$4&amp;"_자격증_"&amp;$B44, 자격증!$Y:$Y, 0)), "-"),
 IF($L$4&lt;&gt;"", IFERROR(INDEX(자격증!J:J, MATCH($L$4&amp;"_자격증_"&amp;$B44, 자격증!$Z:$Z, 0)), "-"), "-"))), IF(OR(_xlpm.res=0, _xlpm.res=""), "-", _xlpm.res))</f>
        <v>-</v>
      </c>
      <c r="K44" s="367" t="str">
        <f>_xlfn.LET(_xlpm.res, IF(AND($E$4&lt;&gt;"", $L$4&lt;&gt;""), "검색창 삭제",
 IF($E$4&lt;&gt;"", IFERROR(INDEX(자격증!K:K, MATCH($E$4&amp;"_자격증_"&amp;$B44, 자격증!$Y:$Y, 0)), "-"),
 IF($L$4&lt;&gt;"", IFERROR(INDEX(자격증!K:K, MATCH($L$4&amp;"_자격증_"&amp;$B44, 자격증!$Z:$Z, 0)), "-"), "-"))), IF(OR(_xlpm.res=0, _xlpm.res=""), "-", _xlpm.res))</f>
        <v>-</v>
      </c>
      <c r="L44" s="105" t="str">
        <f>IF(AND($E$4&lt;&gt;"", $L$4&lt;&gt;""), "검색창 삭제",
 IF($E$4&lt;&gt;"", IFERROR(HYPERLINK("학력, 자격증-excel 연동 파일\" &amp; $E$4 &amp; "\자격증\" &amp; INDEX(자격증!D:D, MATCH($E$4&amp;"_자격증_"&amp;$B44, 자격증!$Y:$Y, 0)) &amp; "_" &amp; $E$4 &amp; ".pdf", "PDF 열기"), "-"),
 IF($L$4&lt;&gt;"", IFERROR(HYPERLINK("학력, 자격증-excel 연동 파일\" &amp; $C44 &amp; "\자격증\" &amp; INDEX(자격증!D:D, MATCH($D44&amp;"_자격증_"&amp;$B44, 자격증!$Z:$Z, 0)) &amp; "_" &amp; $C44 &amp; ".pdf", "PDF 열기"), "-"), "")))</f>
        <v/>
      </c>
      <c r="N44" s="108">
        <v>37</v>
      </c>
      <c r="O44" s="105" t="str">
        <f>_xlfn.LET(_xlpm.res, IF(COUNTA($E$4, $P$4, $R$4) &gt;= 2, "검색창 삭제",
 IF($E$4&lt;&gt;"", IFERROR(INDEX(학력!A:A, MATCH($E$4&amp;"_학력_"&amp;$N44, 학력!$L:$L, 0)), "-"),
 IF($P$4&lt;&gt;"", IFERROR(INDEX(학력!A:A, MATCH($P$4&amp;"_학력_"&amp;$N44, 학력!$N:$N, 0)), "-"),
 IF($R$4&lt;&gt;"", IFERROR(INDEX(학력!A:A, MATCH($R$4&amp;"_학력_"&amp;$N44, 학력!$M:$M, 0)), "-"), "-")))), IF(OR(_xlpm.res=0, _xlpm.res=""), "-", _xlpm.res))</f>
        <v>-</v>
      </c>
      <c r="P44" s="105" t="str">
        <f>_xlfn.LET(_xlpm.res, IF(COUNTA($E$4, $P$4, $R$4) &gt;= 2, "검색창 삭제",
 IF($E$4&lt;&gt;"", IFERROR(INDEX(학력!D:D, MATCH($E$4&amp;"_학력_"&amp;$N44, 학력!$L:$L, 0)), "-"),
 IF($P$4&lt;&gt;"", IFERROR(INDEX(학력!D:D, MATCH($P$4&amp;"_학력_"&amp;$N44, 학력!$N:$N, 0)), "-"),
 IF($R$4&lt;&gt;"", IFERROR(INDEX(학력!D:D, MATCH($R$4&amp;"_학력_"&amp;$N44, 학력!$M:$M, 0)), "-"), "-")))), IF(OR(_xlpm.res=0, _xlpm.res=""), "-", _xlpm.res))</f>
        <v>-</v>
      </c>
      <c r="Q44" s="105" t="str">
        <f>_xlfn.LET(_xlpm.res, IF(COUNTA($E$4, $P$4, $R$4) &gt;= 2, "검색창 삭제",
 IF($E$4&lt;&gt;"", IFERROR(INDEX(학력!E:E, MATCH($E$4&amp;"_학력_"&amp;$N44, 학력!$L:$L, 0)), "-"),
 IF($P$4&lt;&gt;"", IFERROR(INDEX(학력!E:E, MATCH($P$4&amp;"_학력_"&amp;$N44, 학력!$N:$N, 0)), "-"),
 IF($R$4&lt;&gt;"", IFERROR(INDEX(학력!E:E, MATCH($R$4&amp;"_학력_"&amp;$N44, 학력!$M:$M, 0)), "-"), "-")))), IF(OR(_xlpm.res=0, _xlpm.res=""), "-", _xlpm.res))</f>
        <v>-</v>
      </c>
      <c r="R44" s="105" t="str">
        <f>_xlfn.LET(_xlpm.res, IF(COUNTA($E$4, $P$4, $R$4) &gt;= 2, "검색창 삭제",
 IF($E$4&lt;&gt;"", IFERROR(INDEX(학력!F:F, MATCH($E$4&amp;"_학력_"&amp;$N44, 학력!$L:$L, 0)), "-"),
 IF($P$4&lt;&gt;"", IFERROR(INDEX(학력!F:F, MATCH($P$4&amp;"_학력_"&amp;$N44, 학력!$N:$N, 0)), "-"),
 IF($R$4&lt;&gt;"", IFERROR(INDEX(학력!F:F, MATCH($R$4&amp;"_학력_"&amp;$N44, 학력!$M:$M, 0)), "-"), "-")))), IF(OR(_xlpm.res=0, _xlpm.res=""), "-", _xlpm.res))</f>
        <v>-</v>
      </c>
      <c r="S44" s="105" t="str">
        <f>_xlfn.LET(
    _xlpm.result,
    IF(COUNTA($E$4, $P$4, $R$4) &gt;= 2, "검색창 삭제",
        IF($E$4&lt;&gt;"", IFERROR(INDEX(학력!G:G, MATCH($E$4&amp;"_학력_"&amp;$N44, 학력!$L:$L, 0)), "-"),
        IF($P$4&lt;&gt;"", IFERROR(INDEX(학력!G:G, MATCH($P$4&amp;"_학력_"&amp;$N44, 학력!$N:$N, 0)), "-"),
        IF($R$4&lt;&gt;"", IFERROR(INDEX(학력!G:G, MATCH($R$4&amp;"_학력_"&amp;$N44, 학력!$M:$M, 0)), "-"), "-")))
    ),
    IF(OR(_xlpm.result=0, _xlpm.result=""), "-", _xlpm.result)
)</f>
        <v>-</v>
      </c>
      <c r="T44" s="107" t="str">
        <f>_xlfn.LET(_xlpm.res, IF(COUNTA($E$4, $P$4, $R$4) &gt;= 2, "검색창 삭제",
 IF($E$4&lt;&gt;"", IFERROR(INDEX(학력!H:H, MATCH($E$4&amp;"_학력_"&amp;$N44, 학력!$L:$L, 0)), "-"),
 IF($P$4&lt;&gt;"", IFERROR(INDEX(학력!H:H, MATCH($P$4&amp;"_학력_"&amp;$N44, 학력!$N:$N, 0)), "-"),
 IF($R$4&lt;&gt;"", IFERROR(INDEX(학력!H:H, MATCH($R$4&amp;"_학력_"&amp;$N44, 학력!$M:$M, 0)), "-"), "-")))), IF(OR(_xlpm.res=0, _xlpm.res=""), "-", _xlpm.res))</f>
        <v>-</v>
      </c>
      <c r="U44" s="105" t="str">
        <f>_xlfn.LET(_xlpm.res, IF(COUNTA($E$4, $P$4, $R$4) &gt;= 2, "검색창 삭제",
 IF($E$4&lt;&gt;"", IFERROR(HYPERLINK("학력, 자격증-excel 연동 파일\" &amp; $E$4 &amp; "\학력\" &amp; INDEX(학력!D:D, MATCH($E$4&amp;"_학력_"&amp;$N44, 학력!$L:$L, 0)) &amp; "_" &amp; INDEX(학력!E:E, MATCH($E$4&amp;"_학력_"&amp;$N44, 학력!$L:$L, 0)) &amp; "_" &amp; INDEX(학력!F:F, MATCH($E$4&amp;"_학력_"&amp;$N44, 학력!$L:$L, 0)) &amp; "_" &amp; $E$4 &amp; ".pdf", "PDF"), "-"),
 IF($P$4&lt;&gt;"", IFERROR(HYPERLINK("학력, 자격증-excel 연동 파일\" &amp; INDEX(학력!A:A, MATCH($P$4&amp;"_학력_"&amp;$N44, 학력!$N:$N, 0)) &amp; "\학력\" &amp; INDEX(학력!D:D, MATCH($P$4&amp;"_학력_"&amp;$N44, 학력!$N:$N, 0)) &amp; "_" &amp; INDEX(학력!E:E, MATCH($P$4&amp;"_학력_"&amp;$N44, 학력!$N:$N, 0)) &amp; "_" &amp; INDEX(학력!F:F, MATCH($P$4&amp;"_학력_"&amp;$N44, 학력!$N:$N, 0)) &amp; "_" &amp; INDEX(학력!A:A, MATCH($P$4&amp;"_학력_"&amp;$N44, 학력!$N:$N, 0)) &amp; ".pdf", "PDF"), "-"),
 IF($R$4&lt;&gt;"", IFERROR(HYPERLINK("학력, 자격증-excel 연동 파일\" &amp; INDEX(학력!A:A, MATCH($R$4&amp;"_학력_"&amp;$N44, 학력!$M:$M, 0)) &amp; "\학력\" &amp; INDEX(학력!D:D, MATCH($R$4&amp;"_학력_"&amp;$N44, 학력!$M:$M, 0)) &amp; "_" &amp; INDEX(학력!E:E, MATCH($R$4&amp;"_학력_"&amp;$N44, 학력!$M:$M, 0)) &amp; "_" &amp; INDEX(학력!F:F, MATCH($R$4&amp;"_학력_"&amp;$N44, 학력!$M:$M, 0)) &amp; "_" &amp; INDEX(학력!A:A, MATCH($R$4&amp;"_학력_"&amp;$N44, 학력!$M:$M, 0)) &amp; ".pdf", "PDF"), "-"), "-")))),
 IF(OR(_xlpm.res=0, _xlpm.res=""), "-", _xlpm.res))</f>
        <v>-</v>
      </c>
    </row>
    <row r="45" spans="2:21" ht="20.100000000000001" customHeight="1">
      <c r="B45" s="108">
        <v>38</v>
      </c>
      <c r="C45" s="105" t="str">
        <f>_xlfn.LET(_xlpm.res, IF(AND($E$4&lt;&gt;"", $L$4&lt;&gt;""), "검색창 삭제",
 IF($E$4&lt;&gt;"", IFERROR(INDEX(자격증!A:A, MATCH($E$4&amp;"_자격증_"&amp;$B45, 자격증!$Y:$Y, 0)), "-"),
 IF($L$4&lt;&gt;"", IFERROR(INDEX(자격증!A:A, MATCH($L$4&amp;"_자격증_"&amp;$B45, 자격증!$Z:$Z, 0)), "-"), "-"))), IF(OR(_xlpm.res=0, _xlpm.res=""), "-", _xlpm.res))</f>
        <v>-</v>
      </c>
      <c r="D45" s="106" t="str">
        <f>_xlfn.LET(_xlpm.res, IF(AND($E$4&lt;&gt;"", $L$4&lt;&gt;""), "검색창 삭제",
 IF($E$4&lt;&gt;"", IFERROR(INDEX(자격증!D:D, MATCH($E$4&amp;"_자격증_"&amp;$B45, 자격증!$Y:$Y, 0)), "-"),
 IF($L$4&lt;&gt;"", IFERROR(INDEX(자격증!D:D, MATCH($L$4&amp;"_자격증_"&amp;$B45, 자격증!$Z:$Z, 0)), "-"), "-"))), IF(OR(_xlpm.res=0, _xlpm.res=""), "-", _xlpm.res))</f>
        <v>-</v>
      </c>
      <c r="E45" s="105" t="str">
        <f>_xlfn.LET(_xlpm.res, IF(AND($E$4&lt;&gt;"", $L$4&lt;&gt;""), "검색창 삭제",
 IF($E$4&lt;&gt;"", IFERROR(INDEX(자격증!E:E, MATCH($E$4&amp;"_자격증_"&amp;$B45, 자격증!$Y:$Y, 0)), "-"),
 IF($L$4&lt;&gt;"", IFERROR(INDEX(자격증!E:E, MATCH($L$4&amp;"_자격증_"&amp;$B45, 자격증!$Z:$Z, 0)), "-"), "-"))), IF(OR(_xlpm.res=0, _xlpm.res=""), "-", _xlpm.res))</f>
        <v>-</v>
      </c>
      <c r="F45" s="105" t="str">
        <f>_xlfn.LET(_xlpm.res, IF(AND($E$4&lt;&gt;"", $L$4&lt;&gt;""), "검색창 삭제",
 IF($E$4&lt;&gt;"", IFERROR(INDEX(자격증!F:F, MATCH($E$4&amp;"_자격증_"&amp;$B45, 자격증!$Y:$Y, 0)), "-"),
 IF($L$4&lt;&gt;"", IFERROR(INDEX(자격증!F:F, MATCH($L$4&amp;"_자격증_"&amp;$B45, 자격증!$Z:$Z, 0)), "-"), "-"))), IF(OR(_xlpm.res=0, _xlpm.res=""), "-", _xlpm.res))</f>
        <v>-</v>
      </c>
      <c r="G45" s="105" t="str">
        <f>_xlfn.LET(_xlpm.res, IF(AND($E$4&lt;&gt;"", $L$4&lt;&gt;""), "검색창 삭제",
 IF($E$4&lt;&gt;"", IFERROR(INDEX(자격증!G:G, MATCH($E$4&amp;"_자격증_"&amp;$B45, 자격증!$Y:$Y, 0)), "-"),
 IF($L$4&lt;&gt;"", IFERROR(INDEX(자격증!G:G, MATCH($L$4&amp;"_자격증_"&amp;$B45, 자격증!$Z:$Z, 0)), "-"), "-"))), IF(OR(_xlpm.res=0, _xlpm.res=""), "-", _xlpm.res))</f>
        <v>-</v>
      </c>
      <c r="H45" s="105" t="str">
        <f>_xlfn.LET(_xlpm.res, IF(AND($E$4&lt;&gt;"", $L$4&lt;&gt;""), "검색창 삭제",
 IF($E$4&lt;&gt;"", IFERROR(INDEX(자격증!H:H, MATCH($E$4&amp;"_자격증_"&amp;$B45, 자격증!$Y:$Y, 0)), "-"),
 IF($L$4&lt;&gt;"", IFERROR(INDEX(자격증!H:H, MATCH($L$4&amp;"_자격증_"&amp;$B45, 자격증!$Z:$Z, 0)), "-"), "-"))), IF(OR(_xlpm.res=0, _xlpm.res=""), "-", _xlpm.res))</f>
        <v>-</v>
      </c>
      <c r="I45" s="367" t="str">
        <f>_xlfn.LET(_xlpm.res, IF(AND($E$4&lt;&gt;"", $L$4&lt;&gt;""), "검색창 삭제",
 IF($E$4&lt;&gt;"", IFERROR(INDEX(자격증!I:I, MATCH($E$4&amp;"_자격증_"&amp;$B45, 자격증!$Y:$Y, 0)), "-"),
 IF($L$4&lt;&gt;"", IFERROR(INDEX(자격증!I:I, MATCH($L$4&amp;"_자격증_"&amp;$B45, 자격증!$Z:$Z, 0)), "-"), "-"))), IF(OR(_xlpm.res=0, _xlpm.res=""), "-", _xlpm.res))</f>
        <v>-</v>
      </c>
      <c r="J45" s="367" t="str">
        <f>_xlfn.LET(_xlpm.res, IF(AND($E$4&lt;&gt;"", $L$4&lt;&gt;""), "검색창 삭제",
 IF($E$4&lt;&gt;"", IFERROR(INDEX(자격증!J:J, MATCH($E$4&amp;"_자격증_"&amp;$B45, 자격증!$Y:$Y, 0)), "-"),
 IF($L$4&lt;&gt;"", IFERROR(INDEX(자격증!J:J, MATCH($L$4&amp;"_자격증_"&amp;$B45, 자격증!$Z:$Z, 0)), "-"), "-"))), IF(OR(_xlpm.res=0, _xlpm.res=""), "-", _xlpm.res))</f>
        <v>-</v>
      </c>
      <c r="K45" s="367" t="str">
        <f>_xlfn.LET(_xlpm.res, IF(AND($E$4&lt;&gt;"", $L$4&lt;&gt;""), "검색창 삭제",
 IF($E$4&lt;&gt;"", IFERROR(INDEX(자격증!K:K, MATCH($E$4&amp;"_자격증_"&amp;$B45, 자격증!$Y:$Y, 0)), "-"),
 IF($L$4&lt;&gt;"", IFERROR(INDEX(자격증!K:K, MATCH($L$4&amp;"_자격증_"&amp;$B45, 자격증!$Z:$Z, 0)), "-"), "-"))), IF(OR(_xlpm.res=0, _xlpm.res=""), "-", _xlpm.res))</f>
        <v>-</v>
      </c>
      <c r="L45" s="105" t="str">
        <f>IF(AND($E$4&lt;&gt;"", $L$4&lt;&gt;""), "검색창 삭제",
 IF($E$4&lt;&gt;"", IFERROR(HYPERLINK("학력, 자격증-excel 연동 파일\" &amp; $E$4 &amp; "\자격증\" &amp; INDEX(자격증!D:D, MATCH($E$4&amp;"_자격증_"&amp;$B45, 자격증!$Y:$Y, 0)) &amp; "_" &amp; $E$4 &amp; ".pdf", "PDF 열기"), "-"),
 IF($L$4&lt;&gt;"", IFERROR(HYPERLINK("학력, 자격증-excel 연동 파일\" &amp; $C45 &amp; "\자격증\" &amp; INDEX(자격증!D:D, MATCH($D45&amp;"_자격증_"&amp;$B45, 자격증!$Z:$Z, 0)) &amp; "_" &amp; $C45 &amp; ".pdf", "PDF 열기"), "-"), "")))</f>
        <v/>
      </c>
      <c r="N45" s="108">
        <v>38</v>
      </c>
      <c r="O45" s="105" t="str">
        <f>_xlfn.LET(_xlpm.res, IF(COUNTA($E$4, $P$4, $R$4) &gt;= 2, "검색창 삭제",
 IF($E$4&lt;&gt;"", IFERROR(INDEX(학력!A:A, MATCH($E$4&amp;"_학력_"&amp;$N45, 학력!$L:$L, 0)), "-"),
 IF($P$4&lt;&gt;"", IFERROR(INDEX(학력!A:A, MATCH($P$4&amp;"_학력_"&amp;$N45, 학력!$N:$N, 0)), "-"),
 IF($R$4&lt;&gt;"", IFERROR(INDEX(학력!A:A, MATCH($R$4&amp;"_학력_"&amp;$N45, 학력!$M:$M, 0)), "-"), "-")))), IF(OR(_xlpm.res=0, _xlpm.res=""), "-", _xlpm.res))</f>
        <v>-</v>
      </c>
      <c r="P45" s="105" t="str">
        <f>_xlfn.LET(_xlpm.res, IF(COUNTA($E$4, $P$4, $R$4) &gt;= 2, "검색창 삭제",
 IF($E$4&lt;&gt;"", IFERROR(INDEX(학력!D:D, MATCH($E$4&amp;"_학력_"&amp;$N45, 학력!$L:$L, 0)), "-"),
 IF($P$4&lt;&gt;"", IFERROR(INDEX(학력!D:D, MATCH($P$4&amp;"_학력_"&amp;$N45, 학력!$N:$N, 0)), "-"),
 IF($R$4&lt;&gt;"", IFERROR(INDEX(학력!D:D, MATCH($R$4&amp;"_학력_"&amp;$N45, 학력!$M:$M, 0)), "-"), "-")))), IF(OR(_xlpm.res=0, _xlpm.res=""), "-", _xlpm.res))</f>
        <v>-</v>
      </c>
      <c r="Q45" s="105" t="str">
        <f>_xlfn.LET(_xlpm.res, IF(COUNTA($E$4, $P$4, $R$4) &gt;= 2, "검색창 삭제",
 IF($E$4&lt;&gt;"", IFERROR(INDEX(학력!E:E, MATCH($E$4&amp;"_학력_"&amp;$N45, 학력!$L:$L, 0)), "-"),
 IF($P$4&lt;&gt;"", IFERROR(INDEX(학력!E:E, MATCH($P$4&amp;"_학력_"&amp;$N45, 학력!$N:$N, 0)), "-"),
 IF($R$4&lt;&gt;"", IFERROR(INDEX(학력!E:E, MATCH($R$4&amp;"_학력_"&amp;$N45, 학력!$M:$M, 0)), "-"), "-")))), IF(OR(_xlpm.res=0, _xlpm.res=""), "-", _xlpm.res))</f>
        <v>-</v>
      </c>
      <c r="R45" s="105" t="str">
        <f>_xlfn.LET(_xlpm.res, IF(COUNTA($E$4, $P$4, $R$4) &gt;= 2, "검색창 삭제",
 IF($E$4&lt;&gt;"", IFERROR(INDEX(학력!F:F, MATCH($E$4&amp;"_학력_"&amp;$N45, 학력!$L:$L, 0)), "-"),
 IF($P$4&lt;&gt;"", IFERROR(INDEX(학력!F:F, MATCH($P$4&amp;"_학력_"&amp;$N45, 학력!$N:$N, 0)), "-"),
 IF($R$4&lt;&gt;"", IFERROR(INDEX(학력!F:F, MATCH($R$4&amp;"_학력_"&amp;$N45, 학력!$M:$M, 0)), "-"), "-")))), IF(OR(_xlpm.res=0, _xlpm.res=""), "-", _xlpm.res))</f>
        <v>-</v>
      </c>
      <c r="S45" s="105" t="str">
        <f>_xlfn.LET(
    _xlpm.result,
    IF(COUNTA($E$4, $P$4, $R$4) &gt;= 2, "검색창 삭제",
        IF($E$4&lt;&gt;"", IFERROR(INDEX(학력!G:G, MATCH($E$4&amp;"_학력_"&amp;$N45, 학력!$L:$L, 0)), "-"),
        IF($P$4&lt;&gt;"", IFERROR(INDEX(학력!G:G, MATCH($P$4&amp;"_학력_"&amp;$N45, 학력!$N:$N, 0)), "-"),
        IF($R$4&lt;&gt;"", IFERROR(INDEX(학력!G:G, MATCH($R$4&amp;"_학력_"&amp;$N45, 학력!$M:$M, 0)), "-"), "-")))
    ),
    IF(OR(_xlpm.result=0, _xlpm.result=""), "-", _xlpm.result)
)</f>
        <v>-</v>
      </c>
      <c r="T45" s="107" t="str">
        <f>_xlfn.LET(_xlpm.res, IF(COUNTA($E$4, $P$4, $R$4) &gt;= 2, "검색창 삭제",
 IF($E$4&lt;&gt;"", IFERROR(INDEX(학력!H:H, MATCH($E$4&amp;"_학력_"&amp;$N45, 학력!$L:$L, 0)), "-"),
 IF($P$4&lt;&gt;"", IFERROR(INDEX(학력!H:H, MATCH($P$4&amp;"_학력_"&amp;$N45, 학력!$N:$N, 0)), "-"),
 IF($R$4&lt;&gt;"", IFERROR(INDEX(학력!H:H, MATCH($R$4&amp;"_학력_"&amp;$N45, 학력!$M:$M, 0)), "-"), "-")))), IF(OR(_xlpm.res=0, _xlpm.res=""), "-", _xlpm.res))</f>
        <v>-</v>
      </c>
      <c r="U45" s="105" t="str">
        <f>_xlfn.LET(_xlpm.res, IF(COUNTA($E$4, $P$4, $R$4) &gt;= 2, "검색창 삭제",
 IF($E$4&lt;&gt;"", IFERROR(HYPERLINK("학력, 자격증-excel 연동 파일\" &amp; $E$4 &amp; "\학력\" &amp; INDEX(학력!D:D, MATCH($E$4&amp;"_학력_"&amp;$N45, 학력!$L:$L, 0)) &amp; "_" &amp; INDEX(학력!E:E, MATCH($E$4&amp;"_학력_"&amp;$N45, 학력!$L:$L, 0)) &amp; "_" &amp; INDEX(학력!F:F, MATCH($E$4&amp;"_학력_"&amp;$N45, 학력!$L:$L, 0)) &amp; "_" &amp; $E$4 &amp; ".pdf", "PDF"), "-"),
 IF($P$4&lt;&gt;"", IFERROR(HYPERLINK("학력, 자격증-excel 연동 파일\" &amp; INDEX(학력!A:A, MATCH($P$4&amp;"_학력_"&amp;$N45, 학력!$N:$N, 0)) &amp; "\학력\" &amp; INDEX(학력!D:D, MATCH($P$4&amp;"_학력_"&amp;$N45, 학력!$N:$N, 0)) &amp; "_" &amp; INDEX(학력!E:E, MATCH($P$4&amp;"_학력_"&amp;$N45, 학력!$N:$N, 0)) &amp; "_" &amp; INDEX(학력!F:F, MATCH($P$4&amp;"_학력_"&amp;$N45, 학력!$N:$N, 0)) &amp; "_" &amp; INDEX(학력!A:A, MATCH($P$4&amp;"_학력_"&amp;$N45, 학력!$N:$N, 0)) &amp; ".pdf", "PDF"), "-"),
 IF($R$4&lt;&gt;"", IFERROR(HYPERLINK("학력, 자격증-excel 연동 파일\" &amp; INDEX(학력!A:A, MATCH($R$4&amp;"_학력_"&amp;$N45, 학력!$M:$M, 0)) &amp; "\학력\" &amp; INDEX(학력!D:D, MATCH($R$4&amp;"_학력_"&amp;$N45, 학력!$M:$M, 0)) &amp; "_" &amp; INDEX(학력!E:E, MATCH($R$4&amp;"_학력_"&amp;$N45, 학력!$M:$M, 0)) &amp; "_" &amp; INDEX(학력!F:F, MATCH($R$4&amp;"_학력_"&amp;$N45, 학력!$M:$M, 0)) &amp; "_" &amp; INDEX(학력!A:A, MATCH($R$4&amp;"_학력_"&amp;$N45, 학력!$M:$M, 0)) &amp; ".pdf", "PDF"), "-"), "-")))),
 IF(OR(_xlpm.res=0, _xlpm.res=""), "-", _xlpm.res))</f>
        <v>-</v>
      </c>
    </row>
    <row r="46" spans="2:21" ht="20.100000000000001" customHeight="1">
      <c r="B46" s="108">
        <v>39</v>
      </c>
      <c r="C46" s="105" t="str">
        <f>_xlfn.LET(_xlpm.res, IF(AND($E$4&lt;&gt;"", $L$4&lt;&gt;""), "검색창 삭제",
 IF($E$4&lt;&gt;"", IFERROR(INDEX(자격증!A:A, MATCH($E$4&amp;"_자격증_"&amp;$B46, 자격증!$Y:$Y, 0)), "-"),
 IF($L$4&lt;&gt;"", IFERROR(INDEX(자격증!A:A, MATCH($L$4&amp;"_자격증_"&amp;$B46, 자격증!$Z:$Z, 0)), "-"), "-"))), IF(OR(_xlpm.res=0, _xlpm.res=""), "-", _xlpm.res))</f>
        <v>-</v>
      </c>
      <c r="D46" s="106" t="str">
        <f>_xlfn.LET(_xlpm.res, IF(AND($E$4&lt;&gt;"", $L$4&lt;&gt;""), "검색창 삭제",
 IF($E$4&lt;&gt;"", IFERROR(INDEX(자격증!D:D, MATCH($E$4&amp;"_자격증_"&amp;$B46, 자격증!$Y:$Y, 0)), "-"),
 IF($L$4&lt;&gt;"", IFERROR(INDEX(자격증!D:D, MATCH($L$4&amp;"_자격증_"&amp;$B46, 자격증!$Z:$Z, 0)), "-"), "-"))), IF(OR(_xlpm.res=0, _xlpm.res=""), "-", _xlpm.res))</f>
        <v>-</v>
      </c>
      <c r="E46" s="105" t="str">
        <f>_xlfn.LET(_xlpm.res, IF(AND($E$4&lt;&gt;"", $L$4&lt;&gt;""), "검색창 삭제",
 IF($E$4&lt;&gt;"", IFERROR(INDEX(자격증!E:E, MATCH($E$4&amp;"_자격증_"&amp;$B46, 자격증!$Y:$Y, 0)), "-"),
 IF($L$4&lt;&gt;"", IFERROR(INDEX(자격증!E:E, MATCH($L$4&amp;"_자격증_"&amp;$B46, 자격증!$Z:$Z, 0)), "-"), "-"))), IF(OR(_xlpm.res=0, _xlpm.res=""), "-", _xlpm.res))</f>
        <v>-</v>
      </c>
      <c r="F46" s="105" t="str">
        <f>_xlfn.LET(_xlpm.res, IF(AND($E$4&lt;&gt;"", $L$4&lt;&gt;""), "검색창 삭제",
 IF($E$4&lt;&gt;"", IFERROR(INDEX(자격증!F:F, MATCH($E$4&amp;"_자격증_"&amp;$B46, 자격증!$Y:$Y, 0)), "-"),
 IF($L$4&lt;&gt;"", IFERROR(INDEX(자격증!F:F, MATCH($L$4&amp;"_자격증_"&amp;$B46, 자격증!$Z:$Z, 0)), "-"), "-"))), IF(OR(_xlpm.res=0, _xlpm.res=""), "-", _xlpm.res))</f>
        <v>-</v>
      </c>
      <c r="G46" s="105" t="str">
        <f>_xlfn.LET(_xlpm.res, IF(AND($E$4&lt;&gt;"", $L$4&lt;&gt;""), "검색창 삭제",
 IF($E$4&lt;&gt;"", IFERROR(INDEX(자격증!G:G, MATCH($E$4&amp;"_자격증_"&amp;$B46, 자격증!$Y:$Y, 0)), "-"),
 IF($L$4&lt;&gt;"", IFERROR(INDEX(자격증!G:G, MATCH($L$4&amp;"_자격증_"&amp;$B46, 자격증!$Z:$Z, 0)), "-"), "-"))), IF(OR(_xlpm.res=0, _xlpm.res=""), "-", _xlpm.res))</f>
        <v>-</v>
      </c>
      <c r="H46" s="105" t="str">
        <f>_xlfn.LET(_xlpm.res, IF(AND($E$4&lt;&gt;"", $L$4&lt;&gt;""), "검색창 삭제",
 IF($E$4&lt;&gt;"", IFERROR(INDEX(자격증!H:H, MATCH($E$4&amp;"_자격증_"&amp;$B46, 자격증!$Y:$Y, 0)), "-"),
 IF($L$4&lt;&gt;"", IFERROR(INDEX(자격증!H:H, MATCH($L$4&amp;"_자격증_"&amp;$B46, 자격증!$Z:$Z, 0)), "-"), "-"))), IF(OR(_xlpm.res=0, _xlpm.res=""), "-", _xlpm.res))</f>
        <v>-</v>
      </c>
      <c r="I46" s="367" t="str">
        <f>_xlfn.LET(_xlpm.res, IF(AND($E$4&lt;&gt;"", $L$4&lt;&gt;""), "검색창 삭제",
 IF($E$4&lt;&gt;"", IFERROR(INDEX(자격증!I:I, MATCH($E$4&amp;"_자격증_"&amp;$B46, 자격증!$Y:$Y, 0)), "-"),
 IF($L$4&lt;&gt;"", IFERROR(INDEX(자격증!I:I, MATCH($L$4&amp;"_자격증_"&amp;$B46, 자격증!$Z:$Z, 0)), "-"), "-"))), IF(OR(_xlpm.res=0, _xlpm.res=""), "-", _xlpm.res))</f>
        <v>-</v>
      </c>
      <c r="J46" s="367" t="str">
        <f>_xlfn.LET(_xlpm.res, IF(AND($E$4&lt;&gt;"", $L$4&lt;&gt;""), "검색창 삭제",
 IF($E$4&lt;&gt;"", IFERROR(INDEX(자격증!J:J, MATCH($E$4&amp;"_자격증_"&amp;$B46, 자격증!$Y:$Y, 0)), "-"),
 IF($L$4&lt;&gt;"", IFERROR(INDEX(자격증!J:J, MATCH($L$4&amp;"_자격증_"&amp;$B46, 자격증!$Z:$Z, 0)), "-"), "-"))), IF(OR(_xlpm.res=0, _xlpm.res=""), "-", _xlpm.res))</f>
        <v>-</v>
      </c>
      <c r="K46" s="367" t="str">
        <f>_xlfn.LET(_xlpm.res, IF(AND($E$4&lt;&gt;"", $L$4&lt;&gt;""), "검색창 삭제",
 IF($E$4&lt;&gt;"", IFERROR(INDEX(자격증!K:K, MATCH($E$4&amp;"_자격증_"&amp;$B46, 자격증!$Y:$Y, 0)), "-"),
 IF($L$4&lt;&gt;"", IFERROR(INDEX(자격증!K:K, MATCH($L$4&amp;"_자격증_"&amp;$B46, 자격증!$Z:$Z, 0)), "-"), "-"))), IF(OR(_xlpm.res=0, _xlpm.res=""), "-", _xlpm.res))</f>
        <v>-</v>
      </c>
      <c r="L46" s="105" t="str">
        <f>IF(AND($E$4&lt;&gt;"", $L$4&lt;&gt;""), "검색창 삭제",
 IF($E$4&lt;&gt;"", IFERROR(HYPERLINK("학력, 자격증-excel 연동 파일\" &amp; $E$4 &amp; "\자격증\" &amp; INDEX(자격증!D:D, MATCH($E$4&amp;"_자격증_"&amp;$B46, 자격증!$Y:$Y, 0)) &amp; "_" &amp; $E$4 &amp; ".pdf", "PDF 열기"), "-"),
 IF($L$4&lt;&gt;"", IFERROR(HYPERLINK("학력, 자격증-excel 연동 파일\" &amp; $C46 &amp; "\자격증\" &amp; INDEX(자격증!D:D, MATCH($D46&amp;"_자격증_"&amp;$B46, 자격증!$Z:$Z, 0)) &amp; "_" &amp; $C46 &amp; ".pdf", "PDF 열기"), "-"), "")))</f>
        <v/>
      </c>
      <c r="N46" s="108">
        <v>39</v>
      </c>
      <c r="O46" s="105" t="str">
        <f>_xlfn.LET(_xlpm.res, IF(COUNTA($E$4, $P$4, $R$4) &gt;= 2, "검색창 삭제",
 IF($E$4&lt;&gt;"", IFERROR(INDEX(학력!A:A, MATCH($E$4&amp;"_학력_"&amp;$N46, 학력!$L:$L, 0)), "-"),
 IF($P$4&lt;&gt;"", IFERROR(INDEX(학력!A:A, MATCH($P$4&amp;"_학력_"&amp;$N46, 학력!$N:$N, 0)), "-"),
 IF($R$4&lt;&gt;"", IFERROR(INDEX(학력!A:A, MATCH($R$4&amp;"_학력_"&amp;$N46, 학력!$M:$M, 0)), "-"), "-")))), IF(OR(_xlpm.res=0, _xlpm.res=""), "-", _xlpm.res))</f>
        <v>-</v>
      </c>
      <c r="P46" s="105" t="str">
        <f>_xlfn.LET(_xlpm.res, IF(COUNTA($E$4, $P$4, $R$4) &gt;= 2, "검색창 삭제",
 IF($E$4&lt;&gt;"", IFERROR(INDEX(학력!D:D, MATCH($E$4&amp;"_학력_"&amp;$N46, 학력!$L:$L, 0)), "-"),
 IF($P$4&lt;&gt;"", IFERROR(INDEX(학력!D:D, MATCH($P$4&amp;"_학력_"&amp;$N46, 학력!$N:$N, 0)), "-"),
 IF($R$4&lt;&gt;"", IFERROR(INDEX(학력!D:D, MATCH($R$4&amp;"_학력_"&amp;$N46, 학력!$M:$M, 0)), "-"), "-")))), IF(OR(_xlpm.res=0, _xlpm.res=""), "-", _xlpm.res))</f>
        <v>-</v>
      </c>
      <c r="Q46" s="105" t="str">
        <f>_xlfn.LET(_xlpm.res, IF(COUNTA($E$4, $P$4, $R$4) &gt;= 2, "검색창 삭제",
 IF($E$4&lt;&gt;"", IFERROR(INDEX(학력!E:E, MATCH($E$4&amp;"_학력_"&amp;$N46, 학력!$L:$L, 0)), "-"),
 IF($P$4&lt;&gt;"", IFERROR(INDEX(학력!E:E, MATCH($P$4&amp;"_학력_"&amp;$N46, 학력!$N:$N, 0)), "-"),
 IF($R$4&lt;&gt;"", IFERROR(INDEX(학력!E:E, MATCH($R$4&amp;"_학력_"&amp;$N46, 학력!$M:$M, 0)), "-"), "-")))), IF(OR(_xlpm.res=0, _xlpm.res=""), "-", _xlpm.res))</f>
        <v>-</v>
      </c>
      <c r="R46" s="105" t="str">
        <f>_xlfn.LET(_xlpm.res, IF(COUNTA($E$4, $P$4, $R$4) &gt;= 2, "검색창 삭제",
 IF($E$4&lt;&gt;"", IFERROR(INDEX(학력!F:F, MATCH($E$4&amp;"_학력_"&amp;$N46, 학력!$L:$L, 0)), "-"),
 IF($P$4&lt;&gt;"", IFERROR(INDEX(학력!F:F, MATCH($P$4&amp;"_학력_"&amp;$N46, 학력!$N:$N, 0)), "-"),
 IF($R$4&lt;&gt;"", IFERROR(INDEX(학력!F:F, MATCH($R$4&amp;"_학력_"&amp;$N46, 학력!$M:$M, 0)), "-"), "-")))), IF(OR(_xlpm.res=0, _xlpm.res=""), "-", _xlpm.res))</f>
        <v>-</v>
      </c>
      <c r="S46" s="105" t="str">
        <f>_xlfn.LET(
    _xlpm.result,
    IF(COUNTA($E$4, $P$4, $R$4) &gt;= 2, "검색창 삭제",
        IF($E$4&lt;&gt;"", IFERROR(INDEX(학력!G:G, MATCH($E$4&amp;"_학력_"&amp;$N46, 학력!$L:$L, 0)), "-"),
        IF($P$4&lt;&gt;"", IFERROR(INDEX(학력!G:G, MATCH($P$4&amp;"_학력_"&amp;$N46, 학력!$N:$N, 0)), "-"),
        IF($R$4&lt;&gt;"", IFERROR(INDEX(학력!G:G, MATCH($R$4&amp;"_학력_"&amp;$N46, 학력!$M:$M, 0)), "-"), "-")))
    ),
    IF(OR(_xlpm.result=0, _xlpm.result=""), "-", _xlpm.result)
)</f>
        <v>-</v>
      </c>
      <c r="T46" s="107" t="str">
        <f>_xlfn.LET(_xlpm.res, IF(COUNTA($E$4, $P$4, $R$4) &gt;= 2, "검색창 삭제",
 IF($E$4&lt;&gt;"", IFERROR(INDEX(학력!H:H, MATCH($E$4&amp;"_학력_"&amp;$N46, 학력!$L:$L, 0)), "-"),
 IF($P$4&lt;&gt;"", IFERROR(INDEX(학력!H:H, MATCH($P$4&amp;"_학력_"&amp;$N46, 학력!$N:$N, 0)), "-"),
 IF($R$4&lt;&gt;"", IFERROR(INDEX(학력!H:H, MATCH($R$4&amp;"_학력_"&amp;$N46, 학력!$M:$M, 0)), "-"), "-")))), IF(OR(_xlpm.res=0, _xlpm.res=""), "-", _xlpm.res))</f>
        <v>-</v>
      </c>
      <c r="U46" s="105" t="str">
        <f>_xlfn.LET(_xlpm.res, IF(COUNTA($E$4, $P$4, $R$4) &gt;= 2, "검색창 삭제",
 IF($E$4&lt;&gt;"", IFERROR(HYPERLINK("학력, 자격증-excel 연동 파일\" &amp; $E$4 &amp; "\학력\" &amp; INDEX(학력!D:D, MATCH($E$4&amp;"_학력_"&amp;$N46, 학력!$L:$L, 0)) &amp; "_" &amp; INDEX(학력!E:E, MATCH($E$4&amp;"_학력_"&amp;$N46, 학력!$L:$L, 0)) &amp; "_" &amp; INDEX(학력!F:F, MATCH($E$4&amp;"_학력_"&amp;$N46, 학력!$L:$L, 0)) &amp; "_" &amp; $E$4 &amp; ".pdf", "PDF"), "-"),
 IF($P$4&lt;&gt;"", IFERROR(HYPERLINK("학력, 자격증-excel 연동 파일\" &amp; INDEX(학력!A:A, MATCH($P$4&amp;"_학력_"&amp;$N46, 학력!$N:$N, 0)) &amp; "\학력\" &amp; INDEX(학력!D:D, MATCH($P$4&amp;"_학력_"&amp;$N46, 학력!$N:$N, 0)) &amp; "_" &amp; INDEX(학력!E:E, MATCH($P$4&amp;"_학력_"&amp;$N46, 학력!$N:$N, 0)) &amp; "_" &amp; INDEX(학력!F:F, MATCH($P$4&amp;"_학력_"&amp;$N46, 학력!$N:$N, 0)) &amp; "_" &amp; INDEX(학력!A:A, MATCH($P$4&amp;"_학력_"&amp;$N46, 학력!$N:$N, 0)) &amp; ".pdf", "PDF"), "-"),
 IF($R$4&lt;&gt;"", IFERROR(HYPERLINK("학력, 자격증-excel 연동 파일\" &amp; INDEX(학력!A:A, MATCH($R$4&amp;"_학력_"&amp;$N46, 학력!$M:$M, 0)) &amp; "\학력\" &amp; INDEX(학력!D:D, MATCH($R$4&amp;"_학력_"&amp;$N46, 학력!$M:$M, 0)) &amp; "_" &amp; INDEX(학력!E:E, MATCH($R$4&amp;"_학력_"&amp;$N46, 학력!$M:$M, 0)) &amp; "_" &amp; INDEX(학력!F:F, MATCH($R$4&amp;"_학력_"&amp;$N46, 학력!$M:$M, 0)) &amp; "_" &amp; INDEX(학력!A:A, MATCH($R$4&amp;"_학력_"&amp;$N46, 학력!$M:$M, 0)) &amp; ".pdf", "PDF"), "-"), "-")))),
 IF(OR(_xlpm.res=0, _xlpm.res=""), "-", _xlpm.res))</f>
        <v>-</v>
      </c>
    </row>
    <row r="47" spans="2:21" ht="20.100000000000001" customHeight="1">
      <c r="B47" s="108">
        <v>40</v>
      </c>
      <c r="C47" s="105" t="str">
        <f>_xlfn.LET(_xlpm.res, IF(AND($E$4&lt;&gt;"", $L$4&lt;&gt;""), "검색창 삭제",
 IF($E$4&lt;&gt;"", IFERROR(INDEX(자격증!A:A, MATCH($E$4&amp;"_자격증_"&amp;$B47, 자격증!$Y:$Y, 0)), "-"),
 IF($L$4&lt;&gt;"", IFERROR(INDEX(자격증!A:A, MATCH($L$4&amp;"_자격증_"&amp;$B47, 자격증!$Z:$Z, 0)), "-"), "-"))), IF(OR(_xlpm.res=0, _xlpm.res=""), "-", _xlpm.res))</f>
        <v>-</v>
      </c>
      <c r="D47" s="106" t="str">
        <f>_xlfn.LET(_xlpm.res, IF(AND($E$4&lt;&gt;"", $L$4&lt;&gt;""), "검색창 삭제",
 IF($E$4&lt;&gt;"", IFERROR(INDEX(자격증!D:D, MATCH($E$4&amp;"_자격증_"&amp;$B47, 자격증!$Y:$Y, 0)), "-"),
 IF($L$4&lt;&gt;"", IFERROR(INDEX(자격증!D:D, MATCH($L$4&amp;"_자격증_"&amp;$B47, 자격증!$Z:$Z, 0)), "-"), "-"))), IF(OR(_xlpm.res=0, _xlpm.res=""), "-", _xlpm.res))</f>
        <v>-</v>
      </c>
      <c r="E47" s="105" t="str">
        <f>_xlfn.LET(_xlpm.res, IF(AND($E$4&lt;&gt;"", $L$4&lt;&gt;""), "검색창 삭제",
 IF($E$4&lt;&gt;"", IFERROR(INDEX(자격증!E:E, MATCH($E$4&amp;"_자격증_"&amp;$B47, 자격증!$Y:$Y, 0)), "-"),
 IF($L$4&lt;&gt;"", IFERROR(INDEX(자격증!E:E, MATCH($L$4&amp;"_자격증_"&amp;$B47, 자격증!$Z:$Z, 0)), "-"), "-"))), IF(OR(_xlpm.res=0, _xlpm.res=""), "-", _xlpm.res))</f>
        <v>-</v>
      </c>
      <c r="F47" s="105" t="str">
        <f>_xlfn.LET(_xlpm.res, IF(AND($E$4&lt;&gt;"", $L$4&lt;&gt;""), "검색창 삭제",
 IF($E$4&lt;&gt;"", IFERROR(INDEX(자격증!F:F, MATCH($E$4&amp;"_자격증_"&amp;$B47, 자격증!$Y:$Y, 0)), "-"),
 IF($L$4&lt;&gt;"", IFERROR(INDEX(자격증!F:F, MATCH($L$4&amp;"_자격증_"&amp;$B47, 자격증!$Z:$Z, 0)), "-"), "-"))), IF(OR(_xlpm.res=0, _xlpm.res=""), "-", _xlpm.res))</f>
        <v>-</v>
      </c>
      <c r="G47" s="105" t="str">
        <f>_xlfn.LET(_xlpm.res, IF(AND($E$4&lt;&gt;"", $L$4&lt;&gt;""), "검색창 삭제",
 IF($E$4&lt;&gt;"", IFERROR(INDEX(자격증!G:G, MATCH($E$4&amp;"_자격증_"&amp;$B47, 자격증!$Y:$Y, 0)), "-"),
 IF($L$4&lt;&gt;"", IFERROR(INDEX(자격증!G:G, MATCH($L$4&amp;"_자격증_"&amp;$B47, 자격증!$Z:$Z, 0)), "-"), "-"))), IF(OR(_xlpm.res=0, _xlpm.res=""), "-", _xlpm.res))</f>
        <v>-</v>
      </c>
      <c r="H47" s="105" t="str">
        <f>_xlfn.LET(_xlpm.res, IF(AND($E$4&lt;&gt;"", $L$4&lt;&gt;""), "검색창 삭제",
 IF($E$4&lt;&gt;"", IFERROR(INDEX(자격증!H:H, MATCH($E$4&amp;"_자격증_"&amp;$B47, 자격증!$Y:$Y, 0)), "-"),
 IF($L$4&lt;&gt;"", IFERROR(INDEX(자격증!H:H, MATCH($L$4&amp;"_자격증_"&amp;$B47, 자격증!$Z:$Z, 0)), "-"), "-"))), IF(OR(_xlpm.res=0, _xlpm.res=""), "-", _xlpm.res))</f>
        <v>-</v>
      </c>
      <c r="I47" s="367" t="str">
        <f>_xlfn.LET(_xlpm.res, IF(AND($E$4&lt;&gt;"", $L$4&lt;&gt;""), "검색창 삭제",
 IF($E$4&lt;&gt;"", IFERROR(INDEX(자격증!I:I, MATCH($E$4&amp;"_자격증_"&amp;$B47, 자격증!$Y:$Y, 0)), "-"),
 IF($L$4&lt;&gt;"", IFERROR(INDEX(자격증!I:I, MATCH($L$4&amp;"_자격증_"&amp;$B47, 자격증!$Z:$Z, 0)), "-"), "-"))), IF(OR(_xlpm.res=0, _xlpm.res=""), "-", _xlpm.res))</f>
        <v>-</v>
      </c>
      <c r="J47" s="367" t="str">
        <f>_xlfn.LET(_xlpm.res, IF(AND($E$4&lt;&gt;"", $L$4&lt;&gt;""), "검색창 삭제",
 IF($E$4&lt;&gt;"", IFERROR(INDEX(자격증!J:J, MATCH($E$4&amp;"_자격증_"&amp;$B47, 자격증!$Y:$Y, 0)), "-"),
 IF($L$4&lt;&gt;"", IFERROR(INDEX(자격증!J:J, MATCH($L$4&amp;"_자격증_"&amp;$B47, 자격증!$Z:$Z, 0)), "-"), "-"))), IF(OR(_xlpm.res=0, _xlpm.res=""), "-", _xlpm.res))</f>
        <v>-</v>
      </c>
      <c r="K47" s="367" t="str">
        <f>_xlfn.LET(_xlpm.res, IF(AND($E$4&lt;&gt;"", $L$4&lt;&gt;""), "검색창 삭제",
 IF($E$4&lt;&gt;"", IFERROR(INDEX(자격증!K:K, MATCH($E$4&amp;"_자격증_"&amp;$B47, 자격증!$Y:$Y, 0)), "-"),
 IF($L$4&lt;&gt;"", IFERROR(INDEX(자격증!K:K, MATCH($L$4&amp;"_자격증_"&amp;$B47, 자격증!$Z:$Z, 0)), "-"), "-"))), IF(OR(_xlpm.res=0, _xlpm.res=""), "-", _xlpm.res))</f>
        <v>-</v>
      </c>
      <c r="L47" s="105" t="str">
        <f>IF(AND($E$4&lt;&gt;"", $L$4&lt;&gt;""), "검색창 삭제",
 IF($E$4&lt;&gt;"", IFERROR(HYPERLINK("학력, 자격증-excel 연동 파일\" &amp; $E$4 &amp; "\자격증\" &amp; INDEX(자격증!D:D, MATCH($E$4&amp;"_자격증_"&amp;$B47, 자격증!$Y:$Y, 0)) &amp; "_" &amp; $E$4 &amp; ".pdf", "PDF 열기"), "-"),
 IF($L$4&lt;&gt;"", IFERROR(HYPERLINK("학력, 자격증-excel 연동 파일\" &amp; $C47 &amp; "\자격증\" &amp; INDEX(자격증!D:D, MATCH($D47&amp;"_자격증_"&amp;$B47, 자격증!$Z:$Z, 0)) &amp; "_" &amp; $C47 &amp; ".pdf", "PDF 열기"), "-"), "")))</f>
        <v/>
      </c>
      <c r="N47" s="108">
        <v>40</v>
      </c>
      <c r="O47" s="105" t="str">
        <f>_xlfn.LET(_xlpm.res, IF(COUNTA($E$4, $P$4, $R$4) &gt;= 2, "검색창 삭제",
 IF($E$4&lt;&gt;"", IFERROR(INDEX(학력!A:A, MATCH($E$4&amp;"_학력_"&amp;$N47, 학력!$L:$L, 0)), "-"),
 IF($P$4&lt;&gt;"", IFERROR(INDEX(학력!A:A, MATCH($P$4&amp;"_학력_"&amp;$N47, 학력!$N:$N, 0)), "-"),
 IF($R$4&lt;&gt;"", IFERROR(INDEX(학력!A:A, MATCH($R$4&amp;"_학력_"&amp;$N47, 학력!$M:$M, 0)), "-"), "-")))), IF(OR(_xlpm.res=0, _xlpm.res=""), "-", _xlpm.res))</f>
        <v>-</v>
      </c>
      <c r="P47" s="105" t="str">
        <f>_xlfn.LET(_xlpm.res, IF(COUNTA($E$4, $P$4, $R$4) &gt;= 2, "검색창 삭제",
 IF($E$4&lt;&gt;"", IFERROR(INDEX(학력!D:D, MATCH($E$4&amp;"_학력_"&amp;$N47, 학력!$L:$L, 0)), "-"),
 IF($P$4&lt;&gt;"", IFERROR(INDEX(학력!D:D, MATCH($P$4&amp;"_학력_"&amp;$N47, 학력!$N:$N, 0)), "-"),
 IF($R$4&lt;&gt;"", IFERROR(INDEX(학력!D:D, MATCH($R$4&amp;"_학력_"&amp;$N47, 학력!$M:$M, 0)), "-"), "-")))), IF(OR(_xlpm.res=0, _xlpm.res=""), "-", _xlpm.res))</f>
        <v>-</v>
      </c>
      <c r="Q47" s="105" t="str">
        <f>_xlfn.LET(_xlpm.res, IF(COUNTA($E$4, $P$4, $R$4) &gt;= 2, "검색창 삭제",
 IF($E$4&lt;&gt;"", IFERROR(INDEX(학력!E:E, MATCH($E$4&amp;"_학력_"&amp;$N47, 학력!$L:$L, 0)), "-"),
 IF($P$4&lt;&gt;"", IFERROR(INDEX(학력!E:E, MATCH($P$4&amp;"_학력_"&amp;$N47, 학력!$N:$N, 0)), "-"),
 IF($R$4&lt;&gt;"", IFERROR(INDEX(학력!E:E, MATCH($R$4&amp;"_학력_"&amp;$N47, 학력!$M:$M, 0)), "-"), "-")))), IF(OR(_xlpm.res=0, _xlpm.res=""), "-", _xlpm.res))</f>
        <v>-</v>
      </c>
      <c r="R47" s="105" t="str">
        <f>_xlfn.LET(_xlpm.res, IF(COUNTA($E$4, $P$4, $R$4) &gt;= 2, "검색창 삭제",
 IF($E$4&lt;&gt;"", IFERROR(INDEX(학력!F:F, MATCH($E$4&amp;"_학력_"&amp;$N47, 학력!$L:$L, 0)), "-"),
 IF($P$4&lt;&gt;"", IFERROR(INDEX(학력!F:F, MATCH($P$4&amp;"_학력_"&amp;$N47, 학력!$N:$N, 0)), "-"),
 IF($R$4&lt;&gt;"", IFERROR(INDEX(학력!F:F, MATCH($R$4&amp;"_학력_"&amp;$N47, 학력!$M:$M, 0)), "-"), "-")))), IF(OR(_xlpm.res=0, _xlpm.res=""), "-", _xlpm.res))</f>
        <v>-</v>
      </c>
      <c r="S47" s="105" t="str">
        <f>_xlfn.LET(
    _xlpm.result,
    IF(COUNTA($E$4, $P$4, $R$4) &gt;= 2, "검색창 삭제",
        IF($E$4&lt;&gt;"", IFERROR(INDEX(학력!G:G, MATCH($E$4&amp;"_학력_"&amp;$N47, 학력!$L:$L, 0)), "-"),
        IF($P$4&lt;&gt;"", IFERROR(INDEX(학력!G:G, MATCH($P$4&amp;"_학력_"&amp;$N47, 학력!$N:$N, 0)), "-"),
        IF($R$4&lt;&gt;"", IFERROR(INDEX(학력!G:G, MATCH($R$4&amp;"_학력_"&amp;$N47, 학력!$M:$M, 0)), "-"), "-")))
    ),
    IF(OR(_xlpm.result=0, _xlpm.result=""), "-", _xlpm.result)
)</f>
        <v>-</v>
      </c>
      <c r="T47" s="107" t="str">
        <f>_xlfn.LET(_xlpm.res, IF(COUNTA($E$4, $P$4, $R$4) &gt;= 2, "검색창 삭제",
 IF($E$4&lt;&gt;"", IFERROR(INDEX(학력!H:H, MATCH($E$4&amp;"_학력_"&amp;$N47, 학력!$L:$L, 0)), "-"),
 IF($P$4&lt;&gt;"", IFERROR(INDEX(학력!H:H, MATCH($P$4&amp;"_학력_"&amp;$N47, 학력!$N:$N, 0)), "-"),
 IF($R$4&lt;&gt;"", IFERROR(INDEX(학력!H:H, MATCH($R$4&amp;"_학력_"&amp;$N47, 학력!$M:$M, 0)), "-"), "-")))), IF(OR(_xlpm.res=0, _xlpm.res=""), "-", _xlpm.res))</f>
        <v>-</v>
      </c>
      <c r="U47" s="105" t="str">
        <f>_xlfn.LET(_xlpm.res, IF(COUNTA($E$4, $P$4, $R$4) &gt;= 2, "검색창 삭제",
 IF($E$4&lt;&gt;"", IFERROR(HYPERLINK("학력, 자격증-excel 연동 파일\" &amp; $E$4 &amp; "\학력\" &amp; INDEX(학력!D:D, MATCH($E$4&amp;"_학력_"&amp;$N47, 학력!$L:$L, 0)) &amp; "_" &amp; INDEX(학력!E:E, MATCH($E$4&amp;"_학력_"&amp;$N47, 학력!$L:$L, 0)) &amp; "_" &amp; INDEX(학력!F:F, MATCH($E$4&amp;"_학력_"&amp;$N47, 학력!$L:$L, 0)) &amp; "_" &amp; $E$4 &amp; ".pdf", "PDF"), "-"),
 IF($P$4&lt;&gt;"", IFERROR(HYPERLINK("학력, 자격증-excel 연동 파일\" &amp; INDEX(학력!A:A, MATCH($P$4&amp;"_학력_"&amp;$N47, 학력!$N:$N, 0)) &amp; "\학력\" &amp; INDEX(학력!D:D, MATCH($P$4&amp;"_학력_"&amp;$N47, 학력!$N:$N, 0)) &amp; "_" &amp; INDEX(학력!E:E, MATCH($P$4&amp;"_학력_"&amp;$N47, 학력!$N:$N, 0)) &amp; "_" &amp; INDEX(학력!F:F, MATCH($P$4&amp;"_학력_"&amp;$N47, 학력!$N:$N, 0)) &amp; "_" &amp; INDEX(학력!A:A, MATCH($P$4&amp;"_학력_"&amp;$N47, 학력!$N:$N, 0)) &amp; ".pdf", "PDF"), "-"),
 IF($R$4&lt;&gt;"", IFERROR(HYPERLINK("학력, 자격증-excel 연동 파일\" &amp; INDEX(학력!A:A, MATCH($R$4&amp;"_학력_"&amp;$N47, 학력!$M:$M, 0)) &amp; "\학력\" &amp; INDEX(학력!D:D, MATCH($R$4&amp;"_학력_"&amp;$N47, 학력!$M:$M, 0)) &amp; "_" &amp; INDEX(학력!E:E, MATCH($R$4&amp;"_학력_"&amp;$N47, 학력!$M:$M, 0)) &amp; "_" &amp; INDEX(학력!F:F, MATCH($R$4&amp;"_학력_"&amp;$N47, 학력!$M:$M, 0)) &amp; "_" &amp; INDEX(학력!A:A, MATCH($R$4&amp;"_학력_"&amp;$N47, 학력!$M:$M, 0)) &amp; ".pdf", "PDF"), "-"), "-")))),
 IF(OR(_xlpm.res=0, _xlpm.res=""), "-", _xlpm.res))</f>
        <v>-</v>
      </c>
    </row>
    <row r="48" spans="2:21">
      <c r="L48" s="77" t="str">
        <f>IFERROR(INDEX(자격증!D:D,MATCH($E$4&amp;"_자격증_"&amp;K48,자격증!$Y:$Y,0)),"")</f>
        <v/>
      </c>
      <c r="M48" s="77" t="str">
        <f>IFERROR(INDEX(자격증!E:E,MATCH($E$4&amp;"_자격증_"&amp;$K48,자격증!$Y:$Y,0)),"")</f>
        <v/>
      </c>
      <c r="N48" s="77" t="str">
        <f>IFERROR(INDEX(자격증!F:F,MATCH($E$4&amp;"_자격증_"&amp;$K48,자격증!$Y:$Y,0)),"")</f>
        <v/>
      </c>
      <c r="R48" s="109"/>
      <c r="S48" s="109"/>
      <c r="T48" s="109"/>
      <c r="U48" s="77" t="str">
        <f>IFERROR(INDEX(자격증!L:L,MATCH($E$4&amp;"_자격증_"&amp;$K48,자격증!$Y:$Y,0)),"")</f>
        <v/>
      </c>
    </row>
    <row r="49" spans="12:21">
      <c r="L49" s="77" t="str">
        <f>IFERROR(INDEX(자격증!D:D,MATCH($E$4&amp;"_자격증_"&amp;K49,자격증!$Y:$Y,0)),"")</f>
        <v/>
      </c>
      <c r="M49" s="77" t="str">
        <f>IFERROR(INDEX(자격증!E:E,MATCH($E$4&amp;"_자격증_"&amp;$K49,자격증!$Y:$Y,0)),"")</f>
        <v/>
      </c>
      <c r="N49" s="77" t="str">
        <f>IFERROR(INDEX(자격증!F:F,MATCH($E$4&amp;"_자격증_"&amp;$K49,자격증!$Y:$Y,0)),"")</f>
        <v/>
      </c>
      <c r="R49" s="109"/>
      <c r="S49" s="109"/>
      <c r="T49" s="109"/>
      <c r="U49" s="77" t="str">
        <f>IFERROR(INDEX(자격증!L:L,MATCH($E$4&amp;"_자격증_"&amp;$K49,자격증!$Y:$Y,0)),"")</f>
        <v/>
      </c>
    </row>
  </sheetData>
  <phoneticPr fontId="1" type="noConversion"/>
  <conditionalFormatting sqref="K7:L7 O7:P7">
    <cfRule type="expression" dxfId="10" priority="3">
      <formula>AND(K7&lt; TODAY(), K7&lt;&gt;"")</formula>
    </cfRule>
  </conditionalFormatting>
  <conditionalFormatting sqref="L2">
    <cfRule type="expression" dxfId="9" priority="1">
      <formula>AND(L2&lt; TODAY(), L2&lt;&gt;"")</formula>
    </cfRule>
  </conditionalFormatting>
  <dataValidations count="1">
    <dataValidation type="list" allowBlank="1" showInputMessage="1" showErrorMessage="1" sqref="E7" xr:uid="{54CA8691-E69E-4F41-9651-3C3DE2CE540C}">
      <formula1>"전문자격,기술사,기능장,기사,산업기사,기능사,서비스,타기관,민간(국가),민간,외국"</formula1>
    </dataValidation>
  </dataValidations>
  <pageMargins left="0.7" right="0.7" top="0.75" bottom="0.75" header="0.3" footer="0.3"/>
  <pageSetup paperSize="9" scale="24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1B2AA1B-A327-4692-9E0B-3EC22DE419B1}">
          <x14:formula1>
            <xm:f>정렬표!$P$2:$P$261</xm:f>
          </x14:formula1>
          <xm:sqref>L4</xm:sqref>
        </x14:dataValidation>
        <x14:dataValidation type="list" allowBlank="1" showInputMessage="1" showErrorMessage="1" xr:uid="{17F80272-B6D8-408B-A750-D94A00DF9561}">
          <x14:formula1>
            <xm:f>정렬표!$D$2:$D$6</xm:f>
          </x14:formula1>
          <xm:sqref>P4</xm:sqref>
        </x14:dataValidation>
        <x14:dataValidation type="list" allowBlank="1" showInputMessage="1" showErrorMessage="1" xr:uid="{69377CA0-95E7-4BD6-A2C8-C37A0ADC52BE}">
          <x14:formula1>
            <xm:f>정렬표!$O$2:$O$40</xm:f>
          </x14:formula1>
          <xm:sqref>R4</xm:sqref>
        </x14:dataValidation>
        <x14:dataValidation type="list" allowBlank="1" showInputMessage="1" showErrorMessage="1" xr:uid="{0ADE17C4-8610-4029-8F18-2C2AE3516B24}">
          <x14:formula1>
            <xm:f>개인DB!$B$3:$B$47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A003E-5A78-4632-8D56-90F1EEC80400}">
  <sheetPr>
    <tabColor rgb="FFFFFF00"/>
  </sheetPr>
  <dimension ref="A1:A49"/>
  <sheetViews>
    <sheetView topLeftCell="A24" workbookViewId="0">
      <selection activeCell="F46" sqref="F46"/>
    </sheetView>
  </sheetViews>
  <sheetFormatPr defaultColWidth="9" defaultRowHeight="16.5"/>
  <cols>
    <col min="1" max="16384" width="9" style="77"/>
  </cols>
  <sheetData>
    <row r="1" spans="1:1" ht="26.25">
      <c r="A1" s="394" t="s">
        <v>706</v>
      </c>
    </row>
    <row r="2" spans="1:1" ht="26.25">
      <c r="A2" s="394" t="s">
        <v>707</v>
      </c>
    </row>
    <row r="3" spans="1:1">
      <c r="A3" s="395" t="s">
        <v>783</v>
      </c>
    </row>
    <row r="4" spans="1:1" ht="26.25">
      <c r="A4" s="394" t="s">
        <v>708</v>
      </c>
    </row>
    <row r="5" spans="1:1">
      <c r="A5" s="395" t="s">
        <v>784</v>
      </c>
    </row>
    <row r="6" spans="1:1">
      <c r="A6" s="396" t="s">
        <v>785</v>
      </c>
    </row>
    <row r="8" spans="1:1" ht="26.25">
      <c r="A8" s="394" t="s">
        <v>709</v>
      </c>
    </row>
    <row r="9" spans="1:1" ht="21.75">
      <c r="A9" s="397" t="s">
        <v>710</v>
      </c>
    </row>
    <row r="10" spans="1:1">
      <c r="A10" s="395" t="s">
        <v>711</v>
      </c>
    </row>
    <row r="11" spans="1:1">
      <c r="A11" s="398" t="s">
        <v>786</v>
      </c>
    </row>
    <row r="12" spans="1:1">
      <c r="A12" s="398" t="s">
        <v>787</v>
      </c>
    </row>
    <row r="13" spans="1:1">
      <c r="A13" s="398" t="s">
        <v>788</v>
      </c>
    </row>
    <row r="14" spans="1:1" ht="21.75">
      <c r="A14" s="397" t="s">
        <v>712</v>
      </c>
    </row>
    <row r="15" spans="1:1">
      <c r="A15" s="398" t="s">
        <v>789</v>
      </c>
    </row>
    <row r="16" spans="1:1">
      <c r="A16" s="398" t="s">
        <v>790</v>
      </c>
    </row>
    <row r="18" spans="1:1" ht="26.25">
      <c r="A18" s="394" t="s">
        <v>713</v>
      </c>
    </row>
    <row r="19" spans="1:1" ht="21.75">
      <c r="A19" s="397" t="s">
        <v>714</v>
      </c>
    </row>
    <row r="20" spans="1:1">
      <c r="A20" s="396" t="s">
        <v>791</v>
      </c>
    </row>
    <row r="21" spans="1:1">
      <c r="A21" s="396" t="s">
        <v>792</v>
      </c>
    </row>
    <row r="22" spans="1:1">
      <c r="A22" s="396" t="s">
        <v>715</v>
      </c>
    </row>
    <row r="23" spans="1:1" ht="21.75">
      <c r="A23" s="397" t="s">
        <v>716</v>
      </c>
    </row>
    <row r="24" spans="1:1">
      <c r="A24" s="398" t="s">
        <v>793</v>
      </c>
    </row>
    <row r="25" spans="1:1">
      <c r="A25" s="396" t="s">
        <v>794</v>
      </c>
    </row>
    <row r="26" spans="1:1">
      <c r="A26" s="396" t="s">
        <v>717</v>
      </c>
    </row>
    <row r="27" spans="1:1">
      <c r="A27" s="396"/>
    </row>
    <row r="28" spans="1:1">
      <c r="A28" s="399" t="s">
        <v>718</v>
      </c>
    </row>
    <row r="29" spans="1:1">
      <c r="A29" s="396" t="s">
        <v>719</v>
      </c>
    </row>
    <row r="30" spans="1:1" ht="21.75">
      <c r="A30" s="397" t="s">
        <v>720</v>
      </c>
    </row>
    <row r="31" spans="1:1">
      <c r="A31" s="396" t="s">
        <v>795</v>
      </c>
    </row>
    <row r="32" spans="1:1">
      <c r="A32" s="396" t="s">
        <v>796</v>
      </c>
    </row>
    <row r="33" spans="1:1">
      <c r="A33" s="396" t="s">
        <v>721</v>
      </c>
    </row>
    <row r="35" spans="1:1" ht="26.25">
      <c r="A35" s="394" t="s">
        <v>804</v>
      </c>
    </row>
    <row r="36" spans="1:1">
      <c r="A36" s="400" t="s">
        <v>722</v>
      </c>
    </row>
    <row r="37" spans="1:1">
      <c r="A37" s="398" t="s">
        <v>797</v>
      </c>
    </row>
    <row r="38" spans="1:1">
      <c r="A38" s="398" t="s">
        <v>798</v>
      </c>
    </row>
    <row r="39" spans="1:1">
      <c r="A39" s="400" t="s">
        <v>723</v>
      </c>
    </row>
    <row r="40" spans="1:1">
      <c r="A40" s="398" t="s">
        <v>799</v>
      </c>
    </row>
    <row r="41" spans="1:1">
      <c r="A41" s="400" t="s">
        <v>724</v>
      </c>
    </row>
    <row r="42" spans="1:1">
      <c r="A42" s="398" t="s">
        <v>800</v>
      </c>
    </row>
    <row r="44" spans="1:1" ht="26.25">
      <c r="A44" s="394" t="s">
        <v>725</v>
      </c>
    </row>
    <row r="45" spans="1:1">
      <c r="A45" s="398" t="s">
        <v>801</v>
      </c>
    </row>
    <row r="46" spans="1:1">
      <c r="A46" s="398" t="s">
        <v>802</v>
      </c>
    </row>
    <row r="47" spans="1:1">
      <c r="A47" s="398" t="s">
        <v>803</v>
      </c>
    </row>
    <row r="49" spans="1:1">
      <c r="A49" s="40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D8C6-23F1-4C14-A165-D97D608994FF}">
  <sheetPr codeName="Sheet1">
    <tabColor theme="9" tint="0.59999389629810485"/>
    <pageSetUpPr fitToPage="1"/>
  </sheetPr>
  <dimension ref="A1:R51"/>
  <sheetViews>
    <sheetView tabSelected="1" view="pageBreakPreview" zoomScale="85" zoomScaleNormal="85" zoomScaleSheetLayoutView="85" workbookViewId="0">
      <selection activeCell="R41" sqref="R41"/>
    </sheetView>
  </sheetViews>
  <sheetFormatPr defaultColWidth="8.625" defaultRowHeight="20.100000000000001" customHeight="1" outlineLevelCol="1"/>
  <cols>
    <col min="1" max="1" width="10.375" style="264" customWidth="1"/>
    <col min="2" max="2" width="9" style="264"/>
    <col min="3" max="3" width="15.625" style="108" customWidth="1"/>
    <col min="4" max="4" width="10.75" style="114" customWidth="1"/>
    <col min="5" max="5" width="16.875" style="114" hidden="1" customWidth="1" outlineLevel="1"/>
    <col min="6" max="6" width="13.625" style="114" hidden="1" customWidth="1" collapsed="1"/>
    <col min="7" max="7" width="9" style="153" customWidth="1" outlineLevel="1"/>
    <col min="8" max="8" width="9" style="114" customWidth="1" outlineLevel="1"/>
    <col min="9" max="10" width="8.625" style="76" customWidth="1"/>
    <col min="11" max="11" width="10.625" style="341" customWidth="1"/>
    <col min="12" max="12" width="10.625" style="77" customWidth="1"/>
    <col min="13" max="13" width="10.625" style="341" customWidth="1"/>
    <col min="14" max="15" width="10.625" style="77" customWidth="1"/>
    <col min="16" max="16" width="10.625" style="344" customWidth="1"/>
    <col min="17" max="17" width="10.625" style="77" customWidth="1"/>
    <col min="18" max="18" width="10.625" style="344" customWidth="1"/>
    <col min="19" max="16384" width="8.625" style="77"/>
  </cols>
  <sheetData>
    <row r="1" spans="1:18" ht="20.100000000000001" customHeight="1" thickBot="1">
      <c r="A1" s="317" t="s">
        <v>46</v>
      </c>
      <c r="B1" s="318" t="s">
        <v>1</v>
      </c>
      <c r="C1" s="319" t="s">
        <v>2</v>
      </c>
      <c r="D1" s="319" t="s">
        <v>4</v>
      </c>
      <c r="E1" s="320" t="s">
        <v>471</v>
      </c>
      <c r="F1" s="321" t="s">
        <v>470</v>
      </c>
      <c r="G1" s="322" t="s">
        <v>373</v>
      </c>
      <c r="H1" s="323" t="s">
        <v>212</v>
      </c>
      <c r="I1" s="324" t="s">
        <v>481</v>
      </c>
      <c r="J1" s="324" t="s">
        <v>482</v>
      </c>
      <c r="K1" s="325" t="s">
        <v>619</v>
      </c>
      <c r="L1" s="326"/>
      <c r="M1" s="325" t="s">
        <v>620</v>
      </c>
      <c r="N1" s="326"/>
      <c r="O1" s="325" t="s">
        <v>621</v>
      </c>
      <c r="P1" s="327"/>
      <c r="Q1" s="328" t="s">
        <v>622</v>
      </c>
      <c r="R1" s="329"/>
    </row>
    <row r="2" spans="1:18" ht="20.100000000000001" customHeight="1" thickBot="1">
      <c r="A2" s="402" t="s">
        <v>210</v>
      </c>
      <c r="B2" s="403" t="s">
        <v>5</v>
      </c>
      <c r="C2" s="404" t="s">
        <v>201</v>
      </c>
      <c r="D2" s="404" t="s">
        <v>202</v>
      </c>
      <c r="E2" s="405"/>
      <c r="F2" s="407" t="s">
        <v>483</v>
      </c>
      <c r="G2" s="402" t="s">
        <v>372</v>
      </c>
      <c r="H2" s="405"/>
      <c r="I2" s="76" t="s">
        <v>500</v>
      </c>
      <c r="J2" s="76" t="s">
        <v>276</v>
      </c>
      <c r="K2" s="271" t="s">
        <v>623</v>
      </c>
      <c r="L2" s="340" t="s">
        <v>624</v>
      </c>
      <c r="M2" s="271" t="s">
        <v>623</v>
      </c>
      <c r="N2" s="340" t="s">
        <v>624</v>
      </c>
      <c r="O2" s="271" t="s">
        <v>623</v>
      </c>
      <c r="P2" s="273" t="s">
        <v>624</v>
      </c>
      <c r="Q2" s="339" t="s">
        <v>623</v>
      </c>
      <c r="R2" s="273" t="s">
        <v>624</v>
      </c>
    </row>
    <row r="3" spans="1:18" ht="20.100000000000001" customHeight="1">
      <c r="A3" s="351" t="s">
        <v>210</v>
      </c>
      <c r="B3" s="351" t="s">
        <v>6</v>
      </c>
      <c r="C3" s="352" t="s">
        <v>203</v>
      </c>
      <c r="D3" s="352" t="s">
        <v>202</v>
      </c>
      <c r="E3" s="353"/>
      <c r="F3" s="354" t="s">
        <v>484</v>
      </c>
      <c r="G3" s="355"/>
      <c r="H3" s="353"/>
      <c r="I3" s="352" t="s">
        <v>500</v>
      </c>
      <c r="J3" s="353" t="s">
        <v>500</v>
      </c>
      <c r="K3" s="351"/>
      <c r="L3" s="353"/>
      <c r="M3" s="351"/>
      <c r="N3" s="353"/>
      <c r="O3" s="351"/>
      <c r="P3" s="356"/>
      <c r="Q3" s="355"/>
      <c r="R3" s="356"/>
    </row>
    <row r="4" spans="1:18" ht="20.100000000000001" customHeight="1">
      <c r="A4" s="264" t="s">
        <v>210</v>
      </c>
      <c r="B4" s="264" t="s">
        <v>673</v>
      </c>
      <c r="C4" s="108" t="s">
        <v>676</v>
      </c>
      <c r="D4" s="108" t="s">
        <v>674</v>
      </c>
      <c r="E4" s="337" t="s">
        <v>704</v>
      </c>
      <c r="F4" s="338" t="s">
        <v>705</v>
      </c>
      <c r="H4" s="337"/>
      <c r="I4" s="108"/>
      <c r="J4" s="337"/>
      <c r="K4" s="264"/>
      <c r="L4" s="337"/>
      <c r="M4" s="264"/>
      <c r="N4" s="337"/>
      <c r="O4" s="264"/>
      <c r="P4" s="114"/>
      <c r="Q4" s="153"/>
      <c r="R4" s="114"/>
    </row>
    <row r="5" spans="1:18" ht="20.100000000000001" customHeight="1">
      <c r="A5" s="264" t="s">
        <v>210</v>
      </c>
      <c r="B5" s="264" t="s">
        <v>7</v>
      </c>
      <c r="C5" s="108" t="s">
        <v>203</v>
      </c>
      <c r="D5" s="108" t="s">
        <v>202</v>
      </c>
      <c r="E5" s="337"/>
      <c r="F5" s="338" t="s">
        <v>485</v>
      </c>
      <c r="H5" s="337"/>
      <c r="I5" s="108" t="s">
        <v>500</v>
      </c>
      <c r="J5" s="337" t="s">
        <v>500</v>
      </c>
      <c r="K5" s="264"/>
      <c r="L5" s="337"/>
      <c r="M5" s="264"/>
      <c r="N5" s="337"/>
      <c r="O5" s="264"/>
      <c r="P5" s="114"/>
      <c r="Q5" s="153"/>
      <c r="R5" s="114"/>
    </row>
    <row r="6" spans="1:18" ht="20.100000000000001" customHeight="1">
      <c r="A6" s="264" t="s">
        <v>210</v>
      </c>
      <c r="B6" s="264" t="s">
        <v>0</v>
      </c>
      <c r="C6" s="108" t="s">
        <v>45</v>
      </c>
      <c r="D6" s="108" t="s">
        <v>45</v>
      </c>
      <c r="E6" s="337" t="s">
        <v>472</v>
      </c>
      <c r="F6" s="338">
        <v>41975</v>
      </c>
      <c r="H6" s="337"/>
      <c r="I6" s="108" t="s">
        <v>499</v>
      </c>
      <c r="J6" s="337" t="s">
        <v>500</v>
      </c>
      <c r="K6" s="264" t="s">
        <v>500</v>
      </c>
      <c r="L6" s="337"/>
      <c r="M6" s="264"/>
      <c r="N6" s="337" t="s">
        <v>499</v>
      </c>
      <c r="O6" s="264"/>
      <c r="P6" s="114" t="s">
        <v>500</v>
      </c>
      <c r="Q6" s="153"/>
      <c r="R6" s="114" t="s">
        <v>500</v>
      </c>
    </row>
    <row r="7" spans="1:18" ht="20.100000000000001" customHeight="1">
      <c r="A7" s="264" t="s">
        <v>210</v>
      </c>
      <c r="B7" s="264" t="s">
        <v>9</v>
      </c>
      <c r="C7" s="108" t="s">
        <v>203</v>
      </c>
      <c r="D7" s="108" t="s">
        <v>202</v>
      </c>
      <c r="E7" s="337"/>
      <c r="F7" s="338" t="s">
        <v>486</v>
      </c>
      <c r="G7" s="153" t="s">
        <v>372</v>
      </c>
      <c r="H7" s="337"/>
      <c r="I7" s="108" t="s">
        <v>499</v>
      </c>
      <c r="J7" s="337" t="s">
        <v>500</v>
      </c>
      <c r="K7" s="264"/>
      <c r="L7" s="337"/>
      <c r="M7" s="264"/>
      <c r="N7" s="337"/>
      <c r="O7" s="264"/>
      <c r="P7" s="114"/>
      <c r="Q7" s="153"/>
      <c r="R7" s="114"/>
    </row>
    <row r="8" spans="1:18" ht="20.100000000000001" customHeight="1">
      <c r="A8" s="264" t="s">
        <v>210</v>
      </c>
      <c r="B8" s="264" t="s">
        <v>10</v>
      </c>
      <c r="C8" s="108" t="s">
        <v>48</v>
      </c>
      <c r="D8" s="108" t="s">
        <v>464</v>
      </c>
      <c r="E8" s="337" t="s">
        <v>477</v>
      </c>
      <c r="F8" s="338">
        <v>45873</v>
      </c>
      <c r="G8" s="153" t="s">
        <v>372</v>
      </c>
      <c r="H8" s="337"/>
      <c r="I8" s="108" t="s">
        <v>499</v>
      </c>
      <c r="J8" s="337" t="s">
        <v>500</v>
      </c>
      <c r="K8" s="264"/>
      <c r="L8" s="337"/>
      <c r="M8" s="264" t="s">
        <v>500</v>
      </c>
      <c r="N8" s="337" t="s">
        <v>499</v>
      </c>
      <c r="O8" s="264" t="s">
        <v>500</v>
      </c>
      <c r="P8" s="114"/>
      <c r="Q8" s="153"/>
      <c r="R8" s="114"/>
    </row>
    <row r="9" spans="1:18" ht="20.100000000000001" customHeight="1">
      <c r="A9" s="264" t="s">
        <v>210</v>
      </c>
      <c r="B9" s="264" t="s">
        <v>12</v>
      </c>
      <c r="C9" s="108" t="s">
        <v>204</v>
      </c>
      <c r="D9" s="108" t="s">
        <v>38</v>
      </c>
      <c r="E9" s="337"/>
      <c r="F9" s="338" t="s">
        <v>486</v>
      </c>
      <c r="G9" s="153" t="s">
        <v>372</v>
      </c>
      <c r="H9" s="337"/>
      <c r="I9" s="108" t="s">
        <v>499</v>
      </c>
      <c r="J9" s="337" t="s">
        <v>276</v>
      </c>
      <c r="K9" s="264"/>
      <c r="L9" s="337"/>
      <c r="M9" s="264"/>
      <c r="N9" s="337"/>
      <c r="O9" s="264"/>
      <c r="P9" s="114"/>
      <c r="Q9" s="153"/>
      <c r="R9" s="114"/>
    </row>
    <row r="10" spans="1:18" ht="20.100000000000001" customHeight="1">
      <c r="A10" s="264" t="s">
        <v>210</v>
      </c>
      <c r="B10" s="264" t="s">
        <v>13</v>
      </c>
      <c r="C10" s="108" t="s">
        <v>203</v>
      </c>
      <c r="D10" s="108" t="s">
        <v>38</v>
      </c>
      <c r="E10" s="337"/>
      <c r="F10" s="338" t="s">
        <v>487</v>
      </c>
      <c r="H10" s="337"/>
      <c r="I10" s="108" t="s">
        <v>499</v>
      </c>
      <c r="J10" s="337" t="s">
        <v>276</v>
      </c>
      <c r="K10" s="264"/>
      <c r="L10" s="337"/>
      <c r="M10" s="264"/>
      <c r="N10" s="337"/>
      <c r="O10" s="264"/>
      <c r="P10" s="114"/>
      <c r="Q10" s="153"/>
      <c r="R10" s="114"/>
    </row>
    <row r="11" spans="1:18" ht="20.100000000000001" customHeight="1">
      <c r="A11" s="264" t="s">
        <v>210</v>
      </c>
      <c r="B11" s="264" t="s">
        <v>14</v>
      </c>
      <c r="C11" s="108" t="s">
        <v>204</v>
      </c>
      <c r="D11" s="108" t="s">
        <v>43</v>
      </c>
      <c r="E11" s="337"/>
      <c r="F11" s="338">
        <v>45658</v>
      </c>
      <c r="H11" s="337"/>
      <c r="I11" s="108" t="s">
        <v>499</v>
      </c>
      <c r="J11" s="337" t="s">
        <v>500</v>
      </c>
      <c r="K11" s="264"/>
      <c r="L11" s="337" t="s">
        <v>500</v>
      </c>
      <c r="M11" s="264"/>
      <c r="N11" s="337"/>
      <c r="O11" s="264"/>
      <c r="P11" s="114"/>
      <c r="Q11" s="153"/>
      <c r="R11" s="114"/>
    </row>
    <row r="12" spans="1:18" ht="20.100000000000001" customHeight="1">
      <c r="A12" s="339" t="s">
        <v>805</v>
      </c>
      <c r="B12" s="264" t="s">
        <v>815</v>
      </c>
      <c r="C12" s="108" t="s">
        <v>203</v>
      </c>
      <c r="D12" s="108" t="s">
        <v>807</v>
      </c>
      <c r="E12" s="340"/>
      <c r="F12" s="338" t="s">
        <v>812</v>
      </c>
      <c r="G12" s="339"/>
      <c r="H12" s="340"/>
      <c r="I12" s="272"/>
      <c r="J12" s="337" t="s">
        <v>816</v>
      </c>
      <c r="K12" s="264"/>
      <c r="L12" s="337"/>
      <c r="M12" s="264"/>
      <c r="N12" s="337" t="s">
        <v>500</v>
      </c>
      <c r="O12" s="264"/>
      <c r="P12" s="114" t="s">
        <v>500</v>
      </c>
      <c r="Q12" s="153"/>
      <c r="R12" s="114"/>
    </row>
    <row r="13" spans="1:18" ht="20.100000000000001" customHeight="1">
      <c r="A13" s="153" t="s">
        <v>805</v>
      </c>
      <c r="B13" s="264" t="s">
        <v>806</v>
      </c>
      <c r="C13" s="272" t="s">
        <v>676</v>
      </c>
      <c r="D13" s="108" t="s">
        <v>807</v>
      </c>
      <c r="E13" s="337" t="s">
        <v>808</v>
      </c>
      <c r="F13" s="338" t="s">
        <v>809</v>
      </c>
      <c r="H13" s="337"/>
      <c r="I13" s="108"/>
      <c r="J13" s="337" t="s">
        <v>499</v>
      </c>
      <c r="K13" s="264"/>
      <c r="L13" s="337"/>
      <c r="M13" s="264"/>
      <c r="N13" s="337"/>
      <c r="O13" s="264"/>
      <c r="P13" s="114"/>
      <c r="Q13" s="153"/>
      <c r="R13" s="114"/>
    </row>
    <row r="14" spans="1:18" ht="20.100000000000001" customHeight="1">
      <c r="A14" s="264" t="s">
        <v>210</v>
      </c>
      <c r="B14" s="264" t="s">
        <v>15</v>
      </c>
      <c r="C14" s="108" t="s">
        <v>205</v>
      </c>
      <c r="D14" s="108" t="s">
        <v>38</v>
      </c>
      <c r="E14" s="337"/>
      <c r="F14" s="338" t="s">
        <v>488</v>
      </c>
      <c r="H14" s="337"/>
      <c r="I14" s="108" t="s">
        <v>499</v>
      </c>
      <c r="J14" s="337" t="s">
        <v>276</v>
      </c>
      <c r="K14" s="264"/>
      <c r="L14" s="337"/>
      <c r="M14" s="264"/>
      <c r="N14" s="337"/>
      <c r="O14" s="264"/>
      <c r="P14" s="114"/>
      <c r="Q14" s="153"/>
      <c r="R14" s="114"/>
    </row>
    <row r="15" spans="1:18" ht="20.100000000000001" customHeight="1">
      <c r="A15" s="264" t="s">
        <v>210</v>
      </c>
      <c r="B15" s="264" t="s">
        <v>16</v>
      </c>
      <c r="C15" s="108" t="s">
        <v>48</v>
      </c>
      <c r="D15" s="108" t="s">
        <v>465</v>
      </c>
      <c r="E15" s="337" t="s">
        <v>475</v>
      </c>
      <c r="F15" s="338">
        <v>45943</v>
      </c>
      <c r="H15" s="337"/>
      <c r="I15" s="108" t="s">
        <v>499</v>
      </c>
      <c r="J15" s="337" t="s">
        <v>372</v>
      </c>
      <c r="K15" s="264"/>
      <c r="L15" s="337"/>
      <c r="M15" s="264"/>
      <c r="N15" s="337" t="s">
        <v>500</v>
      </c>
      <c r="O15" s="264"/>
      <c r="P15" s="114"/>
      <c r="Q15" s="153"/>
      <c r="R15" s="114"/>
    </row>
    <row r="16" spans="1:18" ht="20.100000000000001" customHeight="1">
      <c r="A16" s="264" t="s">
        <v>210</v>
      </c>
      <c r="B16" s="264" t="s">
        <v>17</v>
      </c>
      <c r="C16" s="108" t="s">
        <v>204</v>
      </c>
      <c r="D16" s="108" t="s">
        <v>38</v>
      </c>
      <c r="E16" s="337"/>
      <c r="F16" s="338" t="s">
        <v>489</v>
      </c>
      <c r="H16" s="337"/>
      <c r="I16" s="108" t="s">
        <v>499</v>
      </c>
      <c r="J16" s="337" t="s">
        <v>500</v>
      </c>
      <c r="K16" s="264"/>
      <c r="L16" s="337"/>
      <c r="M16" s="264"/>
      <c r="N16" s="337"/>
      <c r="O16" s="264"/>
      <c r="P16" s="114"/>
      <c r="Q16" s="153"/>
      <c r="R16" s="114"/>
    </row>
    <row r="17" spans="1:18" ht="20.100000000000001" customHeight="1">
      <c r="A17" s="264" t="s">
        <v>210</v>
      </c>
      <c r="B17" s="264" t="s">
        <v>18</v>
      </c>
      <c r="C17" s="108" t="s">
        <v>203</v>
      </c>
      <c r="D17" s="108" t="s">
        <v>38</v>
      </c>
      <c r="E17" s="337"/>
      <c r="F17" s="338" t="s">
        <v>490</v>
      </c>
      <c r="H17" s="337"/>
      <c r="I17" s="108" t="s">
        <v>499</v>
      </c>
      <c r="J17" s="337" t="s">
        <v>500</v>
      </c>
      <c r="K17" s="264"/>
      <c r="L17" s="337"/>
      <c r="M17" s="264"/>
      <c r="N17" s="337"/>
      <c r="O17" s="264"/>
      <c r="P17" s="114"/>
      <c r="Q17" s="153"/>
      <c r="R17" s="114"/>
    </row>
    <row r="18" spans="1:18" ht="20.100000000000001" customHeight="1">
      <c r="A18" s="153" t="s">
        <v>805</v>
      </c>
      <c r="B18" s="264" t="s">
        <v>811</v>
      </c>
      <c r="C18" s="108" t="s">
        <v>676</v>
      </c>
      <c r="D18" s="108" t="s">
        <v>807</v>
      </c>
      <c r="E18" s="337"/>
      <c r="F18" s="338" t="s">
        <v>812</v>
      </c>
      <c r="H18" s="337"/>
      <c r="I18" s="108"/>
      <c r="J18" s="337" t="s">
        <v>499</v>
      </c>
      <c r="K18" s="264"/>
      <c r="L18" s="337"/>
      <c r="M18" s="264"/>
      <c r="N18" s="337"/>
      <c r="O18" s="264"/>
      <c r="P18" s="114"/>
      <c r="Q18" s="153"/>
      <c r="R18" s="114"/>
    </row>
    <row r="19" spans="1:18" ht="20.100000000000001" customHeight="1" thickBot="1">
      <c r="A19" s="339" t="s">
        <v>805</v>
      </c>
      <c r="B19" s="264" t="s">
        <v>813</v>
      </c>
      <c r="C19" s="108" t="s">
        <v>203</v>
      </c>
      <c r="D19" s="272" t="s">
        <v>814</v>
      </c>
      <c r="E19" s="340"/>
      <c r="F19" s="338" t="s">
        <v>812</v>
      </c>
      <c r="G19" s="339"/>
      <c r="H19" s="340"/>
      <c r="I19" s="108" t="s">
        <v>499</v>
      </c>
      <c r="J19" s="337" t="s">
        <v>499</v>
      </c>
      <c r="K19" s="330"/>
      <c r="L19" s="331"/>
      <c r="M19" s="330"/>
      <c r="N19" s="332" t="s">
        <v>500</v>
      </c>
      <c r="O19" s="330"/>
      <c r="P19" s="332" t="s">
        <v>499</v>
      </c>
      <c r="Q19" s="333"/>
      <c r="R19" s="332" t="s">
        <v>499</v>
      </c>
    </row>
    <row r="20" spans="1:18" ht="20.100000000000001" customHeight="1">
      <c r="A20" s="264" t="s">
        <v>210</v>
      </c>
      <c r="B20" s="264" t="s">
        <v>19</v>
      </c>
      <c r="C20" s="108" t="s">
        <v>203</v>
      </c>
      <c r="D20" s="108" t="s">
        <v>38</v>
      </c>
      <c r="E20" s="337"/>
      <c r="F20" s="338" t="s">
        <v>491</v>
      </c>
      <c r="H20" s="337"/>
      <c r="I20" s="108" t="s">
        <v>499</v>
      </c>
      <c r="J20" s="337" t="s">
        <v>500</v>
      </c>
      <c r="K20" s="264"/>
      <c r="L20" s="337"/>
      <c r="M20" s="264" t="s">
        <v>500</v>
      </c>
      <c r="N20" s="336"/>
      <c r="O20" s="264"/>
      <c r="P20" s="114"/>
      <c r="Q20" s="153"/>
      <c r="R20" s="114"/>
    </row>
    <row r="21" spans="1:18" ht="20.100000000000001" customHeight="1">
      <c r="A21" s="264" t="s">
        <v>210</v>
      </c>
      <c r="B21" s="264" t="s">
        <v>20</v>
      </c>
      <c r="C21" s="108" t="s">
        <v>203</v>
      </c>
      <c r="D21" s="108" t="s">
        <v>38</v>
      </c>
      <c r="E21" s="337"/>
      <c r="F21" s="338" t="s">
        <v>492</v>
      </c>
      <c r="H21" s="337"/>
      <c r="I21" s="108" t="s">
        <v>499</v>
      </c>
      <c r="J21" s="337" t="s">
        <v>276</v>
      </c>
      <c r="K21" s="264"/>
      <c r="L21" s="337"/>
      <c r="M21" s="264" t="s">
        <v>500</v>
      </c>
      <c r="N21" s="337"/>
      <c r="O21" s="264"/>
      <c r="P21" s="114"/>
      <c r="Q21" s="153"/>
      <c r="R21" s="114"/>
    </row>
    <row r="22" spans="1:18" ht="20.100000000000001" customHeight="1">
      <c r="A22" s="264" t="s">
        <v>210</v>
      </c>
      <c r="B22" s="264" t="s">
        <v>21</v>
      </c>
      <c r="C22" s="108" t="s">
        <v>205</v>
      </c>
      <c r="D22" s="108" t="s">
        <v>38</v>
      </c>
      <c r="E22" s="337"/>
      <c r="F22" s="338" t="s">
        <v>493</v>
      </c>
      <c r="H22" s="337"/>
      <c r="I22" s="108" t="s">
        <v>499</v>
      </c>
      <c r="J22" s="337" t="s">
        <v>276</v>
      </c>
      <c r="K22" s="264"/>
      <c r="L22" s="337"/>
      <c r="M22" s="264"/>
      <c r="N22" s="337"/>
      <c r="O22" s="264"/>
      <c r="P22" s="114"/>
      <c r="Q22" s="153"/>
      <c r="R22" s="114"/>
    </row>
    <row r="23" spans="1:18" ht="20.100000000000001" customHeight="1">
      <c r="A23" s="264" t="s">
        <v>210</v>
      </c>
      <c r="B23" s="264" t="s">
        <v>22</v>
      </c>
      <c r="C23" s="108" t="s">
        <v>203</v>
      </c>
      <c r="D23" s="108" t="s">
        <v>38</v>
      </c>
      <c r="E23" s="337"/>
      <c r="F23" s="338" t="s">
        <v>487</v>
      </c>
      <c r="H23" s="337"/>
      <c r="I23" s="108" t="s">
        <v>499</v>
      </c>
      <c r="J23" s="337" t="s">
        <v>276</v>
      </c>
      <c r="K23" s="264"/>
      <c r="L23" s="337"/>
      <c r="M23" s="264" t="s">
        <v>500</v>
      </c>
      <c r="N23" s="337"/>
      <c r="O23" s="264"/>
      <c r="P23" s="114"/>
      <c r="Q23" s="153"/>
      <c r="R23" s="114"/>
    </row>
    <row r="24" spans="1:18" ht="20.100000000000001" customHeight="1">
      <c r="A24" s="264" t="s">
        <v>210</v>
      </c>
      <c r="B24" s="264" t="s">
        <v>23</v>
      </c>
      <c r="C24" s="108" t="s">
        <v>203</v>
      </c>
      <c r="D24" s="108" t="s">
        <v>38</v>
      </c>
      <c r="E24" s="337"/>
      <c r="F24" s="338" t="s">
        <v>615</v>
      </c>
      <c r="H24" s="337" t="s">
        <v>372</v>
      </c>
      <c r="I24" s="108" t="s">
        <v>276</v>
      </c>
      <c r="J24" s="337" t="s">
        <v>276</v>
      </c>
      <c r="K24" s="264"/>
      <c r="L24" s="337"/>
      <c r="M24" s="264"/>
      <c r="N24" s="337"/>
      <c r="O24" s="264"/>
      <c r="P24" s="114"/>
      <c r="Q24" s="153"/>
      <c r="R24" s="114"/>
    </row>
    <row r="25" spans="1:18" ht="20.100000000000001" customHeight="1">
      <c r="A25" s="264" t="s">
        <v>210</v>
      </c>
      <c r="B25" s="264" t="s">
        <v>24</v>
      </c>
      <c r="C25" s="108" t="s">
        <v>203</v>
      </c>
      <c r="D25" s="108" t="s">
        <v>38</v>
      </c>
      <c r="E25" s="337"/>
      <c r="F25" s="338" t="s">
        <v>494</v>
      </c>
      <c r="H25" s="337"/>
      <c r="I25" s="108" t="s">
        <v>499</v>
      </c>
      <c r="J25" s="337" t="s">
        <v>276</v>
      </c>
      <c r="K25" s="264"/>
      <c r="L25" s="337"/>
      <c r="M25" s="264"/>
      <c r="N25" s="337"/>
      <c r="O25" s="264"/>
      <c r="P25" s="114"/>
      <c r="Q25" s="153"/>
      <c r="R25" s="114"/>
    </row>
    <row r="26" spans="1:18" ht="20.100000000000001" customHeight="1">
      <c r="A26" s="264" t="s">
        <v>210</v>
      </c>
      <c r="B26" s="264" t="s">
        <v>25</v>
      </c>
      <c r="C26" s="108" t="s">
        <v>48</v>
      </c>
      <c r="D26" s="108" t="s">
        <v>465</v>
      </c>
      <c r="E26" s="337" t="s">
        <v>476</v>
      </c>
      <c r="F26" s="338">
        <v>45887</v>
      </c>
      <c r="H26" s="337" t="s">
        <v>374</v>
      </c>
      <c r="I26" s="108" t="s">
        <v>499</v>
      </c>
      <c r="J26" s="337" t="s">
        <v>500</v>
      </c>
      <c r="K26" s="264"/>
      <c r="L26" s="337"/>
      <c r="M26" s="264"/>
      <c r="N26" s="337" t="s">
        <v>500</v>
      </c>
      <c r="O26" s="264" t="s">
        <v>500</v>
      </c>
      <c r="P26" s="114"/>
      <c r="Q26" s="153"/>
      <c r="R26" s="114"/>
    </row>
    <row r="27" spans="1:18" ht="20.100000000000001" customHeight="1">
      <c r="A27" s="264" t="s">
        <v>210</v>
      </c>
      <c r="B27" s="264" t="s">
        <v>27</v>
      </c>
      <c r="C27" s="108" t="s">
        <v>203</v>
      </c>
      <c r="D27" s="108" t="s">
        <v>38</v>
      </c>
      <c r="E27" s="337"/>
      <c r="F27" s="338" t="s">
        <v>495</v>
      </c>
      <c r="H27" s="337"/>
      <c r="I27" s="108" t="s">
        <v>499</v>
      </c>
      <c r="J27" s="337" t="s">
        <v>499</v>
      </c>
      <c r="K27" s="264" t="s">
        <v>500</v>
      </c>
      <c r="L27" s="337"/>
      <c r="M27" s="264"/>
      <c r="N27" s="337"/>
      <c r="O27" s="264"/>
      <c r="P27" s="114"/>
      <c r="Q27" s="153"/>
      <c r="R27" s="114"/>
    </row>
    <row r="28" spans="1:18" ht="20.100000000000001" customHeight="1">
      <c r="A28" s="264" t="s">
        <v>210</v>
      </c>
      <c r="B28" s="264" t="s">
        <v>28</v>
      </c>
      <c r="C28" s="108" t="s">
        <v>48</v>
      </c>
      <c r="D28" s="108" t="s">
        <v>51</v>
      </c>
      <c r="E28" s="337" t="s">
        <v>473</v>
      </c>
      <c r="F28" s="338">
        <v>45413</v>
      </c>
      <c r="H28" s="337"/>
      <c r="I28" s="108" t="s">
        <v>499</v>
      </c>
      <c r="J28" s="337" t="s">
        <v>499</v>
      </c>
      <c r="K28" s="264"/>
      <c r="L28" s="337"/>
      <c r="M28" s="264"/>
      <c r="N28" s="337" t="s">
        <v>500</v>
      </c>
      <c r="O28" s="264"/>
      <c r="P28" s="114"/>
      <c r="Q28" s="153"/>
      <c r="R28" s="114"/>
    </row>
    <row r="29" spans="1:18" ht="20.100000000000001" customHeight="1">
      <c r="A29" s="264" t="s">
        <v>210</v>
      </c>
      <c r="B29" s="264" t="s">
        <v>29</v>
      </c>
      <c r="C29" s="108" t="s">
        <v>49</v>
      </c>
      <c r="D29" s="108" t="s">
        <v>463</v>
      </c>
      <c r="E29" s="337" t="s">
        <v>479</v>
      </c>
      <c r="F29" s="338">
        <v>45369</v>
      </c>
      <c r="H29" s="337"/>
      <c r="I29" s="108" t="s">
        <v>499</v>
      </c>
      <c r="J29" s="337" t="s">
        <v>499</v>
      </c>
      <c r="K29" s="264" t="s">
        <v>500</v>
      </c>
      <c r="L29" s="337"/>
      <c r="M29" s="264"/>
      <c r="N29" s="337"/>
      <c r="O29" s="264"/>
      <c r="P29" s="114"/>
      <c r="Q29" s="153"/>
      <c r="R29" s="114"/>
    </row>
    <row r="30" spans="1:18" ht="20.100000000000001" customHeight="1">
      <c r="A30" s="264" t="s">
        <v>210</v>
      </c>
      <c r="B30" s="264" t="s">
        <v>30</v>
      </c>
      <c r="C30" s="108" t="s">
        <v>205</v>
      </c>
      <c r="D30" s="108" t="s">
        <v>38</v>
      </c>
      <c r="E30" s="337"/>
      <c r="F30" s="338" t="s">
        <v>496</v>
      </c>
      <c r="H30" s="337"/>
      <c r="I30" s="108" t="s">
        <v>499</v>
      </c>
      <c r="J30" s="337" t="s">
        <v>276</v>
      </c>
      <c r="K30" s="264"/>
      <c r="L30" s="337"/>
      <c r="M30" s="264"/>
      <c r="N30" s="337"/>
      <c r="O30" s="264"/>
      <c r="P30" s="114"/>
      <c r="Q30" s="153"/>
      <c r="R30" s="114"/>
    </row>
    <row r="31" spans="1:18" ht="20.100000000000001" customHeight="1">
      <c r="A31" s="264" t="s">
        <v>210</v>
      </c>
      <c r="B31" s="264" t="s">
        <v>31</v>
      </c>
      <c r="C31" s="108" t="s">
        <v>206</v>
      </c>
      <c r="D31" s="108" t="s">
        <v>38</v>
      </c>
      <c r="E31" s="337"/>
      <c r="F31" s="338" t="s">
        <v>487</v>
      </c>
      <c r="H31" s="337"/>
      <c r="I31" s="108" t="s">
        <v>499</v>
      </c>
      <c r="J31" s="337" t="s">
        <v>276</v>
      </c>
      <c r="K31" s="264"/>
      <c r="L31" s="337"/>
      <c r="M31" s="264" t="s">
        <v>500</v>
      </c>
      <c r="N31" s="337"/>
      <c r="O31" s="264"/>
      <c r="P31" s="114"/>
      <c r="Q31" s="153"/>
      <c r="R31" s="114"/>
    </row>
    <row r="32" spans="1:18" ht="20.100000000000001" customHeight="1">
      <c r="A32" s="264" t="s">
        <v>210</v>
      </c>
      <c r="B32" s="264" t="s">
        <v>32</v>
      </c>
      <c r="C32" s="108" t="s">
        <v>206</v>
      </c>
      <c r="D32" s="108" t="s">
        <v>38</v>
      </c>
      <c r="E32" s="337"/>
      <c r="F32" s="338" t="s">
        <v>487</v>
      </c>
      <c r="H32" s="337"/>
      <c r="I32" s="108" t="s">
        <v>499</v>
      </c>
      <c r="J32" s="337" t="s">
        <v>276</v>
      </c>
      <c r="K32" s="264"/>
      <c r="L32" s="337"/>
      <c r="M32" s="264"/>
      <c r="N32" s="337"/>
      <c r="O32" s="264"/>
      <c r="P32" s="114"/>
      <c r="Q32" s="153"/>
      <c r="R32" s="114"/>
    </row>
    <row r="33" spans="1:18" ht="20.100000000000001" customHeight="1">
      <c r="A33" s="264" t="s">
        <v>210</v>
      </c>
      <c r="B33" s="264" t="s">
        <v>33</v>
      </c>
      <c r="C33" s="108" t="s">
        <v>207</v>
      </c>
      <c r="D33" s="108" t="s">
        <v>38</v>
      </c>
      <c r="E33" s="337"/>
      <c r="F33" s="338" t="s">
        <v>497</v>
      </c>
      <c r="H33" s="337"/>
      <c r="I33" s="108" t="s">
        <v>499</v>
      </c>
      <c r="J33" s="337" t="s">
        <v>276</v>
      </c>
      <c r="K33" s="264"/>
      <c r="L33" s="337"/>
      <c r="M33" s="264"/>
      <c r="N33" s="337"/>
      <c r="O33" s="264"/>
      <c r="P33" s="114"/>
      <c r="Q33" s="153"/>
      <c r="R33" s="114"/>
    </row>
    <row r="34" spans="1:18" ht="20.100000000000001" customHeight="1">
      <c r="A34" s="264" t="s">
        <v>210</v>
      </c>
      <c r="B34" s="264" t="s">
        <v>37</v>
      </c>
      <c r="C34" s="108" t="s">
        <v>48</v>
      </c>
      <c r="D34" s="108" t="s">
        <v>44</v>
      </c>
      <c r="E34" s="337" t="s">
        <v>474</v>
      </c>
      <c r="F34" s="338">
        <v>45979</v>
      </c>
      <c r="H34" s="337"/>
      <c r="I34" s="108" t="s">
        <v>500</v>
      </c>
      <c r="J34" s="337" t="s">
        <v>500</v>
      </c>
      <c r="K34" s="264"/>
      <c r="L34" s="337"/>
      <c r="M34" s="264"/>
      <c r="N34" s="337" t="s">
        <v>500</v>
      </c>
      <c r="O34" s="264" t="s">
        <v>500</v>
      </c>
      <c r="P34" s="114"/>
      <c r="Q34" s="153"/>
      <c r="R34" s="114"/>
    </row>
    <row r="35" spans="1:18" ht="20.100000000000001" customHeight="1">
      <c r="A35" s="339" t="s">
        <v>805</v>
      </c>
      <c r="B35" s="264" t="s">
        <v>817</v>
      </c>
      <c r="C35" s="108" t="s">
        <v>203</v>
      </c>
      <c r="D35" s="108" t="s">
        <v>807</v>
      </c>
      <c r="E35" s="340"/>
      <c r="F35" s="338" t="s">
        <v>812</v>
      </c>
      <c r="G35" s="339"/>
      <c r="H35" s="340"/>
      <c r="I35" s="272"/>
      <c r="J35" s="337" t="s">
        <v>816</v>
      </c>
      <c r="K35" s="264"/>
      <c r="L35" s="337"/>
      <c r="M35" s="264"/>
      <c r="N35" s="337"/>
      <c r="O35" s="264"/>
      <c r="P35" s="114"/>
      <c r="Q35" s="153"/>
      <c r="R35" s="114"/>
    </row>
    <row r="36" spans="1:18" ht="20.100000000000001" customHeight="1">
      <c r="A36" s="264" t="s">
        <v>210</v>
      </c>
      <c r="B36" s="264" t="s">
        <v>34</v>
      </c>
      <c r="C36" s="108" t="s">
        <v>204</v>
      </c>
      <c r="D36" s="108" t="s">
        <v>38</v>
      </c>
      <c r="E36" s="337"/>
      <c r="F36" s="338" t="s">
        <v>498</v>
      </c>
      <c r="H36" s="337"/>
      <c r="I36" s="108" t="s">
        <v>499</v>
      </c>
      <c r="J36" s="337" t="s">
        <v>499</v>
      </c>
      <c r="K36" s="264"/>
      <c r="L36" s="337"/>
      <c r="M36" s="264"/>
      <c r="N36" s="337"/>
      <c r="O36" s="264"/>
      <c r="P36" s="114"/>
      <c r="Q36" s="153"/>
      <c r="R36" s="114"/>
    </row>
    <row r="37" spans="1:18" ht="20.100000000000001" customHeight="1">
      <c r="A37" s="264" t="s">
        <v>210</v>
      </c>
      <c r="B37" s="264" t="s">
        <v>35</v>
      </c>
      <c r="C37" s="108" t="s">
        <v>207</v>
      </c>
      <c r="D37" s="108" t="s">
        <v>38</v>
      </c>
      <c r="E37" s="337"/>
      <c r="F37" s="338" t="s">
        <v>487</v>
      </c>
      <c r="H37" s="337"/>
      <c r="I37" s="108" t="s">
        <v>499</v>
      </c>
      <c r="J37" s="337" t="s">
        <v>276</v>
      </c>
      <c r="K37" s="264"/>
      <c r="L37" s="337"/>
      <c r="M37" s="264" t="s">
        <v>500</v>
      </c>
      <c r="N37" s="337"/>
      <c r="O37" s="264"/>
      <c r="P37" s="114"/>
      <c r="Q37" s="153"/>
      <c r="R37" s="114"/>
    </row>
    <row r="38" spans="1:18" ht="20.100000000000001" customHeight="1">
      <c r="A38" s="264" t="s">
        <v>210</v>
      </c>
      <c r="B38" s="264" t="s">
        <v>3</v>
      </c>
      <c r="C38" s="108" t="s">
        <v>49</v>
      </c>
      <c r="D38" s="108" t="s">
        <v>43</v>
      </c>
      <c r="E38" s="337" t="s">
        <v>478</v>
      </c>
      <c r="F38" s="338">
        <v>41974</v>
      </c>
      <c r="H38" s="337"/>
      <c r="I38" s="108" t="s">
        <v>499</v>
      </c>
      <c r="J38" s="337" t="s">
        <v>499</v>
      </c>
      <c r="K38" s="264" t="s">
        <v>500</v>
      </c>
      <c r="L38" s="337"/>
      <c r="M38" s="264"/>
      <c r="N38" s="337" t="s">
        <v>500</v>
      </c>
      <c r="O38" s="264"/>
      <c r="P38" s="114" t="s">
        <v>500</v>
      </c>
      <c r="Q38" s="153"/>
      <c r="R38" s="114" t="s">
        <v>500</v>
      </c>
    </row>
    <row r="39" spans="1:18" ht="20.100000000000001" customHeight="1">
      <c r="A39" s="264" t="s">
        <v>209</v>
      </c>
      <c r="B39" s="264" t="s">
        <v>41</v>
      </c>
      <c r="C39" s="108" t="s">
        <v>50</v>
      </c>
      <c r="D39" s="108" t="s">
        <v>42</v>
      </c>
      <c r="E39" s="337" t="s">
        <v>480</v>
      </c>
      <c r="F39" s="338"/>
      <c r="H39" s="337"/>
      <c r="I39" s="108" t="s">
        <v>500</v>
      </c>
      <c r="J39" s="337" t="s">
        <v>500</v>
      </c>
      <c r="K39" s="264"/>
      <c r="L39" s="337"/>
      <c r="M39" s="264"/>
      <c r="N39" s="337"/>
      <c r="O39" s="264"/>
      <c r="P39" s="114"/>
      <c r="Q39" s="153"/>
      <c r="R39" s="114"/>
    </row>
    <row r="40" spans="1:18" ht="20.100000000000001" customHeight="1">
      <c r="A40" s="264" t="s">
        <v>210</v>
      </c>
      <c r="B40" s="271" t="s">
        <v>36</v>
      </c>
      <c r="C40" s="108" t="s">
        <v>203</v>
      </c>
      <c r="D40" s="108" t="s">
        <v>38</v>
      </c>
      <c r="E40" s="337"/>
      <c r="F40" s="338" t="s">
        <v>487</v>
      </c>
      <c r="G40" s="339"/>
      <c r="H40" s="340"/>
      <c r="I40" s="108" t="s">
        <v>499</v>
      </c>
      <c r="J40" s="337" t="s">
        <v>276</v>
      </c>
      <c r="K40" s="264"/>
      <c r="L40" s="337"/>
      <c r="M40" s="264"/>
      <c r="N40" s="337"/>
      <c r="O40" s="264"/>
      <c r="P40" s="114"/>
      <c r="Q40" s="153"/>
      <c r="R40" s="114"/>
    </row>
    <row r="41" spans="1:18" ht="20.100000000000001" customHeight="1">
      <c r="A41" s="271"/>
      <c r="B41" s="271"/>
      <c r="D41" s="108"/>
      <c r="E41" s="337"/>
      <c r="F41" s="338"/>
      <c r="G41" s="339"/>
      <c r="H41" s="340"/>
      <c r="I41" s="108"/>
      <c r="J41" s="337"/>
      <c r="K41" s="264"/>
      <c r="L41" s="337"/>
      <c r="M41" s="264"/>
      <c r="N41" s="337"/>
      <c r="O41" s="264"/>
      <c r="P41" s="114"/>
      <c r="Q41" s="153"/>
      <c r="R41" s="114"/>
    </row>
    <row r="42" spans="1:18" ht="20.100000000000001" customHeight="1">
      <c r="A42" s="271"/>
      <c r="B42" s="271"/>
      <c r="D42" s="108"/>
      <c r="E42" s="337"/>
      <c r="F42" s="338"/>
      <c r="G42" s="339"/>
      <c r="H42" s="340"/>
      <c r="I42" s="108"/>
      <c r="J42" s="337"/>
      <c r="K42" s="264"/>
      <c r="L42" s="337"/>
      <c r="M42" s="264"/>
      <c r="N42" s="337"/>
      <c r="O42" s="264"/>
      <c r="P42" s="114"/>
      <c r="Q42" s="153"/>
      <c r="R42" s="114"/>
    </row>
    <row r="43" spans="1:18" ht="20.100000000000001" customHeight="1">
      <c r="A43" s="255"/>
      <c r="B43" s="255"/>
      <c r="C43" s="115"/>
      <c r="D43" s="115"/>
      <c r="E43" s="406"/>
      <c r="F43" s="408"/>
      <c r="G43" s="409"/>
      <c r="H43" s="410"/>
      <c r="I43" s="411"/>
      <c r="J43" s="412"/>
      <c r="K43" s="264" t="s">
        <v>625</v>
      </c>
      <c r="L43" s="337"/>
      <c r="M43" s="264" t="s">
        <v>630</v>
      </c>
      <c r="N43" s="337"/>
      <c r="O43" s="264"/>
      <c r="P43" s="114"/>
      <c r="Q43" s="153"/>
      <c r="R43" s="114"/>
    </row>
    <row r="44" spans="1:18" ht="20.100000000000001" customHeight="1">
      <c r="K44" s="264" t="s">
        <v>626</v>
      </c>
      <c r="L44" s="337"/>
      <c r="M44" s="264" t="s">
        <v>631</v>
      </c>
      <c r="N44" s="337"/>
      <c r="O44" s="264"/>
      <c r="P44" s="114"/>
      <c r="Q44" s="153"/>
      <c r="R44" s="114"/>
    </row>
    <row r="45" spans="1:18" ht="20.100000000000001" customHeight="1">
      <c r="K45" s="264" t="s">
        <v>627</v>
      </c>
      <c r="L45" s="337"/>
      <c r="M45" s="264"/>
      <c r="N45" s="337"/>
      <c r="O45" s="264"/>
      <c r="P45" s="114"/>
      <c r="Q45" s="153"/>
      <c r="R45" s="114"/>
    </row>
    <row r="46" spans="1:18" ht="20.100000000000001" customHeight="1">
      <c r="K46" s="264" t="s">
        <v>628</v>
      </c>
      <c r="L46" s="337"/>
      <c r="M46" s="264"/>
      <c r="N46" s="337"/>
      <c r="O46" s="264"/>
      <c r="P46" s="114"/>
      <c r="Q46" s="153"/>
      <c r="R46" s="114"/>
    </row>
    <row r="47" spans="1:18" ht="20.100000000000001" customHeight="1" thickBot="1">
      <c r="A47" s="330"/>
      <c r="B47" s="330"/>
      <c r="C47" s="357"/>
      <c r="D47" s="332"/>
      <c r="E47" s="332"/>
      <c r="F47" s="332"/>
      <c r="G47" s="333"/>
      <c r="H47" s="332"/>
      <c r="I47" s="358"/>
      <c r="J47" s="358"/>
      <c r="K47" s="330" t="s">
        <v>629</v>
      </c>
      <c r="L47" s="331"/>
      <c r="M47" s="330"/>
      <c r="N47" s="331"/>
      <c r="O47" s="330"/>
      <c r="P47" s="332"/>
      <c r="Q47" s="333"/>
      <c r="R47" s="332"/>
    </row>
    <row r="48" spans="1:18" ht="20.100000000000001" customHeight="1">
      <c r="A48" s="335"/>
      <c r="B48" s="335"/>
      <c r="C48" s="105"/>
      <c r="D48" s="116"/>
      <c r="E48" s="116"/>
      <c r="F48" s="116"/>
      <c r="G48" s="334"/>
      <c r="H48" s="116"/>
      <c r="K48" s="335"/>
      <c r="L48" s="336"/>
      <c r="M48" s="335"/>
      <c r="N48" s="336"/>
      <c r="O48" s="335"/>
      <c r="P48" s="116"/>
      <c r="Q48" s="334"/>
      <c r="R48" s="116"/>
    </row>
    <row r="49" spans="11:18" ht="20.100000000000001" customHeight="1">
      <c r="K49" s="264"/>
      <c r="L49" s="337"/>
      <c r="M49" s="264"/>
      <c r="N49" s="337"/>
      <c r="O49" s="264"/>
      <c r="P49" s="114"/>
      <c r="Q49" s="153"/>
      <c r="R49" s="114"/>
    </row>
    <row r="50" spans="11:18" ht="20.100000000000001" customHeight="1">
      <c r="K50" s="264"/>
      <c r="L50" s="337"/>
      <c r="M50" s="264"/>
      <c r="N50" s="337"/>
      <c r="O50" s="264"/>
      <c r="P50" s="114"/>
      <c r="Q50" s="153"/>
      <c r="R50" s="114"/>
    </row>
    <row r="51" spans="11:18" ht="20.100000000000001" customHeight="1" thickBot="1">
      <c r="O51" s="342"/>
      <c r="P51" s="343"/>
    </row>
  </sheetData>
  <phoneticPr fontId="1" type="noConversion"/>
  <dataValidations count="1">
    <dataValidation type="list" allowBlank="1" showInputMessage="1" showErrorMessage="1" sqref="C44:C1048576" xr:uid="{FFBABCAF-9B03-43BA-AB00-ACFC23D388B8}">
      <formula1>"전략기획,품질관리,원가분석,건설사업,학술사업,갈등조정중재"</formula1>
    </dataValidation>
  </dataValidations>
  <pageMargins left="0.23622047244094491" right="0.23622047244094491" top="0.74803149606299213" bottom="0.74803149606299213" header="0.31496062992125984" footer="0.31496062992125984"/>
  <pageSetup paperSize="9" scale="55" fitToHeight="0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4C5AE4-87F1-450C-94DB-FF1658B687D1}">
          <x14:formula1>
            <xm:f>정렬표!$B$2:$B$9</xm:f>
          </x14:formula1>
          <xm:sqref>C3:C11 C14:C43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9A8AD-11B8-41A0-A5DB-35A8C8F3F79C}">
  <sheetPr codeName="Sheet4">
    <tabColor theme="3" tint="0.749992370372631"/>
    <pageSetUpPr fitToPage="1"/>
  </sheetPr>
  <dimension ref="A1:N66"/>
  <sheetViews>
    <sheetView zoomScale="85" zoomScaleNormal="85" zoomScaleSheetLayoutView="85" workbookViewId="0">
      <selection activeCell="L60" sqref="L60"/>
    </sheetView>
  </sheetViews>
  <sheetFormatPr defaultRowHeight="16.5" outlineLevelCol="1"/>
  <cols>
    <col min="1" max="1" width="9" style="6"/>
    <col min="2" max="2" width="13.875" style="3" bestFit="1" customWidth="1"/>
    <col min="3" max="3" width="9" style="4"/>
    <col min="4" max="4" width="9.125" style="2" customWidth="1"/>
    <col min="5" max="5" width="15.75" style="8" customWidth="1"/>
    <col min="6" max="6" width="34.25" style="23" customWidth="1"/>
    <col min="7" max="7" width="18.125" style="4" customWidth="1"/>
    <col min="8" max="8" width="24.75" style="5" customWidth="1"/>
    <col min="9" max="9" width="13.625" style="5" customWidth="1"/>
    <col min="10" max="10" width="11.75" style="25" customWidth="1"/>
    <col min="11" max="11" width="47.125" style="24" customWidth="1" outlineLevel="1"/>
    <col min="12" max="12" width="15.5" style="1" customWidth="1" outlineLevel="1"/>
    <col min="13" max="13" width="18.75" style="1" customWidth="1" outlineLevel="1"/>
    <col min="14" max="14" width="19.625" style="1" customWidth="1" outlineLevel="1"/>
  </cols>
  <sheetData>
    <row r="1" spans="1:14" ht="18" thickBot="1">
      <c r="A1" s="311" t="s">
        <v>1</v>
      </c>
      <c r="B1" s="312" t="s">
        <v>2</v>
      </c>
      <c r="C1" s="313" t="s">
        <v>4</v>
      </c>
      <c r="D1" s="102" t="s">
        <v>156</v>
      </c>
      <c r="E1" s="102" t="s">
        <v>196</v>
      </c>
      <c r="F1" s="103" t="s">
        <v>157</v>
      </c>
      <c r="G1" s="102" t="s">
        <v>158</v>
      </c>
      <c r="H1" s="314" t="s">
        <v>159</v>
      </c>
      <c r="I1" s="315" t="s">
        <v>61</v>
      </c>
      <c r="J1" s="316" t="s">
        <v>612</v>
      </c>
      <c r="K1" s="75" t="s">
        <v>573</v>
      </c>
      <c r="L1" s="72" t="s">
        <v>657</v>
      </c>
      <c r="M1" s="73" t="s">
        <v>656</v>
      </c>
      <c r="N1" s="74" t="s">
        <v>658</v>
      </c>
    </row>
    <row r="2" spans="1:14">
      <c r="A2" s="55" t="s">
        <v>0</v>
      </c>
      <c r="B2" s="203" t="str">
        <f>IFERROR(INDEX(개인DB!C:C, MATCH($A2, 개인DB!B:B, 0)), "")</f>
        <v>원장</v>
      </c>
      <c r="C2" s="203" t="str">
        <f>IFERROR(INDEX(개인DB!D:D, MATCH($A2, 개인DB!B:B, 0)), "")</f>
        <v>원장</v>
      </c>
      <c r="D2" s="203" t="s">
        <v>160</v>
      </c>
      <c r="E2" s="203" t="s">
        <v>167</v>
      </c>
      <c r="F2" s="302" t="s">
        <v>168</v>
      </c>
      <c r="G2" s="203" t="s">
        <v>169</v>
      </c>
      <c r="H2" s="303" t="s">
        <v>170</v>
      </c>
      <c r="I2" s="303"/>
      <c r="J2" s="304" t="str">
        <f t="shared" ref="J2:J33" si="0">HYPERLINK("학력, 자격증-excel 연동 파일\" &amp; A2 &amp; "\학력\" &amp; D2 &amp; "_" &amp; E2&amp; "_" &amp; F2&amp; "_" &amp; A2 &amp; ".pdf", "PDF")</f>
        <v>PDF</v>
      </c>
      <c r="K2" s="305" t="str">
        <f>학력입력[[#This Row],[학력]]&amp;"_"&amp;학력입력[[#This Row],[학위]]&amp;"_"&amp;학력입력[[#This Row],[학교명]]&amp;"_"&amp;학력입력[[#This Row],[이름]]</f>
        <v>박사_이학박사_을지대학교 대학원_김민선</v>
      </c>
      <c r="L2" s="1" t="str">
        <f>A2 &amp; "_" &amp; "학력" &amp;"_" &amp; COUNTIFS($A$2:A2, A2)</f>
        <v>김민선_학력_1</v>
      </c>
      <c r="M2" s="1" t="str">
        <f>E2 &amp; "_" &amp; "학력" &amp;"_" &amp; COUNTIFS($E$2:E2, E2)</f>
        <v>이학박사_학력_1</v>
      </c>
      <c r="N2" s="1" t="str">
        <f>D2 &amp; "_" &amp; "학력" &amp;"_" &amp; COUNTIFS($D$2:D2, D2)</f>
        <v>박사_학력_1</v>
      </c>
    </row>
    <row r="3" spans="1:14">
      <c r="A3" s="55" t="s">
        <v>0</v>
      </c>
      <c r="B3" s="203" t="str">
        <f>IFERROR(INDEX(개인DB!C:C, MATCH($A3, 개인DB!B:B, 0)), "")</f>
        <v>원장</v>
      </c>
      <c r="C3" s="203" t="str">
        <f>IFERROR(INDEX(개인DB!D:D, MATCH($A3, 개인DB!B:B, 0)), "")</f>
        <v>원장</v>
      </c>
      <c r="D3" s="108" t="s">
        <v>162</v>
      </c>
      <c r="E3" s="203" t="s">
        <v>171</v>
      </c>
      <c r="F3" s="302" t="s">
        <v>172</v>
      </c>
      <c r="G3" s="203"/>
      <c r="H3" s="303" t="s">
        <v>173</v>
      </c>
      <c r="I3" s="303"/>
      <c r="J3" s="304" t="str">
        <f t="shared" si="0"/>
        <v>PDF</v>
      </c>
      <c r="K3" s="305" t="str">
        <f>학력입력[[#This Row],[학력]]&amp;"_"&amp;학력입력[[#This Row],[학위]]&amp;"_"&amp;학력입력[[#This Row],[학교명]]&amp;"_"&amp;학력입력[[#This Row],[이름]]</f>
        <v>석사_경영학석사_연세대학교 정경대학원_김민선</v>
      </c>
      <c r="L3" s="1" t="str">
        <f>A3 &amp; "_" &amp; "학력" &amp;"_" &amp; COUNTIFS($A$2:A3, A3)</f>
        <v>김민선_학력_2</v>
      </c>
      <c r="M3" s="1" t="str">
        <f>E3 &amp; "_" &amp; "학력" &amp;"_" &amp; COUNTIFS($E$2:E3, E3)</f>
        <v>경영학석사_학력_1</v>
      </c>
      <c r="N3" s="1" t="str">
        <f>D3 &amp; "_" &amp; "학력" &amp;"_" &amp; COUNTIFS($D$2:D3, D3)</f>
        <v>석사_학력_1</v>
      </c>
    </row>
    <row r="4" spans="1:14" ht="28.5">
      <c r="A4" s="55" t="s">
        <v>0</v>
      </c>
      <c r="B4" s="203" t="str">
        <f>IFERROR(INDEX(개인DB!C:C, MATCH($A4, 개인DB!B:B, 0)), "")</f>
        <v>원장</v>
      </c>
      <c r="C4" s="203" t="str">
        <f>IFERROR(INDEX(개인DB!D:D, MATCH($A4, 개인DB!B:B, 0)), "")</f>
        <v>원장</v>
      </c>
      <c r="D4" s="203" t="s">
        <v>164</v>
      </c>
      <c r="E4" s="203" t="s">
        <v>177</v>
      </c>
      <c r="F4" s="302" t="s">
        <v>178</v>
      </c>
      <c r="G4" s="203"/>
      <c r="H4" s="306" t="s">
        <v>591</v>
      </c>
      <c r="I4" s="306"/>
      <c r="J4" s="304" t="str">
        <f t="shared" si="0"/>
        <v>PDF</v>
      </c>
      <c r="K4" s="305" t="str">
        <f>학력입력[[#This Row],[학력]]&amp;"_"&amp;학력입력[[#This Row],[학위]]&amp;"_"&amp;학력입력[[#This Row],[학교명]]&amp;"_"&amp;학력입력[[#This Row],[이름]]</f>
        <v>학사_공학사_한양사이버대학교_김민선</v>
      </c>
      <c r="L4" s="1" t="str">
        <f>A4 &amp; "_" &amp; "학력" &amp;"_" &amp; COUNTIFS($A$2:A4, A4)</f>
        <v>김민선_학력_3</v>
      </c>
      <c r="M4" s="1" t="str">
        <f>E4 &amp; "_" &amp; "학력" &amp;"_" &amp; COUNTIFS($E$2:E4, E4)</f>
        <v>공학사_학력_1</v>
      </c>
      <c r="N4" s="1" t="str">
        <f>D4 &amp; "_" &amp; "학력" &amp;"_" &amp; COUNTIFS($D$2:D4, D4)</f>
        <v>학사_학력_1</v>
      </c>
    </row>
    <row r="5" spans="1:14">
      <c r="A5" s="55" t="s">
        <v>0</v>
      </c>
      <c r="B5" s="203" t="str">
        <f>IFERROR(INDEX(개인DB!C:C, MATCH($A5, 개인DB!B:B, 0)), "")</f>
        <v>원장</v>
      </c>
      <c r="C5" s="203" t="str">
        <f>IFERROR(INDEX(개인DB!D:D, MATCH($A5, 개인DB!B:B, 0)), "")</f>
        <v>원장</v>
      </c>
      <c r="D5" s="203" t="s">
        <v>164</v>
      </c>
      <c r="E5" s="203" t="s">
        <v>166</v>
      </c>
      <c r="F5" s="302" t="s">
        <v>365</v>
      </c>
      <c r="G5" s="203" t="s">
        <v>434</v>
      </c>
      <c r="H5" s="303" t="s">
        <v>435</v>
      </c>
      <c r="I5" s="303"/>
      <c r="J5" s="304" t="str">
        <f t="shared" si="0"/>
        <v>PDF</v>
      </c>
      <c r="K5" s="305" t="str">
        <f>학력입력[[#This Row],[학력]]&amp;"_"&amp;학력입력[[#This Row],[학위]]&amp;"_"&amp;학력입력[[#This Row],[학교명]]&amp;"_"&amp;학력입력[[#This Row],[이름]]</f>
        <v>학사_경영학사_건양대학교_김민선</v>
      </c>
      <c r="L5" s="1" t="str">
        <f>A5 &amp; "_" &amp; "학력" &amp;"_" &amp; COUNTIFS($A$2:A5, A5)</f>
        <v>김민선_학력_4</v>
      </c>
      <c r="M5" s="1" t="str">
        <f>E5 &amp; "_" &amp; "학력" &amp;"_" &amp; COUNTIFS($E$2:E5, E5)</f>
        <v>경영학사_학력_1</v>
      </c>
      <c r="N5" s="1" t="str">
        <f>D5 &amp; "_" &amp; "학력" &amp;"_" &amp; COUNTIFS($D$2:D5, D5)</f>
        <v>학사_학력_2</v>
      </c>
    </row>
    <row r="6" spans="1:14">
      <c r="A6" s="55" t="s">
        <v>0</v>
      </c>
      <c r="B6" s="203" t="str">
        <f>IFERROR(INDEX(개인DB!C:C, MATCH($A6, 개인DB!B:B, 0)), "")</f>
        <v>원장</v>
      </c>
      <c r="C6" s="203" t="str">
        <f>IFERROR(INDEX(개인DB!D:D, MATCH($A6, 개인DB!B:B, 0)), "")</f>
        <v>원장</v>
      </c>
      <c r="D6" s="203" t="s">
        <v>164</v>
      </c>
      <c r="E6" s="203" t="s">
        <v>179</v>
      </c>
      <c r="F6" s="302" t="s">
        <v>180</v>
      </c>
      <c r="G6" s="203"/>
      <c r="H6" s="303" t="s">
        <v>181</v>
      </c>
      <c r="I6" s="303"/>
      <c r="J6" s="304" t="str">
        <f t="shared" si="0"/>
        <v>PDF</v>
      </c>
      <c r="K6" s="305" t="str">
        <f>학력입력[[#This Row],[학력]]&amp;"_"&amp;학력입력[[#This Row],[학위]]&amp;"_"&amp;학력입력[[#This Row],[학교명]]&amp;"_"&amp;학력입력[[#This Row],[이름]]</f>
        <v>학사_행정학사_국가평생교육진흥원_김민선</v>
      </c>
      <c r="L6" s="1" t="str">
        <f>A6 &amp; "_" &amp; "학력" &amp;"_" &amp; COUNTIFS($A$2:A6, A6)</f>
        <v>김민선_학력_5</v>
      </c>
      <c r="M6" s="1" t="str">
        <f>E6 &amp; "_" &amp; "학력" &amp;"_" &amp; COUNTIFS($E$2:E6, E6)</f>
        <v>행정학사_학력_1</v>
      </c>
      <c r="N6" s="1" t="str">
        <f>D6 &amp; "_" &amp; "학력" &amp;"_" &amp; COUNTIFS($D$2:D6, D6)</f>
        <v>학사_학력_3</v>
      </c>
    </row>
    <row r="7" spans="1:14">
      <c r="A7" s="55" t="s">
        <v>0</v>
      </c>
      <c r="B7" s="203" t="str">
        <f>IFERROR(INDEX(개인DB!C:C, MATCH($A7, 개인DB!B:B, 0)), "")</f>
        <v>원장</v>
      </c>
      <c r="C7" s="203" t="str">
        <f>IFERROR(INDEX(개인DB!D:D, MATCH($A7, 개인DB!B:B, 0)), "")</f>
        <v>원장</v>
      </c>
      <c r="D7" s="203" t="s">
        <v>164</v>
      </c>
      <c r="E7" s="203" t="s">
        <v>174</v>
      </c>
      <c r="F7" s="302" t="s">
        <v>175</v>
      </c>
      <c r="G7" s="203" t="s">
        <v>176</v>
      </c>
      <c r="H7" s="303"/>
      <c r="I7" s="303"/>
      <c r="J7" s="304" t="str">
        <f t="shared" si="0"/>
        <v>PDF</v>
      </c>
      <c r="K7" s="305" t="str">
        <f>학력입력[[#This Row],[학력]]&amp;"_"&amp;학력입력[[#This Row],[학위]]&amp;"_"&amp;학력입력[[#This Row],[학교명]]&amp;"_"&amp;학력입력[[#This Row],[이름]]</f>
        <v>학사_농학사_한국방송통신대학교_김민선</v>
      </c>
      <c r="L7" s="1" t="str">
        <f>A7 &amp; "_" &amp; "학력" &amp;"_" &amp; COUNTIFS($A$2:A7, A7)</f>
        <v>김민선_학력_6</v>
      </c>
      <c r="M7" s="1" t="str">
        <f>E7 &amp; "_" &amp; "학력" &amp;"_" &amp; COUNTIFS($E$2:E7, E7)</f>
        <v>농학사_학력_1</v>
      </c>
      <c r="N7" s="1" t="str">
        <f>D7 &amp; "_" &amp; "학력" &amp;"_" &amp; COUNTIFS($D$2:D7, D7)</f>
        <v>학사_학력_4</v>
      </c>
    </row>
    <row r="8" spans="1:14">
      <c r="A8" s="55" t="s">
        <v>28</v>
      </c>
      <c r="B8" s="203" t="str">
        <f>IFERROR(INDEX(개인DB!C:C, MATCH($A8, 개인DB!B:B, 0)), "")</f>
        <v>건설사업</v>
      </c>
      <c r="C8" s="203" t="str">
        <f>IFERROR(INDEX(개인DB!D:D, MATCH($A8, 개인DB!B:B, 0)), "")</f>
        <v>부원장</v>
      </c>
      <c r="D8" s="203" t="s">
        <v>162</v>
      </c>
      <c r="E8" s="203" t="s">
        <v>333</v>
      </c>
      <c r="F8" s="302" t="s">
        <v>334</v>
      </c>
      <c r="G8" s="203" t="s">
        <v>335</v>
      </c>
      <c r="H8" s="303" t="s">
        <v>336</v>
      </c>
      <c r="I8" s="303"/>
      <c r="J8" s="304" t="str">
        <f t="shared" si="0"/>
        <v>PDF</v>
      </c>
      <c r="K8" s="305" t="str">
        <f>학력입력[[#This Row],[학력]]&amp;"_"&amp;학력입력[[#This Row],[학위]]&amp;"_"&amp;학력입력[[#This Row],[학교명]]&amp;"_"&amp;학력입력[[#This Row],[이름]]</f>
        <v>석사_법학석사_광운대학교 건설법무대학원_이병준</v>
      </c>
      <c r="L8" s="1" t="str">
        <f>A8 &amp; "_" &amp; "학력" &amp;"_" &amp; COUNTIFS($A$2:A8, A8)</f>
        <v>이병준_학력_1</v>
      </c>
      <c r="M8" s="1" t="str">
        <f>E8 &amp; "_" &amp; "학력" &amp;"_" &amp; COUNTIFS($E$2:E8, E8)</f>
        <v>법학석사_학력_1</v>
      </c>
      <c r="N8" s="1" t="str">
        <f>D8 &amp; "_" &amp; "학력" &amp;"_" &amp; COUNTIFS($D$2:D8, D8)</f>
        <v>석사_학력_2</v>
      </c>
    </row>
    <row r="9" spans="1:14">
      <c r="A9" s="307" t="s">
        <v>28</v>
      </c>
      <c r="B9" s="308" t="str">
        <f>IFERROR(INDEX(개인DB!C:C, MATCH($A9, 개인DB!B:B, 0)), "")</f>
        <v>건설사업</v>
      </c>
      <c r="C9" s="308" t="str">
        <f>IFERROR(INDEX(개인DB!D:D, MATCH($A9, 개인DB!B:B, 0)), "")</f>
        <v>부원장</v>
      </c>
      <c r="D9" s="308" t="s">
        <v>164</v>
      </c>
      <c r="E9" s="308" t="s">
        <v>177</v>
      </c>
      <c r="F9" s="309" t="s">
        <v>618</v>
      </c>
      <c r="G9" s="308" t="s">
        <v>191</v>
      </c>
      <c r="H9" s="310"/>
      <c r="I9" s="310" t="s">
        <v>659</v>
      </c>
      <c r="J9" s="304" t="str">
        <f t="shared" si="0"/>
        <v>PDF</v>
      </c>
      <c r="K9" s="305" t="str">
        <f>학력입력[[#This Row],[학력]]&amp;"_"&amp;학력입력[[#This Row],[학위]]&amp;"_"&amp;학력입력[[#This Row],[학교명]]&amp;"_"&amp;학력입력[[#This Row],[이름]]</f>
        <v>학사_공학사_계명대학교_이병준</v>
      </c>
      <c r="L9" s="1" t="str">
        <f>A9 &amp; "_" &amp; "학력" &amp;"_" &amp; COUNTIFS($A$2:A9, A9)</f>
        <v>이병준_학력_2</v>
      </c>
      <c r="M9" s="1" t="str">
        <f>E9 &amp; "_" &amp; "학력" &amp;"_" &amp; COUNTIFS($E$2:E9, E9)</f>
        <v>공학사_학력_2</v>
      </c>
      <c r="N9" s="1" t="str">
        <f>D9 &amp; "_" &amp; "학력" &amp;"_" &amp; COUNTIFS($D$2:D9, D9)</f>
        <v>학사_학력_5</v>
      </c>
    </row>
    <row r="10" spans="1:14">
      <c r="A10" s="55" t="s">
        <v>37</v>
      </c>
      <c r="B10" s="203" t="str">
        <f>IFERROR(INDEX(개인DB!C:C, MATCH($A10, 개인DB!B:B, 0)), "")</f>
        <v>건설사업</v>
      </c>
      <c r="C10" s="203" t="str">
        <f>IFERROR(INDEX(개인DB!D:D, MATCH($A10, 개인DB!B:B, 0)), "")</f>
        <v>본부장</v>
      </c>
      <c r="D10" s="203" t="s">
        <v>164</v>
      </c>
      <c r="E10" s="203" t="s">
        <v>165</v>
      </c>
      <c r="F10" s="302" t="s">
        <v>575</v>
      </c>
      <c r="G10" s="203" t="s">
        <v>191</v>
      </c>
      <c r="H10" s="303"/>
      <c r="I10" s="303"/>
      <c r="J10" s="304" t="str">
        <f t="shared" si="0"/>
        <v>PDF</v>
      </c>
      <c r="K10" s="305" t="str">
        <f>학력입력[[#This Row],[학력]]&amp;"_"&amp;학력입력[[#This Row],[학위]]&amp;"_"&amp;학력입력[[#This Row],[학교명]]&amp;"_"&amp;학력입력[[#This Row],[이름]]</f>
        <v>학사_공학사_단국대학교_최재운</v>
      </c>
      <c r="L10" s="1" t="str">
        <f>A10 &amp; "_" &amp; "학력" &amp;"_" &amp; COUNTIFS($A$2:A10, A10)</f>
        <v>최재운_학력_1</v>
      </c>
      <c r="M10" s="1" t="str">
        <f>E10 &amp; "_" &amp; "학력" &amp;"_" &amp; COUNTIFS($E$2:E10, E10)</f>
        <v>공학사_학력_3</v>
      </c>
      <c r="N10" s="1" t="str">
        <f>D10 &amp; "_" &amp; "학력" &amp;"_" &amp; COUNTIFS($D$2:D10, D10)</f>
        <v>학사_학력_6</v>
      </c>
    </row>
    <row r="11" spans="1:14">
      <c r="A11" s="55" t="s">
        <v>26</v>
      </c>
      <c r="B11" s="203" t="str">
        <f>IFERROR(INDEX(개인DB!C:C, MATCH($A11, 개인DB!B:B, 0)), "")</f>
        <v/>
      </c>
      <c r="C11" s="203" t="str">
        <f>IFERROR(INDEX(개인DB!D:D, MATCH($A11, 개인DB!B:B, 0)), "")</f>
        <v/>
      </c>
      <c r="D11" s="203" t="s">
        <v>164</v>
      </c>
      <c r="E11" s="203" t="s">
        <v>165</v>
      </c>
      <c r="F11" s="302" t="s">
        <v>369</v>
      </c>
      <c r="G11" s="203" t="s">
        <v>370</v>
      </c>
      <c r="H11" s="303" t="s">
        <v>359</v>
      </c>
      <c r="I11" s="303"/>
      <c r="J11" s="304" t="str">
        <f t="shared" si="0"/>
        <v>PDF</v>
      </c>
      <c r="K11" s="305" t="str">
        <f>학력입력[[#This Row],[학력]]&amp;"_"&amp;학력입력[[#This Row],[학위]]&amp;"_"&amp;학력입력[[#This Row],[학교명]]&amp;"_"&amp;학력입력[[#This Row],[이름]]</f>
        <v>학사_공학사_세종대학교_이남일</v>
      </c>
      <c r="L11" s="1" t="str">
        <f>A11 &amp; "_" &amp; "학력" &amp;"_" &amp; COUNTIFS($A$2:A11, A11)</f>
        <v>이남일_학력_1</v>
      </c>
      <c r="M11" s="1" t="str">
        <f>E11 &amp; "_" &amp; "학력" &amp;"_" &amp; COUNTIFS($E$2:E11, E11)</f>
        <v>공학사_학력_4</v>
      </c>
      <c r="N11" s="1" t="str">
        <f>D11 &amp; "_" &amp; "학력" &amp;"_" &amp; COUNTIFS($D$2:D11, D11)</f>
        <v>학사_학력_7</v>
      </c>
    </row>
    <row r="12" spans="1:14">
      <c r="A12" s="55" t="s">
        <v>25</v>
      </c>
      <c r="B12" s="203" t="str">
        <f>IFERROR(INDEX(개인DB!C:C, MATCH($A12, 개인DB!B:B, 0)), "")</f>
        <v>건설사업</v>
      </c>
      <c r="C12" s="203" t="str">
        <f>IFERROR(INDEX(개인DB!D:D, MATCH($A12, 개인DB!B:B, 0)), "")</f>
        <v>선임연구원</v>
      </c>
      <c r="D12" s="203" t="s">
        <v>164</v>
      </c>
      <c r="E12" s="203" t="s">
        <v>366</v>
      </c>
      <c r="F12" s="302" t="s">
        <v>367</v>
      </c>
      <c r="G12" s="203" t="s">
        <v>368</v>
      </c>
      <c r="H12" s="303"/>
      <c r="I12" s="303"/>
      <c r="J12" s="304" t="str">
        <f t="shared" si="0"/>
        <v>PDF</v>
      </c>
      <c r="K12" s="305" t="str">
        <f>학력입력[[#This Row],[학력]]&amp;"_"&amp;학력입력[[#This Row],[학위]]&amp;"_"&amp;학력입력[[#This Row],[학교명]]&amp;"_"&amp;학력입력[[#This Row],[이름]]</f>
        <v>학사_건축학사_경기과학기술대학교_이길훈</v>
      </c>
      <c r="L12" s="1" t="str">
        <f>A12 &amp; "_" &amp; "학력" &amp;"_" &amp; COUNTIFS($A$2:A12, A12)</f>
        <v>이길훈_학력_1</v>
      </c>
      <c r="M12" s="1" t="str">
        <f>E12 &amp; "_" &amp; "학력" &amp;"_" &amp; COUNTIFS($E$2:E12, E12)</f>
        <v>건축학사_학력_1</v>
      </c>
      <c r="N12" s="1" t="str">
        <f>D12 &amp; "_" &amp; "학력" &amp;"_" &amp; COUNTIFS($D$2:D12, D12)</f>
        <v>학사_학력_8</v>
      </c>
    </row>
    <row r="13" spans="1:14">
      <c r="A13" s="55" t="s">
        <v>16</v>
      </c>
      <c r="B13" s="203" t="str">
        <f>IFERROR(INDEX(개인DB!C:C, MATCH($A13, 개인DB!B:B, 0)), "")</f>
        <v>건설사업</v>
      </c>
      <c r="C13" s="203" t="str">
        <f>IFERROR(INDEX(개인DB!D:D, MATCH($A13, 개인DB!B:B, 0)), "")</f>
        <v>선임연구원</v>
      </c>
      <c r="D13" s="203" t="s">
        <v>164</v>
      </c>
      <c r="E13" s="203" t="s">
        <v>165</v>
      </c>
      <c r="F13" s="302" t="s">
        <v>190</v>
      </c>
      <c r="G13" s="203" t="s">
        <v>191</v>
      </c>
      <c r="H13" s="303"/>
      <c r="I13" s="303"/>
      <c r="J13" s="304" t="str">
        <f t="shared" si="0"/>
        <v>PDF</v>
      </c>
      <c r="K13" s="305" t="str">
        <f>학력입력[[#This Row],[학력]]&amp;"_"&amp;학력입력[[#This Row],[학위]]&amp;"_"&amp;학력입력[[#This Row],[학교명]]&amp;"_"&amp;학력입력[[#This Row],[이름]]</f>
        <v>학사_공학사_경상국립대학교_박미야</v>
      </c>
      <c r="L13" s="1" t="str">
        <f>A13 &amp; "_" &amp; "학력" &amp;"_" &amp; COUNTIFS($A$2:A13, A13)</f>
        <v>박미야_학력_1</v>
      </c>
      <c r="M13" s="1" t="str">
        <f>E13 &amp; "_" &amp; "학력" &amp;"_" &amp; COUNTIFS($E$2:E13, E13)</f>
        <v>공학사_학력_5</v>
      </c>
      <c r="N13" s="1" t="str">
        <f>D13 &amp; "_" &amp; "학력" &amp;"_" &amp; COUNTIFS($D$2:D13, D13)</f>
        <v>학사_학력_9</v>
      </c>
    </row>
    <row r="14" spans="1:14">
      <c r="A14" s="55" t="s">
        <v>10</v>
      </c>
      <c r="B14" s="203" t="str">
        <f>IFERROR(INDEX(개인DB!C:C, MATCH($A14, 개인DB!B:B, 0)), "")</f>
        <v>건설사업</v>
      </c>
      <c r="C14" s="203" t="str">
        <f>IFERROR(INDEX(개인DB!D:D, MATCH($A14, 개인DB!B:B, 0)), "")</f>
        <v>전임연구원</v>
      </c>
      <c r="D14" s="203" t="s">
        <v>189</v>
      </c>
      <c r="E14" s="203" t="s">
        <v>654</v>
      </c>
      <c r="F14" s="302"/>
      <c r="G14" s="203"/>
      <c r="H14" s="303"/>
      <c r="I14" s="303"/>
      <c r="J14" s="304" t="str">
        <f t="shared" si="0"/>
        <v>PDF</v>
      </c>
      <c r="K14" s="305" t="str">
        <f>학력입력[[#This Row],[학력]]&amp;"_"&amp;학력입력[[#This Row],[학위]]&amp;"_"&amp;학력입력[[#This Row],[학교명]]&amp;"_"&amp;학력입력[[#This Row],[이름]]</f>
        <v>고졸_고졸__김연화</v>
      </c>
      <c r="L14" s="1" t="str">
        <f>A14 &amp; "_" &amp; "학력" &amp;"_" &amp; COUNTIFS($A$2:A14, A14)</f>
        <v>김연화_학력_1</v>
      </c>
      <c r="M14" s="1" t="str">
        <f>E14 &amp; "_" &amp; "학력" &amp;"_" &amp; COUNTIFS($E$2:E14, E14)</f>
        <v>고졸_학력_1</v>
      </c>
      <c r="N14" s="1" t="str">
        <f>D14 &amp; "_" &amp; "학력" &amp;"_" &amp; COUNTIFS($D$2:D14, D14)</f>
        <v>고졸_학력_1</v>
      </c>
    </row>
    <row r="15" spans="1:14">
      <c r="A15" s="307" t="s">
        <v>33</v>
      </c>
      <c r="B15" s="308" t="str">
        <f>IFERROR(INDEX(개인DB!C:C, MATCH($A15, 개인DB!B:B, 0)), "")</f>
        <v>건설사업</v>
      </c>
      <c r="C15" s="308" t="str">
        <f>IFERROR(INDEX(개인DB!D:D, MATCH($A15, 개인DB!B:B, 0)), "")</f>
        <v>위원</v>
      </c>
      <c r="D15" s="308" t="s">
        <v>164</v>
      </c>
      <c r="E15" s="308" t="s">
        <v>165</v>
      </c>
      <c r="F15" s="309" t="s">
        <v>331</v>
      </c>
      <c r="G15" s="308"/>
      <c r="H15" s="310" t="s">
        <v>332</v>
      </c>
      <c r="I15" s="310" t="s">
        <v>659</v>
      </c>
      <c r="J15" s="304" t="str">
        <f t="shared" si="0"/>
        <v>PDF</v>
      </c>
      <c r="K15" s="305" t="str">
        <f>학력입력[[#This Row],[학력]]&amp;"_"&amp;학력입력[[#This Row],[학위]]&amp;"_"&amp;학력입력[[#This Row],[학교명]]&amp;"_"&amp;학력입력[[#This Row],[이름]]</f>
        <v>학사_공학사_호원대학교_최내현</v>
      </c>
      <c r="L15" s="1" t="str">
        <f>A15 &amp; "_" &amp; "학력" &amp;"_" &amp; COUNTIFS($A$2:A15, A15)</f>
        <v>최내현_학력_1</v>
      </c>
      <c r="M15" s="1" t="str">
        <f>E15 &amp; "_" &amp; "학력" &amp;"_" &amp; COUNTIFS($E$2:E15, E15)</f>
        <v>공학사_학력_6</v>
      </c>
      <c r="N15" s="1" t="str">
        <f>D15 &amp; "_" &amp; "학력" &amp;"_" &amp; COUNTIFS($D$2:D15, D15)</f>
        <v>학사_학력_10</v>
      </c>
    </row>
    <row r="16" spans="1:14">
      <c r="A16" s="55" t="s">
        <v>35</v>
      </c>
      <c r="B16" s="203" t="str">
        <f>IFERROR(INDEX(개인DB!C:C, MATCH($A16, 개인DB!B:B, 0)), "")</f>
        <v>건설사업</v>
      </c>
      <c r="C16" s="203" t="str">
        <f>IFERROR(INDEX(개인DB!D:D, MATCH($A16, 개인DB!B:B, 0)), "")</f>
        <v>위원</v>
      </c>
      <c r="D16" s="203" t="s">
        <v>162</v>
      </c>
      <c r="E16" s="203" t="s">
        <v>195</v>
      </c>
      <c r="F16" s="302" t="s">
        <v>357</v>
      </c>
      <c r="G16" s="203" t="s">
        <v>358</v>
      </c>
      <c r="H16" s="303" t="s">
        <v>359</v>
      </c>
      <c r="I16" s="303"/>
      <c r="J16" s="304" t="str">
        <f t="shared" si="0"/>
        <v>PDF</v>
      </c>
      <c r="K16" s="305" t="str">
        <f>학력입력[[#This Row],[학력]]&amp;"_"&amp;학력입력[[#This Row],[학위]]&amp;"_"&amp;학력입력[[#This Row],[학교명]]&amp;"_"&amp;학력입력[[#This Row],[이름]]</f>
        <v>석사_공학석사_경북대학교 산업대학원_피욱환</v>
      </c>
      <c r="L16" s="1" t="str">
        <f>A16 &amp; "_" &amp; "학력" &amp;"_" &amp; COUNTIFS($A$2:A16, A16)</f>
        <v>피욱환_학력_1</v>
      </c>
      <c r="M16" s="1" t="str">
        <f>E16 &amp; "_" &amp; "학력" &amp;"_" &amp; COUNTIFS($E$2:E16, E16)</f>
        <v>공학석사_학력_1</v>
      </c>
      <c r="N16" s="1" t="str">
        <f>D16 &amp; "_" &amp; "학력" &amp;"_" &amp; COUNTIFS($D$2:D16, D16)</f>
        <v>석사_학력_3</v>
      </c>
    </row>
    <row r="17" spans="1:14">
      <c r="A17" s="55" t="s">
        <v>3</v>
      </c>
      <c r="B17" s="203" t="str">
        <f>IFERROR(INDEX(개인DB!C:C, MATCH($A17, 개인DB!B:B, 0)), "")</f>
        <v>원가분석</v>
      </c>
      <c r="C17" s="203" t="str">
        <f>IFERROR(INDEX(개인DB!D:D, MATCH($A17, 개인DB!B:B, 0)), "")</f>
        <v>이사</v>
      </c>
      <c r="D17" s="203" t="s">
        <v>162</v>
      </c>
      <c r="E17" s="203" t="s">
        <v>560</v>
      </c>
      <c r="F17" s="302" t="s">
        <v>561</v>
      </c>
      <c r="G17" s="203" t="s">
        <v>562</v>
      </c>
      <c r="H17" s="303" t="s">
        <v>563</v>
      </c>
      <c r="I17" s="303"/>
      <c r="J17" s="304" t="str">
        <f t="shared" si="0"/>
        <v>PDF</v>
      </c>
      <c r="K17" s="305" t="str">
        <f>학력입력[[#This Row],[학력]]&amp;"_"&amp;학력입력[[#This Row],[학위]]&amp;"_"&amp;학력입력[[#This Row],[학교명]]&amp;"_"&amp;학력입력[[#This Row],[이름]]</f>
        <v>석사_행정학석사_동국대학교 행정대학원_하은정</v>
      </c>
      <c r="L17" s="1" t="str">
        <f>A17 &amp; "_" &amp; "학력" &amp;"_" &amp; COUNTIFS($A$2:A17, A17)</f>
        <v>하은정_학력_1</v>
      </c>
      <c r="M17" s="1" t="str">
        <f>E17 &amp; "_" &amp; "학력" &amp;"_" &amp; COUNTIFS($E$2:E17, E17)</f>
        <v>행정학석사_학력_1</v>
      </c>
      <c r="N17" s="1" t="str">
        <f>D17 &amp; "_" &amp; "학력" &amp;"_" &amp; COUNTIFS($D$2:D17, D17)</f>
        <v>석사_학력_4</v>
      </c>
    </row>
    <row r="18" spans="1:14">
      <c r="A18" s="55" t="s">
        <v>3</v>
      </c>
      <c r="B18" s="203" t="str">
        <f>IFERROR(INDEX(개인DB!C:C, MATCH($A18, 개인DB!B:B, 0)), "")</f>
        <v>원가분석</v>
      </c>
      <c r="C18" s="203" t="str">
        <f>IFERROR(INDEX(개인DB!D:D, MATCH($A18, 개인DB!B:B, 0)), "")</f>
        <v>이사</v>
      </c>
      <c r="D18" s="203" t="s">
        <v>164</v>
      </c>
      <c r="E18" s="203" t="s">
        <v>183</v>
      </c>
      <c r="F18" s="302" t="s">
        <v>178</v>
      </c>
      <c r="G18" s="203"/>
      <c r="H18" s="303" t="s">
        <v>184</v>
      </c>
      <c r="I18" s="303"/>
      <c r="J18" s="304" t="str">
        <f t="shared" si="0"/>
        <v>PDF</v>
      </c>
      <c r="K18" s="305" t="str">
        <f>학력입력[[#This Row],[학력]]&amp;"_"&amp;학력입력[[#This Row],[학위]]&amp;"_"&amp;학력입력[[#This Row],[학교명]]&amp;"_"&amp;학력입력[[#This Row],[이름]]</f>
        <v>학사_보건행정학사_한양사이버대학교_하은정</v>
      </c>
      <c r="L18" s="1" t="str">
        <f>A18 &amp; "_" &amp; "학력" &amp;"_" &amp; COUNTIFS($A$2:A18, A18)</f>
        <v>하은정_학력_2</v>
      </c>
      <c r="M18" s="1" t="str">
        <f>E18 &amp; "_" &amp; "학력" &amp;"_" &amp; COUNTIFS($E$2:E18, E18)</f>
        <v>보건행정학사_학력_1</v>
      </c>
      <c r="N18" s="1" t="str">
        <f>D18 &amp; "_" &amp; "학력" &amp;"_" &amp; COUNTIFS($D$2:D18, D18)</f>
        <v>학사_학력_11</v>
      </c>
    </row>
    <row r="19" spans="1:14">
      <c r="A19" s="55" t="s">
        <v>3</v>
      </c>
      <c r="B19" s="203" t="str">
        <f>IFERROR(INDEX(개인DB!C:C, MATCH($A19, 개인DB!B:B, 0)), "")</f>
        <v>원가분석</v>
      </c>
      <c r="C19" s="203" t="str">
        <f>IFERROR(INDEX(개인DB!D:D, MATCH($A19, 개인DB!B:B, 0)), "")</f>
        <v>이사</v>
      </c>
      <c r="D19" s="203" t="s">
        <v>164</v>
      </c>
      <c r="E19" s="203" t="s">
        <v>586</v>
      </c>
      <c r="F19" s="302" t="s">
        <v>587</v>
      </c>
      <c r="G19" s="203" t="s">
        <v>588</v>
      </c>
      <c r="H19" s="303"/>
      <c r="I19" s="303"/>
      <c r="J19" s="304" t="str">
        <f t="shared" si="0"/>
        <v>PDF</v>
      </c>
      <c r="K19" s="305" t="str">
        <f>학력입력[[#This Row],[학력]]&amp;"_"&amp;학력입력[[#This Row],[학위]]&amp;"_"&amp;학력입력[[#This Row],[학교명]]&amp;"_"&amp;학력입력[[#This Row],[이름]]</f>
        <v>학사_세무회계학사_서해대학교_하은정</v>
      </c>
      <c r="L19" s="1" t="str">
        <f>A19 &amp; "_" &amp; "학력" &amp;"_" &amp; COUNTIFS($A$2:A19, A19)</f>
        <v>하은정_학력_3</v>
      </c>
      <c r="M19" s="1" t="str">
        <f>E19 &amp; "_" &amp; "학력" &amp;"_" &amp; COUNTIFS($E$2:E19, E19)</f>
        <v>세무회계학사_학력_1</v>
      </c>
      <c r="N19" s="1" t="str">
        <f>D19 &amp; "_" &amp; "학력" &amp;"_" &amp; COUNTIFS($D$2:D19, D19)</f>
        <v>학사_학력_12</v>
      </c>
    </row>
    <row r="20" spans="1:14">
      <c r="A20" s="55" t="s">
        <v>29</v>
      </c>
      <c r="B20" s="203" t="str">
        <f>IFERROR(INDEX(개인DB!C:C, MATCH($A20, 개인DB!B:B, 0)), "")</f>
        <v>원가분석</v>
      </c>
      <c r="C20" s="203" t="str">
        <f>IFERROR(INDEX(개인DB!D:D, MATCH($A20, 개인DB!B:B, 0)), "")</f>
        <v>주임연구원</v>
      </c>
      <c r="D20" s="203" t="s">
        <v>444</v>
      </c>
      <c r="E20" s="203" t="s">
        <v>459</v>
      </c>
      <c r="F20" s="302" t="s">
        <v>185</v>
      </c>
      <c r="G20" s="203" t="s">
        <v>186</v>
      </c>
      <c r="H20" s="303"/>
      <c r="I20" s="303"/>
      <c r="J20" s="304" t="str">
        <f t="shared" si="0"/>
        <v>PDF</v>
      </c>
      <c r="K20" s="305" t="str">
        <f>학력입력[[#This Row],[학력]]&amp;"_"&amp;학력입력[[#This Row],[학위]]&amp;"_"&amp;학력입력[[#This Row],[학교명]]&amp;"_"&amp;학력입력[[#This Row],[이름]]</f>
        <v>전문학사_공학전문학사_서일대학교_장연주</v>
      </c>
      <c r="L20" s="1" t="str">
        <f>A20 &amp; "_" &amp; "학력" &amp;"_" &amp; COUNTIFS($A$2:A20, A20)</f>
        <v>장연주_학력_1</v>
      </c>
      <c r="M20" s="1" t="str">
        <f>E20 &amp; "_" &amp; "학력" &amp;"_" &amp; COUNTIFS($E$2:E20, E20)</f>
        <v>공학전문학사_학력_1</v>
      </c>
      <c r="N20" s="1" t="str">
        <f>D20 &amp; "_" &amp; "학력" &amp;"_" &amp; COUNTIFS($D$2:D20, D20)</f>
        <v>전문학사_학력_1</v>
      </c>
    </row>
    <row r="21" spans="1:14">
      <c r="A21" s="55" t="s">
        <v>11</v>
      </c>
      <c r="B21" s="203" t="str">
        <f>IFERROR(INDEX(개인DB!C:C, MATCH($A21, 개인DB!B:B, 0)), "")</f>
        <v/>
      </c>
      <c r="C21" s="203" t="str">
        <f>IFERROR(INDEX(개인DB!D:D, MATCH($A21, 개인DB!B:B, 0)), "")</f>
        <v/>
      </c>
      <c r="D21" s="203" t="s">
        <v>164</v>
      </c>
      <c r="E21" s="203" t="s">
        <v>166</v>
      </c>
      <c r="F21" s="302" t="s">
        <v>578</v>
      </c>
      <c r="G21" s="203"/>
      <c r="H21" s="303"/>
      <c r="I21" s="303"/>
      <c r="J21" s="304" t="str">
        <f t="shared" si="0"/>
        <v>PDF</v>
      </c>
      <c r="K21" s="305" t="str">
        <f>학력입력[[#This Row],[학력]]&amp;"_"&amp;학력입력[[#This Row],[학위]]&amp;"_"&amp;학력입력[[#This Row],[학교명]]&amp;"_"&amp;학력입력[[#This Row],[이름]]</f>
        <v>학사_경영학사_중앙대학교_김용전</v>
      </c>
      <c r="L21" s="1" t="str">
        <f>A21 &amp; "_" &amp; "학력" &amp;"_" &amp; COUNTIFS($A$2:A21, A21)</f>
        <v>김용전_학력_1</v>
      </c>
      <c r="M21" s="1" t="str">
        <f>E21 &amp; "_" &amp; "학력" &amp;"_" &amp; COUNTIFS($E$2:E21, E21)</f>
        <v>경영학사_학력_2</v>
      </c>
      <c r="N21" s="1" t="str">
        <f>D21 &amp; "_" &amp; "학력" &amp;"_" &amp; COUNTIFS($D$2:D21, D21)</f>
        <v>학사_학력_13</v>
      </c>
    </row>
    <row r="22" spans="1:14">
      <c r="A22" s="55" t="s">
        <v>6</v>
      </c>
      <c r="B22" s="203" t="str">
        <f>IFERROR(INDEX(개인DB!C:C, MATCH($A22, 개인DB!B:B, 0)), "")</f>
        <v>원가분석</v>
      </c>
      <c r="C22" s="203" t="str">
        <f>IFERROR(INDEX(개인DB!D:D, MATCH($A22, 개인DB!B:B, 0)), "")</f>
        <v>위원</v>
      </c>
      <c r="D22" s="203" t="s">
        <v>192</v>
      </c>
      <c r="E22" s="203" t="s">
        <v>163</v>
      </c>
      <c r="F22" s="302" t="s">
        <v>317</v>
      </c>
      <c r="G22" s="203"/>
      <c r="H22" s="303" t="s">
        <v>318</v>
      </c>
      <c r="I22" s="303"/>
      <c r="J22" s="304" t="str">
        <f t="shared" si="0"/>
        <v>PDF</v>
      </c>
      <c r="K22" s="305" t="str">
        <f>학력입력[[#This Row],[학력]]&amp;"_"&amp;학력입력[[#This Row],[학위]]&amp;"_"&amp;학력입력[[#This Row],[학교명]]&amp;"_"&amp;학력입력[[#This Row],[이름]]</f>
        <v>석사_경영학석사_연세대학교 정경대학원_권광민</v>
      </c>
      <c r="L22" s="1" t="str">
        <f>A22 &amp; "_" &amp; "학력" &amp;"_" &amp; COUNTIFS($A$2:A22, A22)</f>
        <v>권광민_학력_1</v>
      </c>
      <c r="M22" s="1" t="str">
        <f>E22 &amp; "_" &amp; "학력" &amp;"_" &amp; COUNTIFS($E$2:E22, E22)</f>
        <v>경영학석사_학력_2</v>
      </c>
      <c r="N22" s="1" t="str">
        <f>D22 &amp; "_" &amp; "학력" &amp;"_" &amp; COUNTIFS($D$2:D22, D22)</f>
        <v>석사_학력_5</v>
      </c>
    </row>
    <row r="23" spans="1:14">
      <c r="A23" s="55" t="s">
        <v>6</v>
      </c>
      <c r="B23" s="203" t="str">
        <f>IFERROR(INDEX(개인DB!C:C, MATCH($A23, 개인DB!B:B, 0)), "")</f>
        <v>원가분석</v>
      </c>
      <c r="C23" s="203" t="str">
        <f>IFERROR(INDEX(개인DB!D:D, MATCH($A23, 개인DB!B:B, 0)), "")</f>
        <v>위원</v>
      </c>
      <c r="D23" s="203" t="s">
        <v>164</v>
      </c>
      <c r="E23" s="203" t="s">
        <v>166</v>
      </c>
      <c r="F23" s="302" t="s">
        <v>319</v>
      </c>
      <c r="G23" s="203" t="s">
        <v>320</v>
      </c>
      <c r="H23" s="306" t="s">
        <v>318</v>
      </c>
      <c r="I23" s="306"/>
      <c r="J23" s="304" t="str">
        <f t="shared" si="0"/>
        <v>PDF</v>
      </c>
      <c r="K23" s="305" t="str">
        <f>학력입력[[#This Row],[학력]]&amp;"_"&amp;학력입력[[#This Row],[학위]]&amp;"_"&amp;학력입력[[#This Row],[학교명]]&amp;"_"&amp;학력입력[[#This Row],[이름]]</f>
        <v>학사_경영학사_순천향대학교 글로벌경영대학_권광민</v>
      </c>
      <c r="L23" s="1" t="str">
        <f>A23 &amp; "_" &amp; "학력" &amp;"_" &amp; COUNTIFS($A$2:A23, A23)</f>
        <v>권광민_학력_2</v>
      </c>
      <c r="M23" s="1" t="str">
        <f>E23 &amp; "_" &amp; "학력" &amp;"_" &amp; COUNTIFS($E$2:E23, E23)</f>
        <v>경영학사_학력_3</v>
      </c>
      <c r="N23" s="1" t="str">
        <f>D23 &amp; "_" &amp; "학력" &amp;"_" &amp; COUNTIFS($D$2:D23, D23)</f>
        <v>학사_학력_14</v>
      </c>
    </row>
    <row r="24" spans="1:14">
      <c r="A24" s="55" t="s">
        <v>7</v>
      </c>
      <c r="B24" s="203" t="str">
        <f>IFERROR(INDEX(개인DB!C:C, MATCH($A24, 개인DB!B:B, 0)), "")</f>
        <v>원가분석</v>
      </c>
      <c r="C24" s="203" t="str">
        <f>IFERROR(INDEX(개인DB!D:D, MATCH($A24, 개인DB!B:B, 0)), "")</f>
        <v>위원</v>
      </c>
      <c r="D24" s="203" t="s">
        <v>162</v>
      </c>
      <c r="E24" s="203" t="s">
        <v>163</v>
      </c>
      <c r="F24" s="302" t="s">
        <v>280</v>
      </c>
      <c r="G24" s="203" t="s">
        <v>281</v>
      </c>
      <c r="H24" s="303"/>
      <c r="I24" s="303"/>
      <c r="J24" s="304" t="str">
        <f t="shared" si="0"/>
        <v>PDF</v>
      </c>
      <c r="K24" s="305" t="str">
        <f>학력입력[[#This Row],[학력]]&amp;"_"&amp;학력입력[[#This Row],[학위]]&amp;"_"&amp;학력입력[[#This Row],[학교명]]&amp;"_"&amp;학력입력[[#This Row],[이름]]</f>
        <v>석사_경영학석사_숭실대학교 경영대학원_김대식</v>
      </c>
      <c r="L24" s="1" t="str">
        <f>A24 &amp; "_" &amp; "학력" &amp;"_" &amp; COUNTIFS($A$2:A24, A24)</f>
        <v>김대식_학력_1</v>
      </c>
      <c r="M24" s="1" t="str">
        <f>E24 &amp; "_" &amp; "학력" &amp;"_" &amp; COUNTIFS($E$2:E24, E24)</f>
        <v>경영학석사_학력_3</v>
      </c>
      <c r="N24" s="1" t="str">
        <f>D24 &amp; "_" &amp; "학력" &amp;"_" &amp; COUNTIFS($D$2:D24, D24)</f>
        <v>석사_학력_6</v>
      </c>
    </row>
    <row r="25" spans="1:14">
      <c r="A25" s="55" t="s">
        <v>7</v>
      </c>
      <c r="B25" s="203" t="str">
        <f>IFERROR(INDEX(개인DB!C:C, MATCH($A25, 개인DB!B:B, 0)), "")</f>
        <v>원가분석</v>
      </c>
      <c r="C25" s="203" t="str">
        <f>IFERROR(INDEX(개인DB!D:D, MATCH($A25, 개인DB!B:B, 0)), "")</f>
        <v>위원</v>
      </c>
      <c r="D25" s="203" t="s">
        <v>164</v>
      </c>
      <c r="E25" s="203" t="s">
        <v>282</v>
      </c>
      <c r="F25" s="302" t="s">
        <v>283</v>
      </c>
      <c r="G25" s="203"/>
      <c r="H25" s="303" t="s">
        <v>284</v>
      </c>
      <c r="I25" s="303"/>
      <c r="J25" s="304" t="str">
        <f t="shared" si="0"/>
        <v>PDF</v>
      </c>
      <c r="K25" s="305" t="str">
        <f>학력입력[[#This Row],[학력]]&amp;"_"&amp;학력입력[[#This Row],[학위]]&amp;"_"&amp;학력입력[[#This Row],[학교명]]&amp;"_"&amp;학력입력[[#This Row],[이름]]</f>
        <v>학사_이학사_국가평생교육진흥원_김대식</v>
      </c>
      <c r="L25" s="1" t="str">
        <f>A25 &amp; "_" &amp; "학력" &amp;"_" &amp; COUNTIFS($A$2:A25, A25)</f>
        <v>김대식_학력_2</v>
      </c>
      <c r="M25" s="1" t="str">
        <f>E25 &amp; "_" &amp; "학력" &amp;"_" &amp; COUNTIFS($E$2:E25, E25)</f>
        <v>이학사_학력_1</v>
      </c>
      <c r="N25" s="1" t="str">
        <f>D25 &amp; "_" &amp; "학력" &amp;"_" &amp; COUNTIFS($D$2:D25, D25)</f>
        <v>학사_학력_15</v>
      </c>
    </row>
    <row r="26" spans="1:14">
      <c r="A26" s="55" t="s">
        <v>13</v>
      </c>
      <c r="B26" s="203" t="str">
        <f>IFERROR(INDEX(개인DB!C:C, MATCH($A26, 개인DB!B:B, 0)), "")</f>
        <v>원가분석</v>
      </c>
      <c r="C26" s="203" t="str">
        <f>IFERROR(INDEX(개인DB!D:D, MATCH($A26, 개인DB!B:B, 0)), "")</f>
        <v>위원</v>
      </c>
      <c r="D26" s="203" t="s">
        <v>164</v>
      </c>
      <c r="E26" s="203" t="s">
        <v>165</v>
      </c>
      <c r="F26" s="302" t="s">
        <v>344</v>
      </c>
      <c r="G26" s="203" t="s">
        <v>345</v>
      </c>
      <c r="H26" s="303" t="s">
        <v>346</v>
      </c>
      <c r="I26" s="303"/>
      <c r="J26" s="304" t="str">
        <f t="shared" si="0"/>
        <v>PDF</v>
      </c>
      <c r="K26" s="305" t="str">
        <f>학력입력[[#This Row],[학력]]&amp;"_"&amp;학력입력[[#This Row],[학위]]&amp;"_"&amp;학력입력[[#This Row],[학교명]]&amp;"_"&amp;학력입력[[#This Row],[이름]]</f>
        <v>학사_공학사_연세대학교 이공대학_김종훈</v>
      </c>
      <c r="L26" s="1" t="str">
        <f>A26 &amp; "_" &amp; "학력" &amp;"_" &amp; COUNTIFS($A$2:A26, A26)</f>
        <v>김종훈_학력_1</v>
      </c>
      <c r="M26" s="1" t="str">
        <f>E26 &amp; "_" &amp; "학력" &amp;"_" &amp; COUNTIFS($E$2:E26, E26)</f>
        <v>공학사_학력_7</v>
      </c>
      <c r="N26" s="1" t="str">
        <f>D26 &amp; "_" &amp; "학력" &amp;"_" &amp; COUNTIFS($D$2:D26, D26)</f>
        <v>학사_학력_16</v>
      </c>
    </row>
    <row r="27" spans="1:14" ht="17.25" customHeight="1">
      <c r="A27" s="55" t="s">
        <v>18</v>
      </c>
      <c r="B27" s="203" t="str">
        <f>IFERROR(INDEX(개인DB!C:C, MATCH($A27, 개인DB!B:B, 0)), "")</f>
        <v>원가분석</v>
      </c>
      <c r="C27" s="203" t="str">
        <f>IFERROR(INDEX(개인DB!D:D, MATCH($A27, 개인DB!B:B, 0)), "")</f>
        <v>위원</v>
      </c>
      <c r="D27" s="203" t="s">
        <v>164</v>
      </c>
      <c r="E27" s="203" t="s">
        <v>305</v>
      </c>
      <c r="F27" s="302" t="s">
        <v>315</v>
      </c>
      <c r="G27" s="203"/>
      <c r="H27" s="303" t="s">
        <v>314</v>
      </c>
      <c r="I27" s="303"/>
      <c r="J27" s="304" t="str">
        <f t="shared" si="0"/>
        <v>PDF</v>
      </c>
      <c r="K27" s="305" t="str">
        <f>학력입력[[#This Row],[학력]]&amp;"_"&amp;학력입력[[#This Row],[학위]]&amp;"_"&amp;학력입력[[#This Row],[학교명]]&amp;"_"&amp;학력입력[[#This Row],[이름]]</f>
        <v>학사_경제학사_한남대학교_박희성</v>
      </c>
      <c r="L27" s="1" t="str">
        <f>A27 &amp; "_" &amp; "학력" &amp;"_" &amp; COUNTIFS($A$2:A27, A27)</f>
        <v>박희성_학력_1</v>
      </c>
      <c r="M27" s="1" t="str">
        <f>E27 &amp; "_" &amp; "학력" &amp;"_" &amp; COUNTIFS($E$2:E27, E27)</f>
        <v>경제학사_학력_1</v>
      </c>
      <c r="N27" s="1" t="str">
        <f>D27 &amp; "_" &amp; "학력" &amp;"_" &amp; COUNTIFS($D$2:D27, D27)</f>
        <v>학사_학력_17</v>
      </c>
    </row>
    <row r="28" spans="1:14">
      <c r="A28" s="55" t="s">
        <v>19</v>
      </c>
      <c r="B28" s="203" t="str">
        <f>IFERROR(INDEX(개인DB!C:C, MATCH($A28, 개인DB!B:B, 0)), "")</f>
        <v>원가분석</v>
      </c>
      <c r="C28" s="203" t="str">
        <f>IFERROR(INDEX(개인DB!D:D, MATCH($A28, 개인DB!B:B, 0)), "")</f>
        <v>위원</v>
      </c>
      <c r="D28" s="203" t="s">
        <v>164</v>
      </c>
      <c r="E28" s="203" t="s">
        <v>165</v>
      </c>
      <c r="F28" s="302" t="s">
        <v>285</v>
      </c>
      <c r="G28" s="203" t="s">
        <v>286</v>
      </c>
      <c r="H28" s="303" t="s">
        <v>287</v>
      </c>
      <c r="I28" s="303"/>
      <c r="J28" s="304" t="str">
        <f t="shared" si="0"/>
        <v>PDF</v>
      </c>
      <c r="K28" s="305" t="str">
        <f>학력입력[[#This Row],[학력]]&amp;"_"&amp;학력입력[[#This Row],[학위]]&amp;"_"&amp;학력입력[[#This Row],[학교명]]&amp;"_"&amp;학력입력[[#This Row],[이름]]</f>
        <v>학사_공학사_인하대학교 공과대학_변정도</v>
      </c>
      <c r="L28" s="1" t="str">
        <f>A28 &amp; "_" &amp; "학력" &amp;"_" &amp; COUNTIFS($A$2:A28, A28)</f>
        <v>변정도_학력_1</v>
      </c>
      <c r="M28" s="1" t="str">
        <f>E28 &amp; "_" &amp; "학력" &amp;"_" &amp; COUNTIFS($E$2:E28, E28)</f>
        <v>공학사_학력_8</v>
      </c>
      <c r="N28" s="1" t="str">
        <f>D28 &amp; "_" &amp; "학력" &amp;"_" &amp; COUNTIFS($D$2:D28, D28)</f>
        <v>학사_학력_18</v>
      </c>
    </row>
    <row r="29" spans="1:14">
      <c r="A29" s="55" t="s">
        <v>20</v>
      </c>
      <c r="B29" s="203" t="str">
        <f>IFERROR(INDEX(개인DB!C:C, MATCH($A29, 개인DB!B:B, 0)), "")</f>
        <v>원가분석</v>
      </c>
      <c r="C29" s="203" t="str">
        <f>IFERROR(INDEX(개인DB!D:D, MATCH($A29, 개인DB!B:B, 0)), "")</f>
        <v>위원</v>
      </c>
      <c r="D29" s="203" t="s">
        <v>160</v>
      </c>
      <c r="E29" s="203" t="s">
        <v>161</v>
      </c>
      <c r="F29" s="302" t="s">
        <v>291</v>
      </c>
      <c r="G29" s="203" t="s">
        <v>292</v>
      </c>
      <c r="H29" s="303" t="s">
        <v>293</v>
      </c>
      <c r="I29" s="303"/>
      <c r="J29" s="304" t="str">
        <f t="shared" si="0"/>
        <v>PDF</v>
      </c>
      <c r="K29" s="305" t="str">
        <f>학력입력[[#This Row],[학력]]&amp;"_"&amp;학력입력[[#This Row],[학위]]&amp;"_"&amp;학력입력[[#This Row],[학교명]]&amp;"_"&amp;학력입력[[#This Row],[이름]]</f>
        <v>박사_이학박사_건국대학교 일반대학원_신광수</v>
      </c>
      <c r="L29" s="1" t="str">
        <f>A29 &amp; "_" &amp; "학력" &amp;"_" &amp; COUNTIFS($A$2:A29, A29)</f>
        <v>신광수_학력_1</v>
      </c>
      <c r="M29" s="1" t="str">
        <f>E29 &amp; "_" &amp; "학력" &amp;"_" &amp; COUNTIFS($E$2:E29, E29)</f>
        <v>이학박사_학력_2</v>
      </c>
      <c r="N29" s="1" t="str">
        <f>D29 &amp; "_" &amp; "학력" &amp;"_" &amp; COUNTIFS($D$2:D29, D29)</f>
        <v>박사_학력_2</v>
      </c>
    </row>
    <row r="30" spans="1:14">
      <c r="A30" s="55" t="s">
        <v>20</v>
      </c>
      <c r="B30" s="203" t="str">
        <f>IFERROR(INDEX(개인DB!C:C, MATCH($A30, 개인DB!B:B, 0)), "")</f>
        <v>원가분석</v>
      </c>
      <c r="C30" s="203" t="str">
        <f>IFERROR(INDEX(개인DB!D:D, MATCH($A30, 개인DB!B:B, 0)), "")</f>
        <v>위원</v>
      </c>
      <c r="D30" s="203" t="s">
        <v>162</v>
      </c>
      <c r="E30" s="203" t="s">
        <v>163</v>
      </c>
      <c r="F30" s="302" t="s">
        <v>294</v>
      </c>
      <c r="G30" s="203" t="s">
        <v>295</v>
      </c>
      <c r="H30" s="303"/>
      <c r="I30" s="303"/>
      <c r="J30" s="304" t="str">
        <f t="shared" si="0"/>
        <v>PDF</v>
      </c>
      <c r="K30" s="305" t="str">
        <f>학력입력[[#This Row],[학력]]&amp;"_"&amp;학력입력[[#This Row],[학위]]&amp;"_"&amp;학력입력[[#This Row],[학교명]]&amp;"_"&amp;학력입력[[#This Row],[이름]]</f>
        <v>석사_경영학석사_중앙대학교 국제경영대학원_신광수</v>
      </c>
      <c r="L30" s="1" t="str">
        <f>A30 &amp; "_" &amp; "학력" &amp;"_" &amp; COUNTIFS($A$2:A30, A30)</f>
        <v>신광수_학력_2</v>
      </c>
      <c r="M30" s="1" t="str">
        <f>E30 &amp; "_" &amp; "학력" &amp;"_" &amp; COUNTIFS($E$2:E30, E30)</f>
        <v>경영학석사_학력_4</v>
      </c>
      <c r="N30" s="1" t="str">
        <f>D30 &amp; "_" &amp; "학력" &amp;"_" &amp; COUNTIFS($D$2:D30, D30)</f>
        <v>석사_학력_7</v>
      </c>
    </row>
    <row r="31" spans="1:14">
      <c r="A31" s="55" t="s">
        <v>371</v>
      </c>
      <c r="B31" s="203" t="str">
        <f>IFERROR(INDEX(개인DB!C:C, MATCH($A31, 개인DB!B:B, 0)), "")</f>
        <v>원가분석</v>
      </c>
      <c r="C31" s="203" t="str">
        <f>IFERROR(INDEX(개인DB!D:D, MATCH($A31, 개인DB!B:B, 0)), "")</f>
        <v>위원</v>
      </c>
      <c r="D31" s="203" t="s">
        <v>164</v>
      </c>
      <c r="E31" s="203" t="s">
        <v>165</v>
      </c>
      <c r="F31" s="302" t="s">
        <v>296</v>
      </c>
      <c r="G31" s="203" t="s">
        <v>297</v>
      </c>
      <c r="H31" s="303"/>
      <c r="I31" s="303"/>
      <c r="J31" s="304" t="str">
        <f t="shared" si="0"/>
        <v>PDF</v>
      </c>
      <c r="K31" s="305" t="str">
        <f>학력입력[[#This Row],[학력]]&amp;"_"&amp;학력입력[[#This Row],[학위]]&amp;"_"&amp;학력입력[[#This Row],[학교명]]&amp;"_"&amp;학력입력[[#This Row],[이름]]</f>
        <v>학사_공학사_영남대학교 공과대학_신광수</v>
      </c>
      <c r="L31" s="1" t="str">
        <f>A31 &amp; "_" &amp; "학력" &amp;"_" &amp; COUNTIFS($A$2:A31, A31)</f>
        <v>신광수_학력_3</v>
      </c>
      <c r="M31" s="1" t="str">
        <f>E31 &amp; "_" &amp; "학력" &amp;"_" &amp; COUNTIFS($E$2:E31, E31)</f>
        <v>공학사_학력_9</v>
      </c>
      <c r="N31" s="1" t="str">
        <f>D31 &amp; "_" &amp; "학력" &amp;"_" &amp; COUNTIFS($D$2:D31, D31)</f>
        <v>학사_학력_19</v>
      </c>
    </row>
    <row r="32" spans="1:14">
      <c r="A32" s="55" t="s">
        <v>371</v>
      </c>
      <c r="B32" s="203" t="str">
        <f>IFERROR(INDEX(개인DB!C:C, MATCH($A32, 개인DB!B:B, 0)), "")</f>
        <v>원가분석</v>
      </c>
      <c r="C32" s="203" t="str">
        <f>IFERROR(INDEX(개인DB!D:D, MATCH($A32, 개인DB!B:B, 0)), "")</f>
        <v>위원</v>
      </c>
      <c r="D32" s="203" t="s">
        <v>164</v>
      </c>
      <c r="E32" s="203" t="s">
        <v>301</v>
      </c>
      <c r="F32" s="302" t="s">
        <v>299</v>
      </c>
      <c r="G32" s="203" t="s">
        <v>302</v>
      </c>
      <c r="H32" s="303"/>
      <c r="I32" s="303"/>
      <c r="J32" s="304" t="str">
        <f t="shared" si="0"/>
        <v>PDF</v>
      </c>
      <c r="K32" s="305" t="str">
        <f>학력입력[[#This Row],[학력]]&amp;"_"&amp;학력입력[[#This Row],[학위]]&amp;"_"&amp;학력입력[[#This Row],[학교명]]&amp;"_"&amp;학력입력[[#This Row],[이름]]</f>
        <v>학사_문학사_한국방송통신대학교_신광수</v>
      </c>
      <c r="L32" s="1" t="str">
        <f>A32 &amp; "_" &amp; "학력" &amp;"_" &amp; COUNTIFS($A$2:A32, A32)</f>
        <v>신광수_학력_4</v>
      </c>
      <c r="M32" s="1" t="str">
        <f>E32 &amp; "_" &amp; "학력" &amp;"_" &amp; COUNTIFS($E$2:E32, E32)</f>
        <v>문학사_학력_1</v>
      </c>
      <c r="N32" s="1" t="str">
        <f>D32 &amp; "_" &amp; "학력" &amp;"_" &amp; COUNTIFS($D$2:D32, D32)</f>
        <v>학사_학력_20</v>
      </c>
    </row>
    <row r="33" spans="1:14">
      <c r="A33" s="55" t="s">
        <v>371</v>
      </c>
      <c r="B33" s="203" t="str">
        <f>IFERROR(INDEX(개인DB!C:C, MATCH($A33, 개인DB!B:B, 0)), "")</f>
        <v>원가분석</v>
      </c>
      <c r="C33" s="203" t="str">
        <f>IFERROR(INDEX(개인DB!D:D, MATCH($A33, 개인DB!B:B, 0)), "")</f>
        <v>위원</v>
      </c>
      <c r="D33" s="203" t="s">
        <v>164</v>
      </c>
      <c r="E33" s="203" t="s">
        <v>298</v>
      </c>
      <c r="F33" s="302" t="s">
        <v>299</v>
      </c>
      <c r="G33" s="203" t="s">
        <v>300</v>
      </c>
      <c r="H33" s="303"/>
      <c r="I33" s="303"/>
      <c r="J33" s="304" t="str">
        <f t="shared" si="0"/>
        <v>PDF</v>
      </c>
      <c r="K33" s="305" t="str">
        <f>학력입력[[#This Row],[학력]]&amp;"_"&amp;학력입력[[#This Row],[학위]]&amp;"_"&amp;학력입력[[#This Row],[학교명]]&amp;"_"&amp;학력입력[[#This Row],[이름]]</f>
        <v>학사_농학사_한국방송통신대학교_신광수</v>
      </c>
      <c r="L33" s="1" t="str">
        <f>A33 &amp; "_" &amp; "학력" &amp;"_" &amp; COUNTIFS($A$2:A33, A33)</f>
        <v>신광수_학력_5</v>
      </c>
      <c r="M33" s="1" t="str">
        <f>E33 &amp; "_" &amp; "학력" &amp;"_" &amp; COUNTIFS($E$2:E33, E33)</f>
        <v>농학사_학력_2</v>
      </c>
      <c r="N33" s="1" t="str">
        <f>D33 &amp; "_" &amp; "학력" &amp;"_" &amp; COUNTIFS($D$2:D33, D33)</f>
        <v>학사_학력_21</v>
      </c>
    </row>
    <row r="34" spans="1:14">
      <c r="A34" s="55" t="s">
        <v>22</v>
      </c>
      <c r="B34" s="203" t="str">
        <f>IFERROR(INDEX(개인DB!C:C, MATCH($A34, 개인DB!B:B, 0)), "")</f>
        <v>원가분석</v>
      </c>
      <c r="C34" s="203" t="str">
        <f>IFERROR(INDEX(개인DB!D:D, MATCH($A34, 개인DB!B:B, 0)), "")</f>
        <v>위원</v>
      </c>
      <c r="D34" s="203" t="s">
        <v>160</v>
      </c>
      <c r="E34" s="203" t="s">
        <v>194</v>
      </c>
      <c r="F34" s="302" t="s">
        <v>347</v>
      </c>
      <c r="G34" s="203" t="s">
        <v>348</v>
      </c>
      <c r="H34" s="303" t="s">
        <v>349</v>
      </c>
      <c r="I34" s="303"/>
      <c r="J34" s="304" t="str">
        <f t="shared" ref="J34:J56" si="1">HYPERLINK("학력, 자격증-excel 연동 파일\" &amp; A34 &amp; "\학력\" &amp; D34 &amp; "_" &amp; E34&amp; "_" &amp; F34&amp; "_" &amp; A34 &amp; ".pdf", "PDF")</f>
        <v>PDF</v>
      </c>
      <c r="K34" s="305" t="str">
        <f>학력입력[[#This Row],[학력]]&amp;"_"&amp;학력입력[[#This Row],[학위]]&amp;"_"&amp;학력입력[[#This Row],[학교명]]&amp;"_"&amp;학력입력[[#This Row],[이름]]</f>
        <v>박사_공학박사_전북대학교 대학원_유길상</v>
      </c>
      <c r="L34" s="1" t="str">
        <f>A34 &amp; "_" &amp; "학력" &amp;"_" &amp; COUNTIFS($A$2:A34, A34)</f>
        <v>유길상_학력_1</v>
      </c>
      <c r="M34" s="1" t="str">
        <f>E34 &amp; "_" &amp; "학력" &amp;"_" &amp; COUNTIFS($E$2:E34, E34)</f>
        <v>공학박사_학력_1</v>
      </c>
      <c r="N34" s="1" t="str">
        <f>D34 &amp; "_" &amp; "학력" &amp;"_" &amp; COUNTIFS($D$2:D34, D34)</f>
        <v>박사_학력_3</v>
      </c>
    </row>
    <row r="35" spans="1:14">
      <c r="A35" s="55" t="s">
        <v>22</v>
      </c>
      <c r="B35" s="203" t="str">
        <f>IFERROR(INDEX(개인DB!C:C, MATCH($A35, 개인DB!B:B, 0)), "")</f>
        <v>원가분석</v>
      </c>
      <c r="C35" s="203" t="str">
        <f>IFERROR(INDEX(개인DB!D:D, MATCH($A35, 개인DB!B:B, 0)), "")</f>
        <v>위원</v>
      </c>
      <c r="D35" s="203" t="s">
        <v>162</v>
      </c>
      <c r="E35" s="203" t="s">
        <v>195</v>
      </c>
      <c r="F35" s="302" t="s">
        <v>347</v>
      </c>
      <c r="G35" s="203" t="s">
        <v>348</v>
      </c>
      <c r="H35" s="303" t="s">
        <v>349</v>
      </c>
      <c r="I35" s="303"/>
      <c r="J35" s="304" t="str">
        <f t="shared" si="1"/>
        <v>PDF</v>
      </c>
      <c r="K35" s="305" t="str">
        <f>학력입력[[#This Row],[학력]]&amp;"_"&amp;학력입력[[#This Row],[학위]]&amp;"_"&amp;학력입력[[#This Row],[학교명]]&amp;"_"&amp;학력입력[[#This Row],[이름]]</f>
        <v>석사_공학석사_전북대학교 대학원_유길상</v>
      </c>
      <c r="L35" s="1" t="str">
        <f>A35 &amp; "_" &amp; "학력" &amp;"_" &amp; COUNTIFS($A$2:A35, A35)</f>
        <v>유길상_학력_2</v>
      </c>
      <c r="M35" s="1" t="str">
        <f>E35 &amp; "_" &amp; "학력" &amp;"_" &amp; COUNTIFS($E$2:E35, E35)</f>
        <v>공학석사_학력_2</v>
      </c>
      <c r="N35" s="1" t="str">
        <f>D35 &amp; "_" &amp; "학력" &amp;"_" &amp; COUNTIFS($D$2:D35, D35)</f>
        <v>석사_학력_8</v>
      </c>
    </row>
    <row r="36" spans="1:14">
      <c r="A36" s="55" t="s">
        <v>22</v>
      </c>
      <c r="B36" s="203" t="str">
        <f>IFERROR(INDEX(개인DB!C:C, MATCH($A36, 개인DB!B:B, 0)), "")</f>
        <v>원가분석</v>
      </c>
      <c r="C36" s="203" t="str">
        <f>IFERROR(INDEX(개인DB!D:D, MATCH($A36, 개인DB!B:B, 0)), "")</f>
        <v>위원</v>
      </c>
      <c r="D36" s="203" t="s">
        <v>164</v>
      </c>
      <c r="E36" s="203" t="s">
        <v>165</v>
      </c>
      <c r="F36" s="302" t="s">
        <v>350</v>
      </c>
      <c r="G36" s="203"/>
      <c r="H36" s="303" t="s">
        <v>351</v>
      </c>
      <c r="I36" s="303"/>
      <c r="J36" s="304" t="str">
        <f t="shared" si="1"/>
        <v>PDF</v>
      </c>
      <c r="K36" s="305" t="str">
        <f>학력입력[[#This Row],[학력]]&amp;"_"&amp;학력입력[[#This Row],[학위]]&amp;"_"&amp;학력입력[[#This Row],[학교명]]&amp;"_"&amp;학력입력[[#This Row],[이름]]</f>
        <v>학사_공학사_전북대학교 공과대학_유길상</v>
      </c>
      <c r="L36" s="1" t="str">
        <f>A36 &amp; "_" &amp; "학력" &amp;"_" &amp; COUNTIFS($A$2:A36, A36)</f>
        <v>유길상_학력_3</v>
      </c>
      <c r="M36" s="1" t="str">
        <f>E36 &amp; "_" &amp; "학력" &amp;"_" &amp; COUNTIFS($E$2:E36, E36)</f>
        <v>공학사_학력_10</v>
      </c>
      <c r="N36" s="1" t="str">
        <f>D36 &amp; "_" &amp; "학력" &amp;"_" &amp; COUNTIFS($D$2:D36, D36)</f>
        <v>학사_학력_22</v>
      </c>
    </row>
    <row r="37" spans="1:14">
      <c r="A37" s="55" t="s">
        <v>23</v>
      </c>
      <c r="B37" s="203" t="str">
        <f>IFERROR(INDEX(개인DB!C:C, MATCH($A37, 개인DB!B:B, 0)), "")</f>
        <v>원가분석</v>
      </c>
      <c r="C37" s="203" t="str">
        <f>IFERROR(INDEX(개인DB!D:D, MATCH($A37, 개인DB!B:B, 0)), "")</f>
        <v>위원</v>
      </c>
      <c r="D37" s="203" t="s">
        <v>164</v>
      </c>
      <c r="E37" s="203" t="s">
        <v>166</v>
      </c>
      <c r="F37" s="302" t="s">
        <v>442</v>
      </c>
      <c r="G37" s="203" t="s">
        <v>321</v>
      </c>
      <c r="H37" s="303"/>
      <c r="I37" s="303"/>
      <c r="J37" s="304" t="str">
        <f t="shared" si="1"/>
        <v>PDF</v>
      </c>
      <c r="K37" s="305" t="str">
        <f>학력입력[[#This Row],[학력]]&amp;"_"&amp;학력입력[[#This Row],[학위]]&amp;"_"&amp;학력입력[[#This Row],[학교명]]&amp;"_"&amp;학력입력[[#This Row],[이름]]</f>
        <v>학사_경영학사_한양대학교 경상대학_유옥수</v>
      </c>
      <c r="L37" s="1" t="str">
        <f>A37 &amp; "_" &amp; "학력" &amp;"_" &amp; COUNTIFS($A$2:A37, A37)</f>
        <v>유옥수_학력_1</v>
      </c>
      <c r="M37" s="1" t="str">
        <f>E37 &amp; "_" &amp; "학력" &amp;"_" &amp; COUNTIFS($E$2:E37, E37)</f>
        <v>경영학사_학력_4</v>
      </c>
      <c r="N37" s="1" t="str">
        <f>D37 &amp; "_" &amp; "학력" &amp;"_" &amp; COUNTIFS($D$2:D37, D37)</f>
        <v>학사_학력_23</v>
      </c>
    </row>
    <row r="38" spans="1:14">
      <c r="A38" s="55" t="s">
        <v>24</v>
      </c>
      <c r="B38" s="203" t="str">
        <f>IFERROR(INDEX(개인DB!C:C, MATCH($A38, 개인DB!B:B, 0)), "")</f>
        <v>원가분석</v>
      </c>
      <c r="C38" s="203" t="str">
        <f>IFERROR(INDEX(개인DB!D:D, MATCH($A38, 개인DB!B:B, 0)), "")</f>
        <v>위원</v>
      </c>
      <c r="D38" s="203" t="s">
        <v>164</v>
      </c>
      <c r="E38" s="203" t="s">
        <v>166</v>
      </c>
      <c r="F38" s="302" t="s">
        <v>316</v>
      </c>
      <c r="G38" s="203" t="s">
        <v>321</v>
      </c>
      <c r="H38" s="303" t="s">
        <v>318</v>
      </c>
      <c r="I38" s="303"/>
      <c r="J38" s="304" t="str">
        <f t="shared" si="1"/>
        <v>PDF</v>
      </c>
      <c r="K38" s="305" t="str">
        <f>학력입력[[#This Row],[학력]]&amp;"_"&amp;학력입력[[#This Row],[학위]]&amp;"_"&amp;학력입력[[#This Row],[학교명]]&amp;"_"&amp;학력입력[[#This Row],[이름]]</f>
        <v>학사_경영학사_강원대학교 경영대학_이규희</v>
      </c>
      <c r="L38" s="1" t="str">
        <f>A38 &amp; "_" &amp; "학력" &amp;"_" &amp; COUNTIFS($A$2:A38, A38)</f>
        <v>이규희_학력_1</v>
      </c>
      <c r="M38" s="1" t="str">
        <f>E38 &amp; "_" &amp; "학력" &amp;"_" &amp; COUNTIFS($E$2:E38, E38)</f>
        <v>경영학사_학력_5</v>
      </c>
      <c r="N38" s="1" t="str">
        <f>D38 &amp; "_" &amp; "학력" &amp;"_" &amp; COUNTIFS($D$2:D38, D38)</f>
        <v>학사_학력_24</v>
      </c>
    </row>
    <row r="39" spans="1:14">
      <c r="A39" s="55" t="s">
        <v>27</v>
      </c>
      <c r="B39" s="203" t="str">
        <f>IFERROR(INDEX(개인DB!C:C, MATCH($A39, 개인DB!B:B, 0)), "")</f>
        <v>원가분석</v>
      </c>
      <c r="C39" s="203" t="str">
        <f>IFERROR(INDEX(개인DB!D:D, MATCH($A39, 개인DB!B:B, 0)), "")</f>
        <v>위원</v>
      </c>
      <c r="D39" s="203" t="s">
        <v>164</v>
      </c>
      <c r="E39" s="203" t="s">
        <v>166</v>
      </c>
      <c r="F39" s="302" t="s">
        <v>299</v>
      </c>
      <c r="G39" s="203" t="s">
        <v>321</v>
      </c>
      <c r="H39" s="303"/>
      <c r="I39" s="303"/>
      <c r="J39" s="304" t="str">
        <f t="shared" si="1"/>
        <v>PDF</v>
      </c>
      <c r="K39" s="305" t="str">
        <f>학력입력[[#This Row],[학력]]&amp;"_"&amp;학력입력[[#This Row],[학위]]&amp;"_"&amp;학력입력[[#This Row],[학교명]]&amp;"_"&amp;학력입력[[#This Row],[이름]]</f>
        <v>학사_경영학사_한국방송통신대학교_이동환</v>
      </c>
      <c r="L39" s="1" t="str">
        <f>A39 &amp; "_" &amp; "학력" &amp;"_" &amp; COUNTIFS($A$2:A39, A39)</f>
        <v>이동환_학력_1</v>
      </c>
      <c r="M39" s="1" t="str">
        <f>E39 &amp; "_" &amp; "학력" &amp;"_" &amp; COUNTIFS($E$2:E39, E39)</f>
        <v>경영학사_학력_6</v>
      </c>
      <c r="N39" s="1" t="str">
        <f>D39 &amp; "_" &amp; "학력" &amp;"_" &amp; COUNTIFS($D$2:D39, D39)</f>
        <v>학사_학력_25</v>
      </c>
    </row>
    <row r="40" spans="1:14">
      <c r="A40" s="55" t="s">
        <v>36</v>
      </c>
      <c r="B40" s="203" t="str">
        <f>IFERROR(INDEX(개인DB!C:C, MATCH($A40, 개인DB!B:B, 0)), "")</f>
        <v>원가분석</v>
      </c>
      <c r="C40" s="203" t="str">
        <f>IFERROR(INDEX(개인DB!D:D, MATCH($A40, 개인DB!B:B, 0)), "")</f>
        <v>위원</v>
      </c>
      <c r="D40" s="203" t="s">
        <v>160</v>
      </c>
      <c r="E40" s="203" t="s">
        <v>194</v>
      </c>
      <c r="F40" s="302" t="s">
        <v>360</v>
      </c>
      <c r="G40" s="203" t="s">
        <v>361</v>
      </c>
      <c r="H40" s="303" t="s">
        <v>362</v>
      </c>
      <c r="I40" s="303"/>
      <c r="J40" s="304" t="str">
        <f t="shared" si="1"/>
        <v>PDF</v>
      </c>
      <c r="K40" s="305" t="str">
        <f>학력입력[[#This Row],[학력]]&amp;"_"&amp;학력입력[[#This Row],[학위]]&amp;"_"&amp;학력입력[[#This Row],[학교명]]&amp;"_"&amp;학력입력[[#This Row],[이름]]</f>
        <v>박사_공학박사_성균관대학교 대학원_황운희</v>
      </c>
      <c r="L40" s="1" t="str">
        <f>A40 &amp; "_" &amp; "학력" &amp;"_" &amp; COUNTIFS($A$2:A40, A40)</f>
        <v>황운희_학력_1</v>
      </c>
      <c r="M40" s="1" t="str">
        <f>E40 &amp; "_" &amp; "학력" &amp;"_" &amp; COUNTIFS($E$2:E40, E40)</f>
        <v>공학박사_학력_2</v>
      </c>
      <c r="N40" s="1" t="str">
        <f>D40 &amp; "_" &amp; "학력" &amp;"_" &amp; COUNTIFS($D$2:D40, D40)</f>
        <v>박사_학력_4</v>
      </c>
    </row>
    <row r="41" spans="1:14">
      <c r="A41" s="55" t="s">
        <v>36</v>
      </c>
      <c r="B41" s="203" t="str">
        <f>IFERROR(INDEX(개인DB!C:C, MATCH($A41, 개인DB!B:B, 0)), "")</f>
        <v>원가분석</v>
      </c>
      <c r="C41" s="203" t="str">
        <f>IFERROR(INDEX(개인DB!D:D, MATCH($A41, 개인DB!B:B, 0)), "")</f>
        <v>위원</v>
      </c>
      <c r="D41" s="203" t="s">
        <v>162</v>
      </c>
      <c r="E41" s="203" t="s">
        <v>195</v>
      </c>
      <c r="F41" s="302" t="s">
        <v>363</v>
      </c>
      <c r="G41" s="203" t="s">
        <v>361</v>
      </c>
      <c r="H41" s="303"/>
      <c r="I41" s="303"/>
      <c r="J41" s="304" t="str">
        <f t="shared" si="1"/>
        <v>PDF</v>
      </c>
      <c r="K41" s="305" t="str">
        <f>학력입력[[#This Row],[학력]]&amp;"_"&amp;학력입력[[#This Row],[학위]]&amp;"_"&amp;학력입력[[#This Row],[학교명]]&amp;"_"&amp;학력입력[[#This Row],[이름]]</f>
        <v>석사_공학석사_경북대학교 대학원_황운희</v>
      </c>
      <c r="L41" s="1" t="str">
        <f>A41 &amp; "_" &amp; "학력" &amp;"_" &amp; COUNTIFS($A$2:A41, A41)</f>
        <v>황운희_학력_2</v>
      </c>
      <c r="M41" s="1" t="str">
        <f>E41 &amp; "_" &amp; "학력" &amp;"_" &amp; COUNTIFS($E$2:E41, E41)</f>
        <v>공학석사_학력_3</v>
      </c>
      <c r="N41" s="1" t="str">
        <f>D41 &amp; "_" &amp; "학력" &amp;"_" &amp; COUNTIFS($D$2:D41, D41)</f>
        <v>석사_학력_9</v>
      </c>
    </row>
    <row r="42" spans="1:14">
      <c r="A42" s="55" t="s">
        <v>36</v>
      </c>
      <c r="B42" s="203" t="str">
        <f>IFERROR(INDEX(개인DB!C:C, MATCH($A42, 개인DB!B:B, 0)), "")</f>
        <v>원가분석</v>
      </c>
      <c r="C42" s="203" t="str">
        <f>IFERROR(INDEX(개인DB!D:D, MATCH($A42, 개인DB!B:B, 0)), "")</f>
        <v>위원</v>
      </c>
      <c r="D42" s="203" t="s">
        <v>164</v>
      </c>
      <c r="E42" s="203" t="s">
        <v>165</v>
      </c>
      <c r="F42" s="302" t="s">
        <v>364</v>
      </c>
      <c r="G42" s="203" t="s">
        <v>361</v>
      </c>
      <c r="H42" s="303"/>
      <c r="I42" s="303"/>
      <c r="J42" s="304" t="str">
        <f t="shared" si="1"/>
        <v>PDF</v>
      </c>
      <c r="K42" s="305" t="str">
        <f>학력입력[[#This Row],[학력]]&amp;"_"&amp;학력입력[[#This Row],[학위]]&amp;"_"&amp;학력입력[[#This Row],[학교명]]&amp;"_"&amp;학력입력[[#This Row],[이름]]</f>
        <v>학사_공학사_경북대학교 공과대학_황운희</v>
      </c>
      <c r="L42" s="1" t="str">
        <f>A42 &amp; "_" &amp; "학력" &amp;"_" &amp; COUNTIFS($A$2:A42, A42)</f>
        <v>황운희_학력_3</v>
      </c>
      <c r="M42" s="1" t="str">
        <f>E42 &amp; "_" &amp; "학력" &amp;"_" &amp; COUNTIFS($E$2:E42, E42)</f>
        <v>공학사_학력_11</v>
      </c>
      <c r="N42" s="1" t="str">
        <f>D42 &amp; "_" &amp; "학력" &amp;"_" &amp; COUNTIFS($D$2:D42, D42)</f>
        <v>학사_학력_26</v>
      </c>
    </row>
    <row r="43" spans="1:14">
      <c r="A43" s="55" t="s">
        <v>14</v>
      </c>
      <c r="B43" s="203" t="str">
        <f>IFERROR(INDEX(개인DB!C:C, MATCH($A43, 개인DB!B:B, 0)), "")</f>
        <v>품질관리</v>
      </c>
      <c r="C43" s="203" t="str">
        <f>IFERROR(INDEX(개인DB!D:D, MATCH($A43, 개인DB!B:B, 0)), "")</f>
        <v>이사</v>
      </c>
      <c r="D43" s="203" t="s">
        <v>160</v>
      </c>
      <c r="E43" s="203" t="s">
        <v>194</v>
      </c>
      <c r="F43" s="302" t="s">
        <v>337</v>
      </c>
      <c r="G43" s="203" t="s">
        <v>338</v>
      </c>
      <c r="H43" s="303" t="s">
        <v>339</v>
      </c>
      <c r="I43" s="303"/>
      <c r="J43" s="304" t="str">
        <f t="shared" si="1"/>
        <v>PDF</v>
      </c>
      <c r="K43" s="305" t="str">
        <f>학력입력[[#This Row],[학력]]&amp;"_"&amp;학력입력[[#This Row],[학위]]&amp;"_"&amp;학력입력[[#This Row],[학교명]]&amp;"_"&amp;학력입력[[#This Row],[이름]]</f>
        <v>박사_공학박사_아주대학교 대학원_김창수</v>
      </c>
      <c r="L43" s="1" t="str">
        <f>A43 &amp; "_" &amp; "학력" &amp;"_" &amp; COUNTIFS($A$2:A43, A43)</f>
        <v>김창수_학력_1</v>
      </c>
      <c r="M43" s="1" t="str">
        <f>E43 &amp; "_" &amp; "학력" &amp;"_" &amp; COUNTIFS($E$2:E43, E43)</f>
        <v>공학박사_학력_3</v>
      </c>
      <c r="N43" s="1" t="str">
        <f>D43 &amp; "_" &amp; "학력" &amp;"_" &amp; COUNTIFS($D$2:D43, D43)</f>
        <v>박사_학력_5</v>
      </c>
    </row>
    <row r="44" spans="1:14">
      <c r="A44" s="55" t="s">
        <v>14</v>
      </c>
      <c r="B44" s="203" t="str">
        <f>IFERROR(INDEX(개인DB!C:C, MATCH($A44, 개인DB!B:B, 0)), "")</f>
        <v>품질관리</v>
      </c>
      <c r="C44" s="203" t="str">
        <f>IFERROR(INDEX(개인DB!D:D, MATCH($A44, 개인DB!B:B, 0)), "")</f>
        <v>이사</v>
      </c>
      <c r="D44" s="203" t="s">
        <v>162</v>
      </c>
      <c r="E44" s="203" t="s">
        <v>195</v>
      </c>
      <c r="F44" s="302" t="s">
        <v>340</v>
      </c>
      <c r="G44" s="203" t="s">
        <v>341</v>
      </c>
      <c r="H44" s="303" t="s">
        <v>342</v>
      </c>
      <c r="I44" s="303"/>
      <c r="J44" s="304" t="str">
        <f t="shared" si="1"/>
        <v>PDF</v>
      </c>
      <c r="K44" s="305" t="str">
        <f>학력입력[[#This Row],[학력]]&amp;"_"&amp;학력입력[[#This Row],[학위]]&amp;"_"&amp;학력입력[[#This Row],[학교명]]&amp;"_"&amp;학력입력[[#This Row],[이름]]</f>
        <v>석사_공학석사_서울대학교 대학원_김창수</v>
      </c>
      <c r="L44" s="1" t="str">
        <f>A44 &amp; "_" &amp; "학력" &amp;"_" &amp; COUNTIFS($A$2:A44, A44)</f>
        <v>김창수_학력_2</v>
      </c>
      <c r="M44" s="1" t="str">
        <f>E44 &amp; "_" &amp; "학력" &amp;"_" &amp; COUNTIFS($E$2:E44, E44)</f>
        <v>공학석사_학력_4</v>
      </c>
      <c r="N44" s="1" t="str">
        <f>D44 &amp; "_" &amp; "학력" &amp;"_" &amp; COUNTIFS($D$2:D44, D44)</f>
        <v>석사_학력_10</v>
      </c>
    </row>
    <row r="45" spans="1:14">
      <c r="A45" s="55" t="s">
        <v>14</v>
      </c>
      <c r="B45" s="203" t="str">
        <f>IFERROR(INDEX(개인DB!C:C, MATCH($A45, 개인DB!B:B, 0)), "")</f>
        <v>품질관리</v>
      </c>
      <c r="C45" s="203" t="str">
        <f>IFERROR(INDEX(개인DB!D:D, MATCH($A45, 개인DB!B:B, 0)), "")</f>
        <v>이사</v>
      </c>
      <c r="D45" s="203" t="s">
        <v>164</v>
      </c>
      <c r="E45" s="203" t="s">
        <v>165</v>
      </c>
      <c r="F45" s="302" t="s">
        <v>343</v>
      </c>
      <c r="G45" s="203" t="s">
        <v>297</v>
      </c>
      <c r="H45" s="303"/>
      <c r="I45" s="303"/>
      <c r="J45" s="304" t="str">
        <f t="shared" si="1"/>
        <v>PDF</v>
      </c>
      <c r="K45" s="305" t="str">
        <f>학력입력[[#This Row],[학력]]&amp;"_"&amp;학력입력[[#This Row],[학위]]&amp;"_"&amp;학력입력[[#This Row],[학교명]]&amp;"_"&amp;학력입력[[#This Row],[이름]]</f>
        <v>학사_공학사_서울대학교 공과대학_김창수</v>
      </c>
      <c r="L45" s="1" t="str">
        <f>A45 &amp; "_" &amp; "학력" &amp;"_" &amp; COUNTIFS($A$2:A45, A45)</f>
        <v>김창수_학력_3</v>
      </c>
      <c r="M45" s="1" t="str">
        <f>E45 &amp; "_" &amp; "학력" &amp;"_" &amp; COUNTIFS($E$2:E45, E45)</f>
        <v>공학사_학력_12</v>
      </c>
      <c r="N45" s="1" t="str">
        <f>D45 &amp; "_" &amp; "학력" &amp;"_" &amp; COUNTIFS($D$2:D45, D45)</f>
        <v>학사_학력_27</v>
      </c>
    </row>
    <row r="46" spans="1:14">
      <c r="A46" s="55" t="s">
        <v>17</v>
      </c>
      <c r="B46" s="203" t="str">
        <f>IFERROR(INDEX(개인DB!C:C, MATCH($A46, 개인DB!B:B, 0)), "")</f>
        <v>품질관리</v>
      </c>
      <c r="C46" s="203" t="str">
        <f>IFERROR(INDEX(개인DB!D:D, MATCH($A46, 개인DB!B:B, 0)), "")</f>
        <v>위원</v>
      </c>
      <c r="D46" s="203" t="s">
        <v>162</v>
      </c>
      <c r="E46" s="203" t="s">
        <v>163</v>
      </c>
      <c r="F46" s="302" t="s">
        <v>303</v>
      </c>
      <c r="G46" s="203" t="s">
        <v>304</v>
      </c>
      <c r="H46" s="303"/>
      <c r="I46" s="303"/>
      <c r="J46" s="304" t="str">
        <f t="shared" si="1"/>
        <v>PDF</v>
      </c>
      <c r="K46" s="305" t="str">
        <f>학력입력[[#This Row],[학력]]&amp;"_"&amp;학력입력[[#This Row],[학위]]&amp;"_"&amp;학력입력[[#This Row],[학교명]]&amp;"_"&amp;학력입력[[#This Row],[이름]]</f>
        <v>석사_경영학석사_호서대학교 글로벌창업대학원_박판진</v>
      </c>
      <c r="L46" s="1" t="str">
        <f>A46 &amp; "_" &amp; "학력" &amp;"_" &amp; COUNTIFS($A$2:A46, A46)</f>
        <v>박판진_학력_1</v>
      </c>
      <c r="M46" s="1" t="str">
        <f>E46 &amp; "_" &amp; "학력" &amp;"_" &amp; COUNTIFS($E$2:E46, E46)</f>
        <v>경영학석사_학력_5</v>
      </c>
      <c r="N46" s="1" t="str">
        <f>D46 &amp; "_" &amp; "학력" &amp;"_" &amp; COUNTIFS($D$2:D46, D46)</f>
        <v>석사_학력_11</v>
      </c>
    </row>
    <row r="47" spans="1:14">
      <c r="A47" s="55" t="s">
        <v>17</v>
      </c>
      <c r="B47" s="203" t="str">
        <f>IFERROR(INDEX(개인DB!C:C, MATCH($A47, 개인DB!B:B, 0)), "")</f>
        <v>품질관리</v>
      </c>
      <c r="C47" s="203" t="str">
        <f>IFERROR(INDEX(개인DB!D:D, MATCH($A47, 개인DB!B:B, 0)), "")</f>
        <v>위원</v>
      </c>
      <c r="D47" s="203" t="s">
        <v>164</v>
      </c>
      <c r="E47" s="203" t="s">
        <v>305</v>
      </c>
      <c r="F47" s="302" t="s">
        <v>306</v>
      </c>
      <c r="G47" s="203" t="s">
        <v>307</v>
      </c>
      <c r="H47" s="303"/>
      <c r="I47" s="303"/>
      <c r="J47" s="304" t="str">
        <f t="shared" si="1"/>
        <v>PDF</v>
      </c>
      <c r="K47" s="305" t="str">
        <f>학력입력[[#This Row],[학력]]&amp;"_"&amp;학력입력[[#This Row],[학위]]&amp;"_"&amp;학력입력[[#This Row],[학교명]]&amp;"_"&amp;학력입력[[#This Row],[이름]]</f>
        <v>학사_경제학사_전남대학교 상과대학_박판진</v>
      </c>
      <c r="L47" s="1" t="str">
        <f>A47 &amp; "_" &amp; "학력" &amp;"_" &amp; COUNTIFS($A$2:A47, A47)</f>
        <v>박판진_학력_2</v>
      </c>
      <c r="M47" s="1" t="str">
        <f>E47 &amp; "_" &amp; "학력" &amp;"_" &amp; COUNTIFS($E$2:E47, E47)</f>
        <v>경제학사_학력_2</v>
      </c>
      <c r="N47" s="1" t="str">
        <f>D47 &amp; "_" &amp; "학력" &amp;"_" &amp; COUNTIFS($D$2:D47, D47)</f>
        <v>학사_학력_28</v>
      </c>
    </row>
    <row r="48" spans="1:14">
      <c r="A48" s="55" t="s">
        <v>34</v>
      </c>
      <c r="B48" s="203" t="str">
        <f>IFERROR(INDEX(개인DB!C:C, MATCH($A48, 개인DB!B:B, 0)), "")</f>
        <v>품질관리</v>
      </c>
      <c r="C48" s="203" t="str">
        <f>IFERROR(INDEX(개인DB!D:D, MATCH($A48, 개인DB!B:B, 0)), "")</f>
        <v>위원</v>
      </c>
      <c r="D48" s="203" t="s">
        <v>162</v>
      </c>
      <c r="E48" s="203" t="s">
        <v>308</v>
      </c>
      <c r="F48" s="302" t="s">
        <v>309</v>
      </c>
      <c r="G48" s="203" t="s">
        <v>310</v>
      </c>
      <c r="H48" s="303" t="s">
        <v>311</v>
      </c>
      <c r="I48" s="303"/>
      <c r="J48" s="304" t="str">
        <f t="shared" si="1"/>
        <v>PDF</v>
      </c>
      <c r="K48" s="305" t="str">
        <f>학력입력[[#This Row],[학력]]&amp;"_"&amp;학력입력[[#This Row],[학위]]&amp;"_"&amp;학력입력[[#This Row],[학교명]]&amp;"_"&amp;학력입력[[#This Row],[이름]]</f>
        <v>석사_컨설팅학석사_한성대학교 지식서비스&amp;컨설팅대학원_표순천</v>
      </c>
      <c r="L48" s="1" t="str">
        <f>A48 &amp; "_" &amp; "학력" &amp;"_" &amp; COUNTIFS($A$2:A48, A48)</f>
        <v>표순천_학력_1</v>
      </c>
      <c r="M48" s="1" t="str">
        <f>E48 &amp; "_" &amp; "학력" &amp;"_" &amp; COUNTIFS($E$2:E48, E48)</f>
        <v>컨설팅학석사_학력_1</v>
      </c>
      <c r="N48" s="1" t="str">
        <f>D48 &amp; "_" &amp; "학력" &amp;"_" &amp; COUNTIFS($D$2:D48, D48)</f>
        <v>석사_학력_12</v>
      </c>
    </row>
    <row r="49" spans="1:14">
      <c r="A49" s="55" t="s">
        <v>34</v>
      </c>
      <c r="B49" s="203" t="str">
        <f>IFERROR(INDEX(개인DB!C:C, MATCH($A49, 개인DB!B:B, 0)), "")</f>
        <v>품질관리</v>
      </c>
      <c r="C49" s="203" t="str">
        <f>IFERROR(INDEX(개인DB!D:D, MATCH($A49, 개인DB!B:B, 0)), "")</f>
        <v>위원</v>
      </c>
      <c r="D49" s="203" t="s">
        <v>164</v>
      </c>
      <c r="E49" s="203" t="s">
        <v>305</v>
      </c>
      <c r="F49" s="302" t="s">
        <v>316</v>
      </c>
      <c r="G49" s="203" t="s">
        <v>307</v>
      </c>
      <c r="H49" s="303"/>
      <c r="I49" s="303"/>
      <c r="J49" s="304" t="str">
        <f t="shared" si="1"/>
        <v>PDF</v>
      </c>
      <c r="K49" s="305" t="str">
        <f>학력입력[[#This Row],[학력]]&amp;"_"&amp;학력입력[[#This Row],[학위]]&amp;"_"&amp;학력입력[[#This Row],[학교명]]&amp;"_"&amp;학력입력[[#This Row],[이름]]</f>
        <v>학사_경제학사_강원대학교 경영대학_표순천</v>
      </c>
      <c r="L49" s="1" t="str">
        <f>A49 &amp; "_" &amp; "학력" &amp;"_" &amp; COUNTIFS($A$2:A49, A49)</f>
        <v>표순천_학력_2</v>
      </c>
      <c r="M49" s="1" t="str">
        <f>E49 &amp; "_" &amp; "학력" &amp;"_" &amp; COUNTIFS($E$2:E49, E49)</f>
        <v>경제학사_학력_3</v>
      </c>
      <c r="N49" s="1" t="str">
        <f>D49 &amp; "_" &amp; "학력" &amp;"_" &amp; COUNTIFS($D$2:D49, D49)</f>
        <v>학사_학력_29</v>
      </c>
    </row>
    <row r="50" spans="1:14">
      <c r="A50" s="55" t="s">
        <v>15</v>
      </c>
      <c r="B50" s="203" t="str">
        <f>IFERROR(INDEX(개인DB!C:C, MATCH($A50, 개인DB!B:B, 0)), "")</f>
        <v>갈등조정중재</v>
      </c>
      <c r="C50" s="203" t="str">
        <f>IFERROR(INDEX(개인DB!D:D, MATCH($A50, 개인DB!B:B, 0)), "")</f>
        <v>위원</v>
      </c>
      <c r="D50" s="203" t="s">
        <v>164</v>
      </c>
      <c r="E50" s="203" t="s">
        <v>288</v>
      </c>
      <c r="F50" s="302" t="s">
        <v>289</v>
      </c>
      <c r="G50" s="203" t="s">
        <v>290</v>
      </c>
      <c r="H50" s="303"/>
      <c r="I50" s="303"/>
      <c r="J50" s="304" t="str">
        <f t="shared" si="1"/>
        <v>PDF</v>
      </c>
      <c r="K50" s="305" t="str">
        <f>학력입력[[#This Row],[학력]]&amp;"_"&amp;학력입력[[#This Row],[학위]]&amp;"_"&amp;학력입력[[#This Row],[학교명]]&amp;"_"&amp;학력입력[[#This Row],[이름]]</f>
        <v>학사_간호학사_서울보건대학교(현 을지대학교)_김혜미</v>
      </c>
      <c r="L50" s="1" t="str">
        <f>A50 &amp; "_" &amp; "학력" &amp;"_" &amp; COUNTIFS($A$2:A50, A50)</f>
        <v>김혜미_학력_1</v>
      </c>
      <c r="M50" s="1" t="str">
        <f>E50 &amp; "_" &amp; "학력" &amp;"_" &amp; COUNTIFS($E$2:E50, E50)</f>
        <v>간호학사_학력_1</v>
      </c>
      <c r="N50" s="1" t="str">
        <f>D50 &amp; "_" &amp; "학력" &amp;"_" &amp; COUNTIFS($D$2:D50, D50)</f>
        <v>학사_학력_30</v>
      </c>
    </row>
    <row r="51" spans="1:14">
      <c r="A51" s="55" t="s">
        <v>21</v>
      </c>
      <c r="B51" s="203" t="str">
        <f>IFERROR(INDEX(개인DB!C:C, MATCH($A51, 개인DB!B:B, 0)), "")</f>
        <v>갈등조정중재</v>
      </c>
      <c r="C51" s="203" t="str">
        <f>IFERROR(INDEX(개인DB!D:D, MATCH($A51, 개인DB!B:B, 0)), "")</f>
        <v>위원</v>
      </c>
      <c r="D51" s="203" t="s">
        <v>162</v>
      </c>
      <c r="E51" s="203" t="s">
        <v>308</v>
      </c>
      <c r="F51" s="302" t="s">
        <v>309</v>
      </c>
      <c r="G51" s="203" t="s">
        <v>310</v>
      </c>
      <c r="H51" s="303" t="s">
        <v>311</v>
      </c>
      <c r="I51" s="303"/>
      <c r="J51" s="304" t="str">
        <f t="shared" si="1"/>
        <v>PDF</v>
      </c>
      <c r="K51" s="305" t="str">
        <f>학력입력[[#This Row],[학력]]&amp;"_"&amp;학력입력[[#This Row],[학위]]&amp;"_"&amp;학력입력[[#This Row],[학교명]]&amp;"_"&amp;학력입력[[#This Row],[이름]]</f>
        <v>석사_컨설팅학석사_한성대학교 지식서비스&amp;컨설팅대학원_신동명</v>
      </c>
      <c r="L51" s="1" t="str">
        <f>A51 &amp; "_" &amp; "학력" &amp;"_" &amp; COUNTIFS($A$2:A51, A51)</f>
        <v>신동명_학력_1</v>
      </c>
      <c r="M51" s="1" t="str">
        <f>E51 &amp; "_" &amp; "학력" &amp;"_" &amp; COUNTIFS($E$2:E51, E51)</f>
        <v>컨설팅학석사_학력_2</v>
      </c>
      <c r="N51" s="1" t="str">
        <f>D51 &amp; "_" &amp; "학력" &amp;"_" &amp; COUNTIFS($D$2:D51, D51)</f>
        <v>석사_학력_13</v>
      </c>
    </row>
    <row r="52" spans="1:14">
      <c r="A52" s="55" t="s">
        <v>21</v>
      </c>
      <c r="B52" s="203" t="str">
        <f>IFERROR(INDEX(개인DB!C:C, MATCH($A52, 개인DB!B:B, 0)), "")</f>
        <v>갈등조정중재</v>
      </c>
      <c r="C52" s="203" t="str">
        <f>IFERROR(INDEX(개인DB!D:D, MATCH($A52, 개인DB!B:B, 0)), "")</f>
        <v>위원</v>
      </c>
      <c r="D52" s="203" t="s">
        <v>164</v>
      </c>
      <c r="E52" s="203" t="s">
        <v>305</v>
      </c>
      <c r="F52" s="302" t="s">
        <v>312</v>
      </c>
      <c r="G52" s="203" t="s">
        <v>313</v>
      </c>
      <c r="H52" s="303" t="s">
        <v>314</v>
      </c>
      <c r="I52" s="303"/>
      <c r="J52" s="304" t="str">
        <f t="shared" si="1"/>
        <v>PDF</v>
      </c>
      <c r="K52" s="305" t="str">
        <f>학력입력[[#This Row],[학력]]&amp;"_"&amp;학력입력[[#This Row],[학위]]&amp;"_"&amp;학력입력[[#This Row],[학교명]]&amp;"_"&amp;학력입력[[#This Row],[이름]]</f>
        <v>학사_경제학사_성균관대학교_신동명</v>
      </c>
      <c r="L52" s="1" t="str">
        <f>A52 &amp; "_" &amp; "학력" &amp;"_" &amp; COUNTIFS($A$2:A52, A52)</f>
        <v>신동명_학력_2</v>
      </c>
      <c r="M52" s="1" t="str">
        <f>E52 &amp; "_" &amp; "학력" &amp;"_" &amp; COUNTIFS($E$2:E52, E52)</f>
        <v>경제학사_학력_4</v>
      </c>
      <c r="N52" s="1" t="str">
        <f>D52 &amp; "_" &amp; "학력" &amp;"_" &amp; COUNTIFS($D$2:D52, D52)</f>
        <v>학사_학력_31</v>
      </c>
    </row>
    <row r="53" spans="1:14">
      <c r="A53" s="55" t="s">
        <v>30</v>
      </c>
      <c r="B53" s="203" t="str">
        <f>IFERROR(INDEX(개인DB!C:C, MATCH($A53, 개인DB!B:B, 0)), "")</f>
        <v>갈등조정중재</v>
      </c>
      <c r="C53" s="203" t="str">
        <f>IFERROR(INDEX(개인DB!D:D, MATCH($A53, 개인DB!B:B, 0)), "")</f>
        <v>위원</v>
      </c>
      <c r="D53" s="203" t="s">
        <v>160</v>
      </c>
      <c r="E53" s="203" t="s">
        <v>322</v>
      </c>
      <c r="F53" s="302" t="s">
        <v>323</v>
      </c>
      <c r="G53" s="203"/>
      <c r="H53" s="303" t="s">
        <v>324</v>
      </c>
      <c r="I53" s="303"/>
      <c r="J53" s="304" t="str">
        <f t="shared" si="1"/>
        <v>PDF</v>
      </c>
      <c r="K53" s="305" t="str">
        <f>학력입력[[#This Row],[학력]]&amp;"_"&amp;학력입력[[#This Row],[학위]]&amp;"_"&amp;학력입력[[#This Row],[학교명]]&amp;"_"&amp;학력입력[[#This Row],[이름]]</f>
        <v>박사_동양철학박사_동방문화대학원대학교_정영대</v>
      </c>
      <c r="L53" s="1" t="str">
        <f>A53 &amp; "_" &amp; "학력" &amp;"_" &amp; COUNTIFS($A$2:A53, A53)</f>
        <v>정영대_학력_1</v>
      </c>
      <c r="M53" s="1" t="str">
        <f>E53 &amp; "_" &amp; "학력" &amp;"_" &amp; COUNTIFS($E$2:E53, E53)</f>
        <v>동양철학박사_학력_1</v>
      </c>
      <c r="N53" s="1" t="str">
        <f>D53 &amp; "_" &amp; "학력" &amp;"_" &amp; COUNTIFS($D$2:D53, D53)</f>
        <v>박사_학력_6</v>
      </c>
    </row>
    <row r="54" spans="1:14">
      <c r="A54" s="55" t="s">
        <v>30</v>
      </c>
      <c r="B54" s="203" t="str">
        <f>IFERROR(INDEX(개인DB!C:C, MATCH($A54, 개인DB!B:B, 0)), "")</f>
        <v>갈등조정중재</v>
      </c>
      <c r="C54" s="203" t="str">
        <f>IFERROR(INDEX(개인DB!D:D, MATCH($A54, 개인DB!B:B, 0)), "")</f>
        <v>위원</v>
      </c>
      <c r="D54" s="203" t="s">
        <v>162</v>
      </c>
      <c r="E54" s="203" t="s">
        <v>325</v>
      </c>
      <c r="F54" s="302" t="s">
        <v>326</v>
      </c>
      <c r="G54" s="203" t="s">
        <v>327</v>
      </c>
      <c r="H54" s="303" t="s">
        <v>328</v>
      </c>
      <c r="I54" s="303"/>
      <c r="J54" s="304" t="str">
        <f t="shared" si="1"/>
        <v>PDF</v>
      </c>
      <c r="K54" s="305" t="str">
        <f>학력입력[[#This Row],[학력]]&amp;"_"&amp;학력입력[[#This Row],[학위]]&amp;"_"&amp;학력입력[[#This Row],[학교명]]&amp;"_"&amp;학력입력[[#This Row],[이름]]</f>
        <v>석사_신학석사_한신대학교 신학대학원_정영대</v>
      </c>
      <c r="L54" s="1" t="str">
        <f>A54 &amp; "_" &amp; "학력" &amp;"_" &amp; COUNTIFS($A$2:A54, A54)</f>
        <v>정영대_학력_2</v>
      </c>
      <c r="M54" s="1" t="str">
        <f>E54 &amp; "_" &amp; "학력" &amp;"_" &amp; COUNTIFS($E$2:E54, E54)</f>
        <v>신학석사_학력_1</v>
      </c>
      <c r="N54" s="1" t="str">
        <f>D54 &amp; "_" &amp; "학력" &amp;"_" &amp; COUNTIFS($D$2:D54, D54)</f>
        <v>석사_학력_14</v>
      </c>
    </row>
    <row r="55" spans="1:14">
      <c r="A55" s="55" t="s">
        <v>30</v>
      </c>
      <c r="B55" s="203" t="str">
        <f>IFERROR(INDEX(개인DB!C:C, MATCH($A55, 개인DB!B:B, 0)), "")</f>
        <v>갈등조정중재</v>
      </c>
      <c r="C55" s="203" t="str">
        <f>IFERROR(INDEX(개인DB!D:D, MATCH($A55, 개인DB!B:B, 0)), "")</f>
        <v>위원</v>
      </c>
      <c r="D55" s="203" t="s">
        <v>164</v>
      </c>
      <c r="E55" s="203" t="s">
        <v>329</v>
      </c>
      <c r="F55" s="302" t="s">
        <v>330</v>
      </c>
      <c r="G55" s="203" t="s">
        <v>327</v>
      </c>
      <c r="H55" s="303"/>
      <c r="I55" s="303"/>
      <c r="J55" s="304" t="str">
        <f t="shared" si="1"/>
        <v>PDF</v>
      </c>
      <c r="K55" s="305" t="str">
        <f>학력입력[[#This Row],[학력]]&amp;"_"&amp;학력입력[[#This Row],[학위]]&amp;"_"&amp;학력입력[[#This Row],[학교명]]&amp;"_"&amp;학력입력[[#This Row],[이름]]</f>
        <v>학사_신학사_한신대학교 신학대학_정영대</v>
      </c>
      <c r="L55" s="1" t="str">
        <f>A55 &amp; "_" &amp; "학력" &amp;"_" &amp; COUNTIFS($A$2:A55, A55)</f>
        <v>정영대_학력_3</v>
      </c>
      <c r="M55" s="1" t="str">
        <f>E55 &amp; "_" &amp; "학력" &amp;"_" &amp; COUNTIFS($E$2:E55, E55)</f>
        <v>신학사_학력_1</v>
      </c>
      <c r="N55" s="1" t="str">
        <f>D55 &amp; "_" &amp; "학력" &amp;"_" &amp; COUNTIFS($D$2:D55, D55)</f>
        <v>학사_학력_32</v>
      </c>
    </row>
    <row r="56" spans="1:14">
      <c r="A56" s="55" t="s">
        <v>31</v>
      </c>
      <c r="B56" s="203" t="str">
        <f>IFERROR(INDEX(개인DB!C:C, MATCH($A56, 개인DB!B:B, 0)), "")</f>
        <v>학술사업</v>
      </c>
      <c r="C56" s="203" t="str">
        <f>IFERROR(INDEX(개인DB!D:D, MATCH($A56, 개인DB!B:B, 0)), "")</f>
        <v>위원</v>
      </c>
      <c r="D56" s="203" t="s">
        <v>162</v>
      </c>
      <c r="E56" s="203" t="s">
        <v>195</v>
      </c>
      <c r="F56" s="302" t="s">
        <v>340</v>
      </c>
      <c r="G56" s="203" t="s">
        <v>352</v>
      </c>
      <c r="H56" s="303" t="s">
        <v>353</v>
      </c>
      <c r="I56" s="303"/>
      <c r="J56" s="304" t="str">
        <f t="shared" si="1"/>
        <v>PDF</v>
      </c>
      <c r="K56" s="305" t="str">
        <f>학력입력[[#This Row],[학력]]&amp;"_"&amp;학력입력[[#This Row],[학위]]&amp;"_"&amp;학력입력[[#This Row],[학교명]]&amp;"_"&amp;학력입력[[#This Row],[이름]]</f>
        <v>석사_공학석사_서울대학교 대학원_정재훈</v>
      </c>
      <c r="L56" s="1" t="str">
        <f>A56 &amp; "_" &amp; "학력" &amp;"_" &amp; COUNTIFS($A$2:A56, A56)</f>
        <v>정재훈_학력_1</v>
      </c>
      <c r="M56" s="1" t="str">
        <f>E56 &amp; "_" &amp; "학력" &amp;"_" &amp; COUNTIFS($E$2:E56, E56)</f>
        <v>공학석사_학력_5</v>
      </c>
      <c r="N56" s="1" t="str">
        <f>D56 &amp; "_" &amp; "학력" &amp;"_" &amp; COUNTIFS($D$2:D56, D56)</f>
        <v>석사_학력_15</v>
      </c>
    </row>
    <row r="57" spans="1:14">
      <c r="A57" s="55" t="s">
        <v>31</v>
      </c>
      <c r="B57" s="203" t="str">
        <f>IFERROR(INDEX(개인DB!C:C, MATCH($A57, 개인DB!B:B, 0)), "")</f>
        <v>학술사업</v>
      </c>
      <c r="C57" s="203" t="str">
        <f>IFERROR(INDEX(개인DB!D:D, MATCH($A57, 개인DB!B:B, 0)), "")</f>
        <v>위원</v>
      </c>
      <c r="D57" s="203" t="s">
        <v>164</v>
      </c>
      <c r="E57" s="203" t="s">
        <v>165</v>
      </c>
      <c r="F57" s="302" t="s">
        <v>343</v>
      </c>
      <c r="G57" s="203" t="s">
        <v>352</v>
      </c>
      <c r="H57" s="303"/>
      <c r="I57" s="303"/>
      <c r="J57" s="304" t="str">
        <f t="shared" ref="J57:J66" si="2">HYPERLINK("학력, 자격증-excel 연동 파일\" &amp; A57 &amp; "\학력\" &amp; D57 &amp; "_" &amp; E57&amp; "_" &amp; F57&amp; "_" &amp; A57 &amp; ".pdf", "PDF")</f>
        <v>PDF</v>
      </c>
      <c r="K57" s="305" t="str">
        <f>학력입력[[#This Row],[학력]]&amp;"_"&amp;학력입력[[#This Row],[학위]]&amp;"_"&amp;학력입력[[#This Row],[학교명]]&amp;"_"&amp;학력입력[[#This Row],[이름]]</f>
        <v>학사_공학사_서울대학교 공과대학_정재훈</v>
      </c>
      <c r="L57" s="1" t="str">
        <f>A57 &amp; "_" &amp; "학력" &amp;"_" &amp; COUNTIFS($A$2:A57, A57)</f>
        <v>정재훈_학력_2</v>
      </c>
      <c r="M57" s="1" t="str">
        <f>E57 &amp; "_" &amp; "학력" &amp;"_" &amp; COUNTIFS($E$2:E57, E57)</f>
        <v>공학사_학력_13</v>
      </c>
      <c r="N57" s="1" t="str">
        <f>D57 &amp; "_" &amp; "학력" &amp;"_" &amp; COUNTIFS($D$2:D57, D57)</f>
        <v>학사_학력_33</v>
      </c>
    </row>
    <row r="58" spans="1:14">
      <c r="A58" s="55" t="s">
        <v>32</v>
      </c>
      <c r="B58" s="203" t="str">
        <f>IFERROR(INDEX(개인DB!C:C, MATCH($A58, 개인DB!B:B, 0)), "")</f>
        <v>학술사업</v>
      </c>
      <c r="C58" s="203" t="str">
        <f>IFERROR(INDEX(개인DB!D:D, MATCH($A58, 개인DB!B:B, 0)), "")</f>
        <v>위원</v>
      </c>
      <c r="D58" s="203" t="s">
        <v>162</v>
      </c>
      <c r="E58" s="203" t="s">
        <v>325</v>
      </c>
      <c r="F58" s="302" t="s">
        <v>354</v>
      </c>
      <c r="G58" s="203" t="s">
        <v>327</v>
      </c>
      <c r="H58" s="303" t="s">
        <v>355</v>
      </c>
      <c r="I58" s="303"/>
      <c r="J58" s="304" t="str">
        <f t="shared" si="2"/>
        <v>PDF</v>
      </c>
      <c r="K58" s="305" t="str">
        <f>학력입력[[#This Row],[학력]]&amp;"_"&amp;학력입력[[#This Row],[학위]]&amp;"_"&amp;학력입력[[#This Row],[학교명]]&amp;"_"&amp;학력입력[[#This Row],[이름]]</f>
        <v>석사_신학석사_한신대학교 대학원_조형찬</v>
      </c>
      <c r="L58" s="1" t="str">
        <f>A58 &amp; "_" &amp; "학력" &amp;"_" &amp; COUNTIFS($A$2:A58, A58)</f>
        <v>조형찬_학력_1</v>
      </c>
      <c r="M58" s="1" t="str">
        <f>E58 &amp; "_" &amp; "학력" &amp;"_" &amp; COUNTIFS($E$2:E58, E58)</f>
        <v>신학석사_학력_2</v>
      </c>
      <c r="N58" s="1" t="str">
        <f>D58 &amp; "_" &amp; "학력" &amp;"_" &amp; COUNTIFS($D$2:D58, D58)</f>
        <v>석사_학력_16</v>
      </c>
    </row>
    <row r="59" spans="1:14">
      <c r="A59" s="55" t="s">
        <v>32</v>
      </c>
      <c r="B59" s="203" t="str">
        <f>IFERROR(INDEX(개인DB!C:C, MATCH($A59, 개인DB!B:B, 0)), "")</f>
        <v>학술사업</v>
      </c>
      <c r="C59" s="203" t="str">
        <f>IFERROR(INDEX(개인DB!D:D, MATCH($A59, 개인DB!B:B, 0)), "")</f>
        <v>위원</v>
      </c>
      <c r="D59" s="203" t="s">
        <v>164</v>
      </c>
      <c r="E59" s="203" t="s">
        <v>329</v>
      </c>
      <c r="F59" s="302" t="s">
        <v>330</v>
      </c>
      <c r="G59" s="203" t="s">
        <v>327</v>
      </c>
      <c r="H59" s="303" t="s">
        <v>356</v>
      </c>
      <c r="I59" s="303"/>
      <c r="J59" s="304" t="str">
        <f t="shared" si="2"/>
        <v>PDF</v>
      </c>
      <c r="K59" s="305" t="str">
        <f>학력입력[[#This Row],[학력]]&amp;"_"&amp;학력입력[[#This Row],[학위]]&amp;"_"&amp;학력입력[[#This Row],[학교명]]&amp;"_"&amp;학력입력[[#This Row],[이름]]</f>
        <v>학사_신학사_한신대학교 신학대학_조형찬</v>
      </c>
      <c r="L59" s="1" t="str">
        <f>A59 &amp; "_" &amp; "학력" &amp;"_" &amp; COUNTIFS($A$2:A59, A59)</f>
        <v>조형찬_학력_2</v>
      </c>
      <c r="M59" s="1" t="str">
        <f>E59 &amp; "_" &amp; "학력" &amp;"_" &amp; COUNTIFS($E$2:E59, E59)</f>
        <v>신학사_학력_2</v>
      </c>
      <c r="N59" s="1" t="str">
        <f>D59 &amp; "_" &amp; "학력" &amp;"_" &amp; COUNTIFS($D$2:D59, D59)</f>
        <v>학사_학력_34</v>
      </c>
    </row>
    <row r="60" spans="1:14">
      <c r="A60" s="55" t="s">
        <v>675</v>
      </c>
      <c r="B60" s="203" t="str">
        <f>IFERROR(INDEX(개인DB!C:C, MATCH($A60, 개인DB!B:B, 0)), "")</f>
        <v>경영기획</v>
      </c>
      <c r="C60" s="203" t="str">
        <f>IFERROR(INDEX(개인DB!D:D, MATCH($A60, 개인DB!B:B, 0)), "")</f>
        <v>사원</v>
      </c>
      <c r="D60" s="203" t="s">
        <v>456</v>
      </c>
      <c r="E60" s="368" t="s">
        <v>677</v>
      </c>
      <c r="F60" s="369" t="s">
        <v>678</v>
      </c>
      <c r="G60" s="368" t="s">
        <v>679</v>
      </c>
      <c r="H60" s="303"/>
      <c r="I60" s="303"/>
      <c r="J60" s="304" t="str">
        <f t="shared" si="2"/>
        <v>PDF</v>
      </c>
      <c r="K60" s="305" t="str">
        <f>학력입력[[#This Row],[학력]]&amp;"_"&amp;학력입력[[#This Row],[학위]]&amp;"_"&amp;학력입력[[#This Row],[학교명]]&amp;"_"&amp;학력입력[[#This Row],[이름]]</f>
        <v>고졸_고졸_성보경영고등학교_김나경</v>
      </c>
      <c r="L60" s="1" t="str">
        <f>A60 &amp; "_" &amp; "학력" &amp;"_" &amp; COUNTIFS($A$2:A60, A60)</f>
        <v>김나경_학력_1</v>
      </c>
      <c r="M60" s="1" t="str">
        <f>E60 &amp; "_" &amp; "학력" &amp;"_" &amp; COUNTIFS($E$2:E60, E60)</f>
        <v>고졸_학력_2</v>
      </c>
      <c r="N60" s="1" t="str">
        <f>D60 &amp; "_" &amp; "학력" &amp;"_" &amp; COUNTIFS($D$2:D60, D60)</f>
        <v>고졸_학력_2</v>
      </c>
    </row>
    <row r="61" spans="1:14">
      <c r="A61" s="55"/>
      <c r="B61" s="203"/>
      <c r="C61" s="203"/>
      <c r="D61" s="203"/>
      <c r="E61" s="203"/>
      <c r="F61" s="302"/>
      <c r="G61" s="203"/>
      <c r="H61" s="303"/>
      <c r="I61" s="303"/>
      <c r="J61" s="304" t="str">
        <f t="shared" si="2"/>
        <v>PDF</v>
      </c>
      <c r="K61" s="305" t="str">
        <f>학력입력[[#This Row],[학력]]&amp;"_"&amp;학력입력[[#This Row],[학위]]&amp;"_"&amp;학력입력[[#This Row],[학교명]]&amp;"_"&amp;학력입력[[#This Row],[이름]]</f>
        <v>___</v>
      </c>
      <c r="L61" s="1" t="str">
        <f>A61 &amp; "_" &amp; "학력" &amp;"_" &amp; COUNTIFS($A$2:A61, A61)</f>
        <v>_학력_0</v>
      </c>
      <c r="M61" s="1" t="str">
        <f>E61 &amp; "_" &amp; "학력" &amp;"_" &amp; COUNTIFS($E$2:E61, E61)</f>
        <v>_학력_0</v>
      </c>
      <c r="N61" s="1" t="str">
        <f>D61 &amp; "_" &amp; "학력" &amp;"_" &amp; COUNTIFS($D$2:D61, D61)</f>
        <v>_학력_0</v>
      </c>
    </row>
    <row r="62" spans="1:14">
      <c r="A62" s="55"/>
      <c r="B62" s="203"/>
      <c r="C62" s="203"/>
      <c r="D62" s="203"/>
      <c r="E62" s="203"/>
      <c r="F62" s="302"/>
      <c r="G62" s="203"/>
      <c r="H62" s="303"/>
      <c r="I62" s="303"/>
      <c r="J62" s="304" t="str">
        <f t="shared" si="2"/>
        <v>PDF</v>
      </c>
      <c r="K62" s="305" t="str">
        <f>학력입력[[#This Row],[학력]]&amp;"_"&amp;학력입력[[#This Row],[학위]]&amp;"_"&amp;학력입력[[#This Row],[학교명]]&amp;"_"&amp;학력입력[[#This Row],[이름]]</f>
        <v>___</v>
      </c>
      <c r="L62" s="1" t="str">
        <f>A62 &amp; "_" &amp; "학력" &amp;"_" &amp; COUNTIFS($A$2:A62, A62)</f>
        <v>_학력_0</v>
      </c>
      <c r="M62" s="1" t="str">
        <f>E62 &amp; "_" &amp; "학력" &amp;"_" &amp; COUNTIFS($E$2:E62, E62)</f>
        <v>_학력_0</v>
      </c>
      <c r="N62" s="1" t="str">
        <f>D62 &amp; "_" &amp; "학력" &amp;"_" &amp; COUNTIFS($D$2:D62, D62)</f>
        <v>_학력_0</v>
      </c>
    </row>
    <row r="63" spans="1:14">
      <c r="A63" s="55"/>
      <c r="B63" s="203"/>
      <c r="C63" s="203"/>
      <c r="D63" s="203"/>
      <c r="E63" s="203"/>
      <c r="F63" s="302"/>
      <c r="G63" s="203"/>
      <c r="H63" s="303"/>
      <c r="I63" s="303"/>
      <c r="J63" s="304" t="str">
        <f t="shared" si="2"/>
        <v>PDF</v>
      </c>
      <c r="K63" s="305" t="str">
        <f>학력입력[[#This Row],[학력]]&amp;"_"&amp;학력입력[[#This Row],[학위]]&amp;"_"&amp;학력입력[[#This Row],[학교명]]&amp;"_"&amp;학력입력[[#This Row],[이름]]</f>
        <v>___</v>
      </c>
      <c r="L63" s="1" t="str">
        <f>A63 &amp; "_" &amp; "학력" &amp;"_" &amp; COUNTIFS($A$2:A63, A63)</f>
        <v>_학력_0</v>
      </c>
      <c r="M63" s="1" t="str">
        <f>E63 &amp; "_" &amp; "학력" &amp;"_" &amp; COUNTIFS($E$2:E63, E63)</f>
        <v>_학력_0</v>
      </c>
      <c r="N63" s="1" t="str">
        <f>D63 &amp; "_" &amp; "학력" &amp;"_" &amp; COUNTIFS($D$2:D63, D63)</f>
        <v>_학력_0</v>
      </c>
    </row>
    <row r="64" spans="1:14">
      <c r="A64" s="55"/>
      <c r="B64" s="203"/>
      <c r="C64" s="203"/>
      <c r="D64" s="203"/>
      <c r="E64" s="203"/>
      <c r="F64" s="302"/>
      <c r="G64" s="203"/>
      <c r="H64" s="303"/>
      <c r="I64" s="303"/>
      <c r="J64" s="304" t="str">
        <f t="shared" si="2"/>
        <v>PDF</v>
      </c>
      <c r="K64" s="305" t="str">
        <f>학력입력[[#This Row],[학력]]&amp;"_"&amp;학력입력[[#This Row],[학위]]&amp;"_"&amp;학력입력[[#This Row],[학교명]]&amp;"_"&amp;학력입력[[#This Row],[이름]]</f>
        <v>___</v>
      </c>
      <c r="L64" s="1" t="str">
        <f>A64 &amp; "_" &amp; "학력" &amp;"_" &amp; COUNTIFS($A$2:A64, A64)</f>
        <v>_학력_0</v>
      </c>
      <c r="M64" s="1" t="str">
        <f>E64 &amp; "_" &amp; "학력" &amp;"_" &amp; COUNTIFS($E$2:E64, E64)</f>
        <v>_학력_0</v>
      </c>
      <c r="N64" s="1" t="str">
        <f>D64 &amp; "_" &amp; "학력" &amp;"_" &amp; COUNTIFS($D$2:D64, D64)</f>
        <v>_학력_0</v>
      </c>
    </row>
    <row r="65" spans="1:11">
      <c r="A65" s="55"/>
      <c r="B65" s="203"/>
      <c r="C65" s="203"/>
      <c r="D65" s="203"/>
      <c r="E65" s="203"/>
      <c r="F65" s="302"/>
      <c r="G65" s="203"/>
      <c r="H65" s="303"/>
      <c r="I65" s="303"/>
      <c r="J65" s="304" t="str">
        <f t="shared" si="2"/>
        <v>PDF</v>
      </c>
      <c r="K65" s="305" t="str">
        <f>학력입력[[#This Row],[학력]]&amp;"_"&amp;학력입력[[#This Row],[학위]]&amp;"_"&amp;학력입력[[#This Row],[학교명]]&amp;"_"&amp;학력입력[[#This Row],[이름]]</f>
        <v>___</v>
      </c>
    </row>
    <row r="66" spans="1:11">
      <c r="A66" s="55"/>
      <c r="B66" s="203" t="str">
        <f>IFERROR(INDEX(개인DB!C:C, MATCH($A66, 개인DB!B:B, 0)), "")</f>
        <v/>
      </c>
      <c r="C66" s="203" t="str">
        <f>IFERROR(INDEX(개인DB!D:D, MATCH($A66, 개인DB!B:B, 0)), "")</f>
        <v/>
      </c>
      <c r="D66" s="203"/>
      <c r="E66" s="203"/>
      <c r="F66" s="302"/>
      <c r="G66" s="203"/>
      <c r="H66" s="303"/>
      <c r="I66" s="303"/>
      <c r="J66" s="304" t="str">
        <f t="shared" si="2"/>
        <v>PDF</v>
      </c>
      <c r="K66" s="305" t="str">
        <f>학력입력[[#This Row],[학력]]&amp;"_"&amp;학력입력[[#This Row],[학위]]&amp;"_"&amp;학력입력[[#This Row],[학교명]]&amp;"_"&amp;학력입력[[#This Row],[이름]]</f>
        <v>___</v>
      </c>
    </row>
  </sheetData>
  <sortState xmlns:xlrd2="http://schemas.microsoft.com/office/spreadsheetml/2017/richdata2" ref="A2:K65">
    <sortCondition ref="B1" customList="원장,부원장,건설사업,원가분석,학술연구,품질관리,갈등조정중재,경영기획"/>
  </sortState>
  <phoneticPr fontId="1" type="noConversion"/>
  <conditionalFormatting sqref="D1">
    <cfRule type="expression" dxfId="8" priority="1">
      <formula>AND(D1&lt; TODAY(), D1&lt;&gt;"")</formula>
    </cfRule>
  </conditionalFormatting>
  <dataValidations disablePrompts="1" count="1">
    <dataValidation type="list" allowBlank="1" showInputMessage="1" showErrorMessage="1" sqref="D2:D39 D41:D1048576" xr:uid="{4D18E9DE-89AD-4CBF-A84E-A26BB47015D5}">
      <formula1>"학사,석사,박사,고졸"</formula1>
    </dataValidation>
  </dataValidations>
  <pageMargins left="0" right="0" top="0" bottom="0" header="0" footer="0"/>
  <pageSetup paperSize="8" scale="78" fitToWidth="0" orientation="landscape" r:id="rId1"/>
  <rowBreaks count="1" manualBreakCount="1">
    <brk id="64" max="20" man="1"/>
  </row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EA7F0-FE5F-4D87-97D9-4BA8F3A4F02A}">
  <sheetPr codeName="Sheet6">
    <tabColor theme="3" tint="0.749992370372631"/>
    <pageSetUpPr fitToPage="1"/>
  </sheetPr>
  <dimension ref="A1:T291"/>
  <sheetViews>
    <sheetView zoomScaleNormal="100" zoomScaleSheetLayoutView="115" workbookViewId="0">
      <selection activeCell="F30" sqref="F30"/>
    </sheetView>
  </sheetViews>
  <sheetFormatPr defaultColWidth="8.625" defaultRowHeight="16.5"/>
  <cols>
    <col min="1" max="1" width="17.25" style="192" bestFit="1" customWidth="1"/>
    <col min="2" max="2" width="5.5" style="77" bestFit="1" customWidth="1"/>
    <col min="3" max="3" width="3.5" style="77" customWidth="1"/>
    <col min="4" max="4" width="7.75" style="77" customWidth="1"/>
    <col min="5" max="5" width="9.625" style="77" customWidth="1"/>
    <col min="6" max="6" width="7.5" style="77" customWidth="1"/>
    <col min="7" max="7" width="3.25" style="77" customWidth="1"/>
    <col min="8" max="10" width="8.625" style="77"/>
    <col min="11" max="11" width="2.25" style="77" customWidth="1"/>
    <col min="12" max="16" width="8.625" style="77"/>
    <col min="17" max="17" width="9.75" style="77" customWidth="1"/>
    <col min="18" max="18" width="8.625" style="77"/>
    <col min="19" max="19" width="9.875" style="77" customWidth="1"/>
    <col min="20" max="20" width="6.25" style="77" customWidth="1"/>
    <col min="21" max="16384" width="8.625" style="77"/>
  </cols>
  <sheetData>
    <row r="1" spans="1:20" ht="24" customHeight="1">
      <c r="A1" s="428" t="s">
        <v>460</v>
      </c>
      <c r="B1" s="429"/>
      <c r="D1" s="189" t="s">
        <v>461</v>
      </c>
      <c r="E1" s="188"/>
      <c r="F1" s="190"/>
      <c r="G1" s="191"/>
      <c r="H1" s="189" t="s">
        <v>461</v>
      </c>
      <c r="I1" s="188"/>
      <c r="J1" s="190"/>
      <c r="L1" s="189" t="s">
        <v>461</v>
      </c>
      <c r="M1" s="188"/>
      <c r="N1" s="190"/>
      <c r="P1" s="428" t="s">
        <v>655</v>
      </c>
      <c r="Q1" s="429"/>
      <c r="R1" s="431"/>
    </row>
    <row r="2" spans="1:20" ht="12" customHeight="1" thickBot="1">
      <c r="G2" s="191"/>
    </row>
    <row r="3" spans="1:20" ht="17.25" thickBot="1">
      <c r="A3" s="378" t="s">
        <v>457</v>
      </c>
      <c r="B3" s="379" t="s">
        <v>422</v>
      </c>
      <c r="D3" s="193" t="s">
        <v>196</v>
      </c>
      <c r="E3" s="194" t="str" cm="1">
        <f t="array" ref="E3:E6">_xlfn._xlws.FILTER(A:A, ISNUMBER(SEARCH("박사", A:A)), "")</f>
        <v>박사</v>
      </c>
      <c r="F3" s="193" t="s">
        <v>200</v>
      </c>
      <c r="G3" s="76"/>
      <c r="H3" s="193" t="s">
        <v>196</v>
      </c>
      <c r="I3" s="194" t="str" cm="1">
        <f t="array" ref="I3:I9">_xlfn._xlws.FILTER(A:A, ISNUMBER(SEARCH("석사", A:A)), "")</f>
        <v>석사</v>
      </c>
      <c r="J3" s="193" t="s">
        <v>200</v>
      </c>
      <c r="L3" s="193" t="s">
        <v>196</v>
      </c>
      <c r="M3" s="194" t="str" cm="1">
        <f t="array" ref="M3:M17">_xlfn._xlws.FILTER(A:A, ISNUMBER(SEARCH("학사", A:A)), "")</f>
        <v>학사</v>
      </c>
      <c r="N3" s="193" t="s">
        <v>200</v>
      </c>
      <c r="P3" s="193" t="s">
        <v>196</v>
      </c>
      <c r="Q3" s="193" t="s">
        <v>193</v>
      </c>
      <c r="R3" s="193" t="s">
        <v>200</v>
      </c>
      <c r="T3" s="191" t="s">
        <v>664</v>
      </c>
    </row>
    <row r="4" spans="1:20" ht="17.25" thickBot="1">
      <c r="A4" s="380" t="s">
        <v>160</v>
      </c>
      <c r="B4" s="379">
        <v>6</v>
      </c>
      <c r="D4" s="196" t="str">
        <f>"박사("&amp;GETPIVOTDATA("이름",$A$3,"학력","박사")&amp;")"</f>
        <v>박사(6)</v>
      </c>
      <c r="E4" s="196" t="str">
        <v>공학박사</v>
      </c>
      <c r="F4" s="196">
        <f>IFERROR(INDEX($B:$B, MATCH(E4, $A:$A, 0)), "")</f>
        <v>3</v>
      </c>
      <c r="G4" s="76"/>
      <c r="H4" s="196" t="str">
        <f>"석사("&amp;GETPIVOTDATA("이름",$A$3,"학력","석사")&amp;")"</f>
        <v>석사(16)</v>
      </c>
      <c r="I4" s="196" t="str">
        <v>경영학석사</v>
      </c>
      <c r="J4" s="196">
        <f>IFERROR(INDEX($B:$B, MATCH(I4, $A:$A, 0)), "")</f>
        <v>5</v>
      </c>
      <c r="L4" s="196" t="str">
        <f>"학사("&amp;GETPIVOTDATA("이름",$A$3,"학력","학사")&amp;")"</f>
        <v>학사(34)</v>
      </c>
      <c r="M4" s="196" t="str">
        <v>간호학사</v>
      </c>
      <c r="N4" s="196">
        <f>IFERROR(INDEX($B:$B, MATCH(M4, $A:$A, 0)), "")</f>
        <v>1</v>
      </c>
      <c r="P4" s="432" t="s">
        <v>598</v>
      </c>
      <c r="Q4" s="196" t="s">
        <v>187</v>
      </c>
      <c r="R4" s="196">
        <v>3</v>
      </c>
      <c r="T4" s="77" t="s">
        <v>672</v>
      </c>
    </row>
    <row r="5" spans="1:20" ht="17.25" thickBot="1">
      <c r="A5" s="379" t="s">
        <v>187</v>
      </c>
      <c r="B5" s="379">
        <v>3</v>
      </c>
      <c r="D5" s="196"/>
      <c r="E5" s="196" t="str">
        <v>동양철학박사</v>
      </c>
      <c r="F5" s="196">
        <f t="shared" ref="F5:F10" si="0">IFERROR(INDEX(B:B, MATCH(E5, A:A, 0)), "")</f>
        <v>1</v>
      </c>
      <c r="G5" s="76"/>
      <c r="H5" s="196"/>
      <c r="I5" s="196" t="str">
        <v>공학석사</v>
      </c>
      <c r="J5" s="196">
        <f t="shared" ref="J5:J15" si="1">IFERROR(INDEX($B:$B, MATCH(I5, $A:$A, 0)), "")</f>
        <v>5</v>
      </c>
      <c r="L5" s="196"/>
      <c r="M5" s="196" t="str">
        <v>건축학사</v>
      </c>
      <c r="N5" s="196">
        <f t="shared" ref="N5:N20" si="2">IFERROR(INDEX($B:$B, MATCH(M5, $A:$A, 0)), "")</f>
        <v>1</v>
      </c>
      <c r="P5" s="433"/>
      <c r="Q5" s="196" t="s">
        <v>167</v>
      </c>
      <c r="R5" s="196">
        <v>2</v>
      </c>
      <c r="T5" s="77" t="s">
        <v>670</v>
      </c>
    </row>
    <row r="6" spans="1:20" ht="17.25" thickBot="1">
      <c r="A6" s="379" t="s">
        <v>534</v>
      </c>
      <c r="B6" s="379">
        <v>1</v>
      </c>
      <c r="D6" s="196"/>
      <c r="E6" s="196" t="str">
        <v>이학박사</v>
      </c>
      <c r="F6" s="196">
        <f t="shared" si="0"/>
        <v>2</v>
      </c>
      <c r="G6" s="76"/>
      <c r="H6" s="196"/>
      <c r="I6" s="196" t="str">
        <v>법학석사</v>
      </c>
      <c r="J6" s="196">
        <f t="shared" si="1"/>
        <v>1</v>
      </c>
      <c r="L6" s="196"/>
      <c r="M6" s="196" t="str">
        <v>경영학사</v>
      </c>
      <c r="N6" s="196">
        <f t="shared" si="2"/>
        <v>6</v>
      </c>
      <c r="P6" s="434"/>
      <c r="Q6" s="196" t="s">
        <v>426</v>
      </c>
      <c r="R6" s="196">
        <v>1</v>
      </c>
      <c r="T6" s="77" t="s">
        <v>665</v>
      </c>
    </row>
    <row r="7" spans="1:20" ht="17.25" thickBot="1">
      <c r="A7" s="76" t="s">
        <v>535</v>
      </c>
      <c r="B7" s="379">
        <v>1</v>
      </c>
      <c r="D7" s="196"/>
      <c r="E7" s="196"/>
      <c r="F7" s="196" t="str">
        <f t="shared" si="0"/>
        <v/>
      </c>
      <c r="H7" s="196"/>
      <c r="I7" s="196" t="str">
        <v>신학석사</v>
      </c>
      <c r="J7" s="196">
        <f t="shared" si="1"/>
        <v>2</v>
      </c>
      <c r="L7" s="196"/>
      <c r="M7" s="196" t="str">
        <v>경제학사</v>
      </c>
      <c r="N7" s="196">
        <f t="shared" si="2"/>
        <v>4</v>
      </c>
      <c r="P7" s="432" t="s">
        <v>608</v>
      </c>
      <c r="Q7" s="196" t="s">
        <v>171</v>
      </c>
      <c r="R7" s="196">
        <v>5</v>
      </c>
    </row>
    <row r="8" spans="1:20" ht="23.25" thickBot="1">
      <c r="A8" s="76" t="s">
        <v>536</v>
      </c>
      <c r="B8" s="379">
        <v>1</v>
      </c>
      <c r="D8" s="196"/>
      <c r="E8" s="196"/>
      <c r="F8" s="196" t="str">
        <f t="shared" si="0"/>
        <v/>
      </c>
      <c r="H8" s="196"/>
      <c r="I8" s="196" t="str">
        <v>컨설팅학석사</v>
      </c>
      <c r="J8" s="196">
        <f t="shared" si="1"/>
        <v>2</v>
      </c>
      <c r="L8" s="196"/>
      <c r="M8" s="196" t="str">
        <v>공학사</v>
      </c>
      <c r="N8" s="196">
        <f t="shared" si="2"/>
        <v>13</v>
      </c>
      <c r="P8" s="433"/>
      <c r="Q8" s="196" t="s">
        <v>188</v>
      </c>
      <c r="R8" s="196">
        <v>5</v>
      </c>
      <c r="T8" s="191" t="s">
        <v>671</v>
      </c>
    </row>
    <row r="9" spans="1:20" ht="17.25" thickBot="1">
      <c r="A9" s="76" t="s">
        <v>426</v>
      </c>
      <c r="B9" s="379">
        <v>1</v>
      </c>
      <c r="D9" s="196"/>
      <c r="E9" s="196"/>
      <c r="F9" s="196" t="str">
        <f t="shared" si="0"/>
        <v/>
      </c>
      <c r="H9" s="196"/>
      <c r="I9" s="196" t="str">
        <v>행정학석사</v>
      </c>
      <c r="J9" s="196">
        <f t="shared" si="1"/>
        <v>1</v>
      </c>
      <c r="L9" s="196"/>
      <c r="M9" s="196" t="str">
        <v>농학사</v>
      </c>
      <c r="N9" s="196">
        <f t="shared" si="2"/>
        <v>2</v>
      </c>
      <c r="P9" s="433"/>
      <c r="Q9" s="196" t="s">
        <v>423</v>
      </c>
      <c r="R9" s="196">
        <v>2</v>
      </c>
      <c r="T9" s="77" t="s">
        <v>663</v>
      </c>
    </row>
    <row r="10" spans="1:20" ht="17.25" thickBot="1">
      <c r="A10" s="379" t="s">
        <v>537</v>
      </c>
      <c r="B10" s="379">
        <v>1</v>
      </c>
      <c r="D10" s="196"/>
      <c r="E10" s="196"/>
      <c r="F10" s="196" t="str">
        <f t="shared" si="0"/>
        <v/>
      </c>
      <c r="H10" s="196"/>
      <c r="I10" s="196"/>
      <c r="J10" s="196" t="str">
        <f t="shared" si="1"/>
        <v/>
      </c>
      <c r="L10" s="196"/>
      <c r="M10" s="196" t="str">
        <v>문학사</v>
      </c>
      <c r="N10" s="196">
        <f t="shared" si="2"/>
        <v>1</v>
      </c>
      <c r="P10" s="433"/>
      <c r="Q10" s="196" t="s">
        <v>425</v>
      </c>
      <c r="R10" s="196">
        <v>1</v>
      </c>
      <c r="T10" s="77" t="s">
        <v>666</v>
      </c>
    </row>
    <row r="11" spans="1:20" ht="23.25" thickBot="1">
      <c r="A11" s="76" t="s">
        <v>167</v>
      </c>
      <c r="B11" s="379">
        <v>2</v>
      </c>
      <c r="H11" s="196"/>
      <c r="I11" s="196"/>
      <c r="J11" s="196" t="str">
        <f t="shared" si="1"/>
        <v/>
      </c>
      <c r="L11" s="196"/>
      <c r="M11" s="196" t="str">
        <v>보건행정학사</v>
      </c>
      <c r="N11" s="196">
        <f t="shared" si="2"/>
        <v>1</v>
      </c>
      <c r="P11" s="433"/>
      <c r="Q11" s="196" t="s">
        <v>182</v>
      </c>
      <c r="R11" s="196">
        <v>1</v>
      </c>
      <c r="T11" s="191" t="s">
        <v>667</v>
      </c>
    </row>
    <row r="12" spans="1:20" ht="23.25" thickBot="1">
      <c r="A12" s="379" t="s">
        <v>538</v>
      </c>
      <c r="B12" s="379">
        <v>1</v>
      </c>
      <c r="H12" s="196"/>
      <c r="I12" s="196"/>
      <c r="J12" s="196" t="str">
        <f t="shared" si="1"/>
        <v/>
      </c>
      <c r="L12" s="196"/>
      <c r="M12" s="196" t="str">
        <v>세무회계학사</v>
      </c>
      <c r="N12" s="196">
        <f t="shared" si="2"/>
        <v>1</v>
      </c>
      <c r="P12" s="434"/>
      <c r="Q12" s="196" t="s">
        <v>424</v>
      </c>
      <c r="R12" s="196">
        <v>2</v>
      </c>
      <c r="T12" s="77" t="s">
        <v>668</v>
      </c>
    </row>
    <row r="13" spans="1:20" ht="17.25" thickBot="1">
      <c r="A13" s="76" t="s">
        <v>371</v>
      </c>
      <c r="B13" s="379">
        <v>1</v>
      </c>
      <c r="H13" s="196"/>
      <c r="I13" s="196"/>
      <c r="J13" s="196" t="str">
        <f t="shared" si="1"/>
        <v/>
      </c>
      <c r="L13" s="196"/>
      <c r="M13" s="196" t="str">
        <v>신학사</v>
      </c>
      <c r="N13" s="196">
        <f t="shared" si="2"/>
        <v>2</v>
      </c>
      <c r="P13" s="432" t="s">
        <v>609</v>
      </c>
      <c r="Q13" s="196" t="s">
        <v>177</v>
      </c>
      <c r="R13" s="196">
        <v>13</v>
      </c>
      <c r="T13" s="77" t="s">
        <v>669</v>
      </c>
    </row>
    <row r="14" spans="1:20" ht="17.25" thickBot="1">
      <c r="A14" s="195" t="s">
        <v>162</v>
      </c>
      <c r="B14" s="379">
        <v>16</v>
      </c>
      <c r="H14" s="196"/>
      <c r="I14" s="196"/>
      <c r="J14" s="196" t="str">
        <f t="shared" si="1"/>
        <v/>
      </c>
      <c r="L14" s="196"/>
      <c r="M14" s="196" t="str">
        <v>이학사</v>
      </c>
      <c r="N14" s="196">
        <f t="shared" si="2"/>
        <v>1</v>
      </c>
      <c r="P14" s="433"/>
      <c r="Q14" s="196" t="s">
        <v>428</v>
      </c>
      <c r="R14" s="196">
        <v>1</v>
      </c>
    </row>
    <row r="15" spans="1:20" ht="17.25" thickBot="1">
      <c r="A15" s="379" t="s">
        <v>171</v>
      </c>
      <c r="B15" s="379">
        <v>5</v>
      </c>
      <c r="H15" s="196"/>
      <c r="I15" s="196"/>
      <c r="J15" s="196" t="str">
        <f t="shared" si="1"/>
        <v/>
      </c>
      <c r="L15" s="196"/>
      <c r="M15" s="196" t="str">
        <v>행정학사</v>
      </c>
      <c r="N15" s="196">
        <f t="shared" si="2"/>
        <v>1</v>
      </c>
      <c r="P15" s="433"/>
      <c r="Q15" s="196" t="s">
        <v>429</v>
      </c>
      <c r="R15" s="196">
        <v>6</v>
      </c>
    </row>
    <row r="16" spans="1:20" ht="17.25" thickBot="1">
      <c r="A16" s="379" t="s">
        <v>539</v>
      </c>
      <c r="B16" s="379">
        <v>1</v>
      </c>
      <c r="L16" s="196"/>
      <c r="M16" s="196" t="str">
        <v>전문학사</v>
      </c>
      <c r="N16" s="196"/>
      <c r="P16" s="433"/>
      <c r="Q16" s="196" t="s">
        <v>430</v>
      </c>
      <c r="R16" s="196">
        <v>4</v>
      </c>
    </row>
    <row r="17" spans="1:20" ht="23.25" thickBot="1">
      <c r="A17" s="76" t="s">
        <v>540</v>
      </c>
      <c r="B17" s="379">
        <v>1</v>
      </c>
      <c r="L17" s="196"/>
      <c r="M17" s="196" t="str">
        <v>공학전문학사</v>
      </c>
      <c r="N17" s="196">
        <f t="shared" si="2"/>
        <v>1</v>
      </c>
      <c r="P17" s="433"/>
      <c r="Q17" s="196" t="s">
        <v>183</v>
      </c>
      <c r="R17" s="196">
        <v>1</v>
      </c>
    </row>
    <row r="18" spans="1:20" ht="17.25" thickBot="1">
      <c r="A18" s="76" t="s">
        <v>538</v>
      </c>
      <c r="B18" s="379">
        <v>1</v>
      </c>
      <c r="L18" s="196"/>
      <c r="M18" s="196"/>
      <c r="N18" s="196" t="str">
        <f t="shared" si="2"/>
        <v/>
      </c>
      <c r="P18" s="433"/>
      <c r="Q18" s="196" t="s">
        <v>433</v>
      </c>
      <c r="R18" s="196">
        <v>1</v>
      </c>
    </row>
    <row r="19" spans="1:20" ht="17.25" thickBot="1">
      <c r="A19" s="76" t="s">
        <v>541</v>
      </c>
      <c r="B19" s="379">
        <v>1</v>
      </c>
      <c r="L19" s="196"/>
      <c r="M19" s="196"/>
      <c r="N19" s="196" t="str">
        <f t="shared" si="2"/>
        <v/>
      </c>
      <c r="P19" s="433"/>
      <c r="Q19" s="196" t="s">
        <v>432</v>
      </c>
      <c r="R19" s="196">
        <v>2</v>
      </c>
    </row>
    <row r="20" spans="1:20" ht="17.25" thickBot="1">
      <c r="A20" s="76" t="s">
        <v>371</v>
      </c>
      <c r="B20" s="379">
        <v>1</v>
      </c>
      <c r="L20" s="196"/>
      <c r="M20" s="196"/>
      <c r="N20" s="196" t="str">
        <f t="shared" si="2"/>
        <v/>
      </c>
      <c r="P20" s="433"/>
      <c r="Q20" s="196" t="s">
        <v>179</v>
      </c>
      <c r="R20" s="196">
        <v>1</v>
      </c>
    </row>
    <row r="21" spans="1:20" ht="17.25" thickBot="1">
      <c r="A21" s="76" t="s">
        <v>188</v>
      </c>
      <c r="B21" s="379">
        <v>5</v>
      </c>
      <c r="D21" s="189" t="s">
        <v>462</v>
      </c>
      <c r="E21" s="188"/>
      <c r="F21" s="190"/>
      <c r="G21" s="191"/>
      <c r="H21" s="189" t="s">
        <v>462</v>
      </c>
      <c r="I21" s="188"/>
      <c r="J21" s="190"/>
      <c r="L21" s="189" t="s">
        <v>462</v>
      </c>
      <c r="M21" s="188"/>
      <c r="N21" s="190"/>
      <c r="P21" s="433"/>
      <c r="Q21" s="196" t="s">
        <v>431</v>
      </c>
      <c r="R21" s="196">
        <v>1</v>
      </c>
    </row>
    <row r="22" spans="1:20" ht="17.25" thickBot="1">
      <c r="A22" s="379" t="s">
        <v>534</v>
      </c>
      <c r="B22" s="379">
        <v>1</v>
      </c>
      <c r="D22" s="193" t="s">
        <v>610</v>
      </c>
      <c r="E22" s="194" t="s">
        <v>160</v>
      </c>
      <c r="F22" s="193" t="s">
        <v>611</v>
      </c>
      <c r="G22" s="76"/>
      <c r="H22" s="193" t="s">
        <v>610</v>
      </c>
      <c r="I22" s="194" t="s">
        <v>162</v>
      </c>
      <c r="J22" s="193" t="s">
        <v>611</v>
      </c>
      <c r="L22" s="193" t="s">
        <v>610</v>
      </c>
      <c r="M22" s="194" t="s">
        <v>164</v>
      </c>
      <c r="N22" s="193" t="s">
        <v>611</v>
      </c>
      <c r="P22" s="433"/>
      <c r="Q22" s="196" t="s">
        <v>174</v>
      </c>
      <c r="R22" s="196">
        <v>2</v>
      </c>
    </row>
    <row r="23" spans="1:20" ht="17.25" thickBot="1">
      <c r="A23" s="76" t="s">
        <v>535</v>
      </c>
      <c r="B23" s="379">
        <v>1</v>
      </c>
      <c r="D23" s="196" t="s">
        <v>598</v>
      </c>
      <c r="E23" s="196" t="s">
        <v>187</v>
      </c>
      <c r="F23" s="196">
        <v>3</v>
      </c>
      <c r="G23" s="76"/>
      <c r="H23" s="196" t="s">
        <v>608</v>
      </c>
      <c r="I23" s="196" t="s">
        <v>171</v>
      </c>
      <c r="J23" s="196">
        <v>5</v>
      </c>
      <c r="L23" s="196" t="s">
        <v>609</v>
      </c>
      <c r="M23" s="196" t="s">
        <v>177</v>
      </c>
      <c r="N23" s="196">
        <v>13</v>
      </c>
      <c r="P23" s="433"/>
      <c r="Q23" s="196" t="s">
        <v>427</v>
      </c>
      <c r="R23" s="196">
        <v>1</v>
      </c>
      <c r="S23" s="199"/>
      <c r="T23" s="199"/>
    </row>
    <row r="24" spans="1:20" ht="17.25" thickBot="1">
      <c r="A24" s="76" t="s">
        <v>542</v>
      </c>
      <c r="B24" s="379">
        <v>1</v>
      </c>
      <c r="D24" s="196"/>
      <c r="E24" s="196" t="s">
        <v>167</v>
      </c>
      <c r="F24" s="196">
        <v>2</v>
      </c>
      <c r="G24" s="76"/>
      <c r="H24" s="196"/>
      <c r="I24" s="196" t="s">
        <v>188</v>
      </c>
      <c r="J24" s="196">
        <v>5</v>
      </c>
      <c r="L24" s="196"/>
      <c r="M24" s="196" t="s">
        <v>428</v>
      </c>
      <c r="N24" s="196">
        <v>1</v>
      </c>
      <c r="P24" s="434"/>
      <c r="Q24" s="196" t="s">
        <v>593</v>
      </c>
      <c r="R24" s="196">
        <v>1</v>
      </c>
    </row>
    <row r="25" spans="1:20" ht="23.25" thickBot="1">
      <c r="A25" s="76" t="s">
        <v>543</v>
      </c>
      <c r="B25" s="379">
        <v>1</v>
      </c>
      <c r="D25" s="196"/>
      <c r="E25" s="196" t="s">
        <v>426</v>
      </c>
      <c r="F25" s="196">
        <v>1</v>
      </c>
      <c r="G25" s="76"/>
      <c r="H25" s="196"/>
      <c r="I25" s="196" t="s">
        <v>423</v>
      </c>
      <c r="J25" s="196">
        <v>2</v>
      </c>
      <c r="L25" s="196"/>
      <c r="M25" s="196" t="s">
        <v>429</v>
      </c>
      <c r="N25" s="196">
        <v>6</v>
      </c>
      <c r="R25" s="198"/>
    </row>
    <row r="26" spans="1:20" ht="17.25" thickBot="1">
      <c r="A26" s="76" t="s">
        <v>536</v>
      </c>
      <c r="B26" s="379">
        <v>1</v>
      </c>
      <c r="D26" s="196"/>
      <c r="E26" s="196"/>
      <c r="F26" s="196" t="s">
        <v>597</v>
      </c>
      <c r="H26" s="196"/>
      <c r="I26" s="196" t="s">
        <v>425</v>
      </c>
      <c r="J26" s="196">
        <v>1</v>
      </c>
      <c r="L26" s="196"/>
      <c r="M26" s="196" t="s">
        <v>430</v>
      </c>
      <c r="N26" s="196">
        <v>4</v>
      </c>
      <c r="R26" s="198"/>
      <c r="S26" s="199"/>
      <c r="T26" s="199"/>
    </row>
    <row r="27" spans="1:20" ht="23.25" thickBot="1">
      <c r="A27" s="76" t="s">
        <v>425</v>
      </c>
      <c r="B27" s="379">
        <v>1</v>
      </c>
      <c r="D27" s="196"/>
      <c r="E27" s="196"/>
      <c r="F27" s="196" t="s">
        <v>597</v>
      </c>
      <c r="H27" s="196"/>
      <c r="I27" s="196" t="s">
        <v>182</v>
      </c>
      <c r="J27" s="196">
        <v>1</v>
      </c>
      <c r="L27" s="196"/>
      <c r="M27" s="196" t="s">
        <v>183</v>
      </c>
      <c r="N27" s="196">
        <v>1</v>
      </c>
      <c r="R27" s="198"/>
      <c r="S27" s="199"/>
      <c r="T27" s="199"/>
    </row>
    <row r="28" spans="1:20" ht="17.25" thickBot="1">
      <c r="A28" s="379" t="s">
        <v>544</v>
      </c>
      <c r="B28" s="379">
        <v>1</v>
      </c>
      <c r="D28" s="196"/>
      <c r="E28" s="196"/>
      <c r="F28" s="196" t="s">
        <v>597</v>
      </c>
      <c r="H28" s="196"/>
      <c r="I28" s="196" t="s">
        <v>424</v>
      </c>
      <c r="J28" s="196">
        <v>2</v>
      </c>
      <c r="L28" s="196"/>
      <c r="M28" s="196" t="s">
        <v>433</v>
      </c>
      <c r="N28" s="196">
        <v>1</v>
      </c>
      <c r="R28" s="199"/>
      <c r="S28" s="199"/>
      <c r="T28" s="199"/>
    </row>
    <row r="29" spans="1:20" ht="17.25" thickBot="1">
      <c r="A29" s="76" t="s">
        <v>424</v>
      </c>
      <c r="B29" s="379">
        <v>2</v>
      </c>
      <c r="D29" s="196"/>
      <c r="E29" s="196"/>
      <c r="F29" s="196" t="s">
        <v>597</v>
      </c>
      <c r="H29" s="196"/>
      <c r="I29" s="196"/>
      <c r="J29" s="196" t="s">
        <v>597</v>
      </c>
      <c r="L29" s="196"/>
      <c r="M29" s="196" t="s">
        <v>432</v>
      </c>
      <c r="N29" s="196">
        <v>2</v>
      </c>
    </row>
    <row r="30" spans="1:20" ht="17.25" thickBot="1">
      <c r="A30" s="379" t="s">
        <v>537</v>
      </c>
      <c r="B30" s="379">
        <v>1</v>
      </c>
      <c r="H30" s="196"/>
      <c r="I30" s="196"/>
      <c r="J30" s="196" t="s">
        <v>597</v>
      </c>
      <c r="L30" s="196"/>
      <c r="M30" s="196" t="s">
        <v>179</v>
      </c>
      <c r="N30" s="196">
        <v>1</v>
      </c>
      <c r="R30" s="430"/>
      <c r="S30" s="430"/>
      <c r="T30" s="200"/>
    </row>
    <row r="31" spans="1:20" ht="17.25" thickBot="1">
      <c r="A31" s="76" t="s">
        <v>545</v>
      </c>
      <c r="B31" s="379">
        <v>1</v>
      </c>
      <c r="H31" s="196"/>
      <c r="I31" s="196"/>
      <c r="J31" s="196" t="s">
        <v>597</v>
      </c>
      <c r="L31" s="196"/>
      <c r="M31" s="196" t="s">
        <v>431</v>
      </c>
      <c r="N31" s="196">
        <v>1</v>
      </c>
      <c r="R31" s="199"/>
      <c r="S31" s="199"/>
      <c r="T31" s="199"/>
    </row>
    <row r="32" spans="1:20" ht="17.25" thickBot="1">
      <c r="A32" s="76" t="s">
        <v>423</v>
      </c>
      <c r="B32" s="379">
        <v>2</v>
      </c>
      <c r="H32" s="196"/>
      <c r="I32" s="196"/>
      <c r="J32" s="196" t="s">
        <v>597</v>
      </c>
      <c r="L32" s="196"/>
      <c r="M32" s="196" t="s">
        <v>174</v>
      </c>
      <c r="N32" s="196">
        <v>2</v>
      </c>
      <c r="R32" s="199"/>
      <c r="S32" s="199"/>
      <c r="T32" s="199"/>
    </row>
    <row r="33" spans="1:20" ht="17.25" thickBot="1">
      <c r="A33" s="379" t="s">
        <v>546</v>
      </c>
      <c r="B33" s="379">
        <v>1</v>
      </c>
      <c r="H33" s="196"/>
      <c r="I33" s="196"/>
      <c r="J33" s="196" t="s">
        <v>597</v>
      </c>
      <c r="L33" s="196"/>
      <c r="M33" s="196" t="s">
        <v>427</v>
      </c>
      <c r="N33" s="196">
        <v>1</v>
      </c>
      <c r="R33" s="199"/>
      <c r="S33" s="199"/>
      <c r="T33" s="199"/>
    </row>
    <row r="34" spans="1:20" ht="23.25" thickBot="1">
      <c r="A34" s="76" t="s">
        <v>547</v>
      </c>
      <c r="B34" s="379">
        <v>1</v>
      </c>
      <c r="H34" s="196"/>
      <c r="I34" s="196"/>
      <c r="J34" s="196" t="s">
        <v>597</v>
      </c>
      <c r="L34" s="196"/>
      <c r="M34" s="196" t="s">
        <v>593</v>
      </c>
      <c r="N34" s="196">
        <v>1</v>
      </c>
      <c r="R34" s="199"/>
      <c r="S34" s="199"/>
      <c r="T34" s="199"/>
    </row>
    <row r="35" spans="1:20" ht="17.25" thickBot="1">
      <c r="A35" s="76" t="s">
        <v>182</v>
      </c>
      <c r="B35" s="379">
        <v>1</v>
      </c>
      <c r="L35" s="196"/>
      <c r="M35" s="201" t="s">
        <v>454</v>
      </c>
      <c r="N35" s="196"/>
      <c r="R35" s="199"/>
      <c r="S35" s="199"/>
      <c r="T35" s="199"/>
    </row>
    <row r="36" spans="1:20" ht="23.25" thickBot="1">
      <c r="A36" s="379" t="s">
        <v>548</v>
      </c>
      <c r="B36" s="379">
        <v>1</v>
      </c>
      <c r="L36" s="196"/>
      <c r="M36" s="201" t="s">
        <v>458</v>
      </c>
      <c r="N36" s="196">
        <v>1</v>
      </c>
      <c r="R36" s="199"/>
      <c r="S36" s="199"/>
      <c r="T36" s="199"/>
    </row>
    <row r="37" spans="1:20" ht="17.25" thickBot="1">
      <c r="A37" s="195" t="s">
        <v>164</v>
      </c>
      <c r="B37" s="379">
        <v>34</v>
      </c>
      <c r="L37" s="196"/>
      <c r="M37" s="196"/>
      <c r="N37" s="196" t="s">
        <v>597</v>
      </c>
      <c r="R37" s="199"/>
      <c r="S37" s="199"/>
      <c r="T37" s="199"/>
    </row>
    <row r="38" spans="1:20">
      <c r="A38" s="379" t="s">
        <v>427</v>
      </c>
      <c r="B38" s="379">
        <v>1</v>
      </c>
      <c r="L38" s="197"/>
      <c r="M38" s="197"/>
      <c r="N38" s="197" t="s">
        <v>597</v>
      </c>
      <c r="R38" s="199"/>
      <c r="S38" s="199"/>
      <c r="T38" s="199"/>
    </row>
    <row r="39" spans="1:20">
      <c r="A39" s="379" t="s">
        <v>277</v>
      </c>
      <c r="B39" s="379">
        <v>1</v>
      </c>
      <c r="L39" s="199"/>
      <c r="M39" s="199"/>
      <c r="N39" s="199" t="s">
        <v>597</v>
      </c>
      <c r="R39" s="199"/>
      <c r="S39" s="199"/>
      <c r="T39" s="199"/>
    </row>
    <row r="40" spans="1:20" ht="22.5">
      <c r="A40" s="76" t="s">
        <v>428</v>
      </c>
      <c r="B40" s="379">
        <v>1</v>
      </c>
      <c r="D40" s="77" t="s">
        <v>702</v>
      </c>
      <c r="H40" s="76" t="s">
        <v>702</v>
      </c>
      <c r="I40" s="76"/>
      <c r="L40" s="199" t="s">
        <v>702</v>
      </c>
      <c r="M40" s="199"/>
      <c r="N40" s="199"/>
      <c r="R40" s="199"/>
      <c r="S40" s="199"/>
      <c r="T40" s="199"/>
    </row>
    <row r="41" spans="1:20">
      <c r="A41" s="379" t="s">
        <v>549</v>
      </c>
      <c r="B41" s="379">
        <v>1</v>
      </c>
      <c r="H41" s="76"/>
      <c r="I41" s="76"/>
      <c r="L41" s="199"/>
      <c r="M41" s="199"/>
      <c r="N41" s="199"/>
      <c r="R41" s="199"/>
      <c r="S41" s="199"/>
      <c r="T41" s="199"/>
    </row>
    <row r="42" spans="1:20">
      <c r="A42" s="76" t="s">
        <v>429</v>
      </c>
      <c r="B42" s="379">
        <v>6</v>
      </c>
      <c r="H42" s="76"/>
      <c r="I42" s="76"/>
      <c r="L42" s="199"/>
      <c r="M42" s="199"/>
      <c r="N42" s="199"/>
      <c r="R42" s="199"/>
      <c r="S42" s="199"/>
      <c r="T42" s="199"/>
    </row>
    <row r="43" spans="1:20">
      <c r="A43" s="379" t="s">
        <v>539</v>
      </c>
      <c r="B43" s="379">
        <v>1</v>
      </c>
      <c r="H43" s="76"/>
      <c r="I43" s="76"/>
      <c r="L43" s="199"/>
      <c r="M43" s="199"/>
      <c r="N43" s="199"/>
      <c r="R43" s="199"/>
      <c r="S43" s="199"/>
      <c r="T43" s="199"/>
    </row>
    <row r="44" spans="1:20">
      <c r="A44" s="76" t="s">
        <v>538</v>
      </c>
      <c r="B44" s="379">
        <v>1</v>
      </c>
      <c r="H44" s="76"/>
      <c r="I44" s="76"/>
      <c r="L44" s="199"/>
      <c r="M44" s="199"/>
      <c r="N44" s="199"/>
      <c r="R44" s="199"/>
      <c r="S44" s="199"/>
      <c r="T44" s="199"/>
    </row>
    <row r="45" spans="1:20">
      <c r="A45" s="76" t="s">
        <v>550</v>
      </c>
      <c r="B45" s="379">
        <v>1</v>
      </c>
      <c r="H45" s="76"/>
      <c r="I45" s="76"/>
    </row>
    <row r="46" spans="1:20">
      <c r="A46" s="76" t="s">
        <v>551</v>
      </c>
      <c r="B46" s="379">
        <v>1</v>
      </c>
      <c r="H46" s="76"/>
      <c r="I46" s="76"/>
    </row>
    <row r="47" spans="1:20">
      <c r="A47" s="76" t="s">
        <v>279</v>
      </c>
      <c r="B47" s="379">
        <v>1</v>
      </c>
      <c r="H47" s="76"/>
      <c r="I47" s="76"/>
    </row>
    <row r="48" spans="1:20">
      <c r="A48" s="76" t="s">
        <v>552</v>
      </c>
      <c r="B48" s="379">
        <v>1</v>
      </c>
      <c r="H48" s="76"/>
      <c r="I48" s="76"/>
    </row>
    <row r="49" spans="1:9">
      <c r="A49" s="76" t="s">
        <v>430</v>
      </c>
      <c r="B49" s="379">
        <v>4</v>
      </c>
      <c r="H49" s="76"/>
      <c r="I49" s="76"/>
    </row>
    <row r="50" spans="1:9">
      <c r="A50" s="379" t="s">
        <v>541</v>
      </c>
      <c r="B50" s="379">
        <v>1</v>
      </c>
      <c r="H50" s="76"/>
    </row>
    <row r="51" spans="1:9">
      <c r="A51" s="76" t="s">
        <v>278</v>
      </c>
      <c r="B51" s="379">
        <v>1</v>
      </c>
      <c r="H51" s="76"/>
      <c r="I51" s="76"/>
    </row>
    <row r="52" spans="1:9">
      <c r="A52" s="76" t="s">
        <v>546</v>
      </c>
      <c r="B52" s="379">
        <v>1</v>
      </c>
    </row>
    <row r="53" spans="1:9">
      <c r="A53" s="76" t="s">
        <v>547</v>
      </c>
      <c r="B53" s="379">
        <v>1</v>
      </c>
    </row>
    <row r="54" spans="1:9">
      <c r="A54" s="76" t="s">
        <v>177</v>
      </c>
      <c r="B54" s="379">
        <v>13</v>
      </c>
    </row>
    <row r="55" spans="1:9">
      <c r="A55" s="379" t="s">
        <v>538</v>
      </c>
      <c r="B55" s="379">
        <v>1</v>
      </c>
    </row>
    <row r="56" spans="1:9">
      <c r="A56" s="76" t="s">
        <v>553</v>
      </c>
      <c r="B56" s="379">
        <v>1</v>
      </c>
      <c r="D56" s="199"/>
      <c r="E56" s="199"/>
      <c r="F56" s="199"/>
    </row>
    <row r="57" spans="1:9">
      <c r="A57" s="76" t="s">
        <v>534</v>
      </c>
      <c r="B57" s="379">
        <v>1</v>
      </c>
      <c r="D57" s="199"/>
      <c r="E57" s="199"/>
      <c r="F57" s="199"/>
    </row>
    <row r="58" spans="1:9">
      <c r="A58" s="76" t="s">
        <v>554</v>
      </c>
      <c r="B58" s="379">
        <v>1</v>
      </c>
      <c r="D58" s="199"/>
      <c r="E58" s="199"/>
      <c r="F58" s="199"/>
    </row>
    <row r="59" spans="1:9">
      <c r="A59" s="76" t="s">
        <v>555</v>
      </c>
      <c r="B59" s="379">
        <v>1</v>
      </c>
    </row>
    <row r="60" spans="1:9">
      <c r="A60" s="76" t="s">
        <v>371</v>
      </c>
      <c r="B60" s="379">
        <v>1</v>
      </c>
    </row>
    <row r="61" spans="1:9">
      <c r="A61" s="76" t="s">
        <v>535</v>
      </c>
      <c r="B61" s="379">
        <v>1</v>
      </c>
    </row>
    <row r="62" spans="1:9">
      <c r="A62" s="76" t="s">
        <v>556</v>
      </c>
      <c r="B62" s="379">
        <v>1</v>
      </c>
    </row>
    <row r="63" spans="1:9">
      <c r="A63" s="76" t="s">
        <v>544</v>
      </c>
      <c r="B63" s="379">
        <v>1</v>
      </c>
    </row>
    <row r="64" spans="1:9">
      <c r="A64" s="76" t="s">
        <v>542</v>
      </c>
      <c r="B64" s="379">
        <v>1</v>
      </c>
    </row>
    <row r="65" spans="1:2">
      <c r="A65" s="76" t="s">
        <v>557</v>
      </c>
      <c r="B65" s="379">
        <v>1</v>
      </c>
    </row>
    <row r="66" spans="1:2">
      <c r="A66" s="76" t="s">
        <v>536</v>
      </c>
      <c r="B66" s="379">
        <v>1</v>
      </c>
    </row>
    <row r="67" spans="1:2">
      <c r="A67" s="76" t="s">
        <v>592</v>
      </c>
      <c r="B67" s="379">
        <v>1</v>
      </c>
    </row>
    <row r="68" spans="1:2">
      <c r="A68" s="76" t="s">
        <v>174</v>
      </c>
      <c r="B68" s="379">
        <v>2</v>
      </c>
    </row>
    <row r="69" spans="1:2">
      <c r="A69" s="379" t="s">
        <v>538</v>
      </c>
      <c r="B69" s="379">
        <v>1</v>
      </c>
    </row>
    <row r="70" spans="1:2">
      <c r="A70" s="76" t="s">
        <v>371</v>
      </c>
      <c r="B70" s="379">
        <v>1</v>
      </c>
    </row>
    <row r="71" spans="1:2">
      <c r="A71" s="76" t="s">
        <v>431</v>
      </c>
      <c r="B71" s="379">
        <v>1</v>
      </c>
    </row>
    <row r="72" spans="1:2">
      <c r="A72" s="379" t="s">
        <v>371</v>
      </c>
      <c r="B72" s="379">
        <v>1</v>
      </c>
    </row>
    <row r="73" spans="1:2">
      <c r="A73" s="76" t="s">
        <v>183</v>
      </c>
      <c r="B73" s="379">
        <v>1</v>
      </c>
    </row>
    <row r="74" spans="1:2">
      <c r="A74" s="379" t="s">
        <v>548</v>
      </c>
      <c r="B74" s="379">
        <v>1</v>
      </c>
    </row>
    <row r="75" spans="1:2">
      <c r="A75" s="76" t="s">
        <v>593</v>
      </c>
      <c r="B75" s="379">
        <v>1</v>
      </c>
    </row>
    <row r="76" spans="1:2">
      <c r="A76" s="379" t="s">
        <v>548</v>
      </c>
      <c r="B76" s="379">
        <v>1</v>
      </c>
    </row>
    <row r="77" spans="1:2">
      <c r="A77" s="76" t="s">
        <v>432</v>
      </c>
      <c r="B77" s="379">
        <v>2</v>
      </c>
    </row>
    <row r="78" spans="1:2">
      <c r="A78" s="379" t="s">
        <v>537</v>
      </c>
      <c r="B78" s="379">
        <v>1</v>
      </c>
    </row>
    <row r="79" spans="1:2">
      <c r="A79" s="76" t="s">
        <v>545</v>
      </c>
      <c r="B79" s="379">
        <v>1</v>
      </c>
    </row>
    <row r="80" spans="1:2">
      <c r="A80" s="76" t="s">
        <v>433</v>
      </c>
      <c r="B80" s="379">
        <v>1</v>
      </c>
    </row>
    <row r="81" spans="1:2">
      <c r="A81" s="379" t="s">
        <v>540</v>
      </c>
      <c r="B81" s="379">
        <v>1</v>
      </c>
    </row>
    <row r="82" spans="1:2">
      <c r="A82" s="76" t="s">
        <v>179</v>
      </c>
      <c r="B82" s="379">
        <v>1</v>
      </c>
    </row>
    <row r="83" spans="1:2">
      <c r="A83" s="379" t="s">
        <v>538</v>
      </c>
      <c r="B83" s="379">
        <v>1</v>
      </c>
    </row>
    <row r="84" spans="1:2">
      <c r="A84" s="195" t="s">
        <v>454</v>
      </c>
      <c r="B84" s="379">
        <v>1</v>
      </c>
    </row>
    <row r="85" spans="1:2">
      <c r="A85" s="379" t="s">
        <v>458</v>
      </c>
      <c r="B85" s="379">
        <v>1</v>
      </c>
    </row>
    <row r="86" spans="1:2">
      <c r="A86" s="379" t="s">
        <v>558</v>
      </c>
      <c r="B86" s="379">
        <v>1</v>
      </c>
    </row>
    <row r="87" spans="1:2">
      <c r="A87" s="195" t="s">
        <v>456</v>
      </c>
      <c r="B87" s="379">
        <v>1</v>
      </c>
    </row>
    <row r="88" spans="1:2">
      <c r="A88" s="381" t="s">
        <v>421</v>
      </c>
      <c r="B88" s="379">
        <v>1</v>
      </c>
    </row>
    <row r="89" spans="1:2">
      <c r="A89" s="379" t="s">
        <v>559</v>
      </c>
      <c r="B89" s="379">
        <v>1</v>
      </c>
    </row>
    <row r="90" spans="1:2">
      <c r="A90" s="195" t="s">
        <v>421</v>
      </c>
      <c r="B90" s="379"/>
    </row>
    <row r="91" spans="1:2">
      <c r="A91" s="379" t="s">
        <v>421</v>
      </c>
      <c r="B91" s="379"/>
    </row>
    <row r="92" spans="1:2">
      <c r="A92" s="379" t="s">
        <v>421</v>
      </c>
      <c r="B92" s="379"/>
    </row>
    <row r="93" spans="1:2">
      <c r="A93" s="381" t="s">
        <v>455</v>
      </c>
      <c r="B93" s="379">
        <v>58</v>
      </c>
    </row>
    <row r="94" spans="1:2">
      <c r="A94" s="77"/>
    </row>
    <row r="95" spans="1:2">
      <c r="A95" s="77"/>
    </row>
    <row r="96" spans="1:2">
      <c r="A96" s="77"/>
    </row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  <row r="132" s="77" customFormat="1"/>
    <row r="133" s="77" customFormat="1"/>
    <row r="134" s="77" customFormat="1"/>
    <row r="135" s="77" customFormat="1"/>
    <row r="136" s="77" customFormat="1"/>
    <row r="137" s="77" customFormat="1"/>
    <row r="138" s="77" customFormat="1"/>
    <row r="139" s="77" customFormat="1"/>
    <row r="140" s="77" customFormat="1"/>
    <row r="141" s="77" customFormat="1"/>
    <row r="142" s="77" customFormat="1"/>
    <row r="143" s="77" customFormat="1"/>
    <row r="144" s="77" customFormat="1"/>
    <row r="145" s="77" customFormat="1"/>
    <row r="146" s="77" customFormat="1"/>
    <row r="147" s="77" customFormat="1"/>
    <row r="148" s="77" customFormat="1"/>
    <row r="149" s="77" customFormat="1"/>
    <row r="150" s="77" customFormat="1"/>
    <row r="151" s="77" customFormat="1"/>
    <row r="152" s="77" customFormat="1"/>
    <row r="153" s="77" customFormat="1"/>
    <row r="154" s="77" customFormat="1"/>
    <row r="155" s="77" customFormat="1"/>
    <row r="156" s="77" customFormat="1"/>
    <row r="157" s="77" customFormat="1"/>
    <row r="158" s="77" customFormat="1"/>
    <row r="159" s="77" customFormat="1"/>
    <row r="160" s="77" customFormat="1"/>
    <row r="161" s="77" customFormat="1"/>
    <row r="162" s="77" customFormat="1"/>
    <row r="163" s="77" customFormat="1"/>
    <row r="164" s="77" customFormat="1"/>
    <row r="165" s="77" customFormat="1"/>
    <row r="166" s="77" customFormat="1"/>
    <row r="167" s="77" customFormat="1"/>
    <row r="168" s="77" customFormat="1"/>
    <row r="169" s="77" customFormat="1"/>
    <row r="170" s="77" customFormat="1"/>
    <row r="171" s="77" customFormat="1"/>
    <row r="172" s="77" customFormat="1"/>
    <row r="173" s="77" customFormat="1"/>
    <row r="174" s="77" customFormat="1"/>
    <row r="175" s="77" customFormat="1"/>
    <row r="176" s="77" customFormat="1"/>
    <row r="177" s="77" customFormat="1"/>
    <row r="178" s="77" customFormat="1"/>
    <row r="179" s="77" customFormat="1"/>
    <row r="180" s="77" customFormat="1"/>
    <row r="181" s="77" customFormat="1"/>
    <row r="182" s="77" customFormat="1"/>
    <row r="183" s="77" customFormat="1"/>
    <row r="184" s="77" customFormat="1"/>
    <row r="185" s="77" customFormat="1"/>
    <row r="186" s="77" customFormat="1"/>
    <row r="187" s="77" customFormat="1"/>
    <row r="188" s="77" customFormat="1"/>
    <row r="189" s="77" customFormat="1"/>
    <row r="190" s="77" customFormat="1"/>
    <row r="191" s="77" customFormat="1"/>
    <row r="192" s="77" customFormat="1"/>
    <row r="193" s="77" customFormat="1"/>
    <row r="194" s="77" customFormat="1"/>
    <row r="195" s="77" customFormat="1"/>
    <row r="196" s="77" customFormat="1"/>
    <row r="197" s="77" customFormat="1"/>
    <row r="198" s="77" customFormat="1"/>
    <row r="199" s="77" customFormat="1"/>
    <row r="200" s="77" customFormat="1"/>
    <row r="201" s="77" customFormat="1"/>
    <row r="202" s="77" customFormat="1"/>
    <row r="203" s="77" customFormat="1"/>
    <row r="204" s="77" customFormat="1"/>
    <row r="205" s="77" customFormat="1"/>
    <row r="206" s="77" customFormat="1"/>
    <row r="207" s="77" customFormat="1"/>
    <row r="208" s="77" customFormat="1"/>
    <row r="209" s="77" customFormat="1"/>
    <row r="210" s="77" customFormat="1"/>
    <row r="211" s="77" customFormat="1"/>
    <row r="212" s="77" customFormat="1"/>
    <row r="213" s="77" customFormat="1"/>
    <row r="214" s="77" customFormat="1"/>
    <row r="215" s="77" customFormat="1"/>
    <row r="216" s="77" customFormat="1"/>
    <row r="217" s="77" customFormat="1"/>
    <row r="218" s="77" customFormat="1"/>
    <row r="219" s="77" customFormat="1"/>
    <row r="220" s="77" customFormat="1"/>
    <row r="221" s="77" customFormat="1"/>
    <row r="222" s="77" customFormat="1"/>
    <row r="223" s="77" customFormat="1"/>
    <row r="224" s="77" customFormat="1"/>
    <row r="225" s="77" customFormat="1"/>
    <row r="226" s="77" customFormat="1"/>
    <row r="227" s="77" customFormat="1"/>
    <row r="228" s="77" customFormat="1"/>
    <row r="229" s="77" customFormat="1"/>
    <row r="230" s="77" customFormat="1"/>
    <row r="231" s="77" customFormat="1"/>
    <row r="232" s="77" customFormat="1"/>
    <row r="233" s="77" customFormat="1"/>
    <row r="234" s="77" customFormat="1"/>
    <row r="235" s="77" customFormat="1"/>
    <row r="236" s="77" customFormat="1"/>
    <row r="237" s="77" customFormat="1"/>
    <row r="238" s="77" customFormat="1"/>
    <row r="239" s="77" customFormat="1"/>
    <row r="240" s="77" customFormat="1"/>
    <row r="241" s="77" customFormat="1"/>
    <row r="242" s="77" customFormat="1"/>
    <row r="243" s="77" customFormat="1"/>
    <row r="244" s="77" customFormat="1"/>
    <row r="245" s="77" customFormat="1"/>
    <row r="246" s="77" customFormat="1"/>
    <row r="247" s="77" customFormat="1"/>
    <row r="248" s="77" customFormat="1"/>
    <row r="249" s="77" customFormat="1"/>
    <row r="250" s="77" customFormat="1"/>
    <row r="251" s="77" customFormat="1"/>
    <row r="252" s="77" customFormat="1"/>
    <row r="253" s="77" customFormat="1"/>
    <row r="254" s="77" customFormat="1"/>
    <row r="255" s="77" customFormat="1"/>
    <row r="256" s="77" customFormat="1"/>
    <row r="257" s="77" customFormat="1"/>
    <row r="258" s="77" customFormat="1"/>
    <row r="259" s="77" customFormat="1"/>
    <row r="260" s="77" customFormat="1"/>
    <row r="261" s="77" customFormat="1"/>
    <row r="262" s="77" customFormat="1"/>
    <row r="263" s="77" customFormat="1"/>
    <row r="264" s="77" customFormat="1"/>
    <row r="265" s="77" customFormat="1"/>
    <row r="266" s="77" customFormat="1"/>
    <row r="267" s="77" customFormat="1"/>
    <row r="268" s="77" customFormat="1"/>
    <row r="269" s="77" customFormat="1"/>
    <row r="270" s="77" customFormat="1"/>
    <row r="271" s="77" customFormat="1"/>
    <row r="272" s="77" customFormat="1"/>
    <row r="273" s="77" customFormat="1"/>
    <row r="274" s="77" customFormat="1"/>
    <row r="275" s="77" customFormat="1"/>
    <row r="276" s="77" customFormat="1"/>
    <row r="277" s="77" customFormat="1"/>
    <row r="278" s="77" customFormat="1"/>
    <row r="279" s="77" customFormat="1"/>
    <row r="280" s="77" customFormat="1"/>
    <row r="281" s="77" customFormat="1"/>
    <row r="282" s="77" customFormat="1"/>
    <row r="283" s="77" customFormat="1"/>
    <row r="284" s="77" customFormat="1"/>
    <row r="285" s="77" customFormat="1"/>
    <row r="286" s="77" customFormat="1"/>
    <row r="287" s="77" customFormat="1"/>
    <row r="288" s="77" customFormat="1"/>
    <row r="289" s="77" customFormat="1"/>
    <row r="290" s="77" customFormat="1"/>
    <row r="291" s="77" customFormat="1"/>
  </sheetData>
  <mergeCells count="6">
    <mergeCell ref="A1:B1"/>
    <mergeCell ref="R30:S30"/>
    <mergeCell ref="P1:R1"/>
    <mergeCell ref="P4:P6"/>
    <mergeCell ref="P7:P12"/>
    <mergeCell ref="P13:P24"/>
  </mergeCells>
  <phoneticPr fontId="1" type="noConversion"/>
  <pageMargins left="0" right="0" top="0" bottom="0" header="0" footer="0"/>
  <pageSetup paperSize="9" fitToHeight="0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648B-9D06-45C5-9F9B-1554E544B5FA}">
  <sheetPr codeName="Sheet5">
    <tabColor theme="5" tint="0.59999389629810485"/>
    <pageSetUpPr fitToPage="1"/>
  </sheetPr>
  <dimension ref="A1:Z204"/>
  <sheetViews>
    <sheetView zoomScale="55" zoomScaleNormal="55" zoomScaleSheetLayoutView="55" workbookViewId="0">
      <pane xSplit="1" ySplit="1" topLeftCell="C127" activePane="bottomRight" state="frozen"/>
      <selection pane="topRight" activeCell="B1" sqref="B1"/>
      <selection pane="bottomLeft" activeCell="A3" sqref="A3"/>
      <selection pane="bottomRight" activeCell="K166" sqref="K166"/>
    </sheetView>
  </sheetViews>
  <sheetFormatPr defaultRowHeight="16.5" outlineLevelCol="1"/>
  <cols>
    <col min="1" max="1" width="9" style="32"/>
    <col min="2" max="2" width="11" style="32" customWidth="1"/>
    <col min="3" max="3" width="9" style="32"/>
    <col min="4" max="4" width="36.75" style="33" customWidth="1"/>
    <col min="5" max="5" width="12.125" style="32" customWidth="1"/>
    <col min="6" max="6" width="26.75" style="32" customWidth="1"/>
    <col min="7" max="7" width="28.625" style="32" customWidth="1"/>
    <col min="8" max="8" width="12.875" style="32" customWidth="1"/>
    <col min="9" max="9" width="11.625" style="34" customWidth="1"/>
    <col min="10" max="11" width="11.625" style="34" bestFit="1" customWidth="1"/>
    <col min="12" max="12" width="11.625" style="34" customWidth="1"/>
    <col min="13" max="13" width="29.375" style="32" customWidth="1" outlineLevel="1"/>
    <col min="15" max="15" width="11.625" style="43" customWidth="1"/>
    <col min="16" max="18" width="12.25" style="1" bestFit="1" customWidth="1"/>
    <col min="19" max="19" width="11.875" style="1" bestFit="1" customWidth="1"/>
    <col min="20" max="20" width="15.25" style="1" bestFit="1" customWidth="1"/>
    <col min="21" max="21" width="17.25" style="1" bestFit="1" customWidth="1"/>
    <col min="22" max="22" width="15.375" style="1" bestFit="1" customWidth="1"/>
    <col min="23" max="23" width="12.875" style="1" customWidth="1"/>
    <col min="24" max="24" width="11.375" style="1" customWidth="1"/>
    <col min="25" max="25" width="16.75" style="32" customWidth="1" outlineLevel="1"/>
    <col min="26" max="26" width="14.375" style="32" customWidth="1" outlineLevel="1"/>
  </cols>
  <sheetData>
    <row r="1" spans="1:26" s="54" customFormat="1">
      <c r="A1" s="279" t="s">
        <v>1</v>
      </c>
      <c r="B1" s="280" t="s">
        <v>2</v>
      </c>
      <c r="C1" s="280" t="s">
        <v>4</v>
      </c>
      <c r="D1" s="281" t="s">
        <v>52</v>
      </c>
      <c r="E1" s="281" t="s">
        <v>53</v>
      </c>
      <c r="F1" s="281" t="s">
        <v>54</v>
      </c>
      <c r="G1" s="281" t="s">
        <v>55</v>
      </c>
      <c r="H1" s="281" t="s">
        <v>61</v>
      </c>
      <c r="I1" s="282" t="s">
        <v>56</v>
      </c>
      <c r="J1" s="282" t="s">
        <v>57</v>
      </c>
      <c r="K1" s="283" t="s">
        <v>58</v>
      </c>
      <c r="L1" s="284" t="s">
        <v>572</v>
      </c>
      <c r="M1" s="285" t="s">
        <v>573</v>
      </c>
      <c r="N1" s="286" t="s">
        <v>520</v>
      </c>
      <c r="O1" s="287" t="s">
        <v>273</v>
      </c>
      <c r="P1" s="288" t="s">
        <v>272</v>
      </c>
      <c r="Q1" s="288" t="s">
        <v>275</v>
      </c>
      <c r="R1" s="288" t="s">
        <v>274</v>
      </c>
      <c r="S1" s="288" t="s">
        <v>378</v>
      </c>
      <c r="T1" s="288" t="s">
        <v>379</v>
      </c>
      <c r="U1" s="288" t="s">
        <v>380</v>
      </c>
      <c r="V1" s="288" t="s">
        <v>504</v>
      </c>
      <c r="W1" s="289" t="s">
        <v>506</v>
      </c>
      <c r="Y1" s="285" t="s">
        <v>633</v>
      </c>
      <c r="Z1" s="285" t="s">
        <v>660</v>
      </c>
    </row>
    <row r="2" spans="1:26" ht="20.100000000000001" customHeight="1">
      <c r="A2" s="204" t="s">
        <v>0</v>
      </c>
      <c r="B2" s="160" t="str">
        <f>IFERROR(INDEX(개인DB!C:C, MATCH($A2, 개인DB!B:B, 0)), "")</f>
        <v>원장</v>
      </c>
      <c r="C2" s="160" t="str">
        <f>IFERROR(INDEX(개인DB!D:D, MATCH($A2, 개인DB!B:B, 0)), "")</f>
        <v>원장</v>
      </c>
      <c r="D2" s="205" t="s">
        <v>82</v>
      </c>
      <c r="E2" s="160" t="str">
        <f>IFERROR(INDEX(자격증DB!E:E, MATCH($D2, 자격증DB!A:A, 0)), "")</f>
        <v>민간(국가)</v>
      </c>
      <c r="F2" s="132" t="str">
        <f>IFERROR(INDEX(자격증DB!B:B, MATCH($D2, 자격증DB!A:A, 0)), "")</f>
        <v>기획재정부</v>
      </c>
      <c r="G2" s="206" t="str">
        <f>IFERROR(INDEX(자격증DB!C:C, MATCH($D2, 자격증DB!A:A, 0)), "")</f>
        <v>한국원가관리협회</v>
      </c>
      <c r="H2" s="163" t="str">
        <f>IFERROR(INDEX(자격증DB!F:F, MATCH($D2, 자격증DB!A:A, 0)), "")</f>
        <v>등록증</v>
      </c>
      <c r="I2" s="207">
        <v>41912</v>
      </c>
      <c r="J2" s="207">
        <v>45565</v>
      </c>
      <c r="K2" s="208">
        <v>47390</v>
      </c>
      <c r="L2" s="209" t="str">
        <f t="shared" ref="L2:L33" si="0">HYPERLINK("학력, 자격증-excel 연동 파일\" &amp; A2 &amp; "\자격증\" &amp; D2 &amp; "_" &amp; A2 &amp; ".pdf", "PDF")</f>
        <v>PDF</v>
      </c>
      <c r="M2" s="210" t="str">
        <f t="shared" ref="M2:M33" si="1">D2&amp;"_"&amp;A2</f>
        <v>공인원가분석사_김민선</v>
      </c>
      <c r="N2" s="211" t="str">
        <f>IFERROR(IF(INDEX(자격증DB!G:G, MATCH($D2, 자격증DB!$A:$A, 0))=0, "", INDEX(자격증DB!G:G, MATCH($D2, 자격증DB!$A:$A, 0))), "")</f>
        <v>공통</v>
      </c>
      <c r="O2" s="153" t="str">
        <f>IFERROR(IF(INDEX(자격증DB!H:H, MATCH($D2, 자격증DB!$A:$A, 0))=0, "", INDEX(자격증DB!H:H, MATCH($D2, 자격증DB!$A:$A, 0))), "")</f>
        <v>제조(CA)</v>
      </c>
      <c r="P2" s="108" t="str">
        <f>IFERROR(IF(INDEX(자격증DB!I:I, MATCH($D2, 자격증DB!$A:$A, 0))=0, "", INDEX(자격증DB!I:I, MATCH($D2, 자격증DB!$A:$A, 0))), "")</f>
        <v>공사(CB)</v>
      </c>
      <c r="Q2" s="108" t="str">
        <f>IFERROR(IF(INDEX(자격증DB!J:J, MATCH($D2, 자격증DB!$A:$A, 0))=0, "", INDEX(자격증DB!J:J, MATCH($D2, 자격증DB!$A:$A, 0))), "")</f>
        <v>학술(CC)</v>
      </c>
      <c r="R2" s="108" t="str">
        <f>IFERROR(IF(INDEX(자격증DB!K:K, MATCH($D2, 자격증DB!$A:$A, 0))=0, "", INDEX(자격증DB!K:K, MATCH($D2, 자격증DB!$A:$A, 0))), "")</f>
        <v>SW(CD)</v>
      </c>
      <c r="S2" s="108" t="str">
        <f>IFERROR(IF(INDEX(자격증DB!L:L, MATCH($D2, 자격증DB!$A:$A, 0))=0, "", INDEX(자격증DB!L:L, MATCH($D2, 자격증DB!$A:$A, 0))), "")</f>
        <v>사후정산(CE)</v>
      </c>
      <c r="T2" s="108" t="str">
        <f>IFERROR(IF(INDEX(자격증DB!M:M, MATCH($D2, 자격증DB!$A:$A, 0))=0, "", INDEX(자격증DB!M:M, MATCH($D2, 자격증DB!$A:$A, 0))), "")</f>
        <v>각종 수수료(CF)</v>
      </c>
      <c r="U2" s="108" t="str">
        <f>IFERROR(IF(INDEX(자격증DB!N:N, MATCH($D2, 자격증DB!$A:$A, 0))=0, "", INDEX(자격증DB!N:N, MATCH($D2, 자격증DB!$A:$A, 0))), "")</f>
        <v>법원감정(CG)</v>
      </c>
      <c r="V2" s="108" t="str">
        <f>IFERROR(IF(INDEX(자격증DB!O:O, MATCH($D2, 자격증DB!$A:$A, 0))=0, "", INDEX(자격증DB!O:O, MATCH($D2, 자격증DB!$A:$A, 0))), "")</f>
        <v>개발부담금</v>
      </c>
      <c r="W2" s="114" t="str">
        <f>IFERROR(IF(INDEX(자격증DB!P:P, MATCH($D2, 자격증DB!$A:$A, 0))=0, "", INDEX(자격증DB!P:P, MATCH($D2, 자격증DB!$A:$A, 0))), "")</f>
        <v/>
      </c>
      <c r="X2"/>
      <c r="Y2" s="210" t="str">
        <f>A2 &amp; "_" &amp; "자격증_" &amp; COUNTIFS($A$2:A2, A2)</f>
        <v>김민선_자격증_1</v>
      </c>
      <c r="Z2" s="210" t="str">
        <f>D2 &amp; "_" &amp;"자격증_" &amp;  COUNTIFS($D$2:D2, D2)</f>
        <v>공인원가분석사_자격증_1</v>
      </c>
    </row>
    <row r="3" spans="1:26" ht="20.100000000000001" customHeight="1">
      <c r="A3" s="204" t="s">
        <v>213</v>
      </c>
      <c r="B3" s="160" t="str">
        <f>IFERROR(INDEX(개인DB!C:C, MATCH($A3, 개인DB!B:B, 0)), "")</f>
        <v>원가분석</v>
      </c>
      <c r="C3" s="160" t="str">
        <f>IFERROR(INDEX(개인DB!D:D, MATCH($A3, 개인DB!B:B, 0)), "")</f>
        <v>위원</v>
      </c>
      <c r="D3" s="212" t="s">
        <v>214</v>
      </c>
      <c r="E3" s="160" t="str">
        <f>IFERROR(INDEX(자격증DB!E:E, MATCH($D3, 자격증DB!A:A, 0)), "")</f>
        <v>민간(국가)</v>
      </c>
      <c r="F3" s="132" t="str">
        <f>IFERROR(INDEX(자격증DB!B:B, MATCH($D3, 자격증DB!A:A, 0)), "")</f>
        <v>기획재정부</v>
      </c>
      <c r="G3" s="206" t="str">
        <f>IFERROR(INDEX(자격증DB!C:C, MATCH($D3, 자격증DB!A:A, 0)), "")</f>
        <v>한국원가관리협회</v>
      </c>
      <c r="H3" s="163" t="str">
        <f>IFERROR(INDEX(자격증DB!F:F, MATCH($D3, 자격증DB!A:A, 0)), "")</f>
        <v>등록증</v>
      </c>
      <c r="I3" s="207">
        <v>42167</v>
      </c>
      <c r="J3" s="207">
        <v>45832</v>
      </c>
      <c r="K3" s="208">
        <v>47645</v>
      </c>
      <c r="L3" s="209" t="str">
        <f t="shared" si="0"/>
        <v>PDF</v>
      </c>
      <c r="M3" s="210" t="str">
        <f t="shared" si="1"/>
        <v>공인원가분석사_권광민</v>
      </c>
      <c r="N3" s="211" t="str">
        <f>IFERROR(IF(INDEX(자격증DB!G:G, MATCH($D3, 자격증DB!$A:$A, 0))=0, "", INDEX(자격증DB!G:G, MATCH($D3, 자격증DB!$A:$A, 0))), "")</f>
        <v>공통</v>
      </c>
      <c r="O3" s="153" t="str">
        <f>IFERROR(IF(INDEX(자격증DB!H:H, MATCH($D3, 자격증DB!$A:$A, 0))=0, "", INDEX(자격증DB!H:H, MATCH($D3, 자격증DB!$A:$A, 0))), "")</f>
        <v>제조(CA)</v>
      </c>
      <c r="P3" s="108" t="str">
        <f>IFERROR(IF(INDEX(자격증DB!I:I, MATCH($D3, 자격증DB!$A:$A, 0))=0, "", INDEX(자격증DB!I:I, MATCH($D3, 자격증DB!$A:$A, 0))), "")</f>
        <v>공사(CB)</v>
      </c>
      <c r="Q3" s="108" t="str">
        <f>IFERROR(IF(INDEX(자격증DB!J:J, MATCH($D3, 자격증DB!$A:$A, 0))=0, "", INDEX(자격증DB!J:J, MATCH($D3, 자격증DB!$A:$A, 0))), "")</f>
        <v>학술(CC)</v>
      </c>
      <c r="R3" s="108" t="str">
        <f>IFERROR(IF(INDEX(자격증DB!K:K, MATCH($D3, 자격증DB!$A:$A, 0))=0, "", INDEX(자격증DB!K:K, MATCH($D3, 자격증DB!$A:$A, 0))), "")</f>
        <v>SW(CD)</v>
      </c>
      <c r="S3" s="108" t="str">
        <f>IFERROR(IF(INDEX(자격증DB!L:L, MATCH($D3, 자격증DB!$A:$A, 0))=0, "", INDEX(자격증DB!L:L, MATCH($D3, 자격증DB!$A:$A, 0))), "")</f>
        <v>사후정산(CE)</v>
      </c>
      <c r="T3" s="108" t="str">
        <f>IFERROR(IF(INDEX(자격증DB!M:M, MATCH($D3, 자격증DB!$A:$A, 0))=0, "", INDEX(자격증DB!M:M, MATCH($D3, 자격증DB!$A:$A, 0))), "")</f>
        <v>각종 수수료(CF)</v>
      </c>
      <c r="U3" s="108" t="str">
        <f>IFERROR(IF(INDEX(자격증DB!N:N, MATCH($D3, 자격증DB!$A:$A, 0))=0, "", INDEX(자격증DB!N:N, MATCH($D3, 자격증DB!$A:$A, 0))), "")</f>
        <v>법원감정(CG)</v>
      </c>
      <c r="V3" s="108" t="str">
        <f>IFERROR(IF(INDEX(자격증DB!O:O, MATCH($D3, 자격증DB!$A:$A, 0))=0, "", INDEX(자격증DB!O:O, MATCH($D3, 자격증DB!$A:$A, 0))), "")</f>
        <v>개발부담금</v>
      </c>
      <c r="W3" s="114" t="str">
        <f>IFERROR(IF(INDEX(자격증DB!P:P, MATCH($D3, 자격증DB!$A:$A, 0))=0, "", INDEX(자격증DB!P:P, MATCH($D3, 자격증DB!$A:$A, 0))), "")</f>
        <v/>
      </c>
      <c r="X3"/>
      <c r="Y3" s="361" t="str">
        <f>A3 &amp; "_" &amp; "자격증_" &amp; COUNTIFS($A$2:A3, A3)</f>
        <v>권광민_자격증_1</v>
      </c>
      <c r="Z3" s="361" t="str">
        <f>D3 &amp; "_" &amp;"자격증_" &amp;  COUNTIFS($D$2:D3, D3)</f>
        <v>공인원가분석사_자격증_2</v>
      </c>
    </row>
    <row r="4" spans="1:26" ht="20.100000000000001" customHeight="1">
      <c r="A4" s="204" t="s">
        <v>9</v>
      </c>
      <c r="B4" s="160" t="str">
        <f>IFERROR(INDEX(개인DB!C:C, MATCH($A4, 개인DB!B:B, 0)), "")</f>
        <v>원가분석</v>
      </c>
      <c r="C4" s="160" t="str">
        <f>IFERROR(INDEX(개인DB!D:D, MATCH($A4, 개인DB!B:B, 0)), "")</f>
        <v>위원</v>
      </c>
      <c r="D4" s="205" t="s">
        <v>134</v>
      </c>
      <c r="E4" s="160" t="str">
        <f>IFERROR(INDEX(자격증DB!E:E, MATCH($D4, 자격증DB!A:A, 0)), "")</f>
        <v>민간(국가)</v>
      </c>
      <c r="F4" s="132" t="str">
        <f>IFERROR(INDEX(자격증DB!B:B, MATCH($D4, 자격증DB!A:A, 0)), "")</f>
        <v>기획재정부</v>
      </c>
      <c r="G4" s="206" t="str">
        <f>IFERROR(INDEX(자격증DB!C:C, MATCH($D4, 자격증DB!A:A, 0)), "")</f>
        <v>한국원가관리협회</v>
      </c>
      <c r="H4" s="163" t="str">
        <f>IFERROR(INDEX(자격증DB!F:F, MATCH($D4, 자격증DB!A:A, 0)), "")</f>
        <v>등록증</v>
      </c>
      <c r="I4" s="207">
        <v>45241</v>
      </c>
      <c r="J4" s="207">
        <v>45244</v>
      </c>
      <c r="K4" s="208">
        <v>47067</v>
      </c>
      <c r="L4" s="209" t="str">
        <f t="shared" si="0"/>
        <v>PDF</v>
      </c>
      <c r="M4" s="210" t="str">
        <f t="shared" si="1"/>
        <v>공인원가분석사_김석표</v>
      </c>
      <c r="N4" s="211" t="str">
        <f>IFERROR(IF(INDEX(자격증DB!G:G, MATCH($D4, 자격증DB!$A:$A, 0))=0, "", INDEX(자격증DB!G:G, MATCH($D4, 자격증DB!$A:$A, 0))), "")</f>
        <v>공통</v>
      </c>
      <c r="O4" s="153" t="str">
        <f>IFERROR(IF(INDEX(자격증DB!H:H, MATCH($D4, 자격증DB!$A:$A, 0))=0, "", INDEX(자격증DB!H:H, MATCH($D4, 자격증DB!$A:$A, 0))), "")</f>
        <v>제조(CA)</v>
      </c>
      <c r="P4" s="108" t="str">
        <f>IFERROR(IF(INDEX(자격증DB!I:I, MATCH($D4, 자격증DB!$A:$A, 0))=0, "", INDEX(자격증DB!I:I, MATCH($D4, 자격증DB!$A:$A, 0))), "")</f>
        <v>공사(CB)</v>
      </c>
      <c r="Q4" s="108" t="str">
        <f>IFERROR(IF(INDEX(자격증DB!J:J, MATCH($D4, 자격증DB!$A:$A, 0))=0, "", INDEX(자격증DB!J:J, MATCH($D4, 자격증DB!$A:$A, 0))), "")</f>
        <v>학술(CC)</v>
      </c>
      <c r="R4" s="108" t="str">
        <f>IFERROR(IF(INDEX(자격증DB!K:K, MATCH($D4, 자격증DB!$A:$A, 0))=0, "", INDEX(자격증DB!K:K, MATCH($D4, 자격증DB!$A:$A, 0))), "")</f>
        <v>SW(CD)</v>
      </c>
      <c r="S4" s="108" t="str">
        <f>IFERROR(IF(INDEX(자격증DB!L:L, MATCH($D4, 자격증DB!$A:$A, 0))=0, "", INDEX(자격증DB!L:L, MATCH($D4, 자격증DB!$A:$A, 0))), "")</f>
        <v>사후정산(CE)</v>
      </c>
      <c r="T4" s="108" t="str">
        <f>IFERROR(IF(INDEX(자격증DB!M:M, MATCH($D4, 자격증DB!$A:$A, 0))=0, "", INDEX(자격증DB!M:M, MATCH($D4, 자격증DB!$A:$A, 0))), "")</f>
        <v>각종 수수료(CF)</v>
      </c>
      <c r="U4" s="108" t="str">
        <f>IFERROR(IF(INDEX(자격증DB!N:N, MATCH($D4, 자격증DB!$A:$A, 0))=0, "", INDEX(자격증DB!N:N, MATCH($D4, 자격증DB!$A:$A, 0))), "")</f>
        <v>법원감정(CG)</v>
      </c>
      <c r="V4" s="108" t="str">
        <f>IFERROR(IF(INDEX(자격증DB!O:O, MATCH($D4, 자격증DB!$A:$A, 0))=0, "", INDEX(자격증DB!O:O, MATCH($D4, 자격증DB!$A:$A, 0))), "")</f>
        <v>개발부담금</v>
      </c>
      <c r="W4" s="114" t="str">
        <f>IFERROR(IF(INDEX(자격증DB!P:P, MATCH($D4, 자격증DB!$A:$A, 0))=0, "", INDEX(자격증DB!P:P, MATCH($D4, 자격증DB!$A:$A, 0))), "")</f>
        <v/>
      </c>
      <c r="X4"/>
      <c r="Y4" s="210" t="str">
        <f>A4 &amp; "_" &amp; "자격증_" &amp; COUNTIFS($A$2:A4, A4)</f>
        <v>김석표_자격증_1</v>
      </c>
      <c r="Z4" s="210" t="str">
        <f>D4 &amp; "_" &amp;"자격증_" &amp;  COUNTIFS($D$2:D4, D4)</f>
        <v>공인원가분석사_자격증_3</v>
      </c>
    </row>
    <row r="5" spans="1:26" ht="20.100000000000001" customHeight="1">
      <c r="A5" s="204" t="s">
        <v>279</v>
      </c>
      <c r="B5" s="160" t="str">
        <f>IFERROR(INDEX(개인DB!C:C, MATCH($A5, 개인DB!B:B, 0)), "")</f>
        <v>원가분석</v>
      </c>
      <c r="C5" s="160" t="str">
        <f>IFERROR(INDEX(개인DB!D:D, MATCH($A5, 개인DB!B:B, 0)), "")</f>
        <v>위원</v>
      </c>
      <c r="D5" s="213" t="s">
        <v>82</v>
      </c>
      <c r="E5" s="160" t="str">
        <f>IFERROR(INDEX(자격증DB!E:E, MATCH($D5, 자격증DB!A:A, 0)), "")</f>
        <v>민간(국가)</v>
      </c>
      <c r="F5" s="132" t="str">
        <f>IFERROR(INDEX(자격증DB!B:B, MATCH($D5, 자격증DB!A:A, 0)), "")</f>
        <v>기획재정부</v>
      </c>
      <c r="G5" s="206" t="str">
        <f>IFERROR(INDEX(자격증DB!C:C, MATCH($D5, 자격증DB!A:A, 0)), "")</f>
        <v>한국원가관리협회</v>
      </c>
      <c r="H5" s="163" t="str">
        <f>IFERROR(INDEX(자격증DB!F:F, MATCH($D5, 자격증DB!A:A, 0)), "")</f>
        <v>등록증</v>
      </c>
      <c r="I5" s="214">
        <v>43413</v>
      </c>
      <c r="J5" s="214">
        <v>45314</v>
      </c>
      <c r="K5" s="215">
        <v>47065</v>
      </c>
      <c r="L5" s="209" t="str">
        <f t="shared" si="0"/>
        <v>PDF</v>
      </c>
      <c r="M5" s="216" t="str">
        <f t="shared" si="1"/>
        <v>공인원가분석사_이규희</v>
      </c>
      <c r="N5" s="217" t="str">
        <f>IFERROR(IF(INDEX(자격증DB!G:G, MATCH($D5, 자격증DB!$A:$A, 0))=0, "", INDEX(자격증DB!G:G, MATCH($D5, 자격증DB!$A:$A, 0))), "")</f>
        <v>공통</v>
      </c>
      <c r="O5" s="153" t="str">
        <f>IFERROR(IF(INDEX(자격증DB!H:H, MATCH($D5, 자격증DB!$A:$A, 0))=0, "", INDEX(자격증DB!H:H, MATCH($D5, 자격증DB!$A:$A, 0))), "")</f>
        <v>제조(CA)</v>
      </c>
      <c r="P5" s="108" t="str">
        <f>IFERROR(IF(INDEX(자격증DB!I:I, MATCH($D5, 자격증DB!$A:$A, 0))=0, "", INDEX(자격증DB!I:I, MATCH($D5, 자격증DB!$A:$A, 0))), "")</f>
        <v>공사(CB)</v>
      </c>
      <c r="Q5" s="108" t="str">
        <f>IFERROR(IF(INDEX(자격증DB!J:J, MATCH($D5, 자격증DB!$A:$A, 0))=0, "", INDEX(자격증DB!J:J, MATCH($D5, 자격증DB!$A:$A, 0))), "")</f>
        <v>학술(CC)</v>
      </c>
      <c r="R5" s="108" t="str">
        <f>IFERROR(IF(INDEX(자격증DB!K:K, MATCH($D5, 자격증DB!$A:$A, 0))=0, "", INDEX(자격증DB!K:K, MATCH($D5, 자격증DB!$A:$A, 0))), "")</f>
        <v>SW(CD)</v>
      </c>
      <c r="S5" s="108" t="str">
        <f>IFERROR(IF(INDEX(자격증DB!L:L, MATCH($D5, 자격증DB!$A:$A, 0))=0, "", INDEX(자격증DB!L:L, MATCH($D5, 자격증DB!$A:$A, 0))), "")</f>
        <v>사후정산(CE)</v>
      </c>
      <c r="T5" s="108" t="str">
        <f>IFERROR(IF(INDEX(자격증DB!M:M, MATCH($D5, 자격증DB!$A:$A, 0))=0, "", INDEX(자격증DB!M:M, MATCH($D5, 자격증DB!$A:$A, 0))), "")</f>
        <v>각종 수수료(CF)</v>
      </c>
      <c r="U5" s="108" t="str">
        <f>IFERROR(IF(INDEX(자격증DB!N:N, MATCH($D5, 자격증DB!$A:$A, 0))=0, "", INDEX(자격증DB!N:N, MATCH($D5, 자격증DB!$A:$A, 0))), "")</f>
        <v>법원감정(CG)</v>
      </c>
      <c r="V5" s="108" t="str">
        <f>IFERROR(IF(INDEX(자격증DB!O:O, MATCH($D5, 자격증DB!$A:$A, 0))=0, "", INDEX(자격증DB!O:O, MATCH($D5, 자격증DB!$A:$A, 0))), "")</f>
        <v>개발부담금</v>
      </c>
      <c r="W5" s="114" t="str">
        <f>IFERROR(IF(INDEX(자격증DB!P:P, MATCH($D5, 자격증DB!$A:$A, 0))=0, "", INDEX(자격증DB!P:P, MATCH($D5, 자격증DB!$A:$A, 0))), "")</f>
        <v/>
      </c>
      <c r="X5"/>
      <c r="Y5" s="362" t="str">
        <f>A5 &amp; "_" &amp; "자격증_" &amp; COUNTIFS($A$2:A5, A5)</f>
        <v>이규희_자격증_1</v>
      </c>
      <c r="Z5" s="362" t="str">
        <f>D5 &amp; "_" &amp;"자격증_" &amp;  COUNTIFS($D$2:D5, D5)</f>
        <v>공인원가분석사_자격증_4</v>
      </c>
    </row>
    <row r="6" spans="1:26" ht="20.100000000000001" customHeight="1">
      <c r="A6" s="218" t="s">
        <v>27</v>
      </c>
      <c r="B6" s="160" t="str">
        <f>IFERROR(INDEX(개인DB!C:C, MATCH($A6, 개인DB!B:B, 0)), "")</f>
        <v>원가분석</v>
      </c>
      <c r="C6" s="160" t="str">
        <f>IFERROR(INDEX(개인DB!D:D, MATCH($A6, 개인DB!B:B, 0)), "")</f>
        <v>위원</v>
      </c>
      <c r="D6" s="219" t="s">
        <v>82</v>
      </c>
      <c r="E6" s="160" t="str">
        <f>IFERROR(INDEX(자격증DB!E:E, MATCH($D6, 자격증DB!A:A, 0)), "")</f>
        <v>민간(국가)</v>
      </c>
      <c r="F6" s="132" t="str">
        <f>IFERROR(INDEX(자격증DB!B:B, MATCH($D6, 자격증DB!A:A, 0)), "")</f>
        <v>기획재정부</v>
      </c>
      <c r="G6" s="206" t="str">
        <f>IFERROR(INDEX(자격증DB!C:C, MATCH($D6, 자격증DB!A:A, 0)), "")</f>
        <v>한국원가관리협회</v>
      </c>
      <c r="H6" s="163" t="str">
        <f>IFERROR(INDEX(자격증DB!F:F, MATCH($D6, 자격증DB!A:A, 0)), "")</f>
        <v>등록증</v>
      </c>
      <c r="I6" s="220">
        <v>42167</v>
      </c>
      <c r="J6" s="220">
        <v>45820</v>
      </c>
      <c r="K6" s="221">
        <v>47645</v>
      </c>
      <c r="L6" s="209" t="str">
        <f t="shared" si="0"/>
        <v>PDF</v>
      </c>
      <c r="M6" s="222" t="str">
        <f t="shared" si="1"/>
        <v>공인원가분석사_이동환</v>
      </c>
      <c r="N6" s="223" t="str">
        <f>IFERROR(IF(INDEX(자격증DB!G:G, MATCH($D6, 자격증DB!$A:$A, 0))=0, "", INDEX(자격증DB!G:G, MATCH($D6, 자격증DB!$A:$A, 0))), "")</f>
        <v>공통</v>
      </c>
      <c r="O6" s="153" t="str">
        <f>IFERROR(IF(INDEX(자격증DB!H:H, MATCH($D6, 자격증DB!$A:$A, 0))=0, "", INDEX(자격증DB!H:H, MATCH($D6, 자격증DB!$A:$A, 0))), "")</f>
        <v>제조(CA)</v>
      </c>
      <c r="P6" s="108" t="str">
        <f>IFERROR(IF(INDEX(자격증DB!I:I, MATCH($D6, 자격증DB!$A:$A, 0))=0, "", INDEX(자격증DB!I:I, MATCH($D6, 자격증DB!$A:$A, 0))), "")</f>
        <v>공사(CB)</v>
      </c>
      <c r="Q6" s="108" t="str">
        <f>IFERROR(IF(INDEX(자격증DB!J:J, MATCH($D6, 자격증DB!$A:$A, 0))=0, "", INDEX(자격증DB!J:J, MATCH($D6, 자격증DB!$A:$A, 0))), "")</f>
        <v>학술(CC)</v>
      </c>
      <c r="R6" s="108" t="str">
        <f>IFERROR(IF(INDEX(자격증DB!K:K, MATCH($D6, 자격증DB!$A:$A, 0))=0, "", INDEX(자격증DB!K:K, MATCH($D6, 자격증DB!$A:$A, 0))), "")</f>
        <v>SW(CD)</v>
      </c>
      <c r="S6" s="108" t="str">
        <f>IFERROR(IF(INDEX(자격증DB!L:L, MATCH($D6, 자격증DB!$A:$A, 0))=0, "", INDEX(자격증DB!L:L, MATCH($D6, 자격증DB!$A:$A, 0))), "")</f>
        <v>사후정산(CE)</v>
      </c>
      <c r="T6" s="108" t="str">
        <f>IFERROR(IF(INDEX(자격증DB!M:M, MATCH($D6, 자격증DB!$A:$A, 0))=0, "", INDEX(자격증DB!M:M, MATCH($D6, 자격증DB!$A:$A, 0))), "")</f>
        <v>각종 수수료(CF)</v>
      </c>
      <c r="U6" s="108" t="str">
        <f>IFERROR(IF(INDEX(자격증DB!N:N, MATCH($D6, 자격증DB!$A:$A, 0))=0, "", INDEX(자격증DB!N:N, MATCH($D6, 자격증DB!$A:$A, 0))), "")</f>
        <v>법원감정(CG)</v>
      </c>
      <c r="V6" s="108" t="str">
        <f>IFERROR(IF(INDEX(자격증DB!O:O, MATCH($D6, 자격증DB!$A:$A, 0))=0, "", INDEX(자격증DB!O:O, MATCH($D6, 자격증DB!$A:$A, 0))), "")</f>
        <v>개발부담금</v>
      </c>
      <c r="W6" s="114" t="str">
        <f>IFERROR(IF(INDEX(자격증DB!P:P, MATCH($D6, 자격증DB!$A:$A, 0))=0, "", INDEX(자격증DB!P:P, MATCH($D6, 자격증DB!$A:$A, 0))), "")</f>
        <v/>
      </c>
      <c r="X6"/>
      <c r="Y6" s="222" t="str">
        <f>A6 &amp; "_" &amp; "자격증_" &amp; COUNTIFS($A$2:A6, A6)</f>
        <v>이동환_자격증_1</v>
      </c>
      <c r="Z6" s="222" t="str">
        <f>D6 &amp; "_" &amp;"자격증_" &amp;  COUNTIFS($D$2:D6, D6)</f>
        <v>공인원가분석사_자격증_5</v>
      </c>
    </row>
    <row r="7" spans="1:26" ht="20.100000000000001" customHeight="1">
      <c r="A7" s="204" t="s">
        <v>3</v>
      </c>
      <c r="B7" s="160" t="str">
        <f>IFERROR(INDEX(개인DB!C:C, MATCH($A7, 개인DB!B:B, 0)), "")</f>
        <v>원가분석</v>
      </c>
      <c r="C7" s="160" t="str">
        <f>IFERROR(INDEX(개인DB!D:D, MATCH($A7, 개인DB!B:B, 0)), "")</f>
        <v>이사</v>
      </c>
      <c r="D7" s="213" t="s">
        <v>134</v>
      </c>
      <c r="E7" s="160" t="str">
        <f>IFERROR(INDEX(자격증DB!E:E, MATCH($D7, 자격증DB!A:A, 0)), "X")</f>
        <v>민간(국가)</v>
      </c>
      <c r="F7" s="132" t="str">
        <f>IFERROR(INDEX(자격증DB!B:B, MATCH($D7, 자격증DB!A:A, 0)), "X")</f>
        <v>기획재정부</v>
      </c>
      <c r="G7" s="206" t="str">
        <f>IFERROR(INDEX(자격증DB!C:C, MATCH($D7, 자격증DB!A:A, 0)), "")</f>
        <v>한국원가관리협회</v>
      </c>
      <c r="H7" s="163" t="str">
        <f>IFERROR(INDEX(자격증DB!F:F, MATCH($D7, 자격증DB!A:A, 0)), "")</f>
        <v>등록증</v>
      </c>
      <c r="I7" s="214">
        <v>42104</v>
      </c>
      <c r="J7" s="214">
        <v>45757</v>
      </c>
      <c r="K7" s="215">
        <v>47582</v>
      </c>
      <c r="L7" s="209" t="str">
        <f t="shared" si="0"/>
        <v>PDF</v>
      </c>
      <c r="M7" s="216" t="str">
        <f t="shared" si="1"/>
        <v>공인원가분석사_하은정</v>
      </c>
      <c r="N7" s="217" t="str">
        <f>IFERROR(IF(INDEX(자격증DB!G:G, MATCH($D7, 자격증DB!$A:$A, 0))=0, "", INDEX(자격증DB!G:G, MATCH($D7, 자격증DB!$A:$A, 0))), "")</f>
        <v>공통</v>
      </c>
      <c r="O7" s="153" t="str">
        <f>IFERROR(IF(INDEX(자격증DB!H:H, MATCH($D7, 자격증DB!$A:$A, 0))=0, "", INDEX(자격증DB!H:H, MATCH($D7, 자격증DB!$A:$A, 0))), "")</f>
        <v>제조(CA)</v>
      </c>
      <c r="P7" s="108" t="str">
        <f>IFERROR(IF(INDEX(자격증DB!I:I, MATCH($D7, 자격증DB!$A:$A, 0))=0, "", INDEX(자격증DB!I:I, MATCH($D7, 자격증DB!$A:$A, 0))), "")</f>
        <v>공사(CB)</v>
      </c>
      <c r="Q7" s="108" t="str">
        <f>IFERROR(IF(INDEX(자격증DB!J:J, MATCH($D7, 자격증DB!$A:$A, 0))=0, "", INDEX(자격증DB!J:J, MATCH($D7, 자격증DB!$A:$A, 0))), "")</f>
        <v>학술(CC)</v>
      </c>
      <c r="R7" s="108" t="str">
        <f>IFERROR(IF(INDEX(자격증DB!K:K, MATCH($D7, 자격증DB!$A:$A, 0))=0, "", INDEX(자격증DB!K:K, MATCH($D7, 자격증DB!$A:$A, 0))), "")</f>
        <v>SW(CD)</v>
      </c>
      <c r="S7" s="108" t="str">
        <f>IFERROR(IF(INDEX(자격증DB!L:L, MATCH($D7, 자격증DB!$A:$A, 0))=0, "", INDEX(자격증DB!L:L, MATCH($D7, 자격증DB!$A:$A, 0))), "")</f>
        <v>사후정산(CE)</v>
      </c>
      <c r="T7" s="108" t="str">
        <f>IFERROR(IF(INDEX(자격증DB!M:M, MATCH($D7, 자격증DB!$A:$A, 0))=0, "", INDEX(자격증DB!M:M, MATCH($D7, 자격증DB!$A:$A, 0))), "")</f>
        <v>각종 수수료(CF)</v>
      </c>
      <c r="U7" s="108" t="str">
        <f>IFERROR(IF(INDEX(자격증DB!N:N, MATCH($D7, 자격증DB!$A:$A, 0))=0, "", INDEX(자격증DB!N:N, MATCH($D7, 자격증DB!$A:$A, 0))), "")</f>
        <v>법원감정(CG)</v>
      </c>
      <c r="V7" s="108" t="str">
        <f>IFERROR(IF(INDEX(자격증DB!O:O, MATCH($D7, 자격증DB!$A:$A, 0))=0, "", INDEX(자격증DB!O:O, MATCH($D7, 자격증DB!$A:$A, 0))), "")</f>
        <v>개발부담금</v>
      </c>
      <c r="W7" s="114" t="str">
        <f>IFERROR(IF(INDEX(자격증DB!P:P, MATCH($D7, 자격증DB!$A:$A, 0))=0, "", INDEX(자격증DB!P:P, MATCH($D7, 자격증DB!$A:$A, 0))), "")</f>
        <v/>
      </c>
      <c r="X7"/>
      <c r="Y7" s="362" t="str">
        <f>A7 &amp; "_" &amp; "자격증_" &amp; COUNTIFS($A$2:A7, A7)</f>
        <v>하은정_자격증_1</v>
      </c>
      <c r="Z7" s="362" t="str">
        <f>D7 &amp; "_" &amp;"자격증_" &amp;  COUNTIFS($D$2:D7, D7)</f>
        <v>공인원가분석사_자격증_6</v>
      </c>
    </row>
    <row r="8" spans="1:26" ht="20.100000000000001" customHeight="1">
      <c r="A8" s="204" t="s">
        <v>14</v>
      </c>
      <c r="B8" s="160" t="str">
        <f>IFERROR(INDEX(개인DB!C:C, MATCH($A8, 개인DB!B:B, 0)), "")</f>
        <v>품질관리</v>
      </c>
      <c r="C8" s="160" t="str">
        <f>IFERROR(INDEX(개인DB!D:D, MATCH($A8, 개인DB!B:B, 0)), "")</f>
        <v>이사</v>
      </c>
      <c r="D8" s="212" t="s">
        <v>134</v>
      </c>
      <c r="E8" s="160" t="str">
        <f>IFERROR(INDEX(자격증DB!E:E, MATCH($D8, 자격증DB!A:A, 0)), "")</f>
        <v>민간(국가)</v>
      </c>
      <c r="F8" s="132" t="str">
        <f>IFERROR(INDEX(자격증DB!B:B, MATCH($D8, 자격증DB!A:A, 0)), "")</f>
        <v>기획재정부</v>
      </c>
      <c r="G8" s="206" t="str">
        <f>IFERROR(INDEX(자격증DB!C:C, MATCH($D8, 자격증DB!A:A, 0)), "")</f>
        <v>한국원가관리협회</v>
      </c>
      <c r="H8" s="163" t="str">
        <f>IFERROR(INDEX(자격증DB!F:F, MATCH($D8, 자격증DB!A:A, 0)), "")</f>
        <v>등록증</v>
      </c>
      <c r="I8" s="207">
        <v>44358</v>
      </c>
      <c r="J8" s="207" t="s">
        <v>872</v>
      </c>
      <c r="K8" s="208" t="s">
        <v>873</v>
      </c>
      <c r="L8" s="209" t="str">
        <f t="shared" si="0"/>
        <v>PDF</v>
      </c>
      <c r="M8" s="210" t="str">
        <f t="shared" si="1"/>
        <v>공인원가분석사_김창수</v>
      </c>
      <c r="N8" s="211" t="str">
        <f>IFERROR(IF(INDEX(자격증DB!G:G, MATCH($D8, 자격증DB!$A:$A, 0))=0, "", INDEX(자격증DB!G:G, MATCH($D8, 자격증DB!$A:$A, 0))), "")</f>
        <v>공통</v>
      </c>
      <c r="O8" s="153" t="str">
        <f>IFERROR(IF(INDEX(자격증DB!H:H, MATCH($D8, 자격증DB!$A:$A, 0))=0, "", INDEX(자격증DB!H:H, MATCH($D8, 자격증DB!$A:$A, 0))), "")</f>
        <v>제조(CA)</v>
      </c>
      <c r="P8" s="108" t="str">
        <f>IFERROR(IF(INDEX(자격증DB!I:I, MATCH($D8, 자격증DB!$A:$A, 0))=0, "", INDEX(자격증DB!I:I, MATCH($D8, 자격증DB!$A:$A, 0))), "")</f>
        <v>공사(CB)</v>
      </c>
      <c r="Q8" s="108" t="str">
        <f>IFERROR(IF(INDEX(자격증DB!J:J, MATCH($D8, 자격증DB!$A:$A, 0))=0, "", INDEX(자격증DB!J:J, MATCH($D8, 자격증DB!$A:$A, 0))), "")</f>
        <v>학술(CC)</v>
      </c>
      <c r="R8" s="108" t="str">
        <f>IFERROR(IF(INDEX(자격증DB!K:K, MATCH($D8, 자격증DB!$A:$A, 0))=0, "", INDEX(자격증DB!K:K, MATCH($D8, 자격증DB!$A:$A, 0))), "")</f>
        <v>SW(CD)</v>
      </c>
      <c r="S8" s="108" t="str">
        <f>IFERROR(IF(INDEX(자격증DB!L:L, MATCH($D8, 자격증DB!$A:$A, 0))=0, "", INDEX(자격증DB!L:L, MATCH($D8, 자격증DB!$A:$A, 0))), "")</f>
        <v>사후정산(CE)</v>
      </c>
      <c r="T8" s="108" t="str">
        <f>IFERROR(IF(INDEX(자격증DB!M:M, MATCH($D8, 자격증DB!$A:$A, 0))=0, "", INDEX(자격증DB!M:M, MATCH($D8, 자격증DB!$A:$A, 0))), "")</f>
        <v>각종 수수료(CF)</v>
      </c>
      <c r="U8" s="108" t="str">
        <f>IFERROR(IF(INDEX(자격증DB!N:N, MATCH($D8, 자격증DB!$A:$A, 0))=0, "", INDEX(자격증DB!N:N, MATCH($D8, 자격증DB!$A:$A, 0))), "")</f>
        <v>법원감정(CG)</v>
      </c>
      <c r="V8" s="108" t="str">
        <f>IFERROR(IF(INDEX(자격증DB!O:O, MATCH($D8, 자격증DB!$A:$A, 0))=0, "", INDEX(자격증DB!O:O, MATCH($D8, 자격증DB!$A:$A, 0))), "")</f>
        <v>개발부담금</v>
      </c>
      <c r="W8" s="114" t="str">
        <f>IFERROR(IF(INDEX(자격증DB!P:P, MATCH($D8, 자격증DB!$A:$A, 0))=0, "", INDEX(자격증DB!P:P, MATCH($D8, 자격증DB!$A:$A, 0))), "")</f>
        <v/>
      </c>
      <c r="X8"/>
      <c r="Y8" s="210" t="str">
        <f>A8 &amp; "_" &amp; "자격증_" &amp; COUNTIFS($A$2:A8, A8)</f>
        <v>김창수_자격증_1</v>
      </c>
      <c r="Z8" s="210" t="str">
        <f>D8 &amp; "_" &amp;"자격증_" &amp;  COUNTIFS($D$2:D8, D8)</f>
        <v>공인원가분석사_자격증_7</v>
      </c>
    </row>
    <row r="9" spans="1:26" ht="20.100000000000001" customHeight="1">
      <c r="A9" s="204" t="s">
        <v>219</v>
      </c>
      <c r="B9" s="160" t="str">
        <f>IFERROR(INDEX(개인DB!C:C, MATCH($A9, 개인DB!B:B, 0)), "")</f>
        <v>품질관리</v>
      </c>
      <c r="C9" s="160" t="str">
        <f>IFERROR(INDEX(개인DB!D:D, MATCH($A9, 개인DB!B:B, 0)), "")</f>
        <v>위원</v>
      </c>
      <c r="D9" s="212" t="s">
        <v>214</v>
      </c>
      <c r="E9" s="160" t="str">
        <f>IFERROR(INDEX(자격증DB!E:E, MATCH($D9, 자격증DB!A:A, 0)), "")</f>
        <v>민간(국가)</v>
      </c>
      <c r="F9" s="132" t="str">
        <f>IFERROR(INDEX(자격증DB!B:B, MATCH($D9, 자격증DB!A:A, 0)), "")</f>
        <v>기획재정부</v>
      </c>
      <c r="G9" s="206" t="str">
        <f>IFERROR(INDEX(자격증DB!C:C, MATCH($D9, 자격증DB!A:A, 0)), "")</f>
        <v>한국원가관리협회</v>
      </c>
      <c r="H9" s="163" t="str">
        <f>IFERROR(INDEX(자격증DB!F:F, MATCH($D9, 자격증DB!A:A, 0)), "")</f>
        <v>등록증</v>
      </c>
      <c r="I9" s="207">
        <v>42713</v>
      </c>
      <c r="J9" s="207">
        <v>44504</v>
      </c>
      <c r="K9" s="208">
        <v>46364</v>
      </c>
      <c r="L9" s="209" t="str">
        <f t="shared" si="0"/>
        <v>PDF</v>
      </c>
      <c r="M9" s="210" t="str">
        <f t="shared" si="1"/>
        <v>공인원가분석사_김재희</v>
      </c>
      <c r="N9" s="211" t="str">
        <f>IFERROR(IF(INDEX(자격증DB!G:G, MATCH($D9, 자격증DB!$A:$A, 0))=0, "", INDEX(자격증DB!G:G, MATCH($D9, 자격증DB!$A:$A, 0))), "")</f>
        <v>공통</v>
      </c>
      <c r="O9" s="153" t="str">
        <f>IFERROR(IF(INDEX(자격증DB!H:H, MATCH($D9, 자격증DB!$A:$A, 0))=0, "", INDEX(자격증DB!H:H, MATCH($D9, 자격증DB!$A:$A, 0))), "")</f>
        <v>제조(CA)</v>
      </c>
      <c r="P9" s="108" t="str">
        <f>IFERROR(IF(INDEX(자격증DB!I:I, MATCH($D9, 자격증DB!$A:$A, 0))=0, "", INDEX(자격증DB!I:I, MATCH($D9, 자격증DB!$A:$A, 0))), "")</f>
        <v>공사(CB)</v>
      </c>
      <c r="Q9" s="108" t="str">
        <f>IFERROR(IF(INDEX(자격증DB!J:J, MATCH($D9, 자격증DB!$A:$A, 0))=0, "", INDEX(자격증DB!J:J, MATCH($D9, 자격증DB!$A:$A, 0))), "")</f>
        <v>학술(CC)</v>
      </c>
      <c r="R9" s="108" t="str">
        <f>IFERROR(IF(INDEX(자격증DB!K:K, MATCH($D9, 자격증DB!$A:$A, 0))=0, "", INDEX(자격증DB!K:K, MATCH($D9, 자격증DB!$A:$A, 0))), "")</f>
        <v>SW(CD)</v>
      </c>
      <c r="S9" s="108" t="str">
        <f>IFERROR(IF(INDEX(자격증DB!L:L, MATCH($D9, 자격증DB!$A:$A, 0))=0, "", INDEX(자격증DB!L:L, MATCH($D9, 자격증DB!$A:$A, 0))), "")</f>
        <v>사후정산(CE)</v>
      </c>
      <c r="T9" s="108" t="str">
        <f>IFERROR(IF(INDEX(자격증DB!M:M, MATCH($D9, 자격증DB!$A:$A, 0))=0, "", INDEX(자격증DB!M:M, MATCH($D9, 자격증DB!$A:$A, 0))), "")</f>
        <v>각종 수수료(CF)</v>
      </c>
      <c r="U9" s="108" t="str">
        <f>IFERROR(IF(INDEX(자격증DB!N:N, MATCH($D9, 자격증DB!$A:$A, 0))=0, "", INDEX(자격증DB!N:N, MATCH($D9, 자격증DB!$A:$A, 0))), "")</f>
        <v>법원감정(CG)</v>
      </c>
      <c r="V9" s="108" t="str">
        <f>IFERROR(IF(INDEX(자격증DB!O:O, MATCH($D9, 자격증DB!$A:$A, 0))=0, "", INDEX(자격증DB!O:O, MATCH($D9, 자격증DB!$A:$A, 0))), "")</f>
        <v>개발부담금</v>
      </c>
      <c r="W9" s="114" t="str">
        <f>IFERROR(IF(INDEX(자격증DB!P:P, MATCH($D9, 자격증DB!$A:$A, 0))=0, "", INDEX(자격증DB!P:P, MATCH($D9, 자격증DB!$A:$A, 0))), "")</f>
        <v/>
      </c>
      <c r="X9"/>
      <c r="Y9" s="361" t="str">
        <f>A9 &amp; "_" &amp; "자격증_" &amp; COUNTIFS($A$2:A9, A9)</f>
        <v>김재희_자격증_1</v>
      </c>
      <c r="Z9" s="361" t="str">
        <f>D9 &amp; "_" &amp;"자격증_" &amp;  COUNTIFS($D$2:D9, D9)</f>
        <v>공인원가분석사_자격증_8</v>
      </c>
    </row>
    <row r="10" spans="1:26" ht="20.100000000000001" customHeight="1">
      <c r="A10" s="204" t="s">
        <v>17</v>
      </c>
      <c r="B10" s="160" t="str">
        <f>IFERROR(INDEX(개인DB!C:C, MATCH($A10, 개인DB!B:B, 0)), "")</f>
        <v>품질관리</v>
      </c>
      <c r="C10" s="160" t="str">
        <f>IFERROR(INDEX(개인DB!D:D, MATCH($A10, 개인DB!B:B, 0)), "")</f>
        <v>위원</v>
      </c>
      <c r="D10" s="213" t="s">
        <v>82</v>
      </c>
      <c r="E10" s="160" t="str">
        <f>IFERROR(INDEX(자격증DB!E:E, MATCH($D10, 자격증DB!A:A, 0)), "")</f>
        <v>민간(국가)</v>
      </c>
      <c r="F10" s="132" t="str">
        <f>IFERROR(INDEX(자격증DB!B:B, MATCH($D10, 자격증DB!A:A, 0)), "")</f>
        <v>기획재정부</v>
      </c>
      <c r="G10" s="206" t="str">
        <f>IFERROR(INDEX(자격증DB!C:C, MATCH($D10, 자격증DB!A:A, 0)), "")</f>
        <v>한국원가관리협회</v>
      </c>
      <c r="H10" s="163" t="str">
        <f>IFERROR(INDEX(자격증DB!F:F, MATCH($D10, 자격증DB!A:A, 0)), "")</f>
        <v>등록증</v>
      </c>
      <c r="I10" s="214">
        <v>42167</v>
      </c>
      <c r="J10" s="214">
        <v>45820</v>
      </c>
      <c r="K10" s="215">
        <v>47645</v>
      </c>
      <c r="L10" s="209" t="str">
        <f t="shared" si="0"/>
        <v>PDF</v>
      </c>
      <c r="M10" s="216" t="str">
        <f t="shared" si="1"/>
        <v>공인원가분석사_박판진</v>
      </c>
      <c r="N10" s="217" t="str">
        <f>IFERROR(IF(INDEX(자격증DB!G:G, MATCH($D10, 자격증DB!$A:$A, 0))=0, "", INDEX(자격증DB!G:G, MATCH($D10, 자격증DB!$A:$A, 0))), "")</f>
        <v>공통</v>
      </c>
      <c r="O10" s="153" t="str">
        <f>IFERROR(IF(INDEX(자격증DB!H:H, MATCH($D10, 자격증DB!$A:$A, 0))=0, "", INDEX(자격증DB!H:H, MATCH($D10, 자격증DB!$A:$A, 0))), "")</f>
        <v>제조(CA)</v>
      </c>
      <c r="P10" s="108" t="str">
        <f>IFERROR(IF(INDEX(자격증DB!I:I, MATCH($D10, 자격증DB!$A:$A, 0))=0, "", INDEX(자격증DB!I:I, MATCH($D10, 자격증DB!$A:$A, 0))), "")</f>
        <v>공사(CB)</v>
      </c>
      <c r="Q10" s="108" t="str">
        <f>IFERROR(IF(INDEX(자격증DB!J:J, MATCH($D10, 자격증DB!$A:$A, 0))=0, "", INDEX(자격증DB!J:J, MATCH($D10, 자격증DB!$A:$A, 0))), "")</f>
        <v>학술(CC)</v>
      </c>
      <c r="R10" s="108" t="str">
        <f>IFERROR(IF(INDEX(자격증DB!K:K, MATCH($D10, 자격증DB!$A:$A, 0))=0, "", INDEX(자격증DB!K:K, MATCH($D10, 자격증DB!$A:$A, 0))), "")</f>
        <v>SW(CD)</v>
      </c>
      <c r="S10" s="108" t="str">
        <f>IFERROR(IF(INDEX(자격증DB!L:L, MATCH($D10, 자격증DB!$A:$A, 0))=0, "", INDEX(자격증DB!L:L, MATCH($D10, 자격증DB!$A:$A, 0))), "")</f>
        <v>사후정산(CE)</v>
      </c>
      <c r="T10" s="108" t="str">
        <f>IFERROR(IF(INDEX(자격증DB!M:M, MATCH($D10, 자격증DB!$A:$A, 0))=0, "", INDEX(자격증DB!M:M, MATCH($D10, 자격증DB!$A:$A, 0))), "")</f>
        <v>각종 수수료(CF)</v>
      </c>
      <c r="U10" s="108" t="str">
        <f>IFERROR(IF(INDEX(자격증DB!N:N, MATCH($D10, 자격증DB!$A:$A, 0))=0, "", INDEX(자격증DB!N:N, MATCH($D10, 자격증DB!$A:$A, 0))), "")</f>
        <v>법원감정(CG)</v>
      </c>
      <c r="V10" s="108" t="str">
        <f>IFERROR(IF(INDEX(자격증DB!O:O, MATCH($D10, 자격증DB!$A:$A, 0))=0, "", INDEX(자격증DB!O:O, MATCH($D10, 자격증DB!$A:$A, 0))), "")</f>
        <v>개발부담금</v>
      </c>
      <c r="W10" s="114" t="str">
        <f>IFERROR(IF(INDEX(자격증DB!P:P, MATCH($D10, 자격증DB!$A:$A, 0))=0, "", INDEX(자격증DB!P:P, MATCH($D10, 자격증DB!$A:$A, 0))), "")</f>
        <v/>
      </c>
      <c r="X10"/>
      <c r="Y10" s="216" t="str">
        <f>A10 &amp; "_" &amp; "자격증_" &amp; COUNTIFS($A$2:A10, A10)</f>
        <v>박판진_자격증_1</v>
      </c>
      <c r="Z10" s="216" t="str">
        <f>D10 &amp; "_" &amp;"자격증_" &amp;  COUNTIFS($D$2:D10, D10)</f>
        <v>공인원가분석사_자격증_9</v>
      </c>
    </row>
    <row r="11" spans="1:26" ht="20.100000000000001" customHeight="1">
      <c r="A11" s="204" t="s">
        <v>34</v>
      </c>
      <c r="B11" s="160" t="str">
        <f>IFERROR(INDEX(개인DB!C:C, MATCH($A11, 개인DB!B:B, 0)), "")</f>
        <v>품질관리</v>
      </c>
      <c r="C11" s="160" t="str">
        <f>IFERROR(INDEX(개인DB!D:D, MATCH($A11, 개인DB!B:B, 0)), "")</f>
        <v>위원</v>
      </c>
      <c r="D11" s="213" t="s">
        <v>82</v>
      </c>
      <c r="E11" s="160" t="str">
        <f>IFERROR(INDEX(자격증DB!E:E, MATCH($D11, 자격증DB!A:A, 0)), "X")</f>
        <v>민간(국가)</v>
      </c>
      <c r="F11" s="132" t="str">
        <f>IFERROR(INDEX(자격증DB!B:B, MATCH($D11, 자격증DB!A:A, 0)), "X")</f>
        <v>기획재정부</v>
      </c>
      <c r="G11" s="206" t="str">
        <f>IFERROR(INDEX(자격증DB!C:C, MATCH($D11, 자격증DB!A:A, 0)), "X")</f>
        <v>한국원가관리협회</v>
      </c>
      <c r="H11" s="163" t="str">
        <f>IFERROR(INDEX(자격증DB!F:F, MATCH($D11, 자격증DB!A:A, 0)), "X")</f>
        <v>등록증</v>
      </c>
      <c r="I11" s="214">
        <v>42713</v>
      </c>
      <c r="J11" s="214">
        <v>44740</v>
      </c>
      <c r="K11" s="215">
        <v>46364</v>
      </c>
      <c r="L11" s="209" t="str">
        <f t="shared" si="0"/>
        <v>PDF</v>
      </c>
      <c r="M11" s="216" t="str">
        <f t="shared" si="1"/>
        <v>공인원가분석사_표순천</v>
      </c>
      <c r="N11" s="217" t="str">
        <f>IFERROR(IF(INDEX(자격증DB!G:G, MATCH($D11, 자격증DB!$A:$A, 0))=0, "", INDEX(자격증DB!G:G, MATCH($D11, 자격증DB!$A:$A, 0))), "")</f>
        <v>공통</v>
      </c>
      <c r="O11" s="153" t="str">
        <f>IFERROR(IF(INDEX(자격증DB!H:H, MATCH($D11, 자격증DB!$A:$A, 0))=0, "", INDEX(자격증DB!H:H, MATCH($D11, 자격증DB!$A:$A, 0))), "")</f>
        <v>제조(CA)</v>
      </c>
      <c r="P11" s="108" t="str">
        <f>IFERROR(IF(INDEX(자격증DB!I:I, MATCH($D11, 자격증DB!$A:$A, 0))=0, "", INDEX(자격증DB!I:I, MATCH($D11, 자격증DB!$A:$A, 0))), "")</f>
        <v>공사(CB)</v>
      </c>
      <c r="Q11" s="108" t="str">
        <f>IFERROR(IF(INDEX(자격증DB!J:J, MATCH($D11, 자격증DB!$A:$A, 0))=0, "", INDEX(자격증DB!J:J, MATCH($D11, 자격증DB!$A:$A, 0))), "")</f>
        <v>학술(CC)</v>
      </c>
      <c r="R11" s="108" t="str">
        <f>IFERROR(IF(INDEX(자격증DB!K:K, MATCH($D11, 자격증DB!$A:$A, 0))=0, "", INDEX(자격증DB!K:K, MATCH($D11, 자격증DB!$A:$A, 0))), "")</f>
        <v>SW(CD)</v>
      </c>
      <c r="S11" s="108" t="str">
        <f>IFERROR(IF(INDEX(자격증DB!L:L, MATCH($D11, 자격증DB!$A:$A, 0))=0, "", INDEX(자격증DB!L:L, MATCH($D11, 자격증DB!$A:$A, 0))), "")</f>
        <v>사후정산(CE)</v>
      </c>
      <c r="T11" s="108" t="str">
        <f>IFERROR(IF(INDEX(자격증DB!M:M, MATCH($D11, 자격증DB!$A:$A, 0))=0, "", INDEX(자격증DB!M:M, MATCH($D11, 자격증DB!$A:$A, 0))), "")</f>
        <v>각종 수수료(CF)</v>
      </c>
      <c r="U11" s="108" t="str">
        <f>IFERROR(IF(INDEX(자격증DB!N:N, MATCH($D11, 자격증DB!$A:$A, 0))=0, "", INDEX(자격증DB!N:N, MATCH($D11, 자격증DB!$A:$A, 0))), "")</f>
        <v>법원감정(CG)</v>
      </c>
      <c r="V11" s="108" t="str">
        <f>IFERROR(IF(INDEX(자격증DB!O:O, MATCH($D11, 자격증DB!$A:$A, 0))=0, "", INDEX(자격증DB!O:O, MATCH($D11, 자격증DB!$A:$A, 0))), "")</f>
        <v>개발부담금</v>
      </c>
      <c r="W11" s="114" t="str">
        <f>IFERROR(IF(INDEX(자격증DB!P:P, MATCH($D11, 자격증DB!$A:$A, 0))=0, "", INDEX(자격증DB!P:P, MATCH($D11, 자격증DB!$A:$A, 0))), "")</f>
        <v/>
      </c>
      <c r="X11"/>
      <c r="Y11" s="362" t="str">
        <f>A11 &amp; "_" &amp; "자격증_" &amp; COUNTIFS($A$2:A11, A11)</f>
        <v>표순천_자격증_1</v>
      </c>
      <c r="Z11" s="362" t="str">
        <f>D11 &amp; "_" &amp;"자격증_" &amp;  COUNTIFS($D$2:D11, D11)</f>
        <v>공인원가분석사_자격증_10</v>
      </c>
    </row>
    <row r="12" spans="1:26" ht="20.100000000000001" customHeight="1">
      <c r="A12" s="204" t="s">
        <v>32</v>
      </c>
      <c r="B12" s="160" t="str">
        <f>IFERROR(INDEX(개인DB!C:C, MATCH($A12, 개인DB!B:B, 0)), "")</f>
        <v>학술사업</v>
      </c>
      <c r="C12" s="160" t="str">
        <f>IFERROR(INDEX(개인DB!D:D, MATCH($A12, 개인DB!B:B, 0)), "")</f>
        <v>위원</v>
      </c>
      <c r="D12" s="224" t="s">
        <v>134</v>
      </c>
      <c r="E12" s="160" t="str">
        <f>IFERROR(INDEX(자격증DB!E:E, MATCH($D12, 자격증DB!A:A, 0)), "X")</f>
        <v>민간(국가)</v>
      </c>
      <c r="F12" s="132" t="str">
        <f>IFERROR(INDEX(자격증DB!B:B, MATCH($D12, 자격증DB!A:A, 0)), "X")</f>
        <v>기획재정부</v>
      </c>
      <c r="G12" s="206" t="str">
        <f>IFERROR(INDEX(자격증DB!C:C, MATCH($D12, 자격증DB!A:A, 0)), "X")</f>
        <v>한국원가관리협회</v>
      </c>
      <c r="H12" s="163" t="str">
        <f>IFERROR(INDEX(자격증DB!F:F, MATCH($D12, 자격증DB!A:A, 0)), "X")</f>
        <v>등록증</v>
      </c>
      <c r="I12" s="225">
        <v>45807</v>
      </c>
      <c r="J12" s="225">
        <v>45818</v>
      </c>
      <c r="K12" s="226">
        <v>47632</v>
      </c>
      <c r="L12" s="209" t="str">
        <f t="shared" si="0"/>
        <v>PDF</v>
      </c>
      <c r="M12" s="227" t="str">
        <f t="shared" si="1"/>
        <v>공인원가분석사_조형찬</v>
      </c>
      <c r="N12" s="228" t="str">
        <f>IFERROR(IF(INDEX(자격증DB!G:G, MATCH($D12, 자격증DB!$A:$A, 0))=0, "", INDEX(자격증DB!G:G, MATCH($D12, 자격증DB!$A:$A, 0))), "")</f>
        <v>공통</v>
      </c>
      <c r="O12" s="153" t="str">
        <f>IFERROR(IF(INDEX(자격증DB!H:H, MATCH($D12, 자격증DB!$A:$A, 0))=0, "", INDEX(자격증DB!H:H, MATCH($D12, 자격증DB!$A:$A, 0))), "")</f>
        <v>제조(CA)</v>
      </c>
      <c r="P12" s="108" t="str">
        <f>IFERROR(IF(INDEX(자격증DB!I:I, MATCH($D12, 자격증DB!$A:$A, 0))=0, "", INDEX(자격증DB!I:I, MATCH($D12, 자격증DB!$A:$A, 0))), "")</f>
        <v>공사(CB)</v>
      </c>
      <c r="Q12" s="108" t="str">
        <f>IFERROR(IF(INDEX(자격증DB!J:J, MATCH($D12, 자격증DB!$A:$A, 0))=0, "", INDEX(자격증DB!J:J, MATCH($D12, 자격증DB!$A:$A, 0))), "")</f>
        <v>학술(CC)</v>
      </c>
      <c r="R12" s="108" t="str">
        <f>IFERROR(IF(INDEX(자격증DB!K:K, MATCH($D12, 자격증DB!$A:$A, 0))=0, "", INDEX(자격증DB!K:K, MATCH($D12, 자격증DB!$A:$A, 0))), "")</f>
        <v>SW(CD)</v>
      </c>
      <c r="S12" s="108" t="str">
        <f>IFERROR(IF(INDEX(자격증DB!L:L, MATCH($D12, 자격증DB!$A:$A, 0))=0, "", INDEX(자격증DB!L:L, MATCH($D12, 자격증DB!$A:$A, 0))), "")</f>
        <v>사후정산(CE)</v>
      </c>
      <c r="T12" s="108" t="str">
        <f>IFERROR(IF(INDEX(자격증DB!M:M, MATCH($D12, 자격증DB!$A:$A, 0))=0, "", INDEX(자격증DB!M:M, MATCH($D12, 자격증DB!$A:$A, 0))), "")</f>
        <v>각종 수수료(CF)</v>
      </c>
      <c r="U12" s="108" t="str">
        <f>IFERROR(IF(INDEX(자격증DB!N:N, MATCH($D12, 자격증DB!$A:$A, 0))=0, "", INDEX(자격증DB!N:N, MATCH($D12, 자격증DB!$A:$A, 0))), "")</f>
        <v>법원감정(CG)</v>
      </c>
      <c r="V12" s="108" t="str">
        <f>IFERROR(IF(INDEX(자격증DB!O:O, MATCH($D12, 자격증DB!$A:$A, 0))=0, "", INDEX(자격증DB!O:O, MATCH($D12, 자격증DB!$A:$A, 0))), "")</f>
        <v>개발부담금</v>
      </c>
      <c r="W12" s="114" t="str">
        <f>IFERROR(IF(INDEX(자격증DB!P:P, MATCH($D12, 자격증DB!$A:$A, 0))=0, "", INDEX(자격증DB!P:P, MATCH($D12, 자격증DB!$A:$A, 0))), "")</f>
        <v/>
      </c>
      <c r="X12"/>
      <c r="Y12" s="227" t="str">
        <f>A12 &amp; "_" &amp; "자격증_" &amp; COUNTIFS($A$2:A12, A12)</f>
        <v>조형찬_자격증_1</v>
      </c>
      <c r="Z12" s="227" t="str">
        <f>D12 &amp; "_" &amp;"자격증_" &amp;  COUNTIFS($D$2:D12, D12)</f>
        <v>공인원가분석사_자격증_11</v>
      </c>
    </row>
    <row r="13" spans="1:26" ht="20.100000000000001" customHeight="1">
      <c r="A13" s="204" t="s">
        <v>30</v>
      </c>
      <c r="B13" s="160" t="str">
        <f>IFERROR(INDEX(개인DB!C:C, MATCH($A13, 개인DB!B:B, 0)), "")</f>
        <v>갈등조정중재</v>
      </c>
      <c r="C13" s="160" t="str">
        <f>IFERROR(INDEX(개인DB!D:D, MATCH($A13, 개인DB!B:B, 0)), "")</f>
        <v>위원</v>
      </c>
      <c r="D13" s="224" t="s">
        <v>254</v>
      </c>
      <c r="E13" s="160" t="str">
        <f>IFERROR(INDEX(자격증DB!E:E, MATCH($D13, 자격증DB!A:A, 0)), "X")</f>
        <v>전문자격</v>
      </c>
      <c r="F13" s="132" t="str">
        <f>IFERROR(INDEX(자격증DB!B:B, MATCH($D13, 자격증DB!A:A, 0)), "X")</f>
        <v>법무부</v>
      </c>
      <c r="G13" s="206" t="str">
        <f>IFERROR(INDEX(자격증DB!C:C, MATCH($D13, 자격증DB!A:A, 0)), "X")</f>
        <v>법무부</v>
      </c>
      <c r="H13" s="163" t="str">
        <f>IFERROR(INDEX(자격증DB!F:F, MATCH($D13, 자격증DB!A:A, 0)), "X")</f>
        <v>자격증</v>
      </c>
      <c r="I13" s="225">
        <v>38345</v>
      </c>
      <c r="J13" s="225"/>
      <c r="K13" s="226"/>
      <c r="L13" s="209" t="str">
        <f t="shared" si="0"/>
        <v>PDF</v>
      </c>
      <c r="M13" s="227" t="str">
        <f t="shared" si="1"/>
        <v>변호사_정영대</v>
      </c>
      <c r="N13" s="228" t="str">
        <f>IFERROR(IF(INDEX(자격증DB!G:G, MATCH($D13, 자격증DB!$A:$A, 0))=0, "", INDEX(자격증DB!G:G, MATCH($D13, 자격증DB!$A:$A, 0))), "")</f>
        <v>공통</v>
      </c>
      <c r="O13" s="153" t="str">
        <f>IFERROR(IF(INDEX(자격증DB!H:H, MATCH($D13, 자격증DB!$A:$A, 0))=0, "", INDEX(자격증DB!H:H, MATCH($D13, 자격증DB!$A:$A, 0))), "")</f>
        <v/>
      </c>
      <c r="P13" s="108" t="str">
        <f>IFERROR(IF(INDEX(자격증DB!I:I, MATCH($D13, 자격증DB!$A:$A, 0))=0, "", INDEX(자격증DB!I:I, MATCH($D13, 자격증DB!$A:$A, 0))), "")</f>
        <v/>
      </c>
      <c r="Q13" s="108" t="str">
        <f>IFERROR(IF(INDEX(자격증DB!J:J, MATCH($D13, 자격증DB!$A:$A, 0))=0, "", INDEX(자격증DB!J:J, MATCH($D13, 자격증DB!$A:$A, 0))), "")</f>
        <v/>
      </c>
      <c r="R13" s="108" t="str">
        <f>IFERROR(IF(INDEX(자격증DB!K:K, MATCH($D13, 자격증DB!$A:$A, 0))=0, "", INDEX(자격증DB!K:K, MATCH($D13, 자격증DB!$A:$A, 0))), "")</f>
        <v/>
      </c>
      <c r="S13" s="108" t="str">
        <f>IFERROR(IF(INDEX(자격증DB!L:L, MATCH($D13, 자격증DB!$A:$A, 0))=0, "", INDEX(자격증DB!L:L, MATCH($D13, 자격증DB!$A:$A, 0))), "")</f>
        <v/>
      </c>
      <c r="T13" s="108" t="str">
        <f>IFERROR(IF(INDEX(자격증DB!M:M, MATCH($D13, 자격증DB!$A:$A, 0))=0, "", INDEX(자격증DB!M:M, MATCH($D13, 자격증DB!$A:$A, 0))), "")</f>
        <v/>
      </c>
      <c r="U13" s="108" t="str">
        <f>IFERROR(IF(INDEX(자격증DB!N:N, MATCH($D13, 자격증DB!$A:$A, 0))=0, "", INDEX(자격증DB!N:N, MATCH($D13, 자격증DB!$A:$A, 0))), "")</f>
        <v>법원감정(CG)</v>
      </c>
      <c r="V13" s="108" t="str">
        <f>IFERROR(IF(INDEX(자격증DB!O:O, MATCH($D13, 자격증DB!$A:$A, 0))=0, "", INDEX(자격증DB!O:O, MATCH($D13, 자격증DB!$A:$A, 0))), "")</f>
        <v/>
      </c>
      <c r="W13" s="114" t="str">
        <f>IFERROR(IF(INDEX(자격증DB!P:P, MATCH($D13, 자격증DB!$A:$A, 0))=0, "", INDEX(자격증DB!P:P, MATCH($D13, 자격증DB!$A:$A, 0))), "")</f>
        <v>갈등조정</v>
      </c>
      <c r="X13"/>
      <c r="Y13" s="363" t="str">
        <f>A13 &amp; "_" &amp; "자격증_" &amp; COUNTIFS($A$2:A13, A13)</f>
        <v>정영대_자격증_1</v>
      </c>
      <c r="Z13" s="363" t="str">
        <f>D13 &amp; "_" &amp;"자격증_" &amp;  COUNTIFS($D$2:D13, D13)</f>
        <v>변호사_자격증_1</v>
      </c>
    </row>
    <row r="14" spans="1:26" ht="20.100000000000001" customHeight="1">
      <c r="A14" s="204" t="s">
        <v>21</v>
      </c>
      <c r="B14" s="160" t="str">
        <f>IFERROR(INDEX(개인DB!C:C, MATCH($A14, 개인DB!B:B, 0)), "")</f>
        <v>갈등조정중재</v>
      </c>
      <c r="C14" s="160" t="str">
        <f>IFERROR(INDEX(개인DB!D:D, MATCH($A14, 개인DB!B:B, 0)), "")</f>
        <v>위원</v>
      </c>
      <c r="D14" s="229" t="s">
        <v>248</v>
      </c>
      <c r="E14" s="160" t="str">
        <f>IFERROR(INDEX(자격증DB!E:E, MATCH($D14, 자격증DB!A:A, 0)), "")</f>
        <v>기사</v>
      </c>
      <c r="F14" s="132" t="s">
        <v>632</v>
      </c>
      <c r="G14" s="206" t="str">
        <f>IFERROR(INDEX(자격증DB!C:C, MATCH($D14, 자격증DB!A:A, 0)), "")</f>
        <v>한국산업인력공단</v>
      </c>
      <c r="H14" s="163" t="str">
        <f>IFERROR(INDEX(자격증DB!F:F, MATCH($D14, 자격증DB!A:A, 0)), "")</f>
        <v>자격증</v>
      </c>
      <c r="I14" s="230">
        <v>40105</v>
      </c>
      <c r="J14" s="231"/>
      <c r="K14" s="208"/>
      <c r="L14" s="209" t="str">
        <f t="shared" si="0"/>
        <v>PDF</v>
      </c>
      <c r="M14" s="210" t="str">
        <f t="shared" si="1"/>
        <v>공인노무사_신동명</v>
      </c>
      <c r="N14" s="211" t="str">
        <f>IFERROR(IF(INDEX(자격증DB!G:G, MATCH($D14, 자격증DB!$A:$A, 0))=0, "", INDEX(자격증DB!G:G, MATCH($D14, 자격증DB!$A:$A, 0))), "")</f>
        <v>공통</v>
      </c>
      <c r="O14" s="153" t="str">
        <f>IFERROR(IF(INDEX(자격증DB!H:H, MATCH($D14, 자격증DB!$A:$A, 0))=0, "", INDEX(자격증DB!H:H, MATCH($D14, 자격증DB!$A:$A, 0))), "")</f>
        <v>제조(CA)</v>
      </c>
      <c r="P14" s="108" t="str">
        <f>IFERROR(IF(INDEX(자격증DB!I:I, MATCH($D14, 자격증DB!$A:$A, 0))=0, "", INDEX(자격증DB!I:I, MATCH($D14, 자격증DB!$A:$A, 0))), "")</f>
        <v>공사(CB)</v>
      </c>
      <c r="Q14" s="108" t="str">
        <f>IFERROR(IF(INDEX(자격증DB!J:J, MATCH($D14, 자격증DB!$A:$A, 0))=0, "", INDEX(자격증DB!J:J, MATCH($D14, 자격증DB!$A:$A, 0))), "")</f>
        <v>학술(CC)</v>
      </c>
      <c r="R14" s="108" t="str">
        <f>IFERROR(IF(INDEX(자격증DB!K:K, MATCH($D14, 자격증DB!$A:$A, 0))=0, "", INDEX(자격증DB!K:K, MATCH($D14, 자격증DB!$A:$A, 0))), "")</f>
        <v>SW(CD)</v>
      </c>
      <c r="S14" s="108" t="str">
        <f>IFERROR(IF(INDEX(자격증DB!L:L, MATCH($D14, 자격증DB!$A:$A, 0))=0, "", INDEX(자격증DB!L:L, MATCH($D14, 자격증DB!$A:$A, 0))), "")</f>
        <v/>
      </c>
      <c r="T14" s="108" t="str">
        <f>IFERROR(IF(INDEX(자격증DB!M:M, MATCH($D14, 자격증DB!$A:$A, 0))=0, "", INDEX(자격증DB!M:M, MATCH($D14, 자격증DB!$A:$A, 0))), "")</f>
        <v>각종 수수료(CF)</v>
      </c>
      <c r="U14" s="108" t="str">
        <f>IFERROR(IF(INDEX(자격증DB!N:N, MATCH($D14, 자격증DB!$A:$A, 0))=0, "", INDEX(자격증DB!N:N, MATCH($D14, 자격증DB!$A:$A, 0))), "")</f>
        <v>법원감정(CG)</v>
      </c>
      <c r="V14" s="108" t="str">
        <f>IFERROR(IF(INDEX(자격증DB!O:O, MATCH($D14, 자격증DB!$A:$A, 0))=0, "", INDEX(자격증DB!O:O, MATCH($D14, 자격증DB!$A:$A, 0))), "")</f>
        <v/>
      </c>
      <c r="W14" s="114" t="str">
        <f>IFERROR(IF(INDEX(자격증DB!P:P, MATCH($D14, 자격증DB!$A:$A, 0))=0, "", INDEX(자격증DB!P:P, MATCH($D14, 자격증DB!$A:$A, 0))), "")</f>
        <v>갈등조정</v>
      </c>
      <c r="X14"/>
      <c r="Y14" s="210" t="str">
        <f>A14 &amp; "_" &amp; "자격증_" &amp; COUNTIFS($A$2:A14, A14)</f>
        <v>신동명_자격증_1</v>
      </c>
      <c r="Z14" s="210" t="str">
        <f>D14 &amp; "_" &amp;"자격증_" &amp;  COUNTIFS($D$2:D14, D14)</f>
        <v>공인노무사_자격증_1</v>
      </c>
    </row>
    <row r="15" spans="1:26" ht="20.100000000000001" customHeight="1">
      <c r="A15" s="204" t="s">
        <v>23</v>
      </c>
      <c r="B15" s="160" t="str">
        <f>IFERROR(INDEX(개인DB!C:C, MATCH($A15, 개인DB!B:B, 0)), "")</f>
        <v>원가분석</v>
      </c>
      <c r="C15" s="160" t="str">
        <f>IFERROR(INDEX(개인DB!D:D, MATCH($A15, 개인DB!B:B, 0)), "")</f>
        <v>위원</v>
      </c>
      <c r="D15" s="232" t="s">
        <v>441</v>
      </c>
      <c r="E15" s="160" t="str">
        <f>IFERROR(INDEX(자격증DB!E:E, MATCH($D15, 자격증DB!A:A, 0)), "")</f>
        <v>-</v>
      </c>
      <c r="F15" s="132" t="str">
        <f>IFERROR(INDEX(자격증DB!B:B, MATCH($D15, 자격증DB!A:A, 0)), "")</f>
        <v>-</v>
      </c>
      <c r="G15" s="206" t="str">
        <f>IFERROR(INDEX(자격증DB!C:C, MATCH($D15, 자격증DB!A:A, 0)), "")</f>
        <v>한국공인회계사회</v>
      </c>
      <c r="H15" s="163" t="s">
        <v>59</v>
      </c>
      <c r="I15" s="233">
        <v>37761</v>
      </c>
      <c r="J15" s="233">
        <v>45066</v>
      </c>
      <c r="K15" s="234">
        <v>46892</v>
      </c>
      <c r="L15" s="209" t="str">
        <f t="shared" si="0"/>
        <v>PDF</v>
      </c>
      <c r="M15" s="235" t="str">
        <f t="shared" si="1"/>
        <v>공인회계사_유옥수</v>
      </c>
      <c r="N15" s="236" t="str">
        <f>IFERROR(IF(INDEX(자격증DB!G:G, MATCH($D15, 자격증DB!$A:$A, 0))=0, "", INDEX(자격증DB!G:G, MATCH($D15, 자격증DB!$A:$A, 0))), "")</f>
        <v>공통</v>
      </c>
      <c r="O15" s="153" t="str">
        <f>IFERROR(IF(INDEX(자격증DB!H:H, MATCH($D15, 자격증DB!$A:$A, 0))=0, "", INDEX(자격증DB!H:H, MATCH($D15, 자격증DB!$A:$A, 0))), "")</f>
        <v>제조(CA)</v>
      </c>
      <c r="P15" s="108" t="str">
        <f>IFERROR(IF(INDEX(자격증DB!I:I, MATCH($D15, 자격증DB!$A:$A, 0))=0, "", INDEX(자격증DB!I:I, MATCH($D15, 자격증DB!$A:$A, 0))), "")</f>
        <v>공사(CB)</v>
      </c>
      <c r="Q15" s="108" t="str">
        <f>IFERROR(IF(INDEX(자격증DB!J:J, MATCH($D15, 자격증DB!$A:$A, 0))=0, "", INDEX(자격증DB!J:J, MATCH($D15, 자격증DB!$A:$A, 0))), "")</f>
        <v>학술(CC)</v>
      </c>
      <c r="R15" s="108" t="str">
        <f>IFERROR(IF(INDEX(자격증DB!K:K, MATCH($D15, 자격증DB!$A:$A, 0))=0, "", INDEX(자격증DB!K:K, MATCH($D15, 자격증DB!$A:$A, 0))), "")</f>
        <v>SW(CD)</v>
      </c>
      <c r="S15" s="108" t="str">
        <f>IFERROR(IF(INDEX(자격증DB!L:L, MATCH($D15, 자격증DB!$A:$A, 0))=0, "", INDEX(자격증DB!L:L, MATCH($D15, 자격증DB!$A:$A, 0))), "")</f>
        <v>사후정산(CE)</v>
      </c>
      <c r="T15" s="108" t="str">
        <f>IFERROR(IF(INDEX(자격증DB!M:M, MATCH($D15, 자격증DB!$A:$A, 0))=0, "", INDEX(자격증DB!M:M, MATCH($D15, 자격증DB!$A:$A, 0))), "")</f>
        <v>각종 수수료(CF)</v>
      </c>
      <c r="U15" s="108" t="str">
        <f>IFERROR(IF(INDEX(자격증DB!N:N, MATCH($D15, 자격증DB!$A:$A, 0))=0, "", INDEX(자격증DB!N:N, MATCH($D15, 자격증DB!$A:$A, 0))), "")</f>
        <v/>
      </c>
      <c r="V15" s="108" t="str">
        <f>IFERROR(IF(INDEX(자격증DB!O:O, MATCH($D15, 자격증DB!$A:$A, 0))=0, "", INDEX(자격증DB!O:O, MATCH($D15, 자격증DB!$A:$A, 0))), "")</f>
        <v/>
      </c>
      <c r="W15" s="114" t="str">
        <f>IFERROR(IF(INDEX(자격증DB!P:P, MATCH($D15, 자격증DB!$A:$A, 0))=0, "", INDEX(자격증DB!P:P, MATCH($D15, 자격증DB!$A:$A, 0))), "")</f>
        <v/>
      </c>
      <c r="X15"/>
      <c r="Y15" s="364" t="str">
        <f>A15 &amp; "_" &amp; "자격증_" &amp; COUNTIFS($A$2:A15, A15)</f>
        <v>유옥수_자격증_1</v>
      </c>
      <c r="Z15" s="364" t="str">
        <f>D15 &amp; "_" &amp;"자격증_" &amp;  COUNTIFS($D$2:D15, D15)</f>
        <v>공인회계사_자격증_1</v>
      </c>
    </row>
    <row r="16" spans="1:26" ht="20.100000000000001" customHeight="1">
      <c r="A16" s="204" t="s">
        <v>0</v>
      </c>
      <c r="B16" s="160" t="str">
        <f>IFERROR(INDEX(개인DB!C:C, MATCH($A16, 개인DB!B:B, 0)), "")</f>
        <v>원장</v>
      </c>
      <c r="C16" s="160" t="str">
        <f>IFERROR(INDEX(개인DB!D:D, MATCH($A16, 개인DB!B:B, 0)), "")</f>
        <v>원장</v>
      </c>
      <c r="D16" s="205" t="s">
        <v>199</v>
      </c>
      <c r="E16" s="160" t="str">
        <f>IFERROR(INDEX(자격증DB!E:E, MATCH($D16, 자격증DB!A:A, 0)), "")</f>
        <v>-</v>
      </c>
      <c r="F16" s="132" t="str">
        <f>IFERROR(INDEX(자격증DB!B:B, MATCH($D16, 자격증DB!A:A, 0)), "")</f>
        <v>-</v>
      </c>
      <c r="G16" s="206" t="str">
        <f>IFERROR(INDEX(자격증DB!C:C, MATCH($D16, 자격증DB!A:A, 0)), "")</f>
        <v>중소벤처기업부장관</v>
      </c>
      <c r="H16" s="163" t="str">
        <f>IFERROR(INDEX(자격증DB!F:F, MATCH($D16, 자격증DB!A:A, 0)), "")</f>
        <v>등록증</v>
      </c>
      <c r="I16" s="207">
        <v>38558</v>
      </c>
      <c r="J16" s="207">
        <v>46023</v>
      </c>
      <c r="K16" s="208">
        <v>47848</v>
      </c>
      <c r="L16" s="209" t="str">
        <f t="shared" si="0"/>
        <v>PDF</v>
      </c>
      <c r="M16" s="210" t="str">
        <f t="shared" si="1"/>
        <v>경영지도사_김민선</v>
      </c>
      <c r="N16" s="211" t="str">
        <f>IFERROR(IF(INDEX(자격증DB!G:G, MATCH($D16, 자격증DB!$A:$A, 0))=0, "", INDEX(자격증DB!G:G, MATCH($D16, 자격증DB!$A:$A, 0))), "")</f>
        <v>공통</v>
      </c>
      <c r="O16" s="153" t="str">
        <f>IFERROR(IF(INDEX(자격증DB!H:H, MATCH($D16, 자격증DB!$A:$A, 0))=0, "", INDEX(자격증DB!H:H, MATCH($D16, 자격증DB!$A:$A, 0))), "")</f>
        <v>제조(CA)</v>
      </c>
      <c r="P16" s="108" t="str">
        <f>IFERROR(IF(INDEX(자격증DB!I:I, MATCH($D16, 자격증DB!$A:$A, 0))=0, "", INDEX(자격증DB!I:I, MATCH($D16, 자격증DB!$A:$A, 0))), "")</f>
        <v>공사(CB)</v>
      </c>
      <c r="Q16" s="108" t="str">
        <f>IFERROR(IF(INDEX(자격증DB!J:J, MATCH($D16, 자격증DB!$A:$A, 0))=0, "", INDEX(자격증DB!J:J, MATCH($D16, 자격증DB!$A:$A, 0))), "")</f>
        <v>학술(CC)</v>
      </c>
      <c r="R16" s="108" t="str">
        <f>IFERROR(IF(INDEX(자격증DB!K:K, MATCH($D16, 자격증DB!$A:$A, 0))=0, "", INDEX(자격증DB!K:K, MATCH($D16, 자격증DB!$A:$A, 0))), "")</f>
        <v>SW(CD)</v>
      </c>
      <c r="S16" s="108" t="str">
        <f>IFERROR(IF(INDEX(자격증DB!L:L, MATCH($D16, 자격증DB!$A:$A, 0))=0, "", INDEX(자격증DB!L:L, MATCH($D16, 자격증DB!$A:$A, 0))), "")</f>
        <v>사후정산(CE)</v>
      </c>
      <c r="T16" s="108" t="str">
        <f>IFERROR(IF(INDEX(자격증DB!M:M, MATCH($D16, 자격증DB!$A:$A, 0))=0, "", INDEX(자격증DB!M:M, MATCH($D16, 자격증DB!$A:$A, 0))), "")</f>
        <v>각종 수수료(CF)</v>
      </c>
      <c r="U16" s="108" t="str">
        <f>IFERROR(IF(INDEX(자격증DB!N:N, MATCH($D16, 자격증DB!$A:$A, 0))=0, "", INDEX(자격증DB!N:N, MATCH($D16, 자격증DB!$A:$A, 0))), "")</f>
        <v/>
      </c>
      <c r="V16" s="108" t="str">
        <f>IFERROR(IF(INDEX(자격증DB!O:O, MATCH($D16, 자격증DB!$A:$A, 0))=0, "", INDEX(자격증DB!O:O, MATCH($D16, 자격증DB!$A:$A, 0))), "")</f>
        <v/>
      </c>
      <c r="W16" s="114" t="str">
        <f>IFERROR(IF(INDEX(자격증DB!P:P, MATCH($D16, 자격증DB!$A:$A, 0))=0, "", INDEX(자격증DB!P:P, MATCH($D16, 자격증DB!$A:$A, 0))), "")</f>
        <v/>
      </c>
      <c r="X16"/>
      <c r="Y16" s="210" t="str">
        <f>A16 &amp; "_" &amp; "자격증_" &amp; COUNTIFS($A$2:A16, A16)</f>
        <v>김민선_자격증_2</v>
      </c>
      <c r="Z16" s="210" t="str">
        <f>D16 &amp; "_" &amp;"자격증_" &amp;  COUNTIFS($D$2:D16, D16)</f>
        <v>경영지도사_자격증_1</v>
      </c>
    </row>
    <row r="17" spans="1:26" ht="20.100000000000001" customHeight="1">
      <c r="A17" s="204" t="s">
        <v>19</v>
      </c>
      <c r="B17" s="160" t="str">
        <f>IFERROR(INDEX(개인DB!C:C, MATCH($A17, 개인DB!B:B, 0)), "")</f>
        <v>원가분석</v>
      </c>
      <c r="C17" s="160" t="str">
        <f>IFERROR(INDEX(개인DB!D:D, MATCH($A17, 개인DB!B:B, 0)), "")</f>
        <v>위원</v>
      </c>
      <c r="D17" s="229" t="s">
        <v>199</v>
      </c>
      <c r="E17" s="160" t="str">
        <f>IFERROR(INDEX(자격증DB!E:E, MATCH($D17, 자격증DB!A:A, 0)), "")</f>
        <v>-</v>
      </c>
      <c r="F17" s="132" t="str">
        <f>IFERROR(INDEX(자격증DB!B:B, MATCH($D17, 자격증DB!A:A, 0)), "")</f>
        <v>-</v>
      </c>
      <c r="G17" s="206" t="str">
        <f>IFERROR(INDEX(자격증DB!C:C, MATCH($D17, 자격증DB!A:A, 0)), "")</f>
        <v>중소벤처기업부장관</v>
      </c>
      <c r="H17" s="163" t="str">
        <f>IFERROR(INDEX(자격증DB!F:F, MATCH($D17, 자격증DB!A:A, 0)), "")</f>
        <v>등록증</v>
      </c>
      <c r="I17" s="214">
        <v>38287</v>
      </c>
      <c r="J17" s="214" t="s">
        <v>581</v>
      </c>
      <c r="K17" s="215" t="s">
        <v>582</v>
      </c>
      <c r="L17" s="209" t="str">
        <f t="shared" si="0"/>
        <v>PDF</v>
      </c>
      <c r="M17" s="216" t="str">
        <f t="shared" si="1"/>
        <v>경영지도사_변정도</v>
      </c>
      <c r="N17" s="217" t="str">
        <f>IFERROR(IF(INDEX(자격증DB!G:G, MATCH($D17, 자격증DB!$A:$A, 0))=0, "", INDEX(자격증DB!G:G, MATCH($D17, 자격증DB!$A:$A, 0))), "")</f>
        <v>공통</v>
      </c>
      <c r="O17" s="153" t="str">
        <f>IFERROR(IF(INDEX(자격증DB!H:H, MATCH($D17, 자격증DB!$A:$A, 0))=0, "", INDEX(자격증DB!H:H, MATCH($D17, 자격증DB!$A:$A, 0))), "")</f>
        <v>제조(CA)</v>
      </c>
      <c r="P17" s="108" t="str">
        <f>IFERROR(IF(INDEX(자격증DB!I:I, MATCH($D17, 자격증DB!$A:$A, 0))=0, "", INDEX(자격증DB!I:I, MATCH($D17, 자격증DB!$A:$A, 0))), "")</f>
        <v>공사(CB)</v>
      </c>
      <c r="Q17" s="108" t="str">
        <f>IFERROR(IF(INDEX(자격증DB!J:J, MATCH($D17, 자격증DB!$A:$A, 0))=0, "", INDEX(자격증DB!J:J, MATCH($D17, 자격증DB!$A:$A, 0))), "")</f>
        <v>학술(CC)</v>
      </c>
      <c r="R17" s="108" t="str">
        <f>IFERROR(IF(INDEX(자격증DB!K:K, MATCH($D17, 자격증DB!$A:$A, 0))=0, "", INDEX(자격증DB!K:K, MATCH($D17, 자격증DB!$A:$A, 0))), "")</f>
        <v>SW(CD)</v>
      </c>
      <c r="S17" s="108" t="str">
        <f>IFERROR(IF(INDEX(자격증DB!L:L, MATCH($D17, 자격증DB!$A:$A, 0))=0, "", INDEX(자격증DB!L:L, MATCH($D17, 자격증DB!$A:$A, 0))), "")</f>
        <v>사후정산(CE)</v>
      </c>
      <c r="T17" s="108" t="str">
        <f>IFERROR(IF(INDEX(자격증DB!M:M, MATCH($D17, 자격증DB!$A:$A, 0))=0, "", INDEX(자격증DB!M:M, MATCH($D17, 자격증DB!$A:$A, 0))), "")</f>
        <v>각종 수수료(CF)</v>
      </c>
      <c r="U17" s="108" t="str">
        <f>IFERROR(IF(INDEX(자격증DB!N:N, MATCH($D17, 자격증DB!$A:$A, 0))=0, "", INDEX(자격증DB!N:N, MATCH($D17, 자격증DB!$A:$A, 0))), "")</f>
        <v/>
      </c>
      <c r="V17" s="108" t="str">
        <f>IFERROR(IF(INDEX(자격증DB!O:O, MATCH($D17, 자격증DB!$A:$A, 0))=0, "", INDEX(자격증DB!O:O, MATCH($D17, 자격증DB!$A:$A, 0))), "")</f>
        <v/>
      </c>
      <c r="W17" s="114" t="str">
        <f>IFERROR(IF(INDEX(자격증DB!P:P, MATCH($D17, 자격증DB!$A:$A, 0))=0, "", INDEX(자격증DB!P:P, MATCH($D17, 자격증DB!$A:$A, 0))), "")</f>
        <v/>
      </c>
      <c r="X17"/>
      <c r="Y17" s="362" t="str">
        <f>A17 &amp; "_" &amp; "자격증_" &amp; COUNTIFS($A$2:A17, A17)</f>
        <v>변정도_자격증_1</v>
      </c>
      <c r="Z17" s="362" t="str">
        <f>D17 &amp; "_" &amp;"자격증_" &amp;  COUNTIFS($D$2:D17, D17)</f>
        <v>경영지도사_자격증_2</v>
      </c>
    </row>
    <row r="18" spans="1:26" ht="20.100000000000001" customHeight="1">
      <c r="A18" s="204" t="s">
        <v>279</v>
      </c>
      <c r="B18" s="160" t="str">
        <f>IFERROR(INDEX(개인DB!C:C, MATCH($A18, 개인DB!B:B, 0)), "")</f>
        <v>원가분석</v>
      </c>
      <c r="C18" s="160" t="str">
        <f>IFERROR(INDEX(개인DB!D:D, MATCH($A18, 개인DB!B:B, 0)), "")</f>
        <v>위원</v>
      </c>
      <c r="D18" s="229" t="s">
        <v>199</v>
      </c>
      <c r="E18" s="160" t="str">
        <f>IFERROR(INDEX(자격증DB!E:E, MATCH($D18, 자격증DB!A:A, 0)), "")</f>
        <v>-</v>
      </c>
      <c r="F18" s="132" t="str">
        <f>IFERROR(INDEX(자격증DB!B:B, MATCH($D18, 자격증DB!A:A, 0)), "")</f>
        <v>-</v>
      </c>
      <c r="G18" s="206" t="str">
        <f>IFERROR(INDEX(자격증DB!C:C, MATCH($D18, 자격증DB!A:A, 0)), "")</f>
        <v>중소벤처기업부장관</v>
      </c>
      <c r="H18" s="163" t="str">
        <f>IFERROR(INDEX(자격증DB!F:F, MATCH($D18, 자격증DB!A:A, 0)), "")</f>
        <v>등록증</v>
      </c>
      <c r="I18" s="214">
        <v>41920</v>
      </c>
      <c r="J18" s="214"/>
      <c r="K18" s="226"/>
      <c r="L18" s="209" t="str">
        <f t="shared" si="0"/>
        <v>PDF</v>
      </c>
      <c r="M18" s="227" t="str">
        <f t="shared" si="1"/>
        <v>경영지도사_이규희</v>
      </c>
      <c r="N18" s="228" t="str">
        <f>IFERROR(IF(INDEX(자격증DB!G:G, MATCH($D18, 자격증DB!$A:$A, 0))=0, "", INDEX(자격증DB!G:G, MATCH($D18, 자격증DB!$A:$A, 0))), "")</f>
        <v>공통</v>
      </c>
      <c r="O18" s="153" t="str">
        <f>IFERROR(IF(INDEX(자격증DB!H:H, MATCH($D18, 자격증DB!$A:$A, 0))=0, "", INDEX(자격증DB!H:H, MATCH($D18, 자격증DB!$A:$A, 0))), "")</f>
        <v>제조(CA)</v>
      </c>
      <c r="P18" s="108" t="str">
        <f>IFERROR(IF(INDEX(자격증DB!I:I, MATCH($D18, 자격증DB!$A:$A, 0))=0, "", INDEX(자격증DB!I:I, MATCH($D18, 자격증DB!$A:$A, 0))), "")</f>
        <v>공사(CB)</v>
      </c>
      <c r="Q18" s="108" t="str">
        <f>IFERROR(IF(INDEX(자격증DB!J:J, MATCH($D18, 자격증DB!$A:$A, 0))=0, "", INDEX(자격증DB!J:J, MATCH($D18, 자격증DB!$A:$A, 0))), "")</f>
        <v>학술(CC)</v>
      </c>
      <c r="R18" s="108" t="str">
        <f>IFERROR(IF(INDEX(자격증DB!K:K, MATCH($D18, 자격증DB!$A:$A, 0))=0, "", INDEX(자격증DB!K:K, MATCH($D18, 자격증DB!$A:$A, 0))), "")</f>
        <v>SW(CD)</v>
      </c>
      <c r="S18" s="108" t="str">
        <f>IFERROR(IF(INDEX(자격증DB!L:L, MATCH($D18, 자격증DB!$A:$A, 0))=0, "", INDEX(자격증DB!L:L, MATCH($D18, 자격증DB!$A:$A, 0))), "")</f>
        <v>사후정산(CE)</v>
      </c>
      <c r="T18" s="108" t="str">
        <f>IFERROR(IF(INDEX(자격증DB!M:M, MATCH($D18, 자격증DB!$A:$A, 0))=0, "", INDEX(자격증DB!M:M, MATCH($D18, 자격증DB!$A:$A, 0))), "")</f>
        <v>각종 수수료(CF)</v>
      </c>
      <c r="U18" s="108" t="str">
        <f>IFERROR(IF(INDEX(자격증DB!N:N, MATCH($D18, 자격증DB!$A:$A, 0))=0, "", INDEX(자격증DB!N:N, MATCH($D18, 자격증DB!$A:$A, 0))), "")</f>
        <v/>
      </c>
      <c r="V18" s="108" t="str">
        <f>IFERROR(IF(INDEX(자격증DB!O:O, MATCH($D18, 자격증DB!$A:$A, 0))=0, "", INDEX(자격증DB!O:O, MATCH($D18, 자격증DB!$A:$A, 0))), "")</f>
        <v/>
      </c>
      <c r="W18" s="114" t="str">
        <f>IFERROR(IF(INDEX(자격증DB!P:P, MATCH($D18, 자격증DB!$A:$A, 0))=0, "", INDEX(자격증DB!P:P, MATCH($D18, 자격증DB!$A:$A, 0))), "")</f>
        <v/>
      </c>
      <c r="X18"/>
      <c r="Y18" s="227" t="str">
        <f>A18 &amp; "_" &amp; "자격증_" &amp; COUNTIFS($A$2:A18, A18)</f>
        <v>이규희_자격증_2</v>
      </c>
      <c r="Z18" s="227" t="str">
        <f>D18 &amp; "_" &amp;"자격증_" &amp;  COUNTIFS($D$2:D18, D18)</f>
        <v>경영지도사_자격증_3</v>
      </c>
    </row>
    <row r="19" spans="1:26" ht="20.100000000000001" customHeight="1">
      <c r="A19" s="204" t="s">
        <v>17</v>
      </c>
      <c r="B19" s="160" t="str">
        <f>IFERROR(INDEX(개인DB!C:C, MATCH($A19, 개인DB!B:B, 0)), "")</f>
        <v>품질관리</v>
      </c>
      <c r="C19" s="160" t="str">
        <f>IFERROR(INDEX(개인DB!D:D, MATCH($A19, 개인DB!B:B, 0)), "")</f>
        <v>위원</v>
      </c>
      <c r="D19" s="229" t="s">
        <v>199</v>
      </c>
      <c r="E19" s="160" t="str">
        <f>IFERROR(INDEX(자격증DB!E:E, MATCH($D19, 자격증DB!A:A, 0)), "")</f>
        <v>-</v>
      </c>
      <c r="F19" s="132" t="str">
        <f>IFERROR(INDEX(자격증DB!B:B, MATCH($D19, 자격증DB!A:A, 0)), "")</f>
        <v>-</v>
      </c>
      <c r="G19" s="206" t="str">
        <f>IFERROR(INDEX(자격증DB!C:C, MATCH($D19, 자격증DB!A:A, 0)), "")</f>
        <v>중소벤처기업부장관</v>
      </c>
      <c r="H19" s="163" t="str">
        <f>IFERROR(INDEX(자격증DB!F:F, MATCH($D19, 자격증DB!A:A, 0)), "")</f>
        <v>등록증</v>
      </c>
      <c r="I19" s="214">
        <v>42005</v>
      </c>
      <c r="J19" s="214">
        <v>43831</v>
      </c>
      <c r="K19" s="215">
        <v>47483</v>
      </c>
      <c r="L19" s="209" t="str">
        <f t="shared" si="0"/>
        <v>PDF</v>
      </c>
      <c r="M19" s="216" t="str">
        <f t="shared" si="1"/>
        <v>경영지도사_박판진</v>
      </c>
      <c r="N19" s="217" t="str">
        <f>IFERROR(IF(INDEX(자격증DB!G:G, MATCH($D19, 자격증DB!$A:$A, 0))=0, "", INDEX(자격증DB!G:G, MATCH($D19, 자격증DB!$A:$A, 0))), "")</f>
        <v>공통</v>
      </c>
      <c r="O19" s="153" t="str">
        <f>IFERROR(IF(INDEX(자격증DB!H:H, MATCH($D19, 자격증DB!$A:$A, 0))=0, "", INDEX(자격증DB!H:H, MATCH($D19, 자격증DB!$A:$A, 0))), "")</f>
        <v>제조(CA)</v>
      </c>
      <c r="P19" s="108" t="str">
        <f>IFERROR(IF(INDEX(자격증DB!I:I, MATCH($D19, 자격증DB!$A:$A, 0))=0, "", INDEX(자격증DB!I:I, MATCH($D19, 자격증DB!$A:$A, 0))), "")</f>
        <v>공사(CB)</v>
      </c>
      <c r="Q19" s="108" t="str">
        <f>IFERROR(IF(INDEX(자격증DB!J:J, MATCH($D19, 자격증DB!$A:$A, 0))=0, "", INDEX(자격증DB!J:J, MATCH($D19, 자격증DB!$A:$A, 0))), "")</f>
        <v>학술(CC)</v>
      </c>
      <c r="R19" s="108" t="str">
        <f>IFERROR(IF(INDEX(자격증DB!K:K, MATCH($D19, 자격증DB!$A:$A, 0))=0, "", INDEX(자격증DB!K:K, MATCH($D19, 자격증DB!$A:$A, 0))), "")</f>
        <v>SW(CD)</v>
      </c>
      <c r="S19" s="108" t="str">
        <f>IFERROR(IF(INDEX(자격증DB!L:L, MATCH($D19, 자격증DB!$A:$A, 0))=0, "", INDEX(자격증DB!L:L, MATCH($D19, 자격증DB!$A:$A, 0))), "")</f>
        <v>사후정산(CE)</v>
      </c>
      <c r="T19" s="108" t="str">
        <f>IFERROR(IF(INDEX(자격증DB!M:M, MATCH($D19, 자격증DB!$A:$A, 0))=0, "", INDEX(자격증DB!M:M, MATCH($D19, 자격증DB!$A:$A, 0))), "")</f>
        <v>각종 수수료(CF)</v>
      </c>
      <c r="U19" s="108" t="str">
        <f>IFERROR(IF(INDEX(자격증DB!N:N, MATCH($D19, 자격증DB!$A:$A, 0))=0, "", INDEX(자격증DB!N:N, MATCH($D19, 자격증DB!$A:$A, 0))), "")</f>
        <v/>
      </c>
      <c r="V19" s="108" t="str">
        <f>IFERROR(IF(INDEX(자격증DB!O:O, MATCH($D19, 자격증DB!$A:$A, 0))=0, "", INDEX(자격증DB!O:O, MATCH($D19, 자격증DB!$A:$A, 0))), "")</f>
        <v/>
      </c>
      <c r="W19" s="114" t="str">
        <f>IFERROR(IF(INDEX(자격증DB!P:P, MATCH($D19, 자격증DB!$A:$A, 0))=0, "", INDEX(자격증DB!P:P, MATCH($D19, 자격증DB!$A:$A, 0))), "")</f>
        <v/>
      </c>
      <c r="X19"/>
      <c r="Y19" s="362" t="str">
        <f>A19 &amp; "_" &amp; "자격증_" &amp; COUNTIFS($A$2:A19, A19)</f>
        <v>박판진_자격증_2</v>
      </c>
      <c r="Z19" s="362" t="str">
        <f>D19 &amp; "_" &amp;"자격증_" &amp;  COUNTIFS($D$2:D19, D19)</f>
        <v>경영지도사_자격증_4</v>
      </c>
    </row>
    <row r="20" spans="1:26" ht="20.100000000000001" customHeight="1">
      <c r="A20" s="204" t="s">
        <v>34</v>
      </c>
      <c r="B20" s="160" t="str">
        <f>IFERROR(INDEX(개인DB!C:C, MATCH($A20, 개인DB!B:B, 0)), "")</f>
        <v>품질관리</v>
      </c>
      <c r="C20" s="160" t="str">
        <f>IFERROR(INDEX(개인DB!D:D, MATCH($A20, 개인DB!B:B, 0)), "")</f>
        <v>위원</v>
      </c>
      <c r="D20" s="229" t="s">
        <v>199</v>
      </c>
      <c r="E20" s="160" t="str">
        <f>IFERROR(INDEX(자격증DB!E:E, MATCH($D20, 자격증DB!A:A, 0)), "X")</f>
        <v>-</v>
      </c>
      <c r="F20" s="132" t="str">
        <f>IFERROR(INDEX(자격증DB!B:B, MATCH($D20, 자격증DB!A:A, 0)), "X")</f>
        <v>-</v>
      </c>
      <c r="G20" s="206" t="str">
        <f>IFERROR(INDEX(자격증DB!C:C, MATCH($D20, 자격증DB!A:A, 0)), "X")</f>
        <v>중소벤처기업부장관</v>
      </c>
      <c r="H20" s="163" t="str">
        <f>IFERROR(INDEX(자격증DB!F:F, MATCH($D20, 자격증DB!A:A, 0)), "X")</f>
        <v>등록증</v>
      </c>
      <c r="I20" s="214">
        <v>42648</v>
      </c>
      <c r="J20" s="214">
        <v>44927</v>
      </c>
      <c r="K20" s="237">
        <v>46752</v>
      </c>
      <c r="L20" s="209" t="str">
        <f t="shared" si="0"/>
        <v>PDF</v>
      </c>
      <c r="M20" s="238" t="str">
        <f t="shared" si="1"/>
        <v>경영지도사_표순천</v>
      </c>
      <c r="N20" s="239" t="str">
        <f>IFERROR(IF(INDEX(자격증DB!G:G, MATCH($D20, 자격증DB!$A:$A, 0))=0, "", INDEX(자격증DB!G:G, MATCH($D20, 자격증DB!$A:$A, 0))), "")</f>
        <v>공통</v>
      </c>
      <c r="O20" s="153" t="str">
        <f>IFERROR(IF(INDEX(자격증DB!H:H, MATCH($D20, 자격증DB!$A:$A, 0))=0, "", INDEX(자격증DB!H:H, MATCH($D20, 자격증DB!$A:$A, 0))), "")</f>
        <v>제조(CA)</v>
      </c>
      <c r="P20" s="108" t="str">
        <f>IFERROR(IF(INDEX(자격증DB!I:I, MATCH($D20, 자격증DB!$A:$A, 0))=0, "", INDEX(자격증DB!I:I, MATCH($D20, 자격증DB!$A:$A, 0))), "")</f>
        <v>공사(CB)</v>
      </c>
      <c r="Q20" s="108" t="str">
        <f>IFERROR(IF(INDEX(자격증DB!J:J, MATCH($D20, 자격증DB!$A:$A, 0))=0, "", INDEX(자격증DB!J:J, MATCH($D20, 자격증DB!$A:$A, 0))), "")</f>
        <v>학술(CC)</v>
      </c>
      <c r="R20" s="108" t="str">
        <f>IFERROR(IF(INDEX(자격증DB!K:K, MATCH($D20, 자격증DB!$A:$A, 0))=0, "", INDEX(자격증DB!K:K, MATCH($D20, 자격증DB!$A:$A, 0))), "")</f>
        <v>SW(CD)</v>
      </c>
      <c r="S20" s="108" t="str">
        <f>IFERROR(IF(INDEX(자격증DB!L:L, MATCH($D20, 자격증DB!$A:$A, 0))=0, "", INDEX(자격증DB!L:L, MATCH($D20, 자격증DB!$A:$A, 0))), "")</f>
        <v>사후정산(CE)</v>
      </c>
      <c r="T20" s="108" t="str">
        <f>IFERROR(IF(INDEX(자격증DB!M:M, MATCH($D20, 자격증DB!$A:$A, 0))=0, "", INDEX(자격증DB!M:M, MATCH($D20, 자격증DB!$A:$A, 0))), "")</f>
        <v>각종 수수료(CF)</v>
      </c>
      <c r="U20" s="108" t="str">
        <f>IFERROR(IF(INDEX(자격증DB!N:N, MATCH($D20, 자격증DB!$A:$A, 0))=0, "", INDEX(자격증DB!N:N, MATCH($D20, 자격증DB!$A:$A, 0))), "")</f>
        <v/>
      </c>
      <c r="V20" s="108" t="str">
        <f>IFERROR(IF(INDEX(자격증DB!O:O, MATCH($D20, 자격증DB!$A:$A, 0))=0, "", INDEX(자격증DB!O:O, MATCH($D20, 자격증DB!$A:$A, 0))), "")</f>
        <v/>
      </c>
      <c r="W20" s="114" t="str">
        <f>IFERROR(IF(INDEX(자격증DB!P:P, MATCH($D20, 자격증DB!$A:$A, 0))=0, "", INDEX(자격증DB!P:P, MATCH($D20, 자격증DB!$A:$A, 0))), "")</f>
        <v/>
      </c>
      <c r="X20"/>
      <c r="Y20" s="238" t="str">
        <f>A20 &amp; "_" &amp; "자격증_" &amp; COUNTIFS($A$2:A20, A20)</f>
        <v>표순천_자격증_2</v>
      </c>
      <c r="Z20" s="238" t="str">
        <f>D20 &amp; "_" &amp;"자격증_" &amp;  COUNTIFS($D$2:D20, D20)</f>
        <v>경영지도사_자격증_5</v>
      </c>
    </row>
    <row r="21" spans="1:26" ht="20.100000000000001" customHeight="1">
      <c r="A21" s="204" t="s">
        <v>31</v>
      </c>
      <c r="B21" s="160" t="str">
        <f>IFERROR(INDEX(개인DB!C:C, MATCH($A21, 개인DB!B:B, 0)), "")</f>
        <v>학술사업</v>
      </c>
      <c r="C21" s="160" t="str">
        <f>IFERROR(INDEX(개인DB!D:D, MATCH($A21, 개인DB!B:B, 0)), "")</f>
        <v>위원</v>
      </c>
      <c r="D21" s="224" t="s">
        <v>199</v>
      </c>
      <c r="E21" s="160" t="str">
        <f>IFERROR(INDEX(자격증DB!E:E, MATCH($D21, 자격증DB!A:A, 0)), "X")</f>
        <v>-</v>
      </c>
      <c r="F21" s="132" t="str">
        <f>IFERROR(INDEX(자격증DB!B:B, MATCH($D21, 자격증DB!A:A, 0)), "X")</f>
        <v>-</v>
      </c>
      <c r="G21" s="206" t="str">
        <f>IFERROR(INDEX(자격증DB!C:C, MATCH($D21, 자격증DB!A:A, 0)), "X")</f>
        <v>중소벤처기업부장관</v>
      </c>
      <c r="H21" s="163" t="str">
        <f>IFERROR(INDEX(자격증DB!F:F, MATCH($D21, 자격증DB!A:A, 0)), "X")</f>
        <v>등록증</v>
      </c>
      <c r="I21" s="225">
        <v>44927</v>
      </c>
      <c r="J21" s="225">
        <v>44927</v>
      </c>
      <c r="K21" s="226">
        <v>46752</v>
      </c>
      <c r="L21" s="209" t="str">
        <f t="shared" si="0"/>
        <v>PDF</v>
      </c>
      <c r="M21" s="227" t="str">
        <f t="shared" si="1"/>
        <v>경영지도사_정재훈</v>
      </c>
      <c r="N21" s="228" t="str">
        <f>IFERROR(IF(INDEX(자격증DB!G:G, MATCH($D21, 자격증DB!$A:$A, 0))=0, "", INDEX(자격증DB!G:G, MATCH($D21, 자격증DB!$A:$A, 0))), "")</f>
        <v>공통</v>
      </c>
      <c r="O21" s="153" t="str">
        <f>IFERROR(IF(INDEX(자격증DB!H:H, MATCH($D21, 자격증DB!$A:$A, 0))=0, "", INDEX(자격증DB!H:H, MATCH($D21, 자격증DB!$A:$A, 0))), "")</f>
        <v>제조(CA)</v>
      </c>
      <c r="P21" s="108" t="str">
        <f>IFERROR(IF(INDEX(자격증DB!I:I, MATCH($D21, 자격증DB!$A:$A, 0))=0, "", INDEX(자격증DB!I:I, MATCH($D21, 자격증DB!$A:$A, 0))), "")</f>
        <v>공사(CB)</v>
      </c>
      <c r="Q21" s="108" t="str">
        <f>IFERROR(IF(INDEX(자격증DB!J:J, MATCH($D21, 자격증DB!$A:$A, 0))=0, "", INDEX(자격증DB!J:J, MATCH($D21, 자격증DB!$A:$A, 0))), "")</f>
        <v>학술(CC)</v>
      </c>
      <c r="R21" s="108" t="str">
        <f>IFERROR(IF(INDEX(자격증DB!K:K, MATCH($D21, 자격증DB!$A:$A, 0))=0, "", INDEX(자격증DB!K:K, MATCH($D21, 자격증DB!$A:$A, 0))), "")</f>
        <v>SW(CD)</v>
      </c>
      <c r="S21" s="108" t="str">
        <f>IFERROR(IF(INDEX(자격증DB!L:L, MATCH($D21, 자격증DB!$A:$A, 0))=0, "", INDEX(자격증DB!L:L, MATCH($D21, 자격증DB!$A:$A, 0))), "")</f>
        <v>사후정산(CE)</v>
      </c>
      <c r="T21" s="108" t="str">
        <f>IFERROR(IF(INDEX(자격증DB!M:M, MATCH($D21, 자격증DB!$A:$A, 0))=0, "", INDEX(자격증DB!M:M, MATCH($D21, 자격증DB!$A:$A, 0))), "")</f>
        <v>각종 수수료(CF)</v>
      </c>
      <c r="U21" s="108" t="str">
        <f>IFERROR(IF(INDEX(자격증DB!N:N, MATCH($D21, 자격증DB!$A:$A, 0))=0, "", INDEX(자격증DB!N:N, MATCH($D21, 자격증DB!$A:$A, 0))), "")</f>
        <v/>
      </c>
      <c r="V21" s="108" t="str">
        <f>IFERROR(IF(INDEX(자격증DB!O:O, MATCH($D21, 자격증DB!$A:$A, 0))=0, "", INDEX(자격증DB!O:O, MATCH($D21, 자격증DB!$A:$A, 0))), "")</f>
        <v/>
      </c>
      <c r="W21" s="114" t="str">
        <f>IFERROR(IF(INDEX(자격증DB!P:P, MATCH($D21, 자격증DB!$A:$A, 0))=0, "", INDEX(자격증DB!P:P, MATCH($D21, 자격증DB!$A:$A, 0))), "")</f>
        <v/>
      </c>
      <c r="X21"/>
      <c r="Y21" s="363" t="str">
        <f>A21 &amp; "_" &amp; "자격증_" &amp; COUNTIFS($A$2:A21, A21)</f>
        <v>정재훈_자격증_1</v>
      </c>
      <c r="Z21" s="363" t="str">
        <f>D21 &amp; "_" &amp;"자격증_" &amp;  COUNTIFS($D$2:D21, D21)</f>
        <v>경영지도사_자격증_6</v>
      </c>
    </row>
    <row r="22" spans="1:26" ht="20.100000000000001" customHeight="1">
      <c r="A22" s="204" t="s">
        <v>32</v>
      </c>
      <c r="B22" s="160" t="str">
        <f>IFERROR(INDEX(개인DB!C:C, MATCH($A22, 개인DB!B:B, 0)), "")</f>
        <v>학술사업</v>
      </c>
      <c r="C22" s="160" t="str">
        <f>IFERROR(INDEX(개인DB!D:D, MATCH($A22, 개인DB!B:B, 0)), "")</f>
        <v>위원</v>
      </c>
      <c r="D22" s="224" t="s">
        <v>199</v>
      </c>
      <c r="E22" s="160" t="str">
        <f>IFERROR(INDEX(자격증DB!E:E, MATCH($D22, 자격증DB!A:A, 0)), "X")</f>
        <v>-</v>
      </c>
      <c r="F22" s="132" t="str">
        <f>IFERROR(INDEX(자격증DB!B:B, MATCH($D22, 자격증DB!A:A, 0)), "X")</f>
        <v>-</v>
      </c>
      <c r="G22" s="206" t="str">
        <f>IFERROR(INDEX(자격증DB!C:C, MATCH($D22, 자격증DB!A:A, 0)), "X")</f>
        <v>중소벤처기업부장관</v>
      </c>
      <c r="H22" s="163" t="str">
        <f>IFERROR(INDEX(자격증DB!F:F, MATCH($D22, 자격증DB!A:A, 0)), "X")</f>
        <v>등록증</v>
      </c>
      <c r="I22" s="225">
        <v>44562</v>
      </c>
      <c r="J22" s="225">
        <v>44562</v>
      </c>
      <c r="K22" s="226">
        <v>46387</v>
      </c>
      <c r="L22" s="209" t="str">
        <f t="shared" si="0"/>
        <v>PDF</v>
      </c>
      <c r="M22" s="227" t="str">
        <f t="shared" si="1"/>
        <v>경영지도사_조형찬</v>
      </c>
      <c r="N22" s="228" t="str">
        <f>IFERROR(IF(INDEX(자격증DB!G:G, MATCH($D22, 자격증DB!$A:$A, 0))=0, "", INDEX(자격증DB!G:G, MATCH($D22, 자격증DB!$A:$A, 0))), "")</f>
        <v>공통</v>
      </c>
      <c r="O22" s="153" t="str">
        <f>IFERROR(IF(INDEX(자격증DB!H:H, MATCH($D22, 자격증DB!$A:$A, 0))=0, "", INDEX(자격증DB!H:H, MATCH($D22, 자격증DB!$A:$A, 0))), "")</f>
        <v>제조(CA)</v>
      </c>
      <c r="P22" s="108" t="str">
        <f>IFERROR(IF(INDEX(자격증DB!I:I, MATCH($D22, 자격증DB!$A:$A, 0))=0, "", INDEX(자격증DB!I:I, MATCH($D22, 자격증DB!$A:$A, 0))), "")</f>
        <v>공사(CB)</v>
      </c>
      <c r="Q22" s="108" t="str">
        <f>IFERROR(IF(INDEX(자격증DB!J:J, MATCH($D22, 자격증DB!$A:$A, 0))=0, "", INDEX(자격증DB!J:J, MATCH($D22, 자격증DB!$A:$A, 0))), "")</f>
        <v>학술(CC)</v>
      </c>
      <c r="R22" s="108" t="str">
        <f>IFERROR(IF(INDEX(자격증DB!K:K, MATCH($D22, 자격증DB!$A:$A, 0))=0, "", INDEX(자격증DB!K:K, MATCH($D22, 자격증DB!$A:$A, 0))), "")</f>
        <v>SW(CD)</v>
      </c>
      <c r="S22" s="108" t="str">
        <f>IFERROR(IF(INDEX(자격증DB!L:L, MATCH($D22, 자격증DB!$A:$A, 0))=0, "", INDEX(자격증DB!L:L, MATCH($D22, 자격증DB!$A:$A, 0))), "")</f>
        <v>사후정산(CE)</v>
      </c>
      <c r="T22" s="108" t="str">
        <f>IFERROR(IF(INDEX(자격증DB!M:M, MATCH($D22, 자격증DB!$A:$A, 0))=0, "", INDEX(자격증DB!M:M, MATCH($D22, 자격증DB!$A:$A, 0))), "")</f>
        <v>각종 수수료(CF)</v>
      </c>
      <c r="U22" s="108" t="str">
        <f>IFERROR(IF(INDEX(자격증DB!N:N, MATCH($D22, 자격증DB!$A:$A, 0))=0, "", INDEX(자격증DB!N:N, MATCH($D22, 자격증DB!$A:$A, 0))), "")</f>
        <v/>
      </c>
      <c r="V22" s="108" t="str">
        <f>IFERROR(IF(INDEX(자격증DB!O:O, MATCH($D22, 자격증DB!$A:$A, 0))=0, "", INDEX(자격증DB!O:O, MATCH($D22, 자격증DB!$A:$A, 0))), "")</f>
        <v/>
      </c>
      <c r="W22" s="114" t="str">
        <f>IFERROR(IF(INDEX(자격증DB!P:P, MATCH($D22, 자격증DB!$A:$A, 0))=0, "", INDEX(자격증DB!P:P, MATCH($D22, 자격증DB!$A:$A, 0))), "")</f>
        <v/>
      </c>
      <c r="X22"/>
      <c r="Y22" s="227" t="str">
        <f>A22 &amp; "_" &amp; "자격증_" &amp; COUNTIFS($A$2:A22, A22)</f>
        <v>조형찬_자격증_2</v>
      </c>
      <c r="Z22" s="227" t="str">
        <f>D22 &amp; "_" &amp;"자격증_" &amp;  COUNTIFS($D$2:D22, D22)</f>
        <v>경영지도사_자격증_7</v>
      </c>
    </row>
    <row r="23" spans="1:26" ht="20.100000000000001" customHeight="1">
      <c r="A23" s="204" t="s">
        <v>0</v>
      </c>
      <c r="B23" s="160" t="str">
        <f>IFERROR(INDEX(개인DB!C:C, MATCH($A23, 개인DB!B:B, 0)), "")</f>
        <v>원장</v>
      </c>
      <c r="C23" s="160" t="str">
        <f>IFERROR(INDEX(개인DB!D:D, MATCH($A23, 개인DB!B:B, 0)), "")</f>
        <v>원장</v>
      </c>
      <c r="D23" s="205" t="s">
        <v>437</v>
      </c>
      <c r="E23" s="160" t="str">
        <f>IFERROR(INDEX(자격증DB!E:E, MATCH($D23, 자격증DB!A:A, 0)), "")</f>
        <v>민간</v>
      </c>
      <c r="F23" s="132" t="str">
        <f>IFERROR(INDEX(자격증DB!B:B, MATCH($D23, 자격증DB!A:A, 0)), "")</f>
        <v>-</v>
      </c>
      <c r="G23" s="206" t="str">
        <f>IFERROR(INDEX(자격증DB!C:C, MATCH($D23, 자격증DB!A:A, 0)), "")</f>
        <v>한국갈등조정중재그룹</v>
      </c>
      <c r="H23" s="163" t="str">
        <f>IFERROR(INDEX(자격증DB!F:F, MATCH($D23, 자격증DB!A:A, 0)), "")</f>
        <v>자격증</v>
      </c>
      <c r="I23" s="207">
        <v>45612</v>
      </c>
      <c r="J23" s="207"/>
      <c r="K23" s="208"/>
      <c r="L23" s="209" t="str">
        <f t="shared" si="0"/>
        <v>PDF</v>
      </c>
      <c r="M23" s="210" t="str">
        <f t="shared" si="1"/>
        <v>갈등조정전문가 1급_김민선</v>
      </c>
      <c r="N23" s="211" t="str">
        <f>IFERROR(IF(INDEX(자격증DB!G:G, MATCH($D23, 자격증DB!$A:$A, 0))=0, "", INDEX(자격증DB!G:G, MATCH($D23, 자격증DB!$A:$A, 0))), "")</f>
        <v>공통</v>
      </c>
      <c r="O23" s="153" t="str">
        <f>IFERROR(IF(INDEX(자격증DB!H:H, MATCH($D23, 자격증DB!$A:$A, 0))=0, "", INDEX(자격증DB!H:H, MATCH($D23, 자격증DB!$A:$A, 0))), "")</f>
        <v>제조(CA)</v>
      </c>
      <c r="P23" s="108" t="str">
        <f>IFERROR(IF(INDEX(자격증DB!I:I, MATCH($D23, 자격증DB!$A:$A, 0))=0, "", INDEX(자격증DB!I:I, MATCH($D23, 자격증DB!$A:$A, 0))), "")</f>
        <v>공사(CB)</v>
      </c>
      <c r="Q23" s="108" t="str">
        <f>IFERROR(IF(INDEX(자격증DB!J:J, MATCH($D23, 자격증DB!$A:$A, 0))=0, "", INDEX(자격증DB!J:J, MATCH($D23, 자격증DB!$A:$A, 0))), "")</f>
        <v>학술(CC)</v>
      </c>
      <c r="R23" s="108" t="str">
        <f>IFERROR(IF(INDEX(자격증DB!K:K, MATCH($D23, 자격증DB!$A:$A, 0))=0, "", INDEX(자격증DB!K:K, MATCH($D23, 자격증DB!$A:$A, 0))), "")</f>
        <v>SW(CD)</v>
      </c>
      <c r="S23" s="108" t="str">
        <f>IFERROR(IF(INDEX(자격증DB!L:L, MATCH($D23, 자격증DB!$A:$A, 0))=0, "", INDEX(자격증DB!L:L, MATCH($D23, 자격증DB!$A:$A, 0))), "")</f>
        <v/>
      </c>
      <c r="T23" s="108" t="str">
        <f>IFERROR(IF(INDEX(자격증DB!M:M, MATCH($D23, 자격증DB!$A:$A, 0))=0, "", INDEX(자격증DB!M:M, MATCH($D23, 자격증DB!$A:$A, 0))), "")</f>
        <v/>
      </c>
      <c r="U23" s="108" t="str">
        <f>IFERROR(IF(INDEX(자격증DB!N:N, MATCH($D23, 자격증DB!$A:$A, 0))=0, "", INDEX(자격증DB!N:N, MATCH($D23, 자격증DB!$A:$A, 0))), "")</f>
        <v>법원감정(CG)</v>
      </c>
      <c r="V23" s="108" t="str">
        <f>IFERROR(IF(INDEX(자격증DB!O:O, MATCH($D23, 자격증DB!$A:$A, 0))=0, "", INDEX(자격증DB!O:O, MATCH($D23, 자격증DB!$A:$A, 0))), "")</f>
        <v/>
      </c>
      <c r="W23" s="114" t="str">
        <f>IFERROR(IF(INDEX(자격증DB!P:P, MATCH($D23, 자격증DB!$A:$A, 0))=0, "", INDEX(자격증DB!P:P, MATCH($D23, 자격증DB!$A:$A, 0))), "")</f>
        <v>갈등조정</v>
      </c>
      <c r="X23"/>
      <c r="Y23" s="361" t="str">
        <f>A23 &amp; "_" &amp; "자격증_" &amp; COUNTIFS($A$2:A23, A23)</f>
        <v>김민선_자격증_3</v>
      </c>
      <c r="Z23" s="361" t="str">
        <f>D23 &amp; "_" &amp;"자격증_" &amp;  COUNTIFS($D$2:D23, D23)</f>
        <v>갈등조정전문가 1급_자격증_1</v>
      </c>
    </row>
    <row r="24" spans="1:26" ht="20.100000000000001" customHeight="1">
      <c r="A24" s="204" t="s">
        <v>28</v>
      </c>
      <c r="B24" s="160" t="str">
        <f>IFERROR(INDEX(개인DB!C:C, MATCH($A24, 개인DB!B:B, 0)), "")</f>
        <v>건설사업</v>
      </c>
      <c r="C24" s="160" t="str">
        <f>IFERROR(INDEX(개인DB!D:D, MATCH($A24, 개인DB!B:B, 0)), "")</f>
        <v>부원장</v>
      </c>
      <c r="D24" s="212" t="s">
        <v>234</v>
      </c>
      <c r="E24" s="160" t="str">
        <f>IFERROR(INDEX(자격증DB!E:E, MATCH($D24, 자격증DB!A:A, 0)), "")</f>
        <v>민간</v>
      </c>
      <c r="F24" s="132" t="str">
        <f>IFERROR(INDEX(자격증DB!B:B, MATCH($D24, 자격증DB!A:A, 0)), "")</f>
        <v>-</v>
      </c>
      <c r="G24" s="206" t="str">
        <f>IFERROR(INDEX(자격증DB!C:C, MATCH($D24, 자격증DB!A:A, 0)), "")</f>
        <v>한국갈등조정중재그룹</v>
      </c>
      <c r="H24" s="163" t="str">
        <f>IFERROR(INDEX(자격증DB!F:F, MATCH($D24, 자격증DB!A:A, 0)), "")</f>
        <v>자격증</v>
      </c>
      <c r="I24" s="207">
        <v>45612</v>
      </c>
      <c r="J24" s="207"/>
      <c r="K24" s="208"/>
      <c r="L24" s="209" t="str">
        <f t="shared" si="0"/>
        <v>PDF</v>
      </c>
      <c r="M24" s="210" t="str">
        <f t="shared" si="1"/>
        <v>갈등조정전문가 1급_이병준</v>
      </c>
      <c r="N24" s="211" t="str">
        <f>IFERROR(IF(INDEX(자격증DB!G:G, MATCH($D24, 자격증DB!$A:$A, 0))=0, "", INDEX(자격증DB!G:G, MATCH($D24, 자격증DB!$A:$A, 0))), "")</f>
        <v>공통</v>
      </c>
      <c r="O24" s="153" t="str">
        <f>IFERROR(IF(INDEX(자격증DB!H:H, MATCH($D24, 자격증DB!$A:$A, 0))=0, "", INDEX(자격증DB!H:H, MATCH($D24, 자격증DB!$A:$A, 0))), "")</f>
        <v>제조(CA)</v>
      </c>
      <c r="P24" s="108" t="str">
        <f>IFERROR(IF(INDEX(자격증DB!I:I, MATCH($D24, 자격증DB!$A:$A, 0))=0, "", INDEX(자격증DB!I:I, MATCH($D24, 자격증DB!$A:$A, 0))), "")</f>
        <v>공사(CB)</v>
      </c>
      <c r="Q24" s="108" t="str">
        <f>IFERROR(IF(INDEX(자격증DB!J:J, MATCH($D24, 자격증DB!$A:$A, 0))=0, "", INDEX(자격증DB!J:J, MATCH($D24, 자격증DB!$A:$A, 0))), "")</f>
        <v>학술(CC)</v>
      </c>
      <c r="R24" s="108" t="str">
        <f>IFERROR(IF(INDEX(자격증DB!K:K, MATCH($D24, 자격증DB!$A:$A, 0))=0, "", INDEX(자격증DB!K:K, MATCH($D24, 자격증DB!$A:$A, 0))), "")</f>
        <v>SW(CD)</v>
      </c>
      <c r="S24" s="108" t="str">
        <f>IFERROR(IF(INDEX(자격증DB!L:L, MATCH($D24, 자격증DB!$A:$A, 0))=0, "", INDEX(자격증DB!L:L, MATCH($D24, 자격증DB!$A:$A, 0))), "")</f>
        <v/>
      </c>
      <c r="T24" s="108" t="str">
        <f>IFERROR(IF(INDEX(자격증DB!M:M, MATCH($D24, 자격증DB!$A:$A, 0))=0, "", INDEX(자격증DB!M:M, MATCH($D24, 자격증DB!$A:$A, 0))), "")</f>
        <v/>
      </c>
      <c r="U24" s="108" t="str">
        <f>IFERROR(IF(INDEX(자격증DB!N:N, MATCH($D24, 자격증DB!$A:$A, 0))=0, "", INDEX(자격증DB!N:N, MATCH($D24, 자격증DB!$A:$A, 0))), "")</f>
        <v>법원감정(CG)</v>
      </c>
      <c r="V24" s="108" t="str">
        <f>IFERROR(IF(INDEX(자격증DB!O:O, MATCH($D24, 자격증DB!$A:$A, 0))=0, "", INDEX(자격증DB!O:O, MATCH($D24, 자격증DB!$A:$A, 0))), "")</f>
        <v/>
      </c>
      <c r="W24" s="114" t="str">
        <f>IFERROR(IF(INDEX(자격증DB!P:P, MATCH($D24, 자격증DB!$A:$A, 0))=0, "", INDEX(자격증DB!P:P, MATCH($D24, 자격증DB!$A:$A, 0))), "")</f>
        <v>갈등조정</v>
      </c>
      <c r="X24"/>
      <c r="Y24" s="210" t="str">
        <f>A24 &amp; "_" &amp; "자격증_" &amp; COUNTIFS($A$2:A24, A24)</f>
        <v>이병준_자격증_1</v>
      </c>
      <c r="Z24" s="210" t="str">
        <f>D24 &amp; "_" &amp;"자격증_" &amp;  COUNTIFS($D$2:D24, D24)</f>
        <v>갈등조정전문가 1급_자격증_2</v>
      </c>
    </row>
    <row r="25" spans="1:26" ht="20.100000000000001" customHeight="1">
      <c r="A25" s="204" t="s">
        <v>15</v>
      </c>
      <c r="B25" s="160" t="str">
        <f>IFERROR(INDEX(개인DB!C:C, MATCH($A25, 개인DB!B:B, 0)), "")</f>
        <v>갈등조정중재</v>
      </c>
      <c r="C25" s="160" t="str">
        <f>IFERROR(INDEX(개인DB!D:D, MATCH($A25, 개인DB!B:B, 0)), "")</f>
        <v>위원</v>
      </c>
      <c r="D25" s="212" t="s">
        <v>234</v>
      </c>
      <c r="E25" s="160" t="str">
        <f>IFERROR(INDEX(자격증DB!E:E, MATCH($D25, 자격증DB!A:A, 0)), "")</f>
        <v>민간</v>
      </c>
      <c r="F25" s="132" t="str">
        <f>IFERROR(INDEX(자격증DB!B:B, MATCH($D25, 자격증DB!A:A, 0)), "")</f>
        <v>-</v>
      </c>
      <c r="G25" s="206" t="str">
        <f>IFERROR(INDEX(자격증DB!C:C, MATCH($D25, 자격증DB!A:A, 0)), "")</f>
        <v>한국갈등조정중재그룹</v>
      </c>
      <c r="H25" s="163" t="str">
        <f>IFERROR(INDEX(자격증DB!F:F, MATCH($D25, 자격증DB!A:A, 0)), "")</f>
        <v>자격증</v>
      </c>
      <c r="I25" s="207">
        <v>45612</v>
      </c>
      <c r="J25" s="207"/>
      <c r="K25" s="208"/>
      <c r="L25" s="209" t="str">
        <f t="shared" si="0"/>
        <v>PDF</v>
      </c>
      <c r="M25" s="210" t="str">
        <f t="shared" si="1"/>
        <v>갈등조정전문가 1급_김혜미</v>
      </c>
      <c r="N25" s="211" t="str">
        <f>IFERROR(IF(INDEX(자격증DB!G:G, MATCH($D25, 자격증DB!$A:$A, 0))=0, "", INDEX(자격증DB!G:G, MATCH($D25, 자격증DB!$A:$A, 0))), "")</f>
        <v>공통</v>
      </c>
      <c r="O25" s="153" t="str">
        <f>IFERROR(IF(INDEX(자격증DB!H:H, MATCH($D25, 자격증DB!$A:$A, 0))=0, "", INDEX(자격증DB!H:H, MATCH($D25, 자격증DB!$A:$A, 0))), "")</f>
        <v>제조(CA)</v>
      </c>
      <c r="P25" s="108" t="str">
        <f>IFERROR(IF(INDEX(자격증DB!I:I, MATCH($D25, 자격증DB!$A:$A, 0))=0, "", INDEX(자격증DB!I:I, MATCH($D25, 자격증DB!$A:$A, 0))), "")</f>
        <v>공사(CB)</v>
      </c>
      <c r="Q25" s="108" t="str">
        <f>IFERROR(IF(INDEX(자격증DB!J:J, MATCH($D25, 자격증DB!$A:$A, 0))=0, "", INDEX(자격증DB!J:J, MATCH($D25, 자격증DB!$A:$A, 0))), "")</f>
        <v>학술(CC)</v>
      </c>
      <c r="R25" s="108" t="str">
        <f>IFERROR(IF(INDEX(자격증DB!K:K, MATCH($D25, 자격증DB!$A:$A, 0))=0, "", INDEX(자격증DB!K:K, MATCH($D25, 자격증DB!$A:$A, 0))), "")</f>
        <v>SW(CD)</v>
      </c>
      <c r="S25" s="108" t="str">
        <f>IFERROR(IF(INDEX(자격증DB!L:L, MATCH($D25, 자격증DB!$A:$A, 0))=0, "", INDEX(자격증DB!L:L, MATCH($D25, 자격증DB!$A:$A, 0))), "")</f>
        <v/>
      </c>
      <c r="T25" s="108" t="str">
        <f>IFERROR(IF(INDEX(자격증DB!M:M, MATCH($D25, 자격증DB!$A:$A, 0))=0, "", INDEX(자격증DB!M:M, MATCH($D25, 자격증DB!$A:$A, 0))), "")</f>
        <v/>
      </c>
      <c r="U25" s="108" t="str">
        <f>IFERROR(IF(INDEX(자격증DB!N:N, MATCH($D25, 자격증DB!$A:$A, 0))=0, "", INDEX(자격증DB!N:N, MATCH($D25, 자격증DB!$A:$A, 0))), "")</f>
        <v>법원감정(CG)</v>
      </c>
      <c r="V25" s="108" t="str">
        <f>IFERROR(IF(INDEX(자격증DB!O:O, MATCH($D25, 자격증DB!$A:$A, 0))=0, "", INDEX(자격증DB!O:O, MATCH($D25, 자격증DB!$A:$A, 0))), "")</f>
        <v/>
      </c>
      <c r="W25" s="114" t="str">
        <f>IFERROR(IF(INDEX(자격증DB!P:P, MATCH($D25, 자격증DB!$A:$A, 0))=0, "", INDEX(자격증DB!P:P, MATCH($D25, 자격증DB!$A:$A, 0))), "")</f>
        <v>갈등조정</v>
      </c>
      <c r="X25"/>
      <c r="Y25" s="361" t="str">
        <f>A25 &amp; "_" &amp; "자격증_" &amp; COUNTIFS($A$2:A25, A25)</f>
        <v>김혜미_자격증_1</v>
      </c>
      <c r="Z25" s="361" t="str">
        <f>D25 &amp; "_" &amp;"자격증_" &amp;  COUNTIFS($D$2:D25, D25)</f>
        <v>갈등조정전문가 1급_자격증_3</v>
      </c>
    </row>
    <row r="26" spans="1:26" ht="20.100000000000001" customHeight="1">
      <c r="A26" s="204" t="s">
        <v>30</v>
      </c>
      <c r="B26" s="160" t="str">
        <f>IFERROR(INDEX(개인DB!C:C, MATCH($A26, 개인DB!B:B, 0)), "")</f>
        <v>갈등조정중재</v>
      </c>
      <c r="C26" s="160" t="str">
        <f>IFERROR(INDEX(개인DB!D:D, MATCH($A26, 개인DB!B:B, 0)), "")</f>
        <v>위원</v>
      </c>
      <c r="D26" s="224" t="s">
        <v>437</v>
      </c>
      <c r="E26" s="160" t="str">
        <f>IFERROR(INDEX(자격증DB!E:E, MATCH($D26, 자격증DB!A:A, 0)), "X")</f>
        <v>민간</v>
      </c>
      <c r="F26" s="132" t="str">
        <f>IFERROR(INDEX(자격증DB!B:B, MATCH($D26, 자격증DB!A:A, 0)), "X")</f>
        <v>-</v>
      </c>
      <c r="G26" s="206" t="str">
        <f>IFERROR(INDEX(자격증DB!C:C, MATCH($D26, 자격증DB!A:A, 0)), "X")</f>
        <v>한국갈등조정중재그룹</v>
      </c>
      <c r="H26" s="163" t="str">
        <f>IFERROR(INDEX(자격증DB!F:F, MATCH($D26, 자격증DB!A:A, 0)), "X")</f>
        <v>자격증</v>
      </c>
      <c r="I26" s="225">
        <v>45612</v>
      </c>
      <c r="J26" s="225"/>
      <c r="K26" s="226"/>
      <c r="L26" s="209" t="str">
        <f t="shared" si="0"/>
        <v>PDF</v>
      </c>
      <c r="M26" s="227" t="str">
        <f t="shared" si="1"/>
        <v>갈등조정전문가 1급_정영대</v>
      </c>
      <c r="N26" s="228" t="str">
        <f>IFERROR(IF(INDEX(자격증DB!G:G, MATCH($D26, 자격증DB!$A:$A, 0))=0, "", INDEX(자격증DB!G:G, MATCH($D26, 자격증DB!$A:$A, 0))), "")</f>
        <v>공통</v>
      </c>
      <c r="O26" s="153" t="str">
        <f>IFERROR(IF(INDEX(자격증DB!H:H, MATCH($D26, 자격증DB!$A:$A, 0))=0, "", INDEX(자격증DB!H:H, MATCH($D26, 자격증DB!$A:$A, 0))), "")</f>
        <v>제조(CA)</v>
      </c>
      <c r="P26" s="108" t="str">
        <f>IFERROR(IF(INDEX(자격증DB!I:I, MATCH($D26, 자격증DB!$A:$A, 0))=0, "", INDEX(자격증DB!I:I, MATCH($D26, 자격증DB!$A:$A, 0))), "")</f>
        <v>공사(CB)</v>
      </c>
      <c r="Q26" s="108" t="str">
        <f>IFERROR(IF(INDEX(자격증DB!J:J, MATCH($D26, 자격증DB!$A:$A, 0))=0, "", INDEX(자격증DB!J:J, MATCH($D26, 자격증DB!$A:$A, 0))), "")</f>
        <v>학술(CC)</v>
      </c>
      <c r="R26" s="108" t="str">
        <f>IFERROR(IF(INDEX(자격증DB!K:K, MATCH($D26, 자격증DB!$A:$A, 0))=0, "", INDEX(자격증DB!K:K, MATCH($D26, 자격증DB!$A:$A, 0))), "")</f>
        <v>SW(CD)</v>
      </c>
      <c r="S26" s="108" t="str">
        <f>IFERROR(IF(INDEX(자격증DB!L:L, MATCH($D26, 자격증DB!$A:$A, 0))=0, "", INDEX(자격증DB!L:L, MATCH($D26, 자격증DB!$A:$A, 0))), "")</f>
        <v/>
      </c>
      <c r="T26" s="108" t="str">
        <f>IFERROR(IF(INDEX(자격증DB!M:M, MATCH($D26, 자격증DB!$A:$A, 0))=0, "", INDEX(자격증DB!M:M, MATCH($D26, 자격증DB!$A:$A, 0))), "")</f>
        <v/>
      </c>
      <c r="U26" s="108" t="str">
        <f>IFERROR(IF(INDEX(자격증DB!N:N, MATCH($D26, 자격증DB!$A:$A, 0))=0, "", INDEX(자격증DB!N:N, MATCH($D26, 자격증DB!$A:$A, 0))), "")</f>
        <v>법원감정(CG)</v>
      </c>
      <c r="V26" s="108" t="str">
        <f>IFERROR(IF(INDEX(자격증DB!O:O, MATCH($D26, 자격증DB!$A:$A, 0))=0, "", INDEX(자격증DB!O:O, MATCH($D26, 자격증DB!$A:$A, 0))), "")</f>
        <v/>
      </c>
      <c r="W26" s="114" t="str">
        <f>IFERROR(IF(INDEX(자격증DB!P:P, MATCH($D26, 자격증DB!$A:$A, 0))=0, "", INDEX(자격증DB!P:P, MATCH($D26, 자격증DB!$A:$A, 0))), "")</f>
        <v>갈등조정</v>
      </c>
      <c r="X26"/>
      <c r="Y26" s="227" t="str">
        <f>A26 &amp; "_" &amp; "자격증_" &amp; COUNTIFS($A$2:A26, A26)</f>
        <v>정영대_자격증_2</v>
      </c>
      <c r="Z26" s="227" t="str">
        <f>D26 &amp; "_" &amp;"자격증_" &amp;  COUNTIFS($D$2:D26, D26)</f>
        <v>갈등조정전문가 1급_자격증_4</v>
      </c>
    </row>
    <row r="27" spans="1:26" ht="20.100000000000001" customHeight="1">
      <c r="A27" s="204" t="s">
        <v>33</v>
      </c>
      <c r="B27" s="160" t="str">
        <f>IFERROR(INDEX(개인DB!C:C, MATCH($A27, 개인DB!B:B, 0)), "")</f>
        <v>건설사업</v>
      </c>
      <c r="C27" s="160" t="str">
        <f>IFERROR(INDEX(개인DB!D:D, MATCH($A27, 개인DB!B:B, 0)), "")</f>
        <v>위원</v>
      </c>
      <c r="D27" s="232" t="s">
        <v>259</v>
      </c>
      <c r="E27" s="160" t="str">
        <f>IFERROR(INDEX(자격증DB!E:E, MATCH($D27, 자격증DB!A:A, 0)), "X")</f>
        <v>외국</v>
      </c>
      <c r="F27" s="132" t="str">
        <f>IFERROR(INDEX(자격증DB!B:B, MATCH($D27, 자격증DB!A:A, 0)), "X")</f>
        <v>-</v>
      </c>
      <c r="G27" s="206" t="str">
        <f>IFERROR(INDEX(자격증DB!C:C, MATCH($D27, 자격증DB!A:A, 0)), "X")</f>
        <v>미국 PMI</v>
      </c>
      <c r="H27" s="163" t="str">
        <f>IFERROR(INDEX(자격증DB!F:F, MATCH($D27, 자격증DB!A:A, 0)), "X")</f>
        <v>자격증</v>
      </c>
      <c r="I27" s="233">
        <v>36491</v>
      </c>
      <c r="J27" s="233"/>
      <c r="K27" s="234"/>
      <c r="L27" s="209" t="str">
        <f t="shared" si="0"/>
        <v>PDF</v>
      </c>
      <c r="M27" s="235" t="str">
        <f t="shared" si="1"/>
        <v>PMP(Project Management Institute)_최내현</v>
      </c>
      <c r="N27" s="236" t="str">
        <f>IFERROR(IF(INDEX(자격증DB!G:G, MATCH($D27, 자격증DB!$A:$A, 0))=0, "", INDEX(자격증DB!G:G, MATCH($D27, 자격증DB!$A:$A, 0))), "")</f>
        <v>공통</v>
      </c>
      <c r="O27" s="153" t="str">
        <f>IFERROR(IF(INDEX(자격증DB!H:H, MATCH($D27, 자격증DB!$A:$A, 0))=0, "", INDEX(자격증DB!H:H, MATCH($D27, 자격증DB!$A:$A, 0))), "")</f>
        <v>제조(CA)</v>
      </c>
      <c r="P27" s="108" t="str">
        <f>IFERROR(IF(INDEX(자격증DB!I:I, MATCH($D27, 자격증DB!$A:$A, 0))=0, "", INDEX(자격증DB!I:I, MATCH($D27, 자격증DB!$A:$A, 0))), "")</f>
        <v>공사(CB)</v>
      </c>
      <c r="Q27" s="108" t="str">
        <f>IFERROR(IF(INDEX(자격증DB!J:J, MATCH($D27, 자격증DB!$A:$A, 0))=0, "", INDEX(자격증DB!J:J, MATCH($D27, 자격증DB!$A:$A, 0))), "")</f>
        <v/>
      </c>
      <c r="R27" s="108" t="str">
        <f>IFERROR(IF(INDEX(자격증DB!K:K, MATCH($D27, 자격증DB!$A:$A, 0))=0, "", INDEX(자격증DB!K:K, MATCH($D27, 자격증DB!$A:$A, 0))), "")</f>
        <v/>
      </c>
      <c r="S27" s="108" t="str">
        <f>IFERROR(IF(INDEX(자격증DB!L:L, MATCH($D27, 자격증DB!$A:$A, 0))=0, "", INDEX(자격증DB!L:L, MATCH($D27, 자격증DB!$A:$A, 0))), "")</f>
        <v/>
      </c>
      <c r="T27" s="108" t="str">
        <f>IFERROR(IF(INDEX(자격증DB!M:M, MATCH($D27, 자격증DB!$A:$A, 0))=0, "", INDEX(자격증DB!M:M, MATCH($D27, 자격증DB!$A:$A, 0))), "")</f>
        <v/>
      </c>
      <c r="U27" s="108" t="str">
        <f>IFERROR(IF(INDEX(자격증DB!N:N, MATCH($D27, 자격증DB!$A:$A, 0))=0, "", INDEX(자격증DB!N:N, MATCH($D27, 자격증DB!$A:$A, 0))), "")</f>
        <v>법원감정(CG)</v>
      </c>
      <c r="V27" s="108" t="str">
        <f>IFERROR(IF(INDEX(자격증DB!O:O, MATCH($D27, 자격증DB!$A:$A, 0))=0, "", INDEX(자격증DB!O:O, MATCH($D27, 자격증DB!$A:$A, 0))), "")</f>
        <v/>
      </c>
      <c r="W27" s="114" t="str">
        <f>IFERROR(IF(INDEX(자격증DB!P:P, MATCH($D27, 자격증DB!$A:$A, 0))=0, "", INDEX(자격증DB!P:P, MATCH($D27, 자격증DB!$A:$A, 0))), "")</f>
        <v/>
      </c>
      <c r="X27"/>
      <c r="Y27" s="364" t="str">
        <f>A27 &amp; "_" &amp; "자격증_" &amp; COUNTIFS($A$2:A27, A27)</f>
        <v>최내현_자격증_1</v>
      </c>
      <c r="Z27" s="364" t="str">
        <f>D27 &amp; "_" &amp;"자격증_" &amp;  COUNTIFS($D$2:D27, D27)</f>
        <v>PMP(Project Management Institute)_자격증_1</v>
      </c>
    </row>
    <row r="28" spans="1:26" ht="20.100000000000001" customHeight="1">
      <c r="A28" s="204" t="s">
        <v>0</v>
      </c>
      <c r="B28" s="160" t="str">
        <f>IFERROR(INDEX(개인DB!C:C, MATCH($A28, 개인DB!B:B, 0)), "")</f>
        <v>원장</v>
      </c>
      <c r="C28" s="160" t="str">
        <f>IFERROR(INDEX(개인DB!D:D, MATCH($A28, 개인DB!B:B, 0)), "")</f>
        <v>원장</v>
      </c>
      <c r="D28" s="205" t="s">
        <v>501</v>
      </c>
      <c r="E28" s="160" t="str">
        <f>IFERROR(INDEX(자격증DB!E:E, MATCH($D28, 자격증DB!A:A, 0)), "")</f>
        <v>민간</v>
      </c>
      <c r="F28" s="132" t="str">
        <f>IFERROR(INDEX(자격증DB!B:B, MATCH($D28, 자격증DB!A:A, 0)), "")</f>
        <v>조달청</v>
      </c>
      <c r="G28" s="206" t="str">
        <f>IFERROR(INDEX(자격증DB!C:C, MATCH($D28, 자격증DB!A:A, 0)), "")</f>
        <v>(사)한국경영기술지도사회</v>
      </c>
      <c r="H28" s="163" t="str">
        <f>IFERROR(INDEX(자격증DB!F:F, MATCH($D28, 자격증DB!A:A, 0)), "")</f>
        <v>자격증</v>
      </c>
      <c r="I28" s="207">
        <v>38723</v>
      </c>
      <c r="J28" s="207"/>
      <c r="K28" s="208"/>
      <c r="L28" s="209" t="str">
        <f t="shared" si="0"/>
        <v>PDF</v>
      </c>
      <c r="M28" s="210" t="str">
        <f t="shared" si="1"/>
        <v>조달계약사_김민선</v>
      </c>
      <c r="N28" s="211" t="str">
        <f>IFERROR(IF(INDEX(자격증DB!G:G, MATCH($D28, 자격증DB!$A:$A, 0))=0, "", INDEX(자격증DB!G:G, MATCH($D28, 자격증DB!$A:$A, 0))), "")</f>
        <v>제조(CA)</v>
      </c>
      <c r="O28" s="153" t="str">
        <f>IFERROR(IF(INDEX(자격증DB!H:H, MATCH($D28, 자격증DB!$A:$A, 0))=0, "", INDEX(자격증DB!H:H, MATCH($D28, 자격증DB!$A:$A, 0))), "")</f>
        <v>제조(CA)</v>
      </c>
      <c r="P28" s="108" t="str">
        <f>IFERROR(IF(INDEX(자격증DB!I:I, MATCH($D28, 자격증DB!$A:$A, 0))=0, "", INDEX(자격증DB!I:I, MATCH($D28, 자격증DB!$A:$A, 0))), "")</f>
        <v/>
      </c>
      <c r="Q28" s="108" t="str">
        <f>IFERROR(IF(INDEX(자격증DB!J:J, MATCH($D28, 자격증DB!$A:$A, 0))=0, "", INDEX(자격증DB!J:J, MATCH($D28, 자격증DB!$A:$A, 0))), "")</f>
        <v/>
      </c>
      <c r="R28" s="108" t="str">
        <f>IFERROR(IF(INDEX(자격증DB!K:K, MATCH($D28, 자격증DB!$A:$A, 0))=0, "", INDEX(자격증DB!K:K, MATCH($D28, 자격증DB!$A:$A, 0))), "")</f>
        <v/>
      </c>
      <c r="S28" s="108" t="str">
        <f>IFERROR(IF(INDEX(자격증DB!L:L, MATCH($D28, 자격증DB!$A:$A, 0))=0, "", INDEX(자격증DB!L:L, MATCH($D28, 자격증DB!$A:$A, 0))), "")</f>
        <v/>
      </c>
      <c r="T28" s="108" t="str">
        <f>IFERROR(IF(INDEX(자격증DB!M:M, MATCH($D28, 자격증DB!$A:$A, 0))=0, "", INDEX(자격증DB!M:M, MATCH($D28, 자격증DB!$A:$A, 0))), "")</f>
        <v/>
      </c>
      <c r="U28" s="108" t="str">
        <f>IFERROR(IF(INDEX(자격증DB!N:N, MATCH($D28, 자격증DB!$A:$A, 0))=0, "", INDEX(자격증DB!N:N, MATCH($D28, 자격증DB!$A:$A, 0))), "")</f>
        <v/>
      </c>
      <c r="V28" s="108" t="str">
        <f>IFERROR(IF(INDEX(자격증DB!O:O, MATCH($D28, 자격증DB!$A:$A, 0))=0, "", INDEX(자격증DB!O:O, MATCH($D28, 자격증DB!$A:$A, 0))), "")</f>
        <v/>
      </c>
      <c r="W28" s="114" t="str">
        <f>IFERROR(IF(INDEX(자격증DB!P:P, MATCH($D28, 자격증DB!$A:$A, 0))=0, "", INDEX(자격증DB!P:P, MATCH($D28, 자격증DB!$A:$A, 0))), "")</f>
        <v/>
      </c>
      <c r="X28"/>
      <c r="Y28" s="210" t="str">
        <f>A28 &amp; "_" &amp; "자격증_" &amp; COUNTIFS($A$2:A28, A28)</f>
        <v>김민선_자격증_4</v>
      </c>
      <c r="Z28" s="210" t="str">
        <f>D28 &amp; "_" &amp;"자격증_" &amp;  COUNTIFS($D$2:D28, D28)</f>
        <v>조달계약사_자격증_1</v>
      </c>
    </row>
    <row r="29" spans="1:26" ht="20.100000000000001" customHeight="1">
      <c r="A29" s="204" t="s">
        <v>14</v>
      </c>
      <c r="B29" s="160" t="str">
        <f>IFERROR(INDEX(개인DB!C:C, MATCH($A29, 개인DB!B:B, 0)), "")</f>
        <v>품질관리</v>
      </c>
      <c r="C29" s="160" t="str">
        <f>IFERROR(INDEX(개인DB!D:D, MATCH($A29, 개인DB!B:B, 0)), "")</f>
        <v>이사</v>
      </c>
      <c r="D29" s="229" t="s">
        <v>135</v>
      </c>
      <c r="E29" s="160" t="str">
        <f>IFERROR(INDEX(자격증DB!E:E, MATCH($D29, 자격증DB!A:A, 0)), "")</f>
        <v>전문자격</v>
      </c>
      <c r="F29" s="132" t="str">
        <f>IFERROR(INDEX(자격증DB!B:B, MATCH($D29, 자격증DB!A:A, 0)), "")</f>
        <v>국토교통부</v>
      </c>
      <c r="G29" s="206" t="str">
        <f>IFERROR(INDEX(자격증DB!C:C, MATCH($D29, 자격증DB!A:A, 0)), "")</f>
        <v>한국산업인력공단</v>
      </c>
      <c r="H29" s="163" t="str">
        <f>IFERROR(INDEX(자격증DB!F:F, MATCH($D29, 자격증DB!A:A, 0)), "")</f>
        <v>자격증</v>
      </c>
      <c r="I29" s="207">
        <v>44062</v>
      </c>
      <c r="J29" s="207"/>
      <c r="K29" s="208"/>
      <c r="L29" s="209" t="str">
        <f t="shared" si="0"/>
        <v>PDF</v>
      </c>
      <c r="M29" s="210" t="str">
        <f t="shared" si="1"/>
        <v>물류관리사_김창수</v>
      </c>
      <c r="N29" s="211" t="str">
        <f>IFERROR(IF(INDEX(자격증DB!G:G, MATCH($D29, 자격증DB!$A:$A, 0))=0, "", INDEX(자격증DB!G:G, MATCH($D29, 자격증DB!$A:$A, 0))), "")</f>
        <v>제조(CA)</v>
      </c>
      <c r="O29" s="153" t="str">
        <f>IFERROR(IF(INDEX(자격증DB!H:H, MATCH($D29, 자격증DB!$A:$A, 0))=0, "", INDEX(자격증DB!H:H, MATCH($D29, 자격증DB!$A:$A, 0))), "")</f>
        <v>제조(CA)</v>
      </c>
      <c r="P29" s="108" t="str">
        <f>IFERROR(IF(INDEX(자격증DB!I:I, MATCH($D29, 자격증DB!$A:$A, 0))=0, "", INDEX(자격증DB!I:I, MATCH($D29, 자격증DB!$A:$A, 0))), "")</f>
        <v/>
      </c>
      <c r="Q29" s="108" t="str">
        <f>IFERROR(IF(INDEX(자격증DB!J:J, MATCH($D29, 자격증DB!$A:$A, 0))=0, "", INDEX(자격증DB!J:J, MATCH($D29, 자격증DB!$A:$A, 0))), "")</f>
        <v/>
      </c>
      <c r="R29" s="108" t="str">
        <f>IFERROR(IF(INDEX(자격증DB!K:K, MATCH($D29, 자격증DB!$A:$A, 0))=0, "", INDEX(자격증DB!K:K, MATCH($D29, 자격증DB!$A:$A, 0))), "")</f>
        <v/>
      </c>
      <c r="S29" s="108" t="str">
        <f>IFERROR(IF(INDEX(자격증DB!L:L, MATCH($D29, 자격증DB!$A:$A, 0))=0, "", INDEX(자격증DB!L:L, MATCH($D29, 자격증DB!$A:$A, 0))), "")</f>
        <v>사후정산(CE)</v>
      </c>
      <c r="T29" s="108" t="str">
        <f>IFERROR(IF(INDEX(자격증DB!M:M, MATCH($D29, 자격증DB!$A:$A, 0))=0, "", INDEX(자격증DB!M:M, MATCH($D29, 자격증DB!$A:$A, 0))), "")</f>
        <v>각종 수수료(CF)</v>
      </c>
      <c r="U29" s="108" t="str">
        <f>IFERROR(IF(INDEX(자격증DB!N:N, MATCH($D29, 자격증DB!$A:$A, 0))=0, "", INDEX(자격증DB!N:N, MATCH($D29, 자격증DB!$A:$A, 0))), "")</f>
        <v/>
      </c>
      <c r="V29" s="108" t="str">
        <f>IFERROR(IF(INDEX(자격증DB!O:O, MATCH($D29, 자격증DB!$A:$A, 0))=0, "", INDEX(자격증DB!O:O, MATCH($D29, 자격증DB!$A:$A, 0))), "")</f>
        <v/>
      </c>
      <c r="W29" s="114" t="str">
        <f>IFERROR(IF(INDEX(자격증DB!P:P, MATCH($D29, 자격증DB!$A:$A, 0))=0, "", INDEX(자격증DB!P:P, MATCH($D29, 자격증DB!$A:$A, 0))), "")</f>
        <v/>
      </c>
      <c r="X29"/>
      <c r="Y29" s="361" t="str">
        <f>A29 &amp; "_" &amp; "자격증_" &amp; COUNTIFS($A$2:A29, A29)</f>
        <v>김창수_자격증_2</v>
      </c>
      <c r="Z29" s="361" t="str">
        <f>D29 &amp; "_" &amp;"자격증_" &amp;  COUNTIFS($D$2:D29, D29)</f>
        <v>물류관리사_자격증_1</v>
      </c>
    </row>
    <row r="30" spans="1:26" ht="20.100000000000001" customHeight="1">
      <c r="A30" s="204" t="s">
        <v>17</v>
      </c>
      <c r="B30" s="160" t="str">
        <f>IFERROR(INDEX(개인DB!C:C, MATCH($A30, 개인DB!B:B, 0)), "")</f>
        <v>품질관리</v>
      </c>
      <c r="C30" s="160" t="str">
        <f>IFERROR(INDEX(개인DB!D:D, MATCH($A30, 개인DB!B:B, 0)), "")</f>
        <v>위원</v>
      </c>
      <c r="D30" s="229" t="s">
        <v>236</v>
      </c>
      <c r="E30" s="160" t="str">
        <f>IFERROR(INDEX(자격증DB!E:E, MATCH($D30, 자격증DB!A:A, 0)), "")</f>
        <v>전문자격</v>
      </c>
      <c r="F30" s="132" t="str">
        <f>IFERROR(INDEX(자격증DB!B:B, MATCH($D30, 자격증DB!A:A, 0)), "")</f>
        <v>국토교통부</v>
      </c>
      <c r="G30" s="206" t="str">
        <f>IFERROR(INDEX(자격증DB!C:C, MATCH($D30, 자격증DB!A:A, 0)), "")</f>
        <v>한국산업인력공단</v>
      </c>
      <c r="H30" s="163" t="str">
        <f>IFERROR(INDEX(자격증DB!F:F, MATCH($D30, 자격증DB!A:A, 0)), "")</f>
        <v>자격증</v>
      </c>
      <c r="I30" s="214">
        <v>42949</v>
      </c>
      <c r="J30" s="214"/>
      <c r="K30" s="226"/>
      <c r="L30" s="209" t="str">
        <f t="shared" si="0"/>
        <v>PDF</v>
      </c>
      <c r="M30" s="227" t="str">
        <f t="shared" si="1"/>
        <v>물류관리사_박판진</v>
      </c>
      <c r="N30" s="228" t="str">
        <f>IFERROR(IF(INDEX(자격증DB!G:G, MATCH($D30, 자격증DB!$A:$A, 0))=0, "", INDEX(자격증DB!G:G, MATCH($D30, 자격증DB!$A:$A, 0))), "")</f>
        <v>제조(CA)</v>
      </c>
      <c r="O30" s="153" t="str">
        <f>IFERROR(IF(INDEX(자격증DB!H:H, MATCH($D30, 자격증DB!$A:$A, 0))=0, "", INDEX(자격증DB!H:H, MATCH($D30, 자격증DB!$A:$A, 0))), "")</f>
        <v>제조(CA)</v>
      </c>
      <c r="P30" s="108" t="str">
        <f>IFERROR(IF(INDEX(자격증DB!I:I, MATCH($D30, 자격증DB!$A:$A, 0))=0, "", INDEX(자격증DB!I:I, MATCH($D30, 자격증DB!$A:$A, 0))), "")</f>
        <v/>
      </c>
      <c r="Q30" s="108" t="str">
        <f>IFERROR(IF(INDEX(자격증DB!J:J, MATCH($D30, 자격증DB!$A:$A, 0))=0, "", INDEX(자격증DB!J:J, MATCH($D30, 자격증DB!$A:$A, 0))), "")</f>
        <v/>
      </c>
      <c r="R30" s="108" t="str">
        <f>IFERROR(IF(INDEX(자격증DB!K:K, MATCH($D30, 자격증DB!$A:$A, 0))=0, "", INDEX(자격증DB!K:K, MATCH($D30, 자격증DB!$A:$A, 0))), "")</f>
        <v/>
      </c>
      <c r="S30" s="108" t="str">
        <f>IFERROR(IF(INDEX(자격증DB!L:L, MATCH($D30, 자격증DB!$A:$A, 0))=0, "", INDEX(자격증DB!L:L, MATCH($D30, 자격증DB!$A:$A, 0))), "")</f>
        <v>사후정산(CE)</v>
      </c>
      <c r="T30" s="108" t="str">
        <f>IFERROR(IF(INDEX(자격증DB!M:M, MATCH($D30, 자격증DB!$A:$A, 0))=0, "", INDEX(자격증DB!M:M, MATCH($D30, 자격증DB!$A:$A, 0))), "")</f>
        <v>각종 수수료(CF)</v>
      </c>
      <c r="U30" s="108" t="str">
        <f>IFERROR(IF(INDEX(자격증DB!N:N, MATCH($D30, 자격증DB!$A:$A, 0))=0, "", INDEX(자격증DB!N:N, MATCH($D30, 자격증DB!$A:$A, 0))), "")</f>
        <v/>
      </c>
      <c r="V30" s="108" t="str">
        <f>IFERROR(IF(INDEX(자격증DB!O:O, MATCH($D30, 자격증DB!$A:$A, 0))=0, "", INDEX(자격증DB!O:O, MATCH($D30, 자격증DB!$A:$A, 0))), "")</f>
        <v/>
      </c>
      <c r="W30" s="114" t="str">
        <f>IFERROR(IF(INDEX(자격증DB!P:P, MATCH($D30, 자격증DB!$A:$A, 0))=0, "", INDEX(자격증DB!P:P, MATCH($D30, 자격증DB!$A:$A, 0))), "")</f>
        <v/>
      </c>
      <c r="X30"/>
      <c r="Y30" s="227" t="str">
        <f>A30 &amp; "_" &amp; "자격증_" &amp; COUNTIFS($A$2:A30, A30)</f>
        <v>박판진_자격증_3</v>
      </c>
      <c r="Z30" s="227" t="str">
        <f>D30 &amp; "_" &amp;"자격증_" &amp;  COUNTIFS($D$2:D30, D30)</f>
        <v>물류관리사_자격증_2</v>
      </c>
    </row>
    <row r="31" spans="1:26" ht="20.100000000000001" customHeight="1">
      <c r="A31" s="204" t="s">
        <v>22</v>
      </c>
      <c r="B31" s="160" t="str">
        <f>IFERROR(INDEX(개인DB!C:C, MATCH($A31, 개인DB!B:B, 0)), "")</f>
        <v>원가분석</v>
      </c>
      <c r="C31" s="160" t="str">
        <f>IFERROR(INDEX(개인DB!D:D, MATCH($A31, 개인DB!B:B, 0)), "")</f>
        <v>위원</v>
      </c>
      <c r="D31" s="229" t="s">
        <v>439</v>
      </c>
      <c r="E31" s="160" t="str">
        <f>IFERROR(INDEX(자격증DB!E:E, MATCH($D31, 자격증DB!A:A, 0)), "")</f>
        <v>국가기술자격</v>
      </c>
      <c r="F31" s="132" t="str">
        <f>IFERROR(INDEX(자격증DB!B:B, MATCH($D31, 자격증DB!A:A, 0)), "")</f>
        <v>산업통상자원부</v>
      </c>
      <c r="G31" s="206" t="str">
        <f>IFERROR(INDEX(자격증DB!C:C, MATCH($D31, 자격증DB!A:A, 0)), "")</f>
        <v>한국산업인력공단</v>
      </c>
      <c r="H31" s="163" t="str">
        <f>IFERROR(INDEX(자격증DB!F:F, MATCH($D31, 자격증DB!A:A, 0)), "")</f>
        <v>자격증</v>
      </c>
      <c r="I31" s="230">
        <v>41957</v>
      </c>
      <c r="J31" s="231"/>
      <c r="K31" s="208"/>
      <c r="L31" s="209" t="str">
        <f t="shared" si="0"/>
        <v>PDF</v>
      </c>
      <c r="M31" s="210" t="str">
        <f t="shared" si="1"/>
        <v>품질관리기술사_유길상</v>
      </c>
      <c r="N31" s="211" t="str">
        <f>IFERROR(IF(INDEX(자격증DB!G:G, MATCH($D31, 자격증DB!$A:$A, 0))=0, "", INDEX(자격증DB!G:G, MATCH($D31, 자격증DB!$A:$A, 0))), "")</f>
        <v>제조(CA)</v>
      </c>
      <c r="O31" s="153" t="str">
        <f>IFERROR(IF(INDEX(자격증DB!H:H, MATCH($D31, 자격증DB!$A:$A, 0))=0, "", INDEX(자격증DB!H:H, MATCH($D31, 자격증DB!$A:$A, 0))), "")</f>
        <v>제조(CA)</v>
      </c>
      <c r="P31" s="108" t="str">
        <f>IFERROR(IF(INDEX(자격증DB!I:I, MATCH($D31, 자격증DB!$A:$A, 0))=0, "", INDEX(자격증DB!I:I, MATCH($D31, 자격증DB!$A:$A, 0))), "")</f>
        <v/>
      </c>
      <c r="Q31" s="108" t="str">
        <f>IFERROR(IF(INDEX(자격증DB!J:J, MATCH($D31, 자격증DB!$A:$A, 0))=0, "", INDEX(자격증DB!J:J, MATCH($D31, 자격증DB!$A:$A, 0))), "")</f>
        <v/>
      </c>
      <c r="R31" s="108" t="str">
        <f>IFERROR(IF(INDEX(자격증DB!K:K, MATCH($D31, 자격증DB!$A:$A, 0))=0, "", INDEX(자격증DB!K:K, MATCH($D31, 자격증DB!$A:$A, 0))), "")</f>
        <v/>
      </c>
      <c r="S31" s="108" t="str">
        <f>IFERROR(IF(INDEX(자격증DB!L:L, MATCH($D31, 자격증DB!$A:$A, 0))=0, "", INDEX(자격증DB!L:L, MATCH($D31, 자격증DB!$A:$A, 0))), "")</f>
        <v/>
      </c>
      <c r="T31" s="108" t="str">
        <f>IFERROR(IF(INDEX(자격증DB!M:M, MATCH($D31, 자격증DB!$A:$A, 0))=0, "", INDEX(자격증DB!M:M, MATCH($D31, 자격증DB!$A:$A, 0))), "")</f>
        <v>각종 수수료(CF)</v>
      </c>
      <c r="U31" s="108" t="str">
        <f>IFERROR(IF(INDEX(자격증DB!N:N, MATCH($D31, 자격증DB!$A:$A, 0))=0, "", INDEX(자격증DB!N:N, MATCH($D31, 자격증DB!$A:$A, 0))), "")</f>
        <v/>
      </c>
      <c r="V31" s="108" t="str">
        <f>IFERROR(IF(INDEX(자격증DB!O:O, MATCH($D31, 자격증DB!$A:$A, 0))=0, "", INDEX(자격증DB!O:O, MATCH($D31, 자격증DB!$A:$A, 0))), "")</f>
        <v/>
      </c>
      <c r="W31" s="114" t="str">
        <f>IFERROR(IF(INDEX(자격증DB!P:P, MATCH($D31, 자격증DB!$A:$A, 0))=0, "", INDEX(자격증DB!P:P, MATCH($D31, 자격증DB!$A:$A, 0))), "")</f>
        <v/>
      </c>
      <c r="X31"/>
      <c r="Y31" s="361" t="str">
        <f>A31 &amp; "_" &amp; "자격증_" &amp; COUNTIFS($A$2:A31, A31)</f>
        <v>유길상_자격증_1</v>
      </c>
      <c r="Z31" s="361" t="str">
        <f>D31 &amp; "_" &amp;"자격증_" &amp;  COUNTIFS($D$2:D31, D31)</f>
        <v>품질관리기술사_자격증_1</v>
      </c>
    </row>
    <row r="32" spans="1:26" ht="20.100000000000001" customHeight="1">
      <c r="A32" s="204" t="s">
        <v>22</v>
      </c>
      <c r="B32" s="160" t="str">
        <f>IFERROR(INDEX(개인DB!C:C, MATCH($A32, 개인DB!B:B, 0)), "")</f>
        <v>원가분석</v>
      </c>
      <c r="C32" s="160" t="str">
        <f>IFERROR(INDEX(개인DB!D:D, MATCH($A32, 개인DB!B:B, 0)), "")</f>
        <v>위원</v>
      </c>
      <c r="D32" s="229" t="s">
        <v>249</v>
      </c>
      <c r="E32" s="160" t="str">
        <f>IFERROR(INDEX(자격증DB!E:E, MATCH($D32, 자격증DB!A:A, 0)), "")</f>
        <v>-</v>
      </c>
      <c r="F32" s="132" t="str">
        <f>IFERROR(INDEX(자격증DB!B:B, MATCH($D32, 자격증DB!A:A, 0)), "")</f>
        <v>-</v>
      </c>
      <c r="G32" s="206" t="str">
        <f>IFERROR(INDEX(자격증DB!C:C, MATCH($D32, 자격증DB!A:A, 0)), "")</f>
        <v>한국산업인력공단</v>
      </c>
      <c r="H32" s="163" t="str">
        <f>IFERROR(INDEX(자격증DB!F:F, MATCH($D32, 자격증DB!A:A, 0)), "")</f>
        <v>자격증</v>
      </c>
      <c r="I32" s="230">
        <v>41047</v>
      </c>
      <c r="J32" s="231">
        <v>41047</v>
      </c>
      <c r="K32" s="208"/>
      <c r="L32" s="209" t="str">
        <f t="shared" si="0"/>
        <v>PDF</v>
      </c>
      <c r="M32" s="210" t="str">
        <f t="shared" si="1"/>
        <v>화공안전기술사_유길상</v>
      </c>
      <c r="N32" s="211" t="str">
        <f>IFERROR(IF(INDEX(자격증DB!G:G, MATCH($D32, 자격증DB!$A:$A, 0))=0, "", INDEX(자격증DB!G:G, MATCH($D32, 자격증DB!$A:$A, 0))), "")</f>
        <v>제조(CA)</v>
      </c>
      <c r="O32" s="153" t="str">
        <f>IFERROR(IF(INDEX(자격증DB!H:H, MATCH($D32, 자격증DB!$A:$A, 0))=0, "", INDEX(자격증DB!H:H, MATCH($D32, 자격증DB!$A:$A, 0))), "")</f>
        <v>제조(CA)</v>
      </c>
      <c r="P32" s="108" t="str">
        <f>IFERROR(IF(INDEX(자격증DB!I:I, MATCH($D32, 자격증DB!$A:$A, 0))=0, "", INDEX(자격증DB!I:I, MATCH($D32, 자격증DB!$A:$A, 0))), "")</f>
        <v>공사(CB)</v>
      </c>
      <c r="Q32" s="108" t="str">
        <f>IFERROR(IF(INDEX(자격증DB!J:J, MATCH($D32, 자격증DB!$A:$A, 0))=0, "", INDEX(자격증DB!J:J, MATCH($D32, 자격증DB!$A:$A, 0))), "")</f>
        <v/>
      </c>
      <c r="R32" s="108" t="str">
        <f>IFERROR(IF(INDEX(자격증DB!K:K, MATCH($D32, 자격증DB!$A:$A, 0))=0, "", INDEX(자격증DB!K:K, MATCH($D32, 자격증DB!$A:$A, 0))), "")</f>
        <v/>
      </c>
      <c r="S32" s="108" t="str">
        <f>IFERROR(IF(INDEX(자격증DB!L:L, MATCH($D32, 자격증DB!$A:$A, 0))=0, "", INDEX(자격증DB!L:L, MATCH($D32, 자격증DB!$A:$A, 0))), "")</f>
        <v/>
      </c>
      <c r="T32" s="108" t="str">
        <f>IFERROR(IF(INDEX(자격증DB!M:M, MATCH($D32, 자격증DB!$A:$A, 0))=0, "", INDEX(자격증DB!M:M, MATCH($D32, 자격증DB!$A:$A, 0))), "")</f>
        <v>각종 수수료(CF)</v>
      </c>
      <c r="U32" s="108" t="str">
        <f>IFERROR(IF(INDEX(자격증DB!N:N, MATCH($D32, 자격증DB!$A:$A, 0))=0, "", INDEX(자격증DB!N:N, MATCH($D32, 자격증DB!$A:$A, 0))), "")</f>
        <v/>
      </c>
      <c r="V32" s="108" t="str">
        <f>IFERROR(IF(INDEX(자격증DB!O:O, MATCH($D32, 자격증DB!$A:$A, 0))=0, "", INDEX(자격증DB!O:O, MATCH($D32, 자격증DB!$A:$A, 0))), "")</f>
        <v/>
      </c>
      <c r="W32" s="114" t="str">
        <f>IFERROR(IF(INDEX(자격증DB!P:P, MATCH($D32, 자격증DB!$A:$A, 0))=0, "", INDEX(자격증DB!P:P, MATCH($D32, 자격증DB!$A:$A, 0))), "")</f>
        <v/>
      </c>
      <c r="X32"/>
      <c r="Y32" s="210" t="str">
        <f>A32 &amp; "_" &amp; "자격증_" &amp; COUNTIFS($A$2:A32, A32)</f>
        <v>유길상_자격증_2</v>
      </c>
      <c r="Z32" s="210" t="str">
        <f>D32 &amp; "_" &amp;"자격증_" &amp;  COUNTIFS($D$2:D32, D32)</f>
        <v>화공안전기술사_자격증_1</v>
      </c>
    </row>
    <row r="33" spans="1:26" ht="20.100000000000001" customHeight="1">
      <c r="A33" s="204" t="s">
        <v>10</v>
      </c>
      <c r="B33" s="160" t="str">
        <f>IFERROR(INDEX(개인DB!C:C, MATCH($A33, 개인DB!B:B, 0)), "")</f>
        <v>건설사업</v>
      </c>
      <c r="C33" s="160" t="str">
        <f>IFERROR(INDEX(개인DB!D:D, MATCH($A33, 개인DB!B:B, 0)), "")</f>
        <v>전임연구원</v>
      </c>
      <c r="D33" s="212" t="s">
        <v>129</v>
      </c>
      <c r="E33" s="160" t="str">
        <f>IFERROR(INDEX(자격증DB!E:E, MATCH($D33, 자격증DB!A:A, 0)), "")</f>
        <v>전문자격</v>
      </c>
      <c r="F33" s="132" t="str">
        <f>IFERROR(INDEX(자격증DB!B:B, MATCH($D33, 자격증DB!A:A, 0)), "")</f>
        <v>고용노동부</v>
      </c>
      <c r="G33" s="206" t="str">
        <f>IFERROR(INDEX(자격증DB!C:C, MATCH($D33, 자격증DB!A:A, 0)), "")</f>
        <v>한국산업인력공단</v>
      </c>
      <c r="H33" s="163" t="str">
        <f>IFERROR(INDEX(자격증DB!F:F, MATCH($D33, 자격증DB!A:A, 0)), "")</f>
        <v>자격증</v>
      </c>
      <c r="I33" s="231">
        <v>45821</v>
      </c>
      <c r="J33" s="207"/>
      <c r="K33" s="208"/>
      <c r="L33" s="209" t="str">
        <f t="shared" si="0"/>
        <v>PDF</v>
      </c>
      <c r="M33" s="210" t="str">
        <f t="shared" si="1"/>
        <v>산업안전기사_김연화</v>
      </c>
      <c r="N33" s="211" t="str">
        <f>IFERROR(IF(INDEX(자격증DB!G:G, MATCH($D33, 자격증DB!$A:$A, 0))=0, "", INDEX(자격증DB!G:G, MATCH($D33, 자격증DB!$A:$A, 0))), "")</f>
        <v>제조(CA)</v>
      </c>
      <c r="O33" s="153" t="str">
        <f>IFERROR(IF(INDEX(자격증DB!H:H, MATCH($D33, 자격증DB!$A:$A, 0))=0, "", INDEX(자격증DB!H:H, MATCH($D33, 자격증DB!$A:$A, 0))), "")</f>
        <v>제조(CA)</v>
      </c>
      <c r="P33" s="108" t="str">
        <f>IFERROR(IF(INDEX(자격증DB!I:I, MATCH($D33, 자격증DB!$A:$A, 0))=0, "", INDEX(자격증DB!I:I, MATCH($D33, 자격증DB!$A:$A, 0))), "")</f>
        <v/>
      </c>
      <c r="Q33" s="108" t="str">
        <f>IFERROR(IF(INDEX(자격증DB!J:J, MATCH($D33, 자격증DB!$A:$A, 0))=0, "", INDEX(자격증DB!J:J, MATCH($D33, 자격증DB!$A:$A, 0))), "")</f>
        <v/>
      </c>
      <c r="R33" s="108" t="str">
        <f>IFERROR(IF(INDEX(자격증DB!K:K, MATCH($D33, 자격증DB!$A:$A, 0))=0, "", INDEX(자격증DB!K:K, MATCH($D33, 자격증DB!$A:$A, 0))), "")</f>
        <v/>
      </c>
      <c r="S33" s="108" t="str">
        <f>IFERROR(IF(INDEX(자격증DB!L:L, MATCH($D33, 자격증DB!$A:$A, 0))=0, "", INDEX(자격증DB!L:L, MATCH($D33, 자격증DB!$A:$A, 0))), "")</f>
        <v/>
      </c>
      <c r="T33" s="108" t="str">
        <f>IFERROR(IF(INDEX(자격증DB!M:M, MATCH($D33, 자격증DB!$A:$A, 0))=0, "", INDEX(자격증DB!M:M, MATCH($D33, 자격증DB!$A:$A, 0))), "")</f>
        <v>각종 수수료(CF)</v>
      </c>
      <c r="U33" s="108" t="str">
        <f>IFERROR(IF(INDEX(자격증DB!N:N, MATCH($D33, 자격증DB!$A:$A, 0))=0, "", INDEX(자격증DB!N:N, MATCH($D33, 자격증DB!$A:$A, 0))), "")</f>
        <v>법원감정(CG)</v>
      </c>
      <c r="V33" s="108" t="str">
        <f>IFERROR(IF(INDEX(자격증DB!O:O, MATCH($D33, 자격증DB!$A:$A, 0))=0, "", INDEX(자격증DB!O:O, MATCH($D33, 자격증DB!$A:$A, 0))), "")</f>
        <v/>
      </c>
      <c r="W33" s="114" t="str">
        <f>IFERROR(IF(INDEX(자격증DB!P:P, MATCH($D33, 자격증DB!$A:$A, 0))=0, "", INDEX(자격증DB!P:P, MATCH($D33, 자격증DB!$A:$A, 0))), "")</f>
        <v/>
      </c>
      <c r="X33"/>
      <c r="Y33" s="361" t="str">
        <f>A33 &amp; "_" &amp; "자격증_" &amp; COUNTIFS($A$2:A33, A33)</f>
        <v>김연화_자격증_1</v>
      </c>
      <c r="Z33" s="361" t="str">
        <f>D33 &amp; "_" &amp;"자격증_" &amp;  COUNTIFS($D$2:D33, D33)</f>
        <v>산업안전기사_자격증_1</v>
      </c>
    </row>
    <row r="34" spans="1:26" ht="20.100000000000001" customHeight="1">
      <c r="A34" s="204" t="s">
        <v>22</v>
      </c>
      <c r="B34" s="160" t="str">
        <f>IFERROR(INDEX(개인DB!C:C, MATCH($A34, 개인DB!B:B, 0)), "")</f>
        <v>원가분석</v>
      </c>
      <c r="C34" s="160" t="str">
        <f>IFERROR(INDEX(개인DB!D:D, MATCH($A34, 개인DB!B:B, 0)), "")</f>
        <v>위원</v>
      </c>
      <c r="D34" s="232" t="s">
        <v>230</v>
      </c>
      <c r="E34" s="160" t="str">
        <f>IFERROR(INDEX(자격증DB!E:E, MATCH($D34, 자격증DB!A:A, 0)), "")</f>
        <v>전문자격</v>
      </c>
      <c r="F34" s="132" t="str">
        <f>IFERROR(INDEX(자격증DB!B:B, MATCH($D34, 자격증DB!A:A, 0)), "")</f>
        <v>고용노동부</v>
      </c>
      <c r="G34" s="206" t="str">
        <f>IFERROR(INDEX(자격증DB!C:C, MATCH($D34, 자격증DB!A:A, 0)), "")</f>
        <v>한국산업인력공단</v>
      </c>
      <c r="H34" s="163" t="str">
        <f>IFERROR(INDEX(자격증DB!F:F, MATCH($D34, 자격증DB!A:A, 0)), "")</f>
        <v>자격증</v>
      </c>
      <c r="I34" s="233">
        <v>30550</v>
      </c>
      <c r="J34" s="233">
        <v>30551</v>
      </c>
      <c r="K34" s="234"/>
      <c r="L34" s="209" t="str">
        <f t="shared" ref="L34:L65" si="2">HYPERLINK("학력, 자격증-excel 연동 파일\" &amp; A34 &amp; "\자격증\" &amp; D34 &amp; "_" &amp; A34 &amp; ".pdf", "PDF")</f>
        <v>PDF</v>
      </c>
      <c r="M34" s="235" t="str">
        <f t="shared" ref="M34:M65" si="3">D34&amp;"_"&amp;A34</f>
        <v>산업안전기사_유길상</v>
      </c>
      <c r="N34" s="236" t="str">
        <f>IFERROR(IF(INDEX(자격증DB!G:G, MATCH($D34, 자격증DB!$A:$A, 0))=0, "", INDEX(자격증DB!G:G, MATCH($D34, 자격증DB!$A:$A, 0))), "")</f>
        <v>제조(CA)</v>
      </c>
      <c r="O34" s="153" t="str">
        <f>IFERROR(IF(INDEX(자격증DB!H:H, MATCH($D34, 자격증DB!$A:$A, 0))=0, "", INDEX(자격증DB!H:H, MATCH($D34, 자격증DB!$A:$A, 0))), "")</f>
        <v>제조(CA)</v>
      </c>
      <c r="P34" s="108" t="str">
        <f>IFERROR(IF(INDEX(자격증DB!I:I, MATCH($D34, 자격증DB!$A:$A, 0))=0, "", INDEX(자격증DB!I:I, MATCH($D34, 자격증DB!$A:$A, 0))), "")</f>
        <v/>
      </c>
      <c r="Q34" s="108" t="str">
        <f>IFERROR(IF(INDEX(자격증DB!J:J, MATCH($D34, 자격증DB!$A:$A, 0))=0, "", INDEX(자격증DB!J:J, MATCH($D34, 자격증DB!$A:$A, 0))), "")</f>
        <v/>
      </c>
      <c r="R34" s="108" t="str">
        <f>IFERROR(IF(INDEX(자격증DB!K:K, MATCH($D34, 자격증DB!$A:$A, 0))=0, "", INDEX(자격증DB!K:K, MATCH($D34, 자격증DB!$A:$A, 0))), "")</f>
        <v/>
      </c>
      <c r="S34" s="108" t="str">
        <f>IFERROR(IF(INDEX(자격증DB!L:L, MATCH($D34, 자격증DB!$A:$A, 0))=0, "", INDEX(자격증DB!L:L, MATCH($D34, 자격증DB!$A:$A, 0))), "")</f>
        <v/>
      </c>
      <c r="T34" s="108" t="str">
        <f>IFERROR(IF(INDEX(자격증DB!M:M, MATCH($D34, 자격증DB!$A:$A, 0))=0, "", INDEX(자격증DB!M:M, MATCH($D34, 자격증DB!$A:$A, 0))), "")</f>
        <v>각종 수수료(CF)</v>
      </c>
      <c r="U34" s="108" t="str">
        <f>IFERROR(IF(INDEX(자격증DB!N:N, MATCH($D34, 자격증DB!$A:$A, 0))=0, "", INDEX(자격증DB!N:N, MATCH($D34, 자격증DB!$A:$A, 0))), "")</f>
        <v>법원감정(CG)</v>
      </c>
      <c r="V34" s="108" t="str">
        <f>IFERROR(IF(INDEX(자격증DB!O:O, MATCH($D34, 자격증DB!$A:$A, 0))=0, "", INDEX(자격증DB!O:O, MATCH($D34, 자격증DB!$A:$A, 0))), "")</f>
        <v/>
      </c>
      <c r="W34" s="114" t="str">
        <f>IFERROR(IF(INDEX(자격증DB!P:P, MATCH($D34, 자격증DB!$A:$A, 0))=0, "", INDEX(자격증DB!P:P, MATCH($D34, 자격증DB!$A:$A, 0))), "")</f>
        <v/>
      </c>
      <c r="X34"/>
      <c r="Y34" s="235" t="str">
        <f>A34 &amp; "_" &amp; "자격증_" &amp; COUNTIFS($A$2:A34, A34)</f>
        <v>유길상_자격증_3</v>
      </c>
      <c r="Z34" s="235" t="str">
        <f>D34 &amp; "_" &amp;"자격증_" &amp;  COUNTIFS($D$2:D34, D34)</f>
        <v>산업안전기사_자격증_2</v>
      </c>
    </row>
    <row r="35" spans="1:26" ht="20.100000000000001" customHeight="1">
      <c r="A35" s="204" t="s">
        <v>31</v>
      </c>
      <c r="B35" s="160" t="str">
        <f>IFERROR(INDEX(개인DB!C:C, MATCH($A35, 개인DB!B:B, 0)), "")</f>
        <v>학술사업</v>
      </c>
      <c r="C35" s="160" t="str">
        <f>IFERROR(INDEX(개인DB!D:D, MATCH($A35, 개인DB!B:B, 0)), "")</f>
        <v>위원</v>
      </c>
      <c r="D35" s="224" t="s">
        <v>230</v>
      </c>
      <c r="E35" s="160" t="str">
        <f>IFERROR(INDEX(자격증DB!E:E, MATCH($D35, 자격증DB!A:A, 0)), "X")</f>
        <v>전문자격</v>
      </c>
      <c r="F35" s="132" t="str">
        <f>IFERROR(INDEX(자격증DB!B:B, MATCH($D35, 자격증DB!A:A, 0)), "X")</f>
        <v>고용노동부</v>
      </c>
      <c r="G35" s="206" t="str">
        <f>IFERROR(INDEX(자격증DB!C:C, MATCH($D35, 자격증DB!A:A, 0)), "")</f>
        <v>한국산업인력공단</v>
      </c>
      <c r="H35" s="163" t="str">
        <f>IFERROR(INDEX(자격증DB!F:F, MATCH($D35, 자격증DB!A:A, 0)), "")</f>
        <v>자격증</v>
      </c>
      <c r="I35" s="225">
        <v>45545</v>
      </c>
      <c r="J35" s="225"/>
      <c r="K35" s="226"/>
      <c r="L35" s="209" t="str">
        <f t="shared" si="2"/>
        <v>PDF</v>
      </c>
      <c r="M35" s="227" t="str">
        <f t="shared" si="3"/>
        <v>산업안전기사_정재훈</v>
      </c>
      <c r="N35" s="228" t="str">
        <f>IFERROR(IF(INDEX(자격증DB!G:G, MATCH($D35, 자격증DB!$A:$A, 0))=0, "", INDEX(자격증DB!G:G, MATCH($D35, 자격증DB!$A:$A, 0))), "")</f>
        <v>제조(CA)</v>
      </c>
      <c r="O35" s="153" t="str">
        <f>IFERROR(IF(INDEX(자격증DB!H:H, MATCH($D35, 자격증DB!$A:$A, 0))=0, "", INDEX(자격증DB!H:H, MATCH($D35, 자격증DB!$A:$A, 0))), "")</f>
        <v>제조(CA)</v>
      </c>
      <c r="P35" s="108" t="str">
        <f>IFERROR(IF(INDEX(자격증DB!I:I, MATCH($D35, 자격증DB!$A:$A, 0))=0, "", INDEX(자격증DB!I:I, MATCH($D35, 자격증DB!$A:$A, 0))), "")</f>
        <v/>
      </c>
      <c r="Q35" s="108" t="str">
        <f>IFERROR(IF(INDEX(자격증DB!J:J, MATCH($D35, 자격증DB!$A:$A, 0))=0, "", INDEX(자격증DB!J:J, MATCH($D35, 자격증DB!$A:$A, 0))), "")</f>
        <v/>
      </c>
      <c r="R35" s="108" t="str">
        <f>IFERROR(IF(INDEX(자격증DB!K:K, MATCH($D35, 자격증DB!$A:$A, 0))=0, "", INDEX(자격증DB!K:K, MATCH($D35, 자격증DB!$A:$A, 0))), "")</f>
        <v/>
      </c>
      <c r="S35" s="108" t="str">
        <f>IFERROR(IF(INDEX(자격증DB!L:L, MATCH($D35, 자격증DB!$A:$A, 0))=0, "", INDEX(자격증DB!L:L, MATCH($D35, 자격증DB!$A:$A, 0))), "")</f>
        <v/>
      </c>
      <c r="T35" s="108" t="str">
        <f>IFERROR(IF(INDEX(자격증DB!M:M, MATCH($D35, 자격증DB!$A:$A, 0))=0, "", INDEX(자격증DB!M:M, MATCH($D35, 자격증DB!$A:$A, 0))), "")</f>
        <v>각종 수수료(CF)</v>
      </c>
      <c r="U35" s="108" t="str">
        <f>IFERROR(IF(INDEX(자격증DB!N:N, MATCH($D35, 자격증DB!$A:$A, 0))=0, "", INDEX(자격증DB!N:N, MATCH($D35, 자격증DB!$A:$A, 0))), "")</f>
        <v>법원감정(CG)</v>
      </c>
      <c r="V35" s="108" t="str">
        <f>IFERROR(IF(INDEX(자격증DB!O:O, MATCH($D35, 자격증DB!$A:$A, 0))=0, "", INDEX(자격증DB!O:O, MATCH($D35, 자격증DB!$A:$A, 0))), "")</f>
        <v/>
      </c>
      <c r="W35" s="114" t="str">
        <f>IFERROR(IF(INDEX(자격증DB!P:P, MATCH($D35, 자격증DB!$A:$A, 0))=0, "", INDEX(자격증DB!P:P, MATCH($D35, 자격증DB!$A:$A, 0))), "")</f>
        <v/>
      </c>
      <c r="X35"/>
      <c r="Y35" s="363" t="str">
        <f>A35 &amp; "_" &amp; "자격증_" &amp; COUNTIFS($A$2:A35, A35)</f>
        <v>정재훈_자격증_2</v>
      </c>
      <c r="Z35" s="363" t="str">
        <f>D35 &amp; "_" &amp;"자격증_" &amp;  COUNTIFS($D$2:D35, D35)</f>
        <v>산업안전기사_자격증_3</v>
      </c>
    </row>
    <row r="36" spans="1:26" ht="20.100000000000001" customHeight="1">
      <c r="A36" s="204" t="s">
        <v>20</v>
      </c>
      <c r="B36" s="160" t="str">
        <f>IFERROR(INDEX(개인DB!C:C, MATCH($A36, 개인DB!B:B, 0)), "")</f>
        <v>원가분석</v>
      </c>
      <c r="C36" s="160" t="str">
        <f>IFERROR(INDEX(개인DB!D:D, MATCH($A36, 개인DB!B:B, 0)), "")</f>
        <v>위원</v>
      </c>
      <c r="D36" s="229" t="s">
        <v>243</v>
      </c>
      <c r="E36" s="160" t="str">
        <f>IFERROR(INDEX(자격증DB!E:E, MATCH($D36, 자격증DB!A:A, 0)), "")</f>
        <v>기사</v>
      </c>
      <c r="F36" s="132" t="str">
        <f>IFERROR(INDEX(자격증DB!B:B, MATCH($D36, 자격증DB!A:A, 0)), "")</f>
        <v>산업통상자원부</v>
      </c>
      <c r="G36" s="206" t="str">
        <f>IFERROR(INDEX(자격증DB!C:C, MATCH($D36, 자격증DB!A:A, 0)), "")</f>
        <v>한국산업인력공단</v>
      </c>
      <c r="H36" s="163" t="str">
        <f>IFERROR(INDEX(자격증DB!F:F, MATCH($D36, 자격증DB!A:A, 0)), "")</f>
        <v>자격증</v>
      </c>
      <c r="I36" s="214">
        <v>35564</v>
      </c>
      <c r="J36" s="214"/>
      <c r="K36" s="226"/>
      <c r="L36" s="209" t="str">
        <f t="shared" si="2"/>
        <v>PDF</v>
      </c>
      <c r="M36" s="227" t="str">
        <f t="shared" si="3"/>
        <v>일반기계기사_신광수</v>
      </c>
      <c r="N36" s="228" t="str">
        <f>IFERROR(IF(INDEX(자격증DB!G:G, MATCH($D36, 자격증DB!$A:$A, 0))=0, "", INDEX(자격증DB!G:G, MATCH($D36, 자격증DB!$A:$A, 0))), "")</f>
        <v>제조(CA)</v>
      </c>
      <c r="O36" s="153" t="str">
        <f>IFERROR(IF(INDEX(자격증DB!H:H, MATCH($D36, 자격증DB!$A:$A, 0))=0, "", INDEX(자격증DB!H:H, MATCH($D36, 자격증DB!$A:$A, 0))), "")</f>
        <v>제조(CA)</v>
      </c>
      <c r="P36" s="108" t="str">
        <f>IFERROR(IF(INDEX(자격증DB!I:I, MATCH($D36, 자격증DB!$A:$A, 0))=0, "", INDEX(자격증DB!I:I, MATCH($D36, 자격증DB!$A:$A, 0))), "")</f>
        <v>공사(CB)</v>
      </c>
      <c r="Q36" s="108" t="str">
        <f>IFERROR(IF(INDEX(자격증DB!J:J, MATCH($D36, 자격증DB!$A:$A, 0))=0, "", INDEX(자격증DB!J:J, MATCH($D36, 자격증DB!$A:$A, 0))), "")</f>
        <v/>
      </c>
      <c r="R36" s="108" t="str">
        <f>IFERROR(IF(INDEX(자격증DB!K:K, MATCH($D36, 자격증DB!$A:$A, 0))=0, "", INDEX(자격증DB!K:K, MATCH($D36, 자격증DB!$A:$A, 0))), "")</f>
        <v/>
      </c>
      <c r="S36" s="108" t="str">
        <f>IFERROR(IF(INDEX(자격증DB!L:L, MATCH($D36, 자격증DB!$A:$A, 0))=0, "", INDEX(자격증DB!L:L, MATCH($D36, 자격증DB!$A:$A, 0))), "")</f>
        <v/>
      </c>
      <c r="T36" s="108" t="str">
        <f>IFERROR(IF(INDEX(자격증DB!M:M, MATCH($D36, 자격증DB!$A:$A, 0))=0, "", INDEX(자격증DB!M:M, MATCH($D36, 자격증DB!$A:$A, 0))), "")</f>
        <v/>
      </c>
      <c r="U36" s="108" t="str">
        <f>IFERROR(IF(INDEX(자격증DB!N:N, MATCH($D36, 자격증DB!$A:$A, 0))=0, "", INDEX(자격증DB!N:N, MATCH($D36, 자격증DB!$A:$A, 0))), "")</f>
        <v/>
      </c>
      <c r="V36" s="108" t="str">
        <f>IFERROR(IF(INDEX(자격증DB!O:O, MATCH($D36, 자격증DB!$A:$A, 0))=0, "", INDEX(자격증DB!O:O, MATCH($D36, 자격증DB!$A:$A, 0))), "")</f>
        <v/>
      </c>
      <c r="W36" s="114" t="str">
        <f>IFERROR(IF(INDEX(자격증DB!P:P, MATCH($D36, 자격증DB!$A:$A, 0))=0, "", INDEX(자격증DB!P:P, MATCH($D36, 자격증DB!$A:$A, 0))), "")</f>
        <v/>
      </c>
      <c r="X36"/>
      <c r="Y36" s="227" t="str">
        <f>A36 &amp; "_" &amp; "자격증_" &amp; COUNTIFS($A$2:A36, A36)</f>
        <v>신광수_자격증_1</v>
      </c>
      <c r="Z36" s="227" t="str">
        <f>D36 &amp; "_" &amp;"자격증_" &amp;  COUNTIFS($D$2:D36, D36)</f>
        <v>일반기계기사_자격증_1</v>
      </c>
    </row>
    <row r="37" spans="1:26" ht="20.100000000000001" customHeight="1">
      <c r="A37" s="204" t="s">
        <v>36</v>
      </c>
      <c r="B37" s="160" t="str">
        <f>IFERROR(INDEX(개인DB!C:C, MATCH($A37, 개인DB!B:B, 0)), "")</f>
        <v>원가분석</v>
      </c>
      <c r="C37" s="160" t="str">
        <f>IFERROR(INDEX(개인DB!D:D, MATCH($A37, 개인DB!B:B, 0)), "")</f>
        <v>위원</v>
      </c>
      <c r="D37" s="212" t="s">
        <v>567</v>
      </c>
      <c r="E37" s="160" t="str">
        <f>IFERROR(INDEX(자격증DB!E:E, MATCH($D37, 자격증DB!A:A, 0)), "X")</f>
        <v>기사</v>
      </c>
      <c r="F37" s="132" t="str">
        <f>IFERROR(INDEX(자격증DB!B:B, MATCH($D37, 자격증DB!A:A, 0)), "X")</f>
        <v>-</v>
      </c>
      <c r="G37" s="206" t="str">
        <f>IFERROR(INDEX(자격증DB!C:C, MATCH($D37, 자격증DB!A:A, 0)), "")</f>
        <v>한국기술검정공단</v>
      </c>
      <c r="H37" s="163" t="str">
        <f>IFERROR(INDEX(자격증DB!F:F, MATCH($D37, 자격증DB!A:A, 0)), "")</f>
        <v>자격증</v>
      </c>
      <c r="I37" s="207">
        <v>39933</v>
      </c>
      <c r="J37" s="207"/>
      <c r="K37" s="208"/>
      <c r="L37" s="209" t="str">
        <f t="shared" si="2"/>
        <v>PDF</v>
      </c>
      <c r="M37" s="210" t="str">
        <f t="shared" si="3"/>
        <v>전자기사_황운희</v>
      </c>
      <c r="N37" s="240" t="str">
        <f>IFERROR(IF(INDEX(자격증DB!G:G, MATCH($D37, 자격증DB!$A:$A, 0))=0, "", INDEX(자격증DB!G:G, MATCH($D37, 자격증DB!$A:$A, 0))), "")</f>
        <v>제조(CA)</v>
      </c>
      <c r="O37" s="153" t="str">
        <f>IFERROR(IF(INDEX(자격증DB!H:H, MATCH($D37, 자격증DB!$A:$A, 0))=0, "", INDEX(자격증DB!H:H, MATCH($D37, 자격증DB!$A:$A, 0))), "")</f>
        <v/>
      </c>
      <c r="P37" s="108" t="str">
        <f>IFERROR(IF(INDEX(자격증DB!I:I, MATCH($D37, 자격증DB!$A:$A, 0))=0, "", INDEX(자격증DB!I:I, MATCH($D37, 자격증DB!$A:$A, 0))), "")</f>
        <v/>
      </c>
      <c r="Q37" s="108" t="str">
        <f>IFERROR(IF(INDEX(자격증DB!J:J, MATCH($D37, 자격증DB!$A:$A, 0))=0, "", INDEX(자격증DB!J:J, MATCH($D37, 자격증DB!$A:$A, 0))), "")</f>
        <v/>
      </c>
      <c r="R37" s="108" t="str">
        <f>IFERROR(IF(INDEX(자격증DB!K:K, MATCH($D37, 자격증DB!$A:$A, 0))=0, "", INDEX(자격증DB!K:K, MATCH($D37, 자격증DB!$A:$A, 0))), "")</f>
        <v/>
      </c>
      <c r="S37" s="108" t="str">
        <f>IFERROR(IF(INDEX(자격증DB!L:L, MATCH($D37, 자격증DB!$A:$A, 0))=0, "", INDEX(자격증DB!L:L, MATCH($D37, 자격증DB!$A:$A, 0))), "")</f>
        <v/>
      </c>
      <c r="T37" s="108" t="str">
        <f>IFERROR(IF(INDEX(자격증DB!M:M, MATCH($D37, 자격증DB!$A:$A, 0))=0, "", INDEX(자격증DB!M:M, MATCH($D37, 자격증DB!$A:$A, 0))), "")</f>
        <v/>
      </c>
      <c r="U37" s="108" t="str">
        <f>IFERROR(IF(INDEX(자격증DB!N:N, MATCH($D37, 자격증DB!$A:$A, 0))=0, "", INDEX(자격증DB!N:N, MATCH($D37, 자격증DB!$A:$A, 0))), "")</f>
        <v/>
      </c>
      <c r="V37" s="108" t="str">
        <f>IFERROR(IF(INDEX(자격증DB!O:O, MATCH($D37, 자격증DB!$A:$A, 0))=0, "", INDEX(자격증DB!O:O, MATCH($D37, 자격증DB!$A:$A, 0))), "")</f>
        <v/>
      </c>
      <c r="W37" s="114" t="str">
        <f>IFERROR(IF(INDEX(자격증DB!P:P, MATCH($D37, 자격증DB!$A:$A, 0))=0, "", INDEX(자격증DB!P:P, MATCH($D37, 자격증DB!$A:$A, 0))), "")</f>
        <v/>
      </c>
      <c r="X37"/>
      <c r="Y37" s="361" t="str">
        <f>A37 &amp; "_" &amp; "자격증_" &amp; COUNTIFS($A$2:A37, A37)</f>
        <v>황운희_자격증_1</v>
      </c>
      <c r="Z37" s="361" t="str">
        <f>D37 &amp; "_" &amp;"자격증_" &amp;  COUNTIFS($D$2:D37, D37)</f>
        <v>전자기사_자격증_1</v>
      </c>
    </row>
    <row r="38" spans="1:26" ht="20.100000000000001" customHeight="1">
      <c r="A38" s="204" t="s">
        <v>19</v>
      </c>
      <c r="B38" s="160" t="str">
        <f>IFERROR(INDEX(개인DB!C:C, MATCH($A38, 개인DB!B:B, 0)), "")</f>
        <v>원가분석</v>
      </c>
      <c r="C38" s="160" t="str">
        <f>IFERROR(INDEX(개인DB!D:D, MATCH($A38, 개인DB!B:B, 0)), "")</f>
        <v>위원</v>
      </c>
      <c r="D38" s="229" t="s">
        <v>241</v>
      </c>
      <c r="E38" s="160" t="str">
        <f>IFERROR(INDEX(자격증DB!E:E, MATCH($D38, 자격증DB!A:A, 0)), "")</f>
        <v>국가기술자격</v>
      </c>
      <c r="F38" s="132" t="str">
        <f>IFERROR(INDEX(자격증DB!B:B, MATCH($D38, 자격증DB!A:A, 0)), "")</f>
        <v>산업통상자원부</v>
      </c>
      <c r="G38" s="206" t="str">
        <f>IFERROR(INDEX(자격증DB!C:C, MATCH($D38, 자격증DB!A:A, 0)), "")</f>
        <v>한국산업인력공단</v>
      </c>
      <c r="H38" s="163" t="str">
        <f>IFERROR(INDEX(자격증DB!F:F, MATCH($D38, 자격증DB!A:A, 0)), "")</f>
        <v>자격증</v>
      </c>
      <c r="I38" s="214">
        <v>30634</v>
      </c>
      <c r="J38" s="214"/>
      <c r="K38" s="226"/>
      <c r="L38" s="209" t="str">
        <f t="shared" si="2"/>
        <v>PDF</v>
      </c>
      <c r="M38" s="227" t="str">
        <f t="shared" si="3"/>
        <v>품질경영기사_변정도</v>
      </c>
      <c r="N38" s="228" t="str">
        <f>IFERROR(IF(INDEX(자격증DB!G:G, MATCH($D38, 자격증DB!$A:$A, 0))=0, "", INDEX(자격증DB!G:G, MATCH($D38, 자격증DB!$A:$A, 0))), "")</f>
        <v>제조(CA)</v>
      </c>
      <c r="O38" s="153" t="str">
        <f>IFERROR(IF(INDEX(자격증DB!H:H, MATCH($D38, 자격증DB!$A:$A, 0))=0, "", INDEX(자격증DB!H:H, MATCH($D38, 자격증DB!$A:$A, 0))), "")</f>
        <v>제조(CA)</v>
      </c>
      <c r="P38" s="108" t="str">
        <f>IFERROR(IF(INDEX(자격증DB!I:I, MATCH($D38, 자격증DB!$A:$A, 0))=0, "", INDEX(자격증DB!I:I, MATCH($D38, 자격증DB!$A:$A, 0))), "")</f>
        <v/>
      </c>
      <c r="Q38" s="108" t="str">
        <f>IFERROR(IF(INDEX(자격증DB!J:J, MATCH($D38, 자격증DB!$A:$A, 0))=0, "", INDEX(자격증DB!J:J, MATCH($D38, 자격증DB!$A:$A, 0))), "")</f>
        <v/>
      </c>
      <c r="R38" s="108" t="str">
        <f>IFERROR(IF(INDEX(자격증DB!K:K, MATCH($D38, 자격증DB!$A:$A, 0))=0, "", INDEX(자격증DB!K:K, MATCH($D38, 자격증DB!$A:$A, 0))), "")</f>
        <v/>
      </c>
      <c r="S38" s="108" t="str">
        <f>IFERROR(IF(INDEX(자격증DB!L:L, MATCH($D38, 자격증DB!$A:$A, 0))=0, "", INDEX(자격증DB!L:L, MATCH($D38, 자격증DB!$A:$A, 0))), "")</f>
        <v/>
      </c>
      <c r="T38" s="108" t="str">
        <f>IFERROR(IF(INDEX(자격증DB!M:M, MATCH($D38, 자격증DB!$A:$A, 0))=0, "", INDEX(자격증DB!M:M, MATCH($D38, 자격증DB!$A:$A, 0))), "")</f>
        <v>각종 수수료(CF)</v>
      </c>
      <c r="U38" s="108" t="str">
        <f>IFERROR(IF(INDEX(자격증DB!N:N, MATCH($D38, 자격증DB!$A:$A, 0))=0, "", INDEX(자격증DB!N:N, MATCH($D38, 자격증DB!$A:$A, 0))), "")</f>
        <v/>
      </c>
      <c r="V38" s="108" t="str">
        <f>IFERROR(IF(INDEX(자격증DB!O:O, MATCH($D38, 자격증DB!$A:$A, 0))=0, "", INDEX(자격증DB!O:O, MATCH($D38, 자격증DB!$A:$A, 0))), "")</f>
        <v/>
      </c>
      <c r="W38" s="114" t="str">
        <f>IFERROR(IF(INDEX(자격증DB!P:P, MATCH($D38, 자격증DB!$A:$A, 0))=0, "", INDEX(자격증DB!P:P, MATCH($D38, 자격증DB!$A:$A, 0))), "")</f>
        <v/>
      </c>
      <c r="X38"/>
      <c r="Y38" s="227" t="str">
        <f>A38 &amp; "_" &amp; "자격증_" &amp; COUNTIFS($A$2:A38, A38)</f>
        <v>변정도_자격증_2</v>
      </c>
      <c r="Z38" s="227" t="str">
        <f>D38 &amp; "_" &amp;"자격증_" &amp;  COUNTIFS($D$2:D38, D38)</f>
        <v>품질경영기사_자격증_1</v>
      </c>
    </row>
    <row r="39" spans="1:26" ht="20.100000000000001" customHeight="1">
      <c r="A39" s="293" t="s">
        <v>17</v>
      </c>
      <c r="B39" s="294" t="str">
        <f>IFERROR(INDEX(개인DB!C:C, MATCH($A39, 개인DB!B:B, 0)), "")</f>
        <v>품질관리</v>
      </c>
      <c r="C39" s="294" t="str">
        <f>IFERROR(INDEX(개인DB!D:D, MATCH($A39, 개인DB!B:B, 0)), "")</f>
        <v>위원</v>
      </c>
      <c r="D39" s="295" t="s">
        <v>237</v>
      </c>
      <c r="E39" s="294" t="str">
        <f>IFERROR(INDEX(자격증DB!E:E, MATCH($D39, 자격증DB!A:A, 0)), "")</f>
        <v>타기관</v>
      </c>
      <c r="F39" s="296" t="str">
        <f>IFERROR(INDEX(자격증DB!B:B, MATCH($D39, 자격증DB!A:A, 0)), "")</f>
        <v>산업통상자원부</v>
      </c>
      <c r="G39" s="297" t="str">
        <f>IFERROR(INDEX(자격증DB!C:C, MATCH($D39, 자격증DB!A:A, 0)), "")</f>
        <v>대한상공회의소</v>
      </c>
      <c r="H39" s="298" t="str">
        <f>IFERROR(INDEX(자격증DB!F:F, MATCH($D39, 자격증DB!A:A, 0)), "")</f>
        <v>자격증</v>
      </c>
      <c r="I39" s="299">
        <v>42949</v>
      </c>
      <c r="J39" s="299"/>
      <c r="K39" s="226"/>
      <c r="L39" s="209" t="str">
        <f t="shared" si="2"/>
        <v>PDF</v>
      </c>
      <c r="M39" s="227" t="str">
        <f t="shared" si="3"/>
        <v>유통관리사1급_박판진</v>
      </c>
      <c r="N39" s="228" t="str">
        <f>IFERROR(IF(INDEX(자격증DB!G:G, MATCH($D39, 자격증DB!$A:$A, 0))=0, "", INDEX(자격증DB!G:G, MATCH($D39, 자격증DB!$A:$A, 0))), "")</f>
        <v>제조(CA)</v>
      </c>
      <c r="O39" s="153" t="str">
        <f>IFERROR(IF(INDEX(자격증DB!H:H, MATCH($D39, 자격증DB!$A:$A, 0))=0, "", INDEX(자격증DB!H:H, MATCH($D39, 자격증DB!$A:$A, 0))), "")</f>
        <v>제조(CA)</v>
      </c>
      <c r="P39" s="108" t="str">
        <f>IFERROR(IF(INDEX(자격증DB!I:I, MATCH($D39, 자격증DB!$A:$A, 0))=0, "", INDEX(자격증DB!I:I, MATCH($D39, 자격증DB!$A:$A, 0))), "")</f>
        <v/>
      </c>
      <c r="Q39" s="108" t="str">
        <f>IFERROR(IF(INDEX(자격증DB!J:J, MATCH($D39, 자격증DB!$A:$A, 0))=0, "", INDEX(자격증DB!J:J, MATCH($D39, 자격증DB!$A:$A, 0))), "")</f>
        <v>학술(CC)</v>
      </c>
      <c r="R39" s="108" t="str">
        <f>IFERROR(IF(INDEX(자격증DB!K:K, MATCH($D39, 자격증DB!$A:$A, 0))=0, "", INDEX(자격증DB!K:K, MATCH($D39, 자격증DB!$A:$A, 0))), "")</f>
        <v/>
      </c>
      <c r="S39" s="108" t="str">
        <f>IFERROR(IF(INDEX(자격증DB!L:L, MATCH($D39, 자격증DB!$A:$A, 0))=0, "", INDEX(자격증DB!L:L, MATCH($D39, 자격증DB!$A:$A, 0))), "")</f>
        <v/>
      </c>
      <c r="T39" s="108" t="str">
        <f>IFERROR(IF(INDEX(자격증DB!M:M, MATCH($D39, 자격증DB!$A:$A, 0))=0, "", INDEX(자격증DB!M:M, MATCH($D39, 자격증DB!$A:$A, 0))), "")</f>
        <v>각종 수수료(CF)</v>
      </c>
      <c r="U39" s="108" t="str">
        <f>IFERROR(IF(INDEX(자격증DB!N:N, MATCH($D39, 자격증DB!$A:$A, 0))=0, "", INDEX(자격증DB!N:N, MATCH($D39, 자격증DB!$A:$A, 0))), "")</f>
        <v/>
      </c>
      <c r="V39" s="108" t="str">
        <f>IFERROR(IF(INDEX(자격증DB!O:O, MATCH($D39, 자격증DB!$A:$A, 0))=0, "", INDEX(자격증DB!O:O, MATCH($D39, 자격증DB!$A:$A, 0))), "")</f>
        <v/>
      </c>
      <c r="W39" s="114" t="str">
        <f>IFERROR(IF(INDEX(자격증DB!P:P, MATCH($D39, 자격증DB!$A:$A, 0))=0, "", INDEX(자격증DB!P:P, MATCH($D39, 자격증DB!$A:$A, 0))), "")</f>
        <v/>
      </c>
      <c r="X39"/>
      <c r="Y39" s="363" t="str">
        <f>A39 &amp; "_" &amp; "자격증_" &amp; COUNTIFS($A$2:A39, A39)</f>
        <v>박판진_자격증_4</v>
      </c>
      <c r="Z39" s="363" t="str">
        <f>D39 &amp; "_" &amp;"자격증_" &amp;  COUNTIFS($D$2:D39, D39)</f>
        <v>유통관리사1급_자격증_1</v>
      </c>
    </row>
    <row r="40" spans="1:26" ht="20.100000000000001" customHeight="1">
      <c r="A40" s="293" t="s">
        <v>220</v>
      </c>
      <c r="B40" s="294" t="str">
        <f>IFERROR(INDEX(개인DB!C:C, MATCH($A40, 개인DB!B:B, 0)), "")</f>
        <v>원가분석</v>
      </c>
      <c r="C40" s="294" t="str">
        <f>IFERROR(INDEX(개인DB!D:D, MATCH($A40, 개인DB!B:B, 0)), "")</f>
        <v>위원</v>
      </c>
      <c r="D40" s="300" t="s">
        <v>565</v>
      </c>
      <c r="E40" s="294" t="str">
        <f>IFERROR(INDEX(자격증DB!E:E, MATCH($D40, 자격증DB!A:A, 0)), "")</f>
        <v>국가기술자격</v>
      </c>
      <c r="F40" s="296" t="str">
        <f>IFERROR(INDEX(자격증DB!B:B, MATCH($D40, 자격증DB!A:A, 0)), "")</f>
        <v>산업통상자원부</v>
      </c>
      <c r="G40" s="297" t="str">
        <f>IFERROR(INDEX(자격증DB!C:C, MATCH($D40, 자격증DB!A:A, 0)), "")</f>
        <v>한국산업인력공단</v>
      </c>
      <c r="H40" s="298" t="str">
        <f>IFERROR(INDEX(자격증DB!F:F, MATCH($D40, 자격증DB!A:A, 0)), "")</f>
        <v>자격증</v>
      </c>
      <c r="I40" s="301">
        <v>28173</v>
      </c>
      <c r="J40" s="301">
        <v>28163</v>
      </c>
      <c r="K40" s="208"/>
      <c r="L40" s="209" t="str">
        <f t="shared" si="2"/>
        <v>PDF</v>
      </c>
      <c r="M40" s="210" t="str">
        <f t="shared" si="3"/>
        <v>금속기사_김종훈</v>
      </c>
      <c r="N40" s="211" t="str">
        <f>IFERROR(IF(INDEX(자격증DB!G:G, MATCH($D40, 자격증DB!$A:$A, 0))=0, "", INDEX(자격증DB!G:G, MATCH($D40, 자격증DB!$A:$A, 0))), "")</f>
        <v>제조(CA)</v>
      </c>
      <c r="O40" s="153" t="str">
        <f>IFERROR(IF(INDEX(자격증DB!H:H, MATCH($D40, 자격증DB!$A:$A, 0))=0, "", INDEX(자격증DB!H:H, MATCH($D40, 자격증DB!$A:$A, 0))), "")</f>
        <v>제조(CA)</v>
      </c>
      <c r="P40" s="108" t="str">
        <f>IFERROR(IF(INDEX(자격증DB!I:I, MATCH($D40, 자격증DB!$A:$A, 0))=0, "", INDEX(자격증DB!I:I, MATCH($D40, 자격증DB!$A:$A, 0))), "")</f>
        <v>공사(CB)</v>
      </c>
      <c r="Q40" s="108" t="str">
        <f>IFERROR(IF(INDEX(자격증DB!J:J, MATCH($D40, 자격증DB!$A:$A, 0))=0, "", INDEX(자격증DB!J:J, MATCH($D40, 자격증DB!$A:$A, 0))), "")</f>
        <v/>
      </c>
      <c r="R40" s="108" t="str">
        <f>IFERROR(IF(INDEX(자격증DB!K:K, MATCH($D40, 자격증DB!$A:$A, 0))=0, "", INDEX(자격증DB!K:K, MATCH($D40, 자격증DB!$A:$A, 0))), "")</f>
        <v/>
      </c>
      <c r="S40" s="108" t="str">
        <f>IFERROR(IF(INDEX(자격증DB!L:L, MATCH($D40, 자격증DB!$A:$A, 0))=0, "", INDEX(자격증DB!L:L, MATCH($D40, 자격증DB!$A:$A, 0))), "")</f>
        <v/>
      </c>
      <c r="T40" s="108" t="str">
        <f>IFERROR(IF(INDEX(자격증DB!M:M, MATCH($D40, 자격증DB!$A:$A, 0))=0, "", INDEX(자격증DB!M:M, MATCH($D40, 자격증DB!$A:$A, 0))), "")</f>
        <v>각종 수수료(CF)</v>
      </c>
      <c r="U40" s="108" t="str">
        <f>IFERROR(IF(INDEX(자격증DB!N:N, MATCH($D40, 자격증DB!$A:$A, 0))=0, "", INDEX(자격증DB!N:N, MATCH($D40, 자격증DB!$A:$A, 0))), "")</f>
        <v/>
      </c>
      <c r="V40" s="108" t="str">
        <f>IFERROR(IF(INDEX(자격증DB!O:O, MATCH($D40, 자격증DB!$A:$A, 0))=0, "", INDEX(자격증DB!O:O, MATCH($D40, 자격증DB!$A:$A, 0))), "")</f>
        <v/>
      </c>
      <c r="W40" s="114" t="str">
        <f>IFERROR(IF(INDEX(자격증DB!P:P, MATCH($D40, 자격증DB!$A:$A, 0))=0, "", INDEX(자격증DB!P:P, MATCH($D40, 자격증DB!$A:$A, 0))), "")</f>
        <v/>
      </c>
      <c r="X40"/>
      <c r="Y40" s="210" t="str">
        <f>A40 &amp; "_" &amp; "자격증_" &amp; COUNTIFS($A$2:A40, A40)</f>
        <v>김종훈_자격증_1</v>
      </c>
      <c r="Z40" s="210" t="str">
        <f>D40 &amp; "_" &amp;"자격증_" &amp;  COUNTIFS($D$2:D40, D40)</f>
        <v>금속기사_자격증_1</v>
      </c>
    </row>
    <row r="41" spans="1:26" ht="20.100000000000001" customHeight="1">
      <c r="A41" s="293" t="s">
        <v>20</v>
      </c>
      <c r="B41" s="294" t="str">
        <f>IFERROR(INDEX(개인DB!C:C, MATCH($A41, 개인DB!B:B, 0)), "")</f>
        <v>원가분석</v>
      </c>
      <c r="C41" s="294" t="str">
        <f>IFERROR(INDEX(개인DB!D:D, MATCH($A41, 개인DB!B:B, 0)), "")</f>
        <v>위원</v>
      </c>
      <c r="D41" s="295" t="s">
        <v>242</v>
      </c>
      <c r="E41" s="294" t="str">
        <f>IFERROR(INDEX(자격증DB!E:E, MATCH($D41, 자격증DB!A:A, 0)), "")</f>
        <v>산업기사</v>
      </c>
      <c r="F41" s="296" t="str">
        <f>IFERROR(INDEX(자격증DB!B:B, MATCH($D41, 자격증DB!A:A, 0)), "")</f>
        <v>산업통상자원부</v>
      </c>
      <c r="G41" s="297" t="str">
        <f>IFERROR(INDEX(자격증DB!C:C, MATCH($D41, 자격증DB!A:A, 0)), "")</f>
        <v>한국산업인력공단</v>
      </c>
      <c r="H41" s="298" t="str">
        <f>IFERROR(INDEX(자격증DB!F:F, MATCH($D41, 자격증DB!A:A, 0)), "")</f>
        <v>자격증</v>
      </c>
      <c r="I41" s="299">
        <v>27208</v>
      </c>
      <c r="J41" s="299"/>
      <c r="K41" s="226"/>
      <c r="L41" s="209" t="str">
        <f t="shared" si="2"/>
        <v>PDF</v>
      </c>
      <c r="M41" s="227" t="str">
        <f t="shared" si="3"/>
        <v>에너지관리산업기사_신광수</v>
      </c>
      <c r="N41" s="228" t="str">
        <f>IFERROR(IF(INDEX(자격증DB!G:G, MATCH($D41, 자격증DB!$A:$A, 0))=0, "", INDEX(자격증DB!G:G, MATCH($D41, 자격증DB!$A:$A, 0))), "")</f>
        <v>제조(CA)</v>
      </c>
      <c r="O41" s="153" t="str">
        <f>IFERROR(IF(INDEX(자격증DB!H:H, MATCH($D41, 자격증DB!$A:$A, 0))=0, "", INDEX(자격증DB!H:H, MATCH($D41, 자격증DB!$A:$A, 0))), "")</f>
        <v>제조(CA)</v>
      </c>
      <c r="P41" s="108" t="str">
        <f>IFERROR(IF(INDEX(자격증DB!I:I, MATCH($D41, 자격증DB!$A:$A, 0))=0, "", INDEX(자격증DB!I:I, MATCH($D41, 자격증DB!$A:$A, 0))), "")</f>
        <v>공사(CB)</v>
      </c>
      <c r="Q41" s="108" t="str">
        <f>IFERROR(IF(INDEX(자격증DB!J:J, MATCH($D41, 자격증DB!$A:$A, 0))=0, "", INDEX(자격증DB!J:J, MATCH($D41, 자격증DB!$A:$A, 0))), "")</f>
        <v/>
      </c>
      <c r="R41" s="108" t="str">
        <f>IFERROR(IF(INDEX(자격증DB!K:K, MATCH($D41, 자격증DB!$A:$A, 0))=0, "", INDEX(자격증DB!K:K, MATCH($D41, 자격증DB!$A:$A, 0))), "")</f>
        <v/>
      </c>
      <c r="S41" s="108" t="str">
        <f>IFERROR(IF(INDEX(자격증DB!L:L, MATCH($D41, 자격증DB!$A:$A, 0))=0, "", INDEX(자격증DB!L:L, MATCH($D41, 자격증DB!$A:$A, 0))), "")</f>
        <v/>
      </c>
      <c r="T41" s="108" t="str">
        <f>IFERROR(IF(INDEX(자격증DB!M:M, MATCH($D41, 자격증DB!$A:$A, 0))=0, "", INDEX(자격증DB!M:M, MATCH($D41, 자격증DB!$A:$A, 0))), "")</f>
        <v>각종 수수료(CF)</v>
      </c>
      <c r="U41" s="108" t="str">
        <f>IFERROR(IF(INDEX(자격증DB!N:N, MATCH($D41, 자격증DB!$A:$A, 0))=0, "", INDEX(자격증DB!N:N, MATCH($D41, 자격증DB!$A:$A, 0))), "")</f>
        <v/>
      </c>
      <c r="V41" s="108" t="str">
        <f>IFERROR(IF(INDEX(자격증DB!O:O, MATCH($D41, 자격증DB!$A:$A, 0))=0, "", INDEX(자격증DB!O:O, MATCH($D41, 자격증DB!$A:$A, 0))), "")</f>
        <v/>
      </c>
      <c r="W41" s="114" t="str">
        <f>IFERROR(IF(INDEX(자격증DB!P:P, MATCH($D41, 자격증DB!$A:$A, 0))=0, "", INDEX(자격증DB!P:P, MATCH($D41, 자격증DB!$A:$A, 0))), "")</f>
        <v/>
      </c>
      <c r="X41"/>
      <c r="Y41" s="363" t="str">
        <f>A41 &amp; "_" &amp; "자격증_" &amp; COUNTIFS($A$2:A41, A41)</f>
        <v>신광수_자격증_2</v>
      </c>
      <c r="Z41" s="363" t="str">
        <f>D41 &amp; "_" &amp;"자격증_" &amp;  COUNTIFS($D$2:D41, D41)</f>
        <v>에너지관리산업기사_자격증_1</v>
      </c>
    </row>
    <row r="42" spans="1:26" ht="20.100000000000001" customHeight="1">
      <c r="A42" s="204" t="s">
        <v>7</v>
      </c>
      <c r="B42" s="160" t="str">
        <f>IFERROR(INDEX(개인DB!C:C, MATCH($A42, 개인DB!B:B, 0)), "")</f>
        <v>원가분석</v>
      </c>
      <c r="C42" s="160" t="str">
        <f>IFERROR(INDEX(개인DB!D:D, MATCH($A42, 개인DB!B:B, 0)), "")</f>
        <v>위원</v>
      </c>
      <c r="D42" s="229" t="s">
        <v>215</v>
      </c>
      <c r="E42" s="160" t="str">
        <f>IFERROR(INDEX(자격증DB!E:E, MATCH($D42, 자격증DB!A:A, 0)), "")</f>
        <v>산업기사</v>
      </c>
      <c r="F42" s="132" t="str">
        <f>IFERROR(INDEX(자격증DB!B:B, MATCH($D42, 자격증DB!A:A, 0)), "")</f>
        <v>과학기술정보통신부/산업통상자원부</v>
      </c>
      <c r="G42" s="206" t="str">
        <f>IFERROR(INDEX(자격증DB!C:C, MATCH($D42, 자격증DB!A:A, 0)), "")</f>
        <v>한국산업인력공단</v>
      </c>
      <c r="H42" s="163" t="str">
        <f>IFERROR(INDEX(자격증DB!F:F, MATCH($D42, 자격증DB!A:A, 0)), "")</f>
        <v>자격증</v>
      </c>
      <c r="I42" s="230">
        <v>35590</v>
      </c>
      <c r="J42" s="207"/>
      <c r="K42" s="208"/>
      <c r="L42" s="209" t="str">
        <f t="shared" si="2"/>
        <v>PDF</v>
      </c>
      <c r="M42" s="210" t="str">
        <f t="shared" si="3"/>
        <v>전자계산기제어산업기사_김대식</v>
      </c>
      <c r="N42" s="211" t="str">
        <f>IFERROR(IF(INDEX(자격증DB!G:G, MATCH($D42, 자격증DB!$A:$A, 0))=0, "", INDEX(자격증DB!G:G, MATCH($D42, 자격증DB!$A:$A, 0))), "")</f>
        <v>제조(CA)</v>
      </c>
      <c r="O42" s="153" t="str">
        <f>IFERROR(IF(INDEX(자격증DB!H:H, MATCH($D42, 자격증DB!$A:$A, 0))=0, "", INDEX(자격증DB!H:H, MATCH($D42, 자격증DB!$A:$A, 0))), "")</f>
        <v>제조(CA)</v>
      </c>
      <c r="P42" s="108" t="str">
        <f>IFERROR(IF(INDEX(자격증DB!I:I, MATCH($D42, 자격증DB!$A:$A, 0))=0, "", INDEX(자격증DB!I:I, MATCH($D42, 자격증DB!$A:$A, 0))), "")</f>
        <v>공사(CB)</v>
      </c>
      <c r="Q42" s="108" t="str">
        <f>IFERROR(IF(INDEX(자격증DB!J:J, MATCH($D42, 자격증DB!$A:$A, 0))=0, "", INDEX(자격증DB!J:J, MATCH($D42, 자격증DB!$A:$A, 0))), "")</f>
        <v/>
      </c>
      <c r="R42" s="108" t="str">
        <f>IFERROR(IF(INDEX(자격증DB!K:K, MATCH($D42, 자격증DB!$A:$A, 0))=0, "", INDEX(자격증DB!K:K, MATCH($D42, 자격증DB!$A:$A, 0))), "")</f>
        <v/>
      </c>
      <c r="S42" s="108" t="str">
        <f>IFERROR(IF(INDEX(자격증DB!L:L, MATCH($D42, 자격증DB!$A:$A, 0))=0, "", INDEX(자격증DB!L:L, MATCH($D42, 자격증DB!$A:$A, 0))), "")</f>
        <v/>
      </c>
      <c r="T42" s="108" t="str">
        <f>IFERROR(IF(INDEX(자격증DB!M:M, MATCH($D42, 자격증DB!$A:$A, 0))=0, "", INDEX(자격증DB!M:M, MATCH($D42, 자격증DB!$A:$A, 0))), "")</f>
        <v/>
      </c>
      <c r="U42" s="108" t="str">
        <f>IFERROR(IF(INDEX(자격증DB!N:N, MATCH($D42, 자격증DB!$A:$A, 0))=0, "", INDEX(자격증DB!N:N, MATCH($D42, 자격증DB!$A:$A, 0))), "")</f>
        <v/>
      </c>
      <c r="V42" s="108" t="str">
        <f>IFERROR(IF(INDEX(자격증DB!O:O, MATCH($D42, 자격증DB!$A:$A, 0))=0, "", INDEX(자격증DB!O:O, MATCH($D42, 자격증DB!$A:$A, 0))), "")</f>
        <v/>
      </c>
      <c r="W42" s="114" t="str">
        <f>IFERROR(IF(INDEX(자격증DB!P:P, MATCH($D42, 자격증DB!$A:$A, 0))=0, "", INDEX(자격증DB!P:P, MATCH($D42, 자격증DB!$A:$A, 0))), "")</f>
        <v/>
      </c>
      <c r="X42"/>
      <c r="Y42" s="210" t="str">
        <f>A42 &amp; "_" &amp; "자격증_" &amp; COUNTIFS($A$2:A42, A42)</f>
        <v>김대식_자격증_1</v>
      </c>
      <c r="Z42" s="210" t="str">
        <f>D42 &amp; "_" &amp;"자격증_" &amp;  COUNTIFS($D$2:D42, D42)</f>
        <v>전자계산기제어산업기사_자격증_1</v>
      </c>
    </row>
    <row r="43" spans="1:26" ht="19.5" customHeight="1">
      <c r="A43" s="204" t="s">
        <v>22</v>
      </c>
      <c r="B43" s="160" t="str">
        <f>IFERROR(INDEX(개인DB!C:C, MATCH($A43, 개인DB!B:B, 0)), "")</f>
        <v>원가분석</v>
      </c>
      <c r="C43" s="160" t="str">
        <f>IFERROR(INDEX(개인DB!D:D, MATCH($A43, 개인DB!B:B, 0)), "")</f>
        <v>위원</v>
      </c>
      <c r="D43" s="232" t="s">
        <v>510</v>
      </c>
      <c r="E43" s="160" t="str">
        <f>IFERROR(INDEX(자격증DB!E:E, MATCH($D43, 자격증DB!A:A, 0)), "")</f>
        <v>-</v>
      </c>
      <c r="F43" s="132" t="str">
        <f>IFERROR(INDEX(자격증DB!B:B, MATCH($D43, 자격증DB!A:A, 0)), "")</f>
        <v>-</v>
      </c>
      <c r="G43" s="206" t="str">
        <f>IFERROR(INDEX(자격증DB!C:C, MATCH($D43, 자격증DB!A:A, 0)), "")</f>
        <v>한국심사자격인증원</v>
      </c>
      <c r="H43" s="163" t="str">
        <f>IFERROR(INDEX(자격증DB!F:F, MATCH($D43, 자격증DB!A:A, 0)), "")</f>
        <v>자격증</v>
      </c>
      <c r="I43" s="233">
        <v>31257</v>
      </c>
      <c r="J43" s="233">
        <v>31258</v>
      </c>
      <c r="K43" s="234"/>
      <c r="L43" s="209" t="str">
        <f t="shared" si="2"/>
        <v>PDF</v>
      </c>
      <c r="M43" s="235" t="str">
        <f t="shared" si="3"/>
        <v>품질경영시스템 인증심사원_유길상</v>
      </c>
      <c r="N43" s="236" t="str">
        <f>IFERROR(IF(INDEX(자격증DB!G:G, MATCH($D43, 자격증DB!$A:$A, 0))=0, "", INDEX(자격증DB!G:G, MATCH($D43, 자격증DB!$A:$A, 0))), "")</f>
        <v>제조(CA)</v>
      </c>
      <c r="O43" s="153" t="str">
        <f>IFERROR(IF(INDEX(자격증DB!H:H, MATCH($D43, 자격증DB!$A:$A, 0))=0, "", INDEX(자격증DB!H:H, MATCH($D43, 자격증DB!$A:$A, 0))), "")</f>
        <v>제조(CA)</v>
      </c>
      <c r="P43" s="108" t="str">
        <f>IFERROR(IF(INDEX(자격증DB!I:I, MATCH($D43, 자격증DB!$A:$A, 0))=0, "", INDEX(자격증DB!I:I, MATCH($D43, 자격증DB!$A:$A, 0))), "")</f>
        <v/>
      </c>
      <c r="Q43" s="108" t="str">
        <f>IFERROR(IF(INDEX(자격증DB!J:J, MATCH($D43, 자격증DB!$A:$A, 0))=0, "", INDEX(자격증DB!J:J, MATCH($D43, 자격증DB!$A:$A, 0))), "")</f>
        <v/>
      </c>
      <c r="R43" s="108" t="str">
        <f>IFERROR(IF(INDEX(자격증DB!K:K, MATCH($D43, 자격증DB!$A:$A, 0))=0, "", INDEX(자격증DB!K:K, MATCH($D43, 자격증DB!$A:$A, 0))), "")</f>
        <v/>
      </c>
      <c r="S43" s="108" t="str">
        <f>IFERROR(IF(INDEX(자격증DB!L:L, MATCH($D43, 자격증DB!$A:$A, 0))=0, "", INDEX(자격증DB!L:L, MATCH($D43, 자격증DB!$A:$A, 0))), "")</f>
        <v/>
      </c>
      <c r="T43" s="108" t="str">
        <f>IFERROR(IF(INDEX(자격증DB!M:M, MATCH($D43, 자격증DB!$A:$A, 0))=0, "", INDEX(자격증DB!M:M, MATCH($D43, 자격증DB!$A:$A, 0))), "")</f>
        <v>각종 수수료(CF)</v>
      </c>
      <c r="U43" s="108" t="str">
        <f>IFERROR(IF(INDEX(자격증DB!N:N, MATCH($D43, 자격증DB!$A:$A, 0))=0, "", INDEX(자격증DB!N:N, MATCH($D43, 자격증DB!$A:$A, 0))), "")</f>
        <v/>
      </c>
      <c r="V43" s="108" t="str">
        <f>IFERROR(IF(INDEX(자격증DB!O:O, MATCH($D43, 자격증DB!$A:$A, 0))=0, "", INDEX(자격증DB!O:O, MATCH($D43, 자격증DB!$A:$A, 0))), "")</f>
        <v/>
      </c>
      <c r="W43" s="114" t="str">
        <f>IFERROR(IF(INDEX(자격증DB!P:P, MATCH($D43, 자격증DB!$A:$A, 0))=0, "", INDEX(자격증DB!P:P, MATCH($D43, 자격증DB!$A:$A, 0))), "")</f>
        <v/>
      </c>
      <c r="X43"/>
      <c r="Y43" s="364" t="str">
        <f>A43 &amp; "_" &amp; "자격증_" &amp; COUNTIFS($A$2:A43, A43)</f>
        <v>유길상_자격증_4</v>
      </c>
      <c r="Z43" s="364" t="str">
        <f>D43 &amp; "_" &amp;"자격증_" &amp;  COUNTIFS($D$2:D43, D43)</f>
        <v>품질경영시스템 인증심사원_자격증_1</v>
      </c>
    </row>
    <row r="44" spans="1:26" ht="20.100000000000001" customHeight="1">
      <c r="A44" s="204" t="s">
        <v>22</v>
      </c>
      <c r="B44" s="160" t="str">
        <f>IFERROR(INDEX(개인DB!C:C, MATCH($A44, 개인DB!B:B, 0)), "")</f>
        <v>원가분석</v>
      </c>
      <c r="C44" s="160" t="str">
        <f>IFERROR(INDEX(개인DB!D:D, MATCH($A44, 개인DB!B:B, 0)), "")</f>
        <v>위원</v>
      </c>
      <c r="D44" s="229" t="s">
        <v>440</v>
      </c>
      <c r="E44" s="160" t="str">
        <f>IFERROR(INDEX(자격증DB!E:E, MATCH($D44, 자격증DB!A:A, 0)), "")</f>
        <v>민간</v>
      </c>
      <c r="F44" s="132" t="str">
        <f>IFERROR(INDEX(자격증DB!B:B, MATCH($D44, 자격증DB!A:A, 0)), "")</f>
        <v>-</v>
      </c>
      <c r="G44" s="206" t="str">
        <f>IFERROR(INDEX(자격증DB!C:C, MATCH($D44, 자격증DB!A:A, 0)), "")</f>
        <v>한국인정기구</v>
      </c>
      <c r="H44" s="163" t="str">
        <f>IFERROR(INDEX(자격증DB!F:F, MATCH($D44, 자격증DB!A:A, 0)), "")</f>
        <v>자격증</v>
      </c>
      <c r="I44" s="230">
        <v>44846</v>
      </c>
      <c r="J44" s="231"/>
      <c r="K44" s="208">
        <v>45941</v>
      </c>
      <c r="L44" s="209" t="str">
        <f t="shared" si="2"/>
        <v>PDF</v>
      </c>
      <c r="M44" s="210" t="str">
        <f t="shared" si="3"/>
        <v>KOLAS 평가사_유길상</v>
      </c>
      <c r="N44" s="211" t="str">
        <f>IFERROR(IF(INDEX(자격증DB!G:G, MATCH($D44, 자격증DB!$A:$A, 0))=0, "", INDEX(자격증DB!G:G, MATCH($D44, 자격증DB!$A:$A, 0))), "")</f>
        <v>제조(CA)</v>
      </c>
      <c r="O44" s="153" t="str">
        <f>IFERROR(IF(INDEX(자격증DB!H:H, MATCH($D44, 자격증DB!$A:$A, 0))=0, "", INDEX(자격증DB!H:H, MATCH($D44, 자격증DB!$A:$A, 0))), "")</f>
        <v>제조(CA)</v>
      </c>
      <c r="P44" s="108" t="str">
        <f>IFERROR(IF(INDEX(자격증DB!I:I, MATCH($D44, 자격증DB!$A:$A, 0))=0, "", INDEX(자격증DB!I:I, MATCH($D44, 자격증DB!$A:$A, 0))), "")</f>
        <v/>
      </c>
      <c r="Q44" s="108" t="str">
        <f>IFERROR(IF(INDEX(자격증DB!J:J, MATCH($D44, 자격증DB!$A:$A, 0))=0, "", INDEX(자격증DB!J:J, MATCH($D44, 자격증DB!$A:$A, 0))), "")</f>
        <v/>
      </c>
      <c r="R44" s="108" t="str">
        <f>IFERROR(IF(INDEX(자격증DB!K:K, MATCH($D44, 자격증DB!$A:$A, 0))=0, "", INDEX(자격증DB!K:K, MATCH($D44, 자격증DB!$A:$A, 0))), "")</f>
        <v/>
      </c>
      <c r="S44" s="108" t="str">
        <f>IFERROR(IF(INDEX(자격증DB!L:L, MATCH($D44, 자격증DB!$A:$A, 0))=0, "", INDEX(자격증DB!L:L, MATCH($D44, 자격증DB!$A:$A, 0))), "")</f>
        <v/>
      </c>
      <c r="T44" s="108" t="str">
        <f>IFERROR(IF(INDEX(자격증DB!M:M, MATCH($D44, 자격증DB!$A:$A, 0))=0, "", INDEX(자격증DB!M:M, MATCH($D44, 자격증DB!$A:$A, 0))), "")</f>
        <v>각종 수수료(CF)</v>
      </c>
      <c r="U44" s="108" t="str">
        <f>IFERROR(IF(INDEX(자격증DB!N:N, MATCH($D44, 자격증DB!$A:$A, 0))=0, "", INDEX(자격증DB!N:N, MATCH($D44, 자격증DB!$A:$A, 0))), "")</f>
        <v/>
      </c>
      <c r="V44" s="108" t="str">
        <f>IFERROR(IF(INDEX(자격증DB!O:O, MATCH($D44, 자격증DB!$A:$A, 0))=0, "", INDEX(자격증DB!O:O, MATCH($D44, 자격증DB!$A:$A, 0))), "")</f>
        <v/>
      </c>
      <c r="W44" s="114" t="str">
        <f>IFERROR(IF(INDEX(자격증DB!P:P, MATCH($D44, 자격증DB!$A:$A, 0))=0, "", INDEX(자격증DB!P:P, MATCH($D44, 자격증DB!$A:$A, 0))), "")</f>
        <v/>
      </c>
      <c r="X44"/>
      <c r="Y44" s="210" t="str">
        <f>A44 &amp; "_" &amp; "자격증_" &amp; COUNTIFS($A$2:A44, A44)</f>
        <v>유길상_자격증_5</v>
      </c>
      <c r="Z44" s="210" t="str">
        <f>D44 &amp; "_" &amp;"자격증_" &amp;  COUNTIFS($D$2:D44, D44)</f>
        <v>KOLAS 평가사_자격증_1</v>
      </c>
    </row>
    <row r="45" spans="1:26" ht="20.100000000000001" customHeight="1">
      <c r="A45" s="204" t="s">
        <v>0</v>
      </c>
      <c r="B45" s="160" t="str">
        <f>IFERROR(INDEX(개인DB!C:C, MATCH($A45, 개인DB!B:B, 0)), "")</f>
        <v>원장</v>
      </c>
      <c r="C45" s="160" t="str">
        <f>IFERROR(INDEX(개인DB!D:D, MATCH($A45, 개인DB!B:B, 0)), "")</f>
        <v>원장</v>
      </c>
      <c r="D45" s="205" t="s">
        <v>227</v>
      </c>
      <c r="E45" s="160" t="str">
        <f>IFERROR(INDEX(자격증DB!E:E, MATCH($D45, 자격증DB!A:A, 0)), "")</f>
        <v>민간(국가)</v>
      </c>
      <c r="F45" s="132" t="str">
        <f>IFERROR(INDEX(자격증DB!B:B, MATCH($D45, 자격증DB!A:A, 0)), "")</f>
        <v>국토교통부</v>
      </c>
      <c r="G45" s="206" t="str">
        <f>IFERROR(INDEX(자격증DB!C:C, MATCH($D45, 자격증DB!A:A, 0)), "")</f>
        <v>한국자동차진단보증협회</v>
      </c>
      <c r="H45" s="163" t="str">
        <f>IFERROR(INDEX(자격증DB!F:F, MATCH($D45, 자격증DB!A:A, 0)), "")</f>
        <v>자격증</v>
      </c>
      <c r="I45" s="207">
        <v>43044</v>
      </c>
      <c r="J45" s="207"/>
      <c r="K45" s="208"/>
      <c r="L45" s="209" t="str">
        <f t="shared" si="2"/>
        <v>PDF</v>
      </c>
      <c r="M45" s="210" t="str">
        <f t="shared" si="3"/>
        <v>자동차진단평가사2급_김민선</v>
      </c>
      <c r="N45" s="211" t="str">
        <f>IFERROR(IF(INDEX(자격증DB!G:G, MATCH($D45, 자격증DB!$A:$A, 0))=0, "", INDEX(자격증DB!G:G, MATCH($D45, 자격증DB!$A:$A, 0))), "")</f>
        <v>제조(CA)</v>
      </c>
      <c r="O45" s="153" t="str">
        <f>IFERROR(IF(INDEX(자격증DB!H:H, MATCH($D45, 자격증DB!$A:$A, 0))=0, "", INDEX(자격증DB!H:H, MATCH($D45, 자격증DB!$A:$A, 0))), "")</f>
        <v>제조(CA)</v>
      </c>
      <c r="P45" s="108" t="str">
        <f>IFERROR(IF(INDEX(자격증DB!I:I, MATCH($D45, 자격증DB!$A:$A, 0))=0, "", INDEX(자격증DB!I:I, MATCH($D45, 자격증DB!$A:$A, 0))), "")</f>
        <v/>
      </c>
      <c r="Q45" s="108" t="str">
        <f>IFERROR(IF(INDEX(자격증DB!J:J, MATCH($D45, 자격증DB!$A:$A, 0))=0, "", INDEX(자격증DB!J:J, MATCH($D45, 자격증DB!$A:$A, 0))), "")</f>
        <v/>
      </c>
      <c r="R45" s="108" t="str">
        <f>IFERROR(IF(INDEX(자격증DB!K:K, MATCH($D45, 자격증DB!$A:$A, 0))=0, "", INDEX(자격증DB!K:K, MATCH($D45, 자격증DB!$A:$A, 0))), "")</f>
        <v/>
      </c>
      <c r="S45" s="108" t="str">
        <f>IFERROR(IF(INDEX(자격증DB!L:L, MATCH($D45, 자격증DB!$A:$A, 0))=0, "", INDEX(자격증DB!L:L, MATCH($D45, 자격증DB!$A:$A, 0))), "")</f>
        <v/>
      </c>
      <c r="T45" s="108" t="str">
        <f>IFERROR(IF(INDEX(자격증DB!M:M, MATCH($D45, 자격증DB!$A:$A, 0))=0, "", INDEX(자격증DB!M:M, MATCH($D45, 자격증DB!$A:$A, 0))), "")</f>
        <v>각종 수수료(CF)</v>
      </c>
      <c r="U45" s="108" t="str">
        <f>IFERROR(IF(INDEX(자격증DB!N:N, MATCH($D45, 자격증DB!$A:$A, 0))=0, "", INDEX(자격증DB!N:N, MATCH($D45, 자격증DB!$A:$A, 0))), "")</f>
        <v/>
      </c>
      <c r="V45" s="108" t="str">
        <f>IFERROR(IF(INDEX(자격증DB!O:O, MATCH($D45, 자격증DB!$A:$A, 0))=0, "", INDEX(자격증DB!O:O, MATCH($D45, 자격증DB!$A:$A, 0))), "")</f>
        <v/>
      </c>
      <c r="W45" s="114" t="str">
        <f>IFERROR(IF(INDEX(자격증DB!P:P, MATCH($D45, 자격증DB!$A:$A, 0))=0, "", INDEX(자격증DB!P:P, MATCH($D45, 자격증DB!$A:$A, 0))), "")</f>
        <v/>
      </c>
      <c r="X45"/>
      <c r="Y45" s="361" t="str">
        <f>A45 &amp; "_" &amp; "자격증_" &amp; COUNTIFS($A$2:A45, A45)</f>
        <v>김민선_자격증_5</v>
      </c>
      <c r="Z45" s="361" t="str">
        <f>D45 &amp; "_" &amp;"자격증_" &amp;  COUNTIFS($D$2:D45, D45)</f>
        <v>자동차진단평가사2급_자격증_1</v>
      </c>
    </row>
    <row r="46" spans="1:26" ht="20.100000000000001" customHeight="1">
      <c r="A46" s="204" t="s">
        <v>0</v>
      </c>
      <c r="B46" s="160" t="str">
        <f>IFERROR(INDEX(개인DB!C:C, MATCH($A46, 개인DB!B:B, 0)), "")</f>
        <v>원장</v>
      </c>
      <c r="C46" s="160" t="str">
        <f>IFERROR(INDEX(개인DB!D:D, MATCH($A46, 개인DB!B:B, 0)), "")</f>
        <v>원장</v>
      </c>
      <c r="D46" s="205" t="s">
        <v>229</v>
      </c>
      <c r="E46" s="160" t="str">
        <f>IFERROR(INDEX(자격증DB!E:E, MATCH($D46, 자격증DB!A:A, 0)), "")</f>
        <v>-</v>
      </c>
      <c r="F46" s="132" t="str">
        <f>IFERROR(INDEX(자격증DB!B:B, MATCH($D46, 자격증DB!A:A, 0)), "")</f>
        <v>해양경찰청</v>
      </c>
      <c r="G46" s="206" t="str">
        <f>IFERROR(INDEX(자격증DB!C:C, MATCH($D46, 자격증DB!A:A, 0)), "")</f>
        <v>해양경찰청</v>
      </c>
      <c r="H46" s="163" t="str">
        <f>IFERROR(INDEX(자격증DB!F:F, MATCH($D46, 자격증DB!A:A, 0)), "")</f>
        <v>면허증</v>
      </c>
      <c r="I46" s="207">
        <v>43033</v>
      </c>
      <c r="J46" s="207">
        <v>45771</v>
      </c>
      <c r="K46" s="208"/>
      <c r="L46" s="209" t="str">
        <f t="shared" si="2"/>
        <v>PDF</v>
      </c>
      <c r="M46" s="210" t="str">
        <f t="shared" si="3"/>
        <v>동력수상레저기구조종 일반조종1급_김민선</v>
      </c>
      <c r="N46" s="211" t="str">
        <f>IFERROR(IF(INDEX(자격증DB!G:G, MATCH($D46, 자격증DB!$A:$A, 0))=0, "", INDEX(자격증DB!G:G, MATCH($D46, 자격증DB!$A:$A, 0))), "")</f>
        <v>제조(CA)</v>
      </c>
      <c r="O46" s="153" t="str">
        <f>IFERROR(IF(INDEX(자격증DB!H:H, MATCH($D46, 자격증DB!$A:$A, 0))=0, "", INDEX(자격증DB!H:H, MATCH($D46, 자격증DB!$A:$A, 0))), "")</f>
        <v/>
      </c>
      <c r="P46" s="108" t="str">
        <f>IFERROR(IF(INDEX(자격증DB!I:I, MATCH($D46, 자격증DB!$A:$A, 0))=0, "", INDEX(자격증DB!I:I, MATCH($D46, 자격증DB!$A:$A, 0))), "")</f>
        <v/>
      </c>
      <c r="Q46" s="108" t="str">
        <f>IFERROR(IF(INDEX(자격증DB!J:J, MATCH($D46, 자격증DB!$A:$A, 0))=0, "", INDEX(자격증DB!J:J, MATCH($D46, 자격증DB!$A:$A, 0))), "")</f>
        <v/>
      </c>
      <c r="R46" s="108" t="str">
        <f>IFERROR(IF(INDEX(자격증DB!K:K, MATCH($D46, 자격증DB!$A:$A, 0))=0, "", INDEX(자격증DB!K:K, MATCH($D46, 자격증DB!$A:$A, 0))), "")</f>
        <v/>
      </c>
      <c r="S46" s="108" t="str">
        <f>IFERROR(IF(INDEX(자격증DB!L:L, MATCH($D46, 자격증DB!$A:$A, 0))=0, "", INDEX(자격증DB!L:L, MATCH($D46, 자격증DB!$A:$A, 0))), "")</f>
        <v/>
      </c>
      <c r="T46" s="108" t="str">
        <f>IFERROR(IF(INDEX(자격증DB!M:M, MATCH($D46, 자격증DB!$A:$A, 0))=0, "", INDEX(자격증DB!M:M, MATCH($D46, 자격증DB!$A:$A, 0))), "")</f>
        <v>각종 수수료(CF)</v>
      </c>
      <c r="U46" s="108" t="str">
        <f>IFERROR(IF(INDEX(자격증DB!N:N, MATCH($D46, 자격증DB!$A:$A, 0))=0, "", INDEX(자격증DB!N:N, MATCH($D46, 자격증DB!$A:$A, 0))), "")</f>
        <v/>
      </c>
      <c r="V46" s="108" t="str">
        <f>IFERROR(IF(INDEX(자격증DB!O:O, MATCH($D46, 자격증DB!$A:$A, 0))=0, "", INDEX(자격증DB!O:O, MATCH($D46, 자격증DB!$A:$A, 0))), "")</f>
        <v/>
      </c>
      <c r="W46" s="114" t="str">
        <f>IFERROR(IF(INDEX(자격증DB!P:P, MATCH($D46, 자격증DB!$A:$A, 0))=0, "", INDEX(자격증DB!P:P, MATCH($D46, 자격증DB!$A:$A, 0))), "")</f>
        <v/>
      </c>
      <c r="X46"/>
      <c r="Y46" s="210" t="str">
        <f>A46 &amp; "_" &amp; "자격증_" &amp; COUNTIFS($A$2:A46, A46)</f>
        <v>김민선_자격증_6</v>
      </c>
      <c r="Z46" s="210" t="str">
        <f>D46 &amp; "_" &amp;"자격증_" &amp;  COUNTIFS($D$2:D46, D46)</f>
        <v>동력수상레저기구조종 일반조종1급_자격증_1</v>
      </c>
    </row>
    <row r="47" spans="1:26" ht="20.100000000000001" customHeight="1">
      <c r="A47" s="204" t="s">
        <v>0</v>
      </c>
      <c r="B47" s="160" t="str">
        <f>IFERROR(INDEX(개인DB!C:C, MATCH($A47, 개인DB!B:B, 0)), "")</f>
        <v>원장</v>
      </c>
      <c r="C47" s="160" t="str">
        <f>IFERROR(INDEX(개인DB!D:D, MATCH($A47, 개인DB!B:B, 0)), "")</f>
        <v>원장</v>
      </c>
      <c r="D47" s="205" t="s">
        <v>77</v>
      </c>
      <c r="E47" s="160" t="str">
        <f>IFERROR(INDEX(자격증DB!E:E, MATCH($D47, 자격증DB!A:A, 0)), "")</f>
        <v>민간</v>
      </c>
      <c r="F47" s="132" t="str">
        <f>IFERROR(INDEX(자격증DB!B:B, MATCH($D47, 자격증DB!A:A, 0)), "")</f>
        <v>-</v>
      </c>
      <c r="G47" s="206" t="str">
        <f>IFERROR(INDEX(자격증DB!C:C, MATCH($D47, 자격증DB!A:A, 0)), "")</f>
        <v>IRCA</v>
      </c>
      <c r="H47" s="163" t="str">
        <f>IFERROR(INDEX(자격증DB!F:F, MATCH($D47, 자격증DB!A:A, 0)), "")</f>
        <v>자격증</v>
      </c>
      <c r="I47" s="207">
        <v>43580</v>
      </c>
      <c r="J47" s="207"/>
      <c r="K47" s="208"/>
      <c r="L47" s="209" t="str">
        <f t="shared" si="2"/>
        <v>PDF</v>
      </c>
      <c r="M47" s="210" t="str">
        <f t="shared" si="3"/>
        <v>ISO 9000 2000(경영)_김민선</v>
      </c>
      <c r="N47" s="211" t="str">
        <f>IFERROR(IF(INDEX(자격증DB!G:G, MATCH($D47, 자격증DB!$A:$A, 0))=0, "", INDEX(자격증DB!G:G, MATCH($D47, 자격증DB!$A:$A, 0))), "")</f>
        <v>제조(CA)</v>
      </c>
      <c r="O47" s="153" t="str">
        <f>IFERROR(IF(INDEX(자격증DB!H:H, MATCH($D47, 자격증DB!$A:$A, 0))=0, "", INDEX(자격증DB!H:H, MATCH($D47, 자격증DB!$A:$A, 0))), "")</f>
        <v>제조(CA)</v>
      </c>
      <c r="P47" s="108" t="str">
        <f>IFERROR(IF(INDEX(자격증DB!I:I, MATCH($D47, 자격증DB!$A:$A, 0))=0, "", INDEX(자격증DB!I:I, MATCH($D47, 자격증DB!$A:$A, 0))), "")</f>
        <v/>
      </c>
      <c r="Q47" s="108" t="str">
        <f>IFERROR(IF(INDEX(자격증DB!J:J, MATCH($D47, 자격증DB!$A:$A, 0))=0, "", INDEX(자격증DB!J:J, MATCH($D47, 자격증DB!$A:$A, 0))), "")</f>
        <v>학술(CC)</v>
      </c>
      <c r="R47" s="108" t="str">
        <f>IFERROR(IF(INDEX(자격증DB!K:K, MATCH($D47, 자격증DB!$A:$A, 0))=0, "", INDEX(자격증DB!K:K, MATCH($D47, 자격증DB!$A:$A, 0))), "")</f>
        <v/>
      </c>
      <c r="S47" s="108" t="str">
        <f>IFERROR(IF(INDEX(자격증DB!L:L, MATCH($D47, 자격증DB!$A:$A, 0))=0, "", INDEX(자격증DB!L:L, MATCH($D47, 자격증DB!$A:$A, 0))), "")</f>
        <v/>
      </c>
      <c r="T47" s="108" t="str">
        <f>IFERROR(IF(INDEX(자격증DB!M:M, MATCH($D47, 자격증DB!$A:$A, 0))=0, "", INDEX(자격증DB!M:M, MATCH($D47, 자격증DB!$A:$A, 0))), "")</f>
        <v/>
      </c>
      <c r="U47" s="108" t="str">
        <f>IFERROR(IF(INDEX(자격증DB!N:N, MATCH($D47, 자격증DB!$A:$A, 0))=0, "", INDEX(자격증DB!N:N, MATCH($D47, 자격증DB!$A:$A, 0))), "")</f>
        <v/>
      </c>
      <c r="V47" s="108" t="str">
        <f>IFERROR(IF(INDEX(자격증DB!O:O, MATCH($D47, 자격증DB!$A:$A, 0))=0, "", INDEX(자격증DB!O:O, MATCH($D47, 자격증DB!$A:$A, 0))), "")</f>
        <v/>
      </c>
      <c r="W47" s="114" t="str">
        <f>IFERROR(IF(INDEX(자격증DB!P:P, MATCH($D47, 자격증DB!$A:$A, 0))=0, "", INDEX(자격증DB!P:P, MATCH($D47, 자격증DB!$A:$A, 0))), "")</f>
        <v/>
      </c>
      <c r="X47"/>
      <c r="Y47" s="361" t="str">
        <f>A47 &amp; "_" &amp; "자격증_" &amp; COUNTIFS($A$2:A47, A47)</f>
        <v>김민선_자격증_7</v>
      </c>
      <c r="Z47" s="361" t="str">
        <f>D47 &amp; "_" &amp;"자격증_" &amp;  COUNTIFS($D$2:D47, D47)</f>
        <v>ISO 9000 2000(경영)_자격증_1</v>
      </c>
    </row>
    <row r="48" spans="1:26" ht="20.100000000000001" customHeight="1">
      <c r="A48" s="204" t="s">
        <v>0</v>
      </c>
      <c r="B48" s="160" t="str">
        <f>IFERROR(INDEX(개인DB!C:C, MATCH($A48, 개인DB!B:B, 0)), "")</f>
        <v>원장</v>
      </c>
      <c r="C48" s="160" t="str">
        <f>IFERROR(INDEX(개인DB!D:D, MATCH($A48, 개인DB!B:B, 0)), "")</f>
        <v>원장</v>
      </c>
      <c r="D48" s="205" t="s">
        <v>76</v>
      </c>
      <c r="E48" s="160" t="str">
        <f>IFERROR(INDEX(자격증DB!E:E, MATCH($D48, 자격증DB!A:A, 0)), "")</f>
        <v>민간</v>
      </c>
      <c r="F48" s="132" t="str">
        <f>IFERROR(INDEX(자격증DB!B:B, MATCH($D48, 자격증DB!A:A, 0)), "")</f>
        <v>-</v>
      </c>
      <c r="G48" s="206" t="str">
        <f>IFERROR(INDEX(자격증DB!C:C, MATCH($D48, 자격증DB!A:A, 0)), "")</f>
        <v>IQCS</v>
      </c>
      <c r="H48" s="163" t="str">
        <f>IFERROR(INDEX(자격증DB!F:F, MATCH($D48, 자격증DB!A:A, 0)), "")</f>
        <v>자격증</v>
      </c>
      <c r="I48" s="207">
        <v>43580</v>
      </c>
      <c r="J48" s="207"/>
      <c r="K48" s="208"/>
      <c r="L48" s="209" t="str">
        <f t="shared" si="2"/>
        <v>PDF</v>
      </c>
      <c r="M48" s="210" t="str">
        <f t="shared" si="3"/>
        <v>ISO 14001 2015(환경)_김민선</v>
      </c>
      <c r="N48" s="211" t="str">
        <f>IFERROR(IF(INDEX(자격증DB!G:G, MATCH($D48, 자격증DB!$A:$A, 0))=0, "", INDEX(자격증DB!G:G, MATCH($D48, 자격증DB!$A:$A, 0))), "")</f>
        <v>제조(CA)</v>
      </c>
      <c r="O48" s="153" t="str">
        <f>IFERROR(IF(INDEX(자격증DB!H:H, MATCH($D48, 자격증DB!$A:$A, 0))=0, "", INDEX(자격증DB!H:H, MATCH($D48, 자격증DB!$A:$A, 0))), "")</f>
        <v>제조(CA)</v>
      </c>
      <c r="P48" s="108" t="str">
        <f>IFERROR(IF(INDEX(자격증DB!I:I, MATCH($D48, 자격증DB!$A:$A, 0))=0, "", INDEX(자격증DB!I:I, MATCH($D48, 자격증DB!$A:$A, 0))), "")</f>
        <v/>
      </c>
      <c r="Q48" s="108" t="str">
        <f>IFERROR(IF(INDEX(자격증DB!J:J, MATCH($D48, 자격증DB!$A:$A, 0))=0, "", INDEX(자격증DB!J:J, MATCH($D48, 자격증DB!$A:$A, 0))), "")</f>
        <v>학술(CC)</v>
      </c>
      <c r="R48" s="108" t="str">
        <f>IFERROR(IF(INDEX(자격증DB!K:K, MATCH($D48, 자격증DB!$A:$A, 0))=0, "", INDEX(자격증DB!K:K, MATCH($D48, 자격증DB!$A:$A, 0))), "")</f>
        <v/>
      </c>
      <c r="S48" s="108" t="str">
        <f>IFERROR(IF(INDEX(자격증DB!L:L, MATCH($D48, 자격증DB!$A:$A, 0))=0, "", INDEX(자격증DB!L:L, MATCH($D48, 자격증DB!$A:$A, 0))), "")</f>
        <v/>
      </c>
      <c r="T48" s="108" t="str">
        <f>IFERROR(IF(INDEX(자격증DB!M:M, MATCH($D48, 자격증DB!$A:$A, 0))=0, "", INDEX(자격증DB!M:M, MATCH($D48, 자격증DB!$A:$A, 0))), "")</f>
        <v/>
      </c>
      <c r="U48" s="108" t="str">
        <f>IFERROR(IF(INDEX(자격증DB!N:N, MATCH($D48, 자격증DB!$A:$A, 0))=0, "", INDEX(자격증DB!N:N, MATCH($D48, 자격증DB!$A:$A, 0))), "")</f>
        <v/>
      </c>
      <c r="V48" s="108" t="str">
        <f>IFERROR(IF(INDEX(자격증DB!O:O, MATCH($D48, 자격증DB!$A:$A, 0))=0, "", INDEX(자격증DB!O:O, MATCH($D48, 자격증DB!$A:$A, 0))), "")</f>
        <v/>
      </c>
      <c r="W48" s="114" t="str">
        <f>IFERROR(IF(INDEX(자격증DB!P:P, MATCH($D48, 자격증DB!$A:$A, 0))=0, "", INDEX(자격증DB!P:P, MATCH($D48, 자격증DB!$A:$A, 0))), "")</f>
        <v/>
      </c>
      <c r="X48"/>
      <c r="Y48" s="210" t="str">
        <f>A48 &amp; "_" &amp; "자격증_" &amp; COUNTIFS($A$2:A48, A48)</f>
        <v>김민선_자격증_8</v>
      </c>
      <c r="Z48" s="210" t="str">
        <f>D48 &amp; "_" &amp;"자격증_" &amp;  COUNTIFS($D$2:D48, D48)</f>
        <v>ISO 14001 2015(환경)_자격증_1</v>
      </c>
    </row>
    <row r="49" spans="1:26" ht="20.100000000000001" customHeight="1">
      <c r="A49" s="204" t="s">
        <v>29</v>
      </c>
      <c r="B49" s="160" t="str">
        <f>IFERROR(INDEX(개인DB!C:C, MATCH($A49, 개인DB!B:B, 0)), "")</f>
        <v>원가분석</v>
      </c>
      <c r="C49" s="160" t="str">
        <f>IFERROR(INDEX(개인DB!D:D, MATCH($A49, 개인DB!B:B, 0)), "")</f>
        <v>주임연구원</v>
      </c>
      <c r="D49" s="232" t="s">
        <v>150</v>
      </c>
      <c r="E49" s="160" t="str">
        <f>IFERROR(INDEX(자격증DB!E:E, MATCH($D49, 자격증DB!A:A, 0)), "")</f>
        <v>민간(국가)</v>
      </c>
      <c r="F49" s="132" t="str">
        <f>IFERROR(INDEX(자격증DB!B:B, MATCH($D49, 자격증DB!A:A, 0)), "")</f>
        <v>금융위원회</v>
      </c>
      <c r="G49" s="206" t="str">
        <f>IFERROR(INDEX(자격증DB!C:C, MATCH($D49, 자격증DB!A:A, 0)), "")</f>
        <v>한국공인회계사회</v>
      </c>
      <c r="H49" s="163" t="str">
        <f>IFERROR(INDEX(자격증DB!F:F, MATCH($D49, 자격증DB!A:A, 0)), "")</f>
        <v>자격증</v>
      </c>
      <c r="I49" s="233">
        <v>45255</v>
      </c>
      <c r="J49" s="233"/>
      <c r="K49" s="234">
        <v>47081</v>
      </c>
      <c r="L49" s="209" t="str">
        <f t="shared" si="2"/>
        <v>PDF</v>
      </c>
      <c r="M49" s="235" t="str">
        <f t="shared" si="3"/>
        <v>FAT 1급_장연주</v>
      </c>
      <c r="N49" s="236" t="str">
        <f>IFERROR(IF(INDEX(자격증DB!G:G, MATCH($D49, 자격증DB!$A:$A, 0))=0, "", INDEX(자격증DB!G:G, MATCH($D49, 자격증DB!$A:$A, 0))), "")</f>
        <v>제조(CA)</v>
      </c>
      <c r="O49" s="153" t="str">
        <f>IFERROR(IF(INDEX(자격증DB!H:H, MATCH($D49, 자격증DB!$A:$A, 0))=0, "", INDEX(자격증DB!H:H, MATCH($D49, 자격증DB!$A:$A, 0))), "")</f>
        <v>제조(CA)</v>
      </c>
      <c r="P49" s="108" t="str">
        <f>IFERROR(IF(INDEX(자격증DB!I:I, MATCH($D49, 자격증DB!$A:$A, 0))=0, "", INDEX(자격증DB!I:I, MATCH($D49, 자격증DB!$A:$A, 0))), "")</f>
        <v/>
      </c>
      <c r="Q49" s="108" t="str">
        <f>IFERROR(IF(INDEX(자격증DB!J:J, MATCH($D49, 자격증DB!$A:$A, 0))=0, "", INDEX(자격증DB!J:J, MATCH($D49, 자격증DB!$A:$A, 0))), "")</f>
        <v/>
      </c>
      <c r="R49" s="108" t="str">
        <f>IFERROR(IF(INDEX(자격증DB!K:K, MATCH($D49, 자격증DB!$A:$A, 0))=0, "", INDEX(자격증DB!K:K, MATCH($D49, 자격증DB!$A:$A, 0))), "")</f>
        <v/>
      </c>
      <c r="S49" s="108" t="str">
        <f>IFERROR(IF(INDEX(자격증DB!L:L, MATCH($D49, 자격증DB!$A:$A, 0))=0, "", INDEX(자격증DB!L:L, MATCH($D49, 자격증DB!$A:$A, 0))), "")</f>
        <v/>
      </c>
      <c r="T49" s="108" t="str">
        <f>IFERROR(IF(INDEX(자격증DB!M:M, MATCH($D49, 자격증DB!$A:$A, 0))=0, "", INDEX(자격증DB!M:M, MATCH($D49, 자격증DB!$A:$A, 0))), "")</f>
        <v/>
      </c>
      <c r="U49" s="108" t="str">
        <f>IFERROR(IF(INDEX(자격증DB!N:N, MATCH($D49, 자격증DB!$A:$A, 0))=0, "", INDEX(자격증DB!N:N, MATCH($D49, 자격증DB!$A:$A, 0))), "")</f>
        <v/>
      </c>
      <c r="V49" s="108" t="str">
        <f>IFERROR(IF(INDEX(자격증DB!O:O, MATCH($D49, 자격증DB!$A:$A, 0))=0, "", INDEX(자격증DB!O:O, MATCH($D49, 자격증DB!$A:$A, 0))), "")</f>
        <v/>
      </c>
      <c r="W49" s="114" t="str">
        <f>IFERROR(IF(INDEX(자격증DB!P:P, MATCH($D49, 자격증DB!$A:$A, 0))=0, "", INDEX(자격증DB!P:P, MATCH($D49, 자격증DB!$A:$A, 0))), "")</f>
        <v/>
      </c>
      <c r="X49"/>
      <c r="Y49" s="364" t="str">
        <f>A49 &amp; "_" &amp; "자격증_" &amp; COUNTIFS($A$2:A49, A49)</f>
        <v>장연주_자격증_1</v>
      </c>
      <c r="Z49" s="364" t="str">
        <f>D49 &amp; "_" &amp;"자격증_" &amp;  COUNTIFS($D$2:D49, D49)</f>
        <v>FAT 1급_자격증_1</v>
      </c>
    </row>
    <row r="50" spans="1:26">
      <c r="A50" s="204" t="s">
        <v>28</v>
      </c>
      <c r="B50" s="160" t="str">
        <f>IFERROR(INDEX(개인DB!C:C, MATCH($A50, 개인DB!B:B, 0)), "")</f>
        <v>건설사업</v>
      </c>
      <c r="C50" s="160" t="str">
        <f>IFERROR(INDEX(개인DB!D:D, MATCH($A50, 개인DB!B:B, 0)), "")</f>
        <v>부원장</v>
      </c>
      <c r="D50" s="212" t="s">
        <v>137</v>
      </c>
      <c r="E50" s="160" t="str">
        <f>IFERROR(INDEX(자격증DB!E:E, MATCH($D50, 자격증DB!A:A, 0)), "")</f>
        <v>국가기술자격</v>
      </c>
      <c r="F50" s="132" t="str">
        <f>IFERROR(INDEX(자격증DB!B:B, MATCH($D50, 자격증DB!A:A, 0)), "")</f>
        <v>국토교통부</v>
      </c>
      <c r="G50" s="206" t="str">
        <f>IFERROR(INDEX(자격증DB!C:C, MATCH($D50, 자격증DB!A:A, 0)), "")</f>
        <v>한국산업인력공단</v>
      </c>
      <c r="H50" s="163" t="str">
        <f>IFERROR(INDEX(자격증DB!F:F, MATCH($D50, 자격증DB!A:A, 0)), "")</f>
        <v>자격증</v>
      </c>
      <c r="I50" s="207">
        <v>35282</v>
      </c>
      <c r="J50" s="207"/>
      <c r="K50" s="208"/>
      <c r="L50" s="209" t="str">
        <f t="shared" si="2"/>
        <v>PDF</v>
      </c>
      <c r="M50" s="210" t="str">
        <f t="shared" si="3"/>
        <v>건축시공기술사_이병준</v>
      </c>
      <c r="N50" s="211" t="str">
        <f>IFERROR(IF(INDEX(자격증DB!G:G, MATCH($D50, 자격증DB!$A:$A, 0))=0, "", INDEX(자격증DB!G:G, MATCH($D50, 자격증DB!$A:$A, 0))), "")</f>
        <v>공사(CB)</v>
      </c>
      <c r="O50" s="153" t="str">
        <f>IFERROR(IF(INDEX(자격증DB!H:H, MATCH($D50, 자격증DB!$A:$A, 0))=0, "", INDEX(자격증DB!H:H, MATCH($D50, 자격증DB!$A:$A, 0))), "")</f>
        <v/>
      </c>
      <c r="P50" s="108" t="str">
        <f>IFERROR(IF(INDEX(자격증DB!I:I, MATCH($D50, 자격증DB!$A:$A, 0))=0, "", INDEX(자격증DB!I:I, MATCH($D50, 자격증DB!$A:$A, 0))), "")</f>
        <v>공사(CB)</v>
      </c>
      <c r="Q50" s="108" t="str">
        <f>IFERROR(IF(INDEX(자격증DB!J:J, MATCH($D50, 자격증DB!$A:$A, 0))=0, "", INDEX(자격증DB!J:J, MATCH($D50, 자격증DB!$A:$A, 0))), "")</f>
        <v/>
      </c>
      <c r="R50" s="108" t="str">
        <f>IFERROR(IF(INDEX(자격증DB!K:K, MATCH($D50, 자격증DB!$A:$A, 0))=0, "", INDEX(자격증DB!K:K, MATCH($D50, 자격증DB!$A:$A, 0))), "")</f>
        <v/>
      </c>
      <c r="S50" s="108" t="str">
        <f>IFERROR(IF(INDEX(자격증DB!L:L, MATCH($D50, 자격증DB!$A:$A, 0))=0, "", INDEX(자격증DB!L:L, MATCH($D50, 자격증DB!$A:$A, 0))), "")</f>
        <v/>
      </c>
      <c r="T50" s="108" t="str">
        <f>IFERROR(IF(INDEX(자격증DB!M:M, MATCH($D50, 자격증DB!$A:$A, 0))=0, "", INDEX(자격증DB!M:M, MATCH($D50, 자격증DB!$A:$A, 0))), "")</f>
        <v/>
      </c>
      <c r="U50" s="108" t="str">
        <f>IFERROR(IF(INDEX(자격증DB!N:N, MATCH($D50, 자격증DB!$A:$A, 0))=0, "", INDEX(자격증DB!N:N, MATCH($D50, 자격증DB!$A:$A, 0))), "")</f>
        <v>법원감정(CG)</v>
      </c>
      <c r="V50" s="108" t="str">
        <f>IFERROR(IF(INDEX(자격증DB!O:O, MATCH($D50, 자격증DB!$A:$A, 0))=0, "", INDEX(자격증DB!O:O, MATCH($D50, 자격증DB!$A:$A, 0))), "")</f>
        <v/>
      </c>
      <c r="W50" s="114" t="str">
        <f>IFERROR(IF(INDEX(자격증DB!P:P, MATCH($D50, 자격증DB!$A:$A, 0))=0, "", INDEX(자격증DB!P:P, MATCH($D50, 자격증DB!$A:$A, 0))), "")</f>
        <v/>
      </c>
      <c r="X50"/>
      <c r="Y50" s="210" t="str">
        <f>A50 &amp; "_" &amp; "자격증_" &amp; COUNTIFS($A$2:A50, A50)</f>
        <v>이병준_자격증_2</v>
      </c>
      <c r="Z50" s="210" t="str">
        <f>D50 &amp; "_" &amp;"자격증_" &amp;  COUNTIFS($D$2:D50, D50)</f>
        <v>건축시공기술사_자격증_1</v>
      </c>
    </row>
    <row r="51" spans="1:26" ht="27">
      <c r="A51" s="204" t="s">
        <v>35</v>
      </c>
      <c r="B51" s="160" t="str">
        <f>IFERROR(INDEX(개인DB!C:C, MATCH($A51, 개인DB!B:B, 0)), "")</f>
        <v>건설사업</v>
      </c>
      <c r="C51" s="160" t="str">
        <f>IFERROR(INDEX(개인DB!D:D, MATCH($A51, 개인DB!B:B, 0)), "")</f>
        <v>위원</v>
      </c>
      <c r="D51" s="229" t="s">
        <v>137</v>
      </c>
      <c r="E51" s="160" t="str">
        <f>IFERROR(INDEX(자격증DB!E:E, MATCH($D51, 자격증DB!A:A, 0)), "X")</f>
        <v>국가기술자격</v>
      </c>
      <c r="F51" s="132" t="str">
        <f>IFERROR(INDEX(자격증DB!B:B, MATCH($D51, 자격증DB!A:A, 0)), "X")</f>
        <v>국토교통부</v>
      </c>
      <c r="G51" s="206" t="str">
        <f>IFERROR(INDEX(자격증DB!C:C, MATCH($D51, 자격증DB!A:A, 0)), "")</f>
        <v>한국산업인력공단</v>
      </c>
      <c r="H51" s="163" t="str">
        <f>IFERROR(INDEX(자격증DB!F:F, MATCH($D51, 자격증DB!A:A, 0)), "")</f>
        <v>자격증</v>
      </c>
      <c r="I51" s="214">
        <v>33235</v>
      </c>
      <c r="J51" s="214"/>
      <c r="K51" s="237"/>
      <c r="L51" s="209" t="str">
        <f t="shared" si="2"/>
        <v>PDF</v>
      </c>
      <c r="M51" s="238" t="str">
        <f t="shared" si="3"/>
        <v>건축시공기술사_피욱환</v>
      </c>
      <c r="N51" s="239" t="str">
        <f>IFERROR(IF(INDEX(자격증DB!G:G, MATCH($D51, 자격증DB!$A:$A, 0))=0, "", INDEX(자격증DB!G:G, MATCH($D51, 자격증DB!$A:$A, 0))), "")</f>
        <v>공사(CB)</v>
      </c>
      <c r="O51" s="153" t="str">
        <f>IFERROR(IF(INDEX(자격증DB!H:H, MATCH($D51, 자격증DB!$A:$A, 0))=0, "", INDEX(자격증DB!H:H, MATCH($D51, 자격증DB!$A:$A, 0))), "")</f>
        <v/>
      </c>
      <c r="P51" s="108" t="str">
        <f>IFERROR(IF(INDEX(자격증DB!I:I, MATCH($D51, 자격증DB!$A:$A, 0))=0, "", INDEX(자격증DB!I:I, MATCH($D51, 자격증DB!$A:$A, 0))), "")</f>
        <v>공사(CB)</v>
      </c>
      <c r="Q51" s="108" t="str">
        <f>IFERROR(IF(INDEX(자격증DB!J:J, MATCH($D51, 자격증DB!$A:$A, 0))=0, "", INDEX(자격증DB!J:J, MATCH($D51, 자격증DB!$A:$A, 0))), "")</f>
        <v/>
      </c>
      <c r="R51" s="108" t="str">
        <f>IFERROR(IF(INDEX(자격증DB!K:K, MATCH($D51, 자격증DB!$A:$A, 0))=0, "", INDEX(자격증DB!K:K, MATCH($D51, 자격증DB!$A:$A, 0))), "")</f>
        <v/>
      </c>
      <c r="S51" s="108" t="str">
        <f>IFERROR(IF(INDEX(자격증DB!L:L, MATCH($D51, 자격증DB!$A:$A, 0))=0, "", INDEX(자격증DB!L:L, MATCH($D51, 자격증DB!$A:$A, 0))), "")</f>
        <v/>
      </c>
      <c r="T51" s="108" t="str">
        <f>IFERROR(IF(INDEX(자격증DB!M:M, MATCH($D51, 자격증DB!$A:$A, 0))=0, "", INDEX(자격증DB!M:M, MATCH($D51, 자격증DB!$A:$A, 0))), "")</f>
        <v/>
      </c>
      <c r="U51" s="108" t="str">
        <f>IFERROR(IF(INDEX(자격증DB!N:N, MATCH($D51, 자격증DB!$A:$A, 0))=0, "", INDEX(자격증DB!N:N, MATCH($D51, 자격증DB!$A:$A, 0))), "")</f>
        <v>법원감정(CG)</v>
      </c>
      <c r="V51" s="108" t="str">
        <f>IFERROR(IF(INDEX(자격증DB!O:O, MATCH($D51, 자격증DB!$A:$A, 0))=0, "", INDEX(자격증DB!O:O, MATCH($D51, 자격증DB!$A:$A, 0))), "")</f>
        <v/>
      </c>
      <c r="W51" s="114" t="str">
        <f>IFERROR(IF(INDEX(자격증DB!P:P, MATCH($D51, 자격증DB!$A:$A, 0))=0, "", INDEX(자격증DB!P:P, MATCH($D51, 자격증DB!$A:$A, 0))), "")</f>
        <v/>
      </c>
      <c r="X51"/>
      <c r="Y51" s="365" t="str">
        <f>A51 &amp; "_" &amp; "자격증_" &amp; COUNTIFS($A$2:A51, A51)</f>
        <v>피욱환_자격증_1</v>
      </c>
      <c r="Z51" s="365" t="str">
        <f>D51 &amp; "_" &amp;"자격증_" &amp;  COUNTIFS($D$2:D51, D51)</f>
        <v>건축시공기술사_자격증_2</v>
      </c>
    </row>
    <row r="52" spans="1:26">
      <c r="A52" s="204" t="s">
        <v>211</v>
      </c>
      <c r="B52" s="160" t="str">
        <f>IFERROR(INDEX(개인DB!C:C, MATCH($A52, 개인DB!B:B, 0)), "")</f>
        <v>전략기획</v>
      </c>
      <c r="C52" s="160" t="str">
        <f>IFERROR(INDEX(개인DB!D:D, MATCH($A52, 개인DB!B:B, 0)), "")</f>
        <v>위원</v>
      </c>
      <c r="D52" s="212" t="s">
        <v>137</v>
      </c>
      <c r="E52" s="160" t="str">
        <f>IFERROR(INDEX(자격증DB!E:E, MATCH($D52, 자격증DB!A:A, 0)), "")</f>
        <v>국가기술자격</v>
      </c>
      <c r="F52" s="132" t="str">
        <f>IFERROR(INDEX(자격증DB!B:B, MATCH($D52, 자격증DB!A:A, 0)), "")</f>
        <v>국토교통부</v>
      </c>
      <c r="G52" s="206" t="str">
        <f>IFERROR(INDEX(자격증DB!C:C, MATCH($D52, 자격증DB!A:A, 0)), "")</f>
        <v>한국산업인력공단</v>
      </c>
      <c r="H52" s="163" t="str">
        <f>IFERROR(INDEX(자격증DB!F:F, MATCH($D52, 자격증DB!A:A, 0)), "")</f>
        <v>자격증</v>
      </c>
      <c r="I52" s="233">
        <v>40140</v>
      </c>
      <c r="J52" s="207"/>
      <c r="K52" s="208"/>
      <c r="L52" s="209" t="str">
        <f t="shared" si="2"/>
        <v>PDF</v>
      </c>
      <c r="M52" s="210" t="str">
        <f t="shared" si="3"/>
        <v>건축시공기술사_강정구</v>
      </c>
      <c r="N52" s="136" t="str">
        <f>IFERROR(IF(INDEX(자격증DB!G:G, MATCH($D52, 자격증DB!$A:$A, 0))=0, "", INDEX(자격증DB!G:G, MATCH($D52, 자격증DB!$A:$A, 0))), "")</f>
        <v>공사(CB)</v>
      </c>
      <c r="O52" s="153" t="str">
        <f>IFERROR(IF(INDEX(자격증DB!H:H, MATCH($D52, 자격증DB!$A:$A, 0))=0, "", INDEX(자격증DB!H:H, MATCH($D52, 자격증DB!$A:$A, 0))), "")</f>
        <v/>
      </c>
      <c r="P52" s="108" t="str">
        <f>IFERROR(IF(INDEX(자격증DB!I:I, MATCH($D52, 자격증DB!$A:$A, 0))=0, "", INDEX(자격증DB!I:I, MATCH($D52, 자격증DB!$A:$A, 0))), "")</f>
        <v>공사(CB)</v>
      </c>
      <c r="Q52" s="108" t="str">
        <f>IFERROR(IF(INDEX(자격증DB!J:J, MATCH($D52, 자격증DB!$A:$A, 0))=0, "", INDEX(자격증DB!J:J, MATCH($D52, 자격증DB!$A:$A, 0))), "")</f>
        <v/>
      </c>
      <c r="R52" s="108" t="str">
        <f>IFERROR(IF(INDEX(자격증DB!K:K, MATCH($D52, 자격증DB!$A:$A, 0))=0, "", INDEX(자격증DB!K:K, MATCH($D52, 자격증DB!$A:$A, 0))), "")</f>
        <v/>
      </c>
      <c r="S52" s="108" t="str">
        <f>IFERROR(IF(INDEX(자격증DB!L:L, MATCH($D52, 자격증DB!$A:$A, 0))=0, "", INDEX(자격증DB!L:L, MATCH($D52, 자격증DB!$A:$A, 0))), "")</f>
        <v/>
      </c>
      <c r="T52" s="108" t="str">
        <f>IFERROR(IF(INDEX(자격증DB!M:M, MATCH($D52, 자격증DB!$A:$A, 0))=0, "", INDEX(자격증DB!M:M, MATCH($D52, 자격증DB!$A:$A, 0))), "")</f>
        <v/>
      </c>
      <c r="U52" s="108" t="str">
        <f>IFERROR(IF(INDEX(자격증DB!N:N, MATCH($D52, 자격증DB!$A:$A, 0))=0, "", INDEX(자격증DB!N:N, MATCH($D52, 자격증DB!$A:$A, 0))), "")</f>
        <v>법원감정(CG)</v>
      </c>
      <c r="V52" s="108" t="str">
        <f>IFERROR(IF(INDEX(자격증DB!O:O, MATCH($D52, 자격증DB!$A:$A, 0))=0, "", INDEX(자격증DB!O:O, MATCH($D52, 자격증DB!$A:$A, 0))), "")</f>
        <v/>
      </c>
      <c r="W52" s="114" t="str">
        <f>IFERROR(IF(INDEX(자격증DB!P:P, MATCH($D52, 자격증DB!$A:$A, 0))=0, "", INDEX(자격증DB!P:P, MATCH($D52, 자격증DB!$A:$A, 0))), "")</f>
        <v/>
      </c>
      <c r="X52"/>
      <c r="Y52" s="210" t="str">
        <f>A52 &amp; "_" &amp; "자격증_" &amp; COUNTIFS($A$2:A52, A52)</f>
        <v>강정구_자격증_1</v>
      </c>
      <c r="Z52" s="210" t="str">
        <f>D52 &amp; "_" &amp;"자격증_" &amp;  COUNTIFS($D$2:D52, D52)</f>
        <v>건축시공기술사_자격증_3</v>
      </c>
    </row>
    <row r="53" spans="1:26" ht="20.100000000000001" customHeight="1">
      <c r="A53" s="204" t="s">
        <v>0</v>
      </c>
      <c r="B53" s="160" t="str">
        <f>IFERROR(INDEX(개인DB!C:C, MATCH($A53, 개인DB!B:B, 0)), "")</f>
        <v>원장</v>
      </c>
      <c r="C53" s="160" t="str">
        <f>IFERROR(INDEX(개인DB!D:D, MATCH($A53, 개인DB!B:B, 0)), "")</f>
        <v>원장</v>
      </c>
      <c r="D53" s="205" t="s">
        <v>436</v>
      </c>
      <c r="E53" s="160" t="str">
        <f>IFERROR(INDEX(자격증DB!E:E, MATCH($D53, 자격증DB!A:A, 0)), "")</f>
        <v>민간</v>
      </c>
      <c r="F53" s="132" t="str">
        <f>IFERROR(INDEX(자격증DB!B:B, MATCH($D53, 자격증DB!A:A, 0)), "")</f>
        <v>-</v>
      </c>
      <c r="G53" s="206" t="str">
        <f>IFERROR(INDEX(자격증DB!C:C, MATCH($D53, 자격증DB!A:A, 0)), "")</f>
        <v>주거환경연구원</v>
      </c>
      <c r="H53" s="163" t="str">
        <f>IFERROR(INDEX(자격증DB!F:F, MATCH($D53, 자격증DB!A:A, 0)), "")</f>
        <v>자격증</v>
      </c>
      <c r="I53" s="207">
        <v>45700</v>
      </c>
      <c r="J53" s="207"/>
      <c r="K53" s="208"/>
      <c r="L53" s="209" t="str">
        <f t="shared" si="2"/>
        <v>PDF</v>
      </c>
      <c r="M53" s="210" t="str">
        <f t="shared" si="3"/>
        <v>정비사업전문관리사_김민선</v>
      </c>
      <c r="N53" s="211" t="str">
        <f>IFERROR(IF(INDEX(자격증DB!G:G, MATCH($D53, 자격증DB!$A:$A, 0))=0, "", INDEX(자격증DB!G:G, MATCH($D53, 자격증DB!$A:$A, 0))), "")</f>
        <v>공사(CB)</v>
      </c>
      <c r="O53" s="153" t="str">
        <f>IFERROR(IF(INDEX(자격증DB!H:H, MATCH($D53, 자격증DB!$A:$A, 0))=0, "", INDEX(자격증DB!H:H, MATCH($D53, 자격증DB!$A:$A, 0))), "")</f>
        <v/>
      </c>
      <c r="P53" s="108" t="str">
        <f>IFERROR(IF(INDEX(자격증DB!I:I, MATCH($D53, 자격증DB!$A:$A, 0))=0, "", INDEX(자격증DB!I:I, MATCH($D53, 자격증DB!$A:$A, 0))), "")</f>
        <v>공사(CB)</v>
      </c>
      <c r="Q53" s="108" t="str">
        <f>IFERROR(IF(INDEX(자격증DB!J:J, MATCH($D53, 자격증DB!$A:$A, 0))=0, "", INDEX(자격증DB!J:J, MATCH($D53, 자격증DB!$A:$A, 0))), "")</f>
        <v/>
      </c>
      <c r="R53" s="108" t="str">
        <f>IFERROR(IF(INDEX(자격증DB!K:K, MATCH($D53, 자격증DB!$A:$A, 0))=0, "", INDEX(자격증DB!K:K, MATCH($D53, 자격증DB!$A:$A, 0))), "")</f>
        <v/>
      </c>
      <c r="S53" s="108" t="str">
        <f>IFERROR(IF(INDEX(자격증DB!L:L, MATCH($D53, 자격증DB!$A:$A, 0))=0, "", INDEX(자격증DB!L:L, MATCH($D53, 자격증DB!$A:$A, 0))), "")</f>
        <v/>
      </c>
      <c r="T53" s="108" t="str">
        <f>IFERROR(IF(INDEX(자격증DB!M:M, MATCH($D53, 자격증DB!$A:$A, 0))=0, "", INDEX(자격증DB!M:M, MATCH($D53, 자격증DB!$A:$A, 0))), "")</f>
        <v/>
      </c>
      <c r="U53" s="108" t="str">
        <f>IFERROR(IF(INDEX(자격증DB!N:N, MATCH($D53, 자격증DB!$A:$A, 0))=0, "", INDEX(자격증DB!N:N, MATCH($D53, 자격증DB!$A:$A, 0))), "")</f>
        <v>법원감정(CG)</v>
      </c>
      <c r="V53" s="108" t="str">
        <f>IFERROR(IF(INDEX(자격증DB!O:O, MATCH($D53, 자격증DB!$A:$A, 0))=0, "", INDEX(자격증DB!O:O, MATCH($D53, 자격증DB!$A:$A, 0))), "")</f>
        <v/>
      </c>
      <c r="W53" s="114" t="str">
        <f>IFERROR(IF(INDEX(자격증DB!P:P, MATCH($D53, 자격증DB!$A:$A, 0))=0, "", INDEX(자격증DB!P:P, MATCH($D53, 자격증DB!$A:$A, 0))), "")</f>
        <v/>
      </c>
      <c r="X53"/>
      <c r="Y53" s="361" t="str">
        <f>A53 &amp; "_" &amp; "자격증_" &amp; COUNTIFS($A$2:A53, A53)</f>
        <v>김민선_자격증_9</v>
      </c>
      <c r="Z53" s="361" t="str">
        <f>D53 &amp; "_" &amp;"자격증_" &amp;  COUNTIFS($D$2:D53, D53)</f>
        <v>정비사업전문관리사_자격증_1</v>
      </c>
    </row>
    <row r="54" spans="1:26" ht="20.100000000000001" customHeight="1">
      <c r="A54" s="204" t="s">
        <v>35</v>
      </c>
      <c r="B54" s="160" t="str">
        <f>IFERROR(INDEX(개인DB!C:C, MATCH($A54, 개인DB!B:B, 0)), "")</f>
        <v>건설사업</v>
      </c>
      <c r="C54" s="160" t="str">
        <f>IFERROR(INDEX(개인DB!D:D, MATCH($A54, 개인DB!B:B, 0)), "")</f>
        <v>위원</v>
      </c>
      <c r="D54" s="229" t="s">
        <v>263</v>
      </c>
      <c r="E54" s="160" t="str">
        <f>IFERROR(INDEX(자격증DB!E:E, MATCH($D54, 자격증DB!A:A, 0)), "X")</f>
        <v>기술사</v>
      </c>
      <c r="F54" s="132" t="str">
        <f>IFERROR(INDEX(자격증DB!B:B, MATCH($D54, 자격증DB!A:A, 0)), "X")</f>
        <v>고용노동부</v>
      </c>
      <c r="G54" s="206" t="str">
        <f>IFERROR(INDEX(자격증DB!C:C, MATCH($D54, 자격증DB!A:A, 0)), "")</f>
        <v>한국산업인력공단</v>
      </c>
      <c r="H54" s="163" t="str">
        <f>IFERROR(INDEX(자격증DB!F:F, MATCH($D54, 자격증DB!A:A, 0)), "")</f>
        <v>자격증</v>
      </c>
      <c r="I54" s="214">
        <v>31993</v>
      </c>
      <c r="J54" s="214"/>
      <c r="K54" s="237"/>
      <c r="L54" s="209" t="str">
        <f t="shared" si="2"/>
        <v>PDF</v>
      </c>
      <c r="M54" s="238" t="str">
        <f t="shared" si="3"/>
        <v>건설안전기술사_피욱환</v>
      </c>
      <c r="N54" s="239" t="str">
        <f>IFERROR(IF(INDEX(자격증DB!G:G, MATCH($D54, 자격증DB!$A:$A, 0))=0, "", INDEX(자격증DB!G:G, MATCH($D54, 자격증DB!$A:$A, 0))), "")</f>
        <v>공사(CB)</v>
      </c>
      <c r="O54" s="153" t="str">
        <f>IFERROR(IF(INDEX(자격증DB!H:H, MATCH($D54, 자격증DB!$A:$A, 0))=0, "", INDEX(자격증DB!H:H, MATCH($D54, 자격증DB!$A:$A, 0))), "")</f>
        <v/>
      </c>
      <c r="P54" s="108" t="str">
        <f>IFERROR(IF(INDEX(자격증DB!I:I, MATCH($D54, 자격증DB!$A:$A, 0))=0, "", INDEX(자격증DB!I:I, MATCH($D54, 자격증DB!$A:$A, 0))), "")</f>
        <v>공사(CB)</v>
      </c>
      <c r="Q54" s="108" t="str">
        <f>IFERROR(IF(INDEX(자격증DB!J:J, MATCH($D54, 자격증DB!$A:$A, 0))=0, "", INDEX(자격증DB!J:J, MATCH($D54, 자격증DB!$A:$A, 0))), "")</f>
        <v/>
      </c>
      <c r="R54" s="108" t="str">
        <f>IFERROR(IF(INDEX(자격증DB!K:K, MATCH($D54, 자격증DB!$A:$A, 0))=0, "", INDEX(자격증DB!K:K, MATCH($D54, 자격증DB!$A:$A, 0))), "")</f>
        <v/>
      </c>
      <c r="S54" s="108" t="str">
        <f>IFERROR(IF(INDEX(자격증DB!L:L, MATCH($D54, 자격증DB!$A:$A, 0))=0, "", INDEX(자격증DB!L:L, MATCH($D54, 자격증DB!$A:$A, 0))), "")</f>
        <v/>
      </c>
      <c r="T54" s="108" t="str">
        <f>IFERROR(IF(INDEX(자격증DB!M:M, MATCH($D54, 자격증DB!$A:$A, 0))=0, "", INDEX(자격증DB!M:M, MATCH($D54, 자격증DB!$A:$A, 0))), "")</f>
        <v/>
      </c>
      <c r="U54" s="108" t="str">
        <f>IFERROR(IF(INDEX(자격증DB!N:N, MATCH($D54, 자격증DB!$A:$A, 0))=0, "", INDEX(자격증DB!N:N, MATCH($D54, 자격증DB!$A:$A, 0))), "")</f>
        <v/>
      </c>
      <c r="V54" s="108" t="str">
        <f>IFERROR(IF(INDEX(자격증DB!O:O, MATCH($D54, 자격증DB!$A:$A, 0))=0, "", INDEX(자격증DB!O:O, MATCH($D54, 자격증DB!$A:$A, 0))), "")</f>
        <v/>
      </c>
      <c r="W54" s="114" t="str">
        <f>IFERROR(IF(INDEX(자격증DB!P:P, MATCH($D54, 자격증DB!$A:$A, 0))=0, "", INDEX(자격증DB!P:P, MATCH($D54, 자격증DB!$A:$A, 0))), "")</f>
        <v/>
      </c>
      <c r="X54"/>
      <c r="Y54" s="238" t="str">
        <f>A54 &amp; "_" &amp; "자격증_" &amp; COUNTIFS($A$2:A54, A54)</f>
        <v>피욱환_자격증_2</v>
      </c>
      <c r="Z54" s="238" t="str">
        <f>D54 &amp; "_" &amp;"자격증_" &amp;  COUNTIFS($D$2:D54, D54)</f>
        <v>건설안전기술사_자격증_1</v>
      </c>
    </row>
    <row r="55" spans="1:26" ht="20.100000000000001" customHeight="1">
      <c r="A55" s="204" t="s">
        <v>10</v>
      </c>
      <c r="B55" s="160" t="str">
        <f>IFERROR(INDEX(개인DB!C:C, MATCH($A55, 개인DB!B:B, 0)), "")</f>
        <v>건설사업</v>
      </c>
      <c r="C55" s="160" t="str">
        <f>IFERROR(INDEX(개인DB!D:D, MATCH($A55, 개인DB!B:B, 0)), "")</f>
        <v>전임연구원</v>
      </c>
      <c r="D55" s="212" t="s">
        <v>128</v>
      </c>
      <c r="E55" s="160" t="str">
        <f>IFERROR(INDEX(자격증DB!E:E, MATCH($D55, 자격증DB!A:A, 0)), "")</f>
        <v>국가기술자격</v>
      </c>
      <c r="F55" s="132" t="str">
        <f>IFERROR(INDEX(자격증DB!B:B, MATCH($D55, 자격증DB!A:A, 0)), "")</f>
        <v>국토교통부</v>
      </c>
      <c r="G55" s="206" t="str">
        <f>IFERROR(INDEX(자격증DB!C:C, MATCH($D55, 자격증DB!A:A, 0)), "")</f>
        <v>한국산업인력공단</v>
      </c>
      <c r="H55" s="163" t="str">
        <f>IFERROR(INDEX(자격증DB!F:F, MATCH($D55, 자격증DB!A:A, 0)), "")</f>
        <v>자격증</v>
      </c>
      <c r="I55" s="231">
        <v>44085</v>
      </c>
      <c r="J55" s="207"/>
      <c r="K55" s="208"/>
      <c r="L55" s="209" t="str">
        <f t="shared" si="2"/>
        <v>PDF</v>
      </c>
      <c r="M55" s="210" t="str">
        <f t="shared" si="3"/>
        <v>건축기사_김연화</v>
      </c>
      <c r="N55" s="211" t="str">
        <f>IFERROR(IF(INDEX(자격증DB!G:G, MATCH($D55, 자격증DB!$A:$A, 0))=0, "", INDEX(자격증DB!G:G, MATCH($D55, 자격증DB!$A:$A, 0))), "")</f>
        <v>공사(CB)</v>
      </c>
      <c r="O55" s="153" t="str">
        <f>IFERROR(IF(INDEX(자격증DB!H:H, MATCH($D55, 자격증DB!$A:$A, 0))=0, "", INDEX(자격증DB!H:H, MATCH($D55, 자격증DB!$A:$A, 0))), "")</f>
        <v/>
      </c>
      <c r="P55" s="108" t="str">
        <f>IFERROR(IF(INDEX(자격증DB!I:I, MATCH($D55, 자격증DB!$A:$A, 0))=0, "", INDEX(자격증DB!I:I, MATCH($D55, 자격증DB!$A:$A, 0))), "")</f>
        <v>공사(CB)</v>
      </c>
      <c r="Q55" s="108" t="str">
        <f>IFERROR(IF(INDEX(자격증DB!J:J, MATCH($D55, 자격증DB!$A:$A, 0))=0, "", INDEX(자격증DB!J:J, MATCH($D55, 자격증DB!$A:$A, 0))), "")</f>
        <v/>
      </c>
      <c r="R55" s="108" t="str">
        <f>IFERROR(IF(INDEX(자격증DB!K:K, MATCH($D55, 자격증DB!$A:$A, 0))=0, "", INDEX(자격증DB!K:K, MATCH($D55, 자격증DB!$A:$A, 0))), "")</f>
        <v/>
      </c>
      <c r="S55" s="108" t="str">
        <f>IFERROR(IF(INDEX(자격증DB!L:L, MATCH($D55, 자격증DB!$A:$A, 0))=0, "", INDEX(자격증DB!L:L, MATCH($D55, 자격증DB!$A:$A, 0))), "")</f>
        <v/>
      </c>
      <c r="T55" s="108" t="str">
        <f>IFERROR(IF(INDEX(자격증DB!M:M, MATCH($D55, 자격증DB!$A:$A, 0))=0, "", INDEX(자격증DB!M:M, MATCH($D55, 자격증DB!$A:$A, 0))), "")</f>
        <v/>
      </c>
      <c r="U55" s="108" t="str">
        <f>IFERROR(IF(INDEX(자격증DB!N:N, MATCH($D55, 자격증DB!$A:$A, 0))=0, "", INDEX(자격증DB!N:N, MATCH($D55, 자격증DB!$A:$A, 0))), "")</f>
        <v/>
      </c>
      <c r="V55" s="108" t="str">
        <f>IFERROR(IF(INDEX(자격증DB!O:O, MATCH($D55, 자격증DB!$A:$A, 0))=0, "", INDEX(자격증DB!O:O, MATCH($D55, 자격증DB!$A:$A, 0))), "")</f>
        <v/>
      </c>
      <c r="W55" s="114" t="str">
        <f>IFERROR(IF(INDEX(자격증DB!P:P, MATCH($D55, 자격증DB!$A:$A, 0))=0, "", INDEX(자격증DB!P:P, MATCH($D55, 자격증DB!$A:$A, 0))), "")</f>
        <v/>
      </c>
      <c r="X55"/>
      <c r="Y55" s="361" t="str">
        <f>A55 &amp; "_" &amp; "자격증_" &amp; COUNTIFS($A$2:A55, A55)</f>
        <v>김연화_자격증_2</v>
      </c>
      <c r="Z55" s="361" t="str">
        <f>D55 &amp; "_" &amp;"자격증_" &amp;  COUNTIFS($D$2:D55, D55)</f>
        <v>건축기사_자격증_1</v>
      </c>
    </row>
    <row r="56" spans="1:26" ht="20.100000000000001" customHeight="1">
      <c r="A56" s="204" t="s">
        <v>16</v>
      </c>
      <c r="B56" s="160" t="str">
        <f>IFERROR(INDEX(개인DB!C:C, MATCH($A56, 개인DB!B:B, 0)), "")</f>
        <v>건설사업</v>
      </c>
      <c r="C56" s="160" t="str">
        <f>IFERROR(INDEX(개인DB!D:D, MATCH($A56, 개인DB!B:B, 0)), "")</f>
        <v>선임연구원</v>
      </c>
      <c r="D56" s="229" t="s">
        <v>138</v>
      </c>
      <c r="E56" s="160" t="str">
        <f>IFERROR(INDEX(자격증DB!E:E, MATCH($D56, 자격증DB!A:A, 0)), "")</f>
        <v>국가기술자격</v>
      </c>
      <c r="F56" s="132" t="str">
        <f>IFERROR(INDEX(자격증DB!B:B, MATCH($D56, 자격증DB!A:A, 0)), "")</f>
        <v>국토교통부</v>
      </c>
      <c r="G56" s="206" t="str">
        <f>IFERROR(INDEX(자격증DB!C:C, MATCH($D56, 자격증DB!A:A, 0)), "")</f>
        <v>한국산업인력공단</v>
      </c>
      <c r="H56" s="163" t="str">
        <f>IFERROR(INDEX(자격증DB!F:F, MATCH($D56, 자격증DB!A:A, 0)), "")</f>
        <v>자격증</v>
      </c>
      <c r="I56" s="230">
        <v>36346</v>
      </c>
      <c r="J56" s="207"/>
      <c r="K56" s="208"/>
      <c r="L56" s="209" t="str">
        <f t="shared" si="2"/>
        <v>PDF</v>
      </c>
      <c r="M56" s="210" t="str">
        <f t="shared" si="3"/>
        <v>건축기사_박미야</v>
      </c>
      <c r="N56" s="211" t="str">
        <f>IFERROR(IF(INDEX(자격증DB!G:G, MATCH($D56, 자격증DB!$A:$A, 0))=0, "", INDEX(자격증DB!G:G, MATCH($D56, 자격증DB!$A:$A, 0))), "")</f>
        <v>공사(CB)</v>
      </c>
      <c r="O56" s="153" t="str">
        <f>IFERROR(IF(INDEX(자격증DB!H:H, MATCH($D56, 자격증DB!$A:$A, 0))=0, "", INDEX(자격증DB!H:H, MATCH($D56, 자격증DB!$A:$A, 0))), "")</f>
        <v/>
      </c>
      <c r="P56" s="108" t="str">
        <f>IFERROR(IF(INDEX(자격증DB!I:I, MATCH($D56, 자격증DB!$A:$A, 0))=0, "", INDEX(자격증DB!I:I, MATCH($D56, 자격증DB!$A:$A, 0))), "")</f>
        <v>공사(CB)</v>
      </c>
      <c r="Q56" s="108" t="str">
        <f>IFERROR(IF(INDEX(자격증DB!J:J, MATCH($D56, 자격증DB!$A:$A, 0))=0, "", INDEX(자격증DB!J:J, MATCH($D56, 자격증DB!$A:$A, 0))), "")</f>
        <v/>
      </c>
      <c r="R56" s="108" t="str">
        <f>IFERROR(IF(INDEX(자격증DB!K:K, MATCH($D56, 자격증DB!$A:$A, 0))=0, "", INDEX(자격증DB!K:K, MATCH($D56, 자격증DB!$A:$A, 0))), "")</f>
        <v/>
      </c>
      <c r="S56" s="108" t="str">
        <f>IFERROR(IF(INDEX(자격증DB!L:L, MATCH($D56, 자격증DB!$A:$A, 0))=0, "", INDEX(자격증DB!L:L, MATCH($D56, 자격증DB!$A:$A, 0))), "")</f>
        <v/>
      </c>
      <c r="T56" s="108" t="str">
        <f>IFERROR(IF(INDEX(자격증DB!M:M, MATCH($D56, 자격증DB!$A:$A, 0))=0, "", INDEX(자격증DB!M:M, MATCH($D56, 자격증DB!$A:$A, 0))), "")</f>
        <v/>
      </c>
      <c r="U56" s="108" t="str">
        <f>IFERROR(IF(INDEX(자격증DB!N:N, MATCH($D56, 자격증DB!$A:$A, 0))=0, "", INDEX(자격증DB!N:N, MATCH($D56, 자격증DB!$A:$A, 0))), "")</f>
        <v/>
      </c>
      <c r="V56" s="108" t="str">
        <f>IFERROR(IF(INDEX(자격증DB!O:O, MATCH($D56, 자격증DB!$A:$A, 0))=0, "", INDEX(자격증DB!O:O, MATCH($D56, 자격증DB!$A:$A, 0))), "")</f>
        <v/>
      </c>
      <c r="W56" s="114" t="str">
        <f>IFERROR(IF(INDEX(자격증DB!P:P, MATCH($D56, 자격증DB!$A:$A, 0))=0, "", INDEX(자격증DB!P:P, MATCH($D56, 자격증DB!$A:$A, 0))), "")</f>
        <v/>
      </c>
      <c r="X56"/>
      <c r="Y56" s="210" t="str">
        <f>A56 &amp; "_" &amp; "자격증_" &amp; COUNTIFS($A$2:A56, A56)</f>
        <v>박미야_자격증_1</v>
      </c>
      <c r="Z56" s="210" t="str">
        <f>D56 &amp; "_" &amp;"자격증_" &amp;  COUNTIFS($D$2:D56, D56)</f>
        <v>건축기사_자격증_2</v>
      </c>
    </row>
    <row r="57" spans="1:26" ht="20.100000000000001" customHeight="1">
      <c r="A57" s="204" t="s">
        <v>26</v>
      </c>
      <c r="B57" s="160" t="str">
        <f>IFERROR(INDEX(개인DB!C:C, MATCH($A57, 개인DB!B:B, 0)), "")</f>
        <v/>
      </c>
      <c r="C57" s="160" t="str">
        <f>IFERROR(INDEX(개인DB!D:D, MATCH($A57, 개인DB!B:B, 0)), "")</f>
        <v/>
      </c>
      <c r="D57" s="213" t="s">
        <v>138</v>
      </c>
      <c r="E57" s="160" t="str">
        <f>IFERROR(INDEX(자격증DB!E:E, MATCH($D57, 자격증DB!A:A, 0)), "")</f>
        <v>국가기술자격</v>
      </c>
      <c r="F57" s="132" t="str">
        <f>IFERROR(INDEX(자격증DB!B:B, MATCH($D57, 자격증DB!A:A, 0)), "")</f>
        <v>국토교통부</v>
      </c>
      <c r="G57" s="206" t="str">
        <f>IFERROR(INDEX(자격증DB!C:C, MATCH($D57, 자격증DB!A:A, 0)), "")</f>
        <v>한국산업인력공단</v>
      </c>
      <c r="H57" s="163" t="str">
        <f>IFERROR(INDEX(자격증DB!F:F, MATCH($D57, 자격증DB!A:A, 0)), "")</f>
        <v>자격증</v>
      </c>
      <c r="I57" s="214">
        <v>40788</v>
      </c>
      <c r="J57" s="214"/>
      <c r="K57" s="215"/>
      <c r="L57" s="209" t="str">
        <f t="shared" si="2"/>
        <v>PDF</v>
      </c>
      <c r="M57" s="216" t="str">
        <f t="shared" si="3"/>
        <v>건축기사_이남일</v>
      </c>
      <c r="N57" s="217" t="str">
        <f>IFERROR(IF(INDEX(자격증DB!G:G, MATCH($D57, 자격증DB!$A:$A, 0))=0, "", INDEX(자격증DB!G:G, MATCH($D57, 자격증DB!$A:$A, 0))), "")</f>
        <v>공사(CB)</v>
      </c>
      <c r="O57" s="153" t="str">
        <f>IFERROR(IF(INDEX(자격증DB!H:H, MATCH($D57, 자격증DB!$A:$A, 0))=0, "", INDEX(자격증DB!H:H, MATCH($D57, 자격증DB!$A:$A, 0))), "")</f>
        <v/>
      </c>
      <c r="P57" s="108" t="str">
        <f>IFERROR(IF(INDEX(자격증DB!I:I, MATCH($D57, 자격증DB!$A:$A, 0))=0, "", INDEX(자격증DB!I:I, MATCH($D57, 자격증DB!$A:$A, 0))), "")</f>
        <v>공사(CB)</v>
      </c>
      <c r="Q57" s="108" t="str">
        <f>IFERROR(IF(INDEX(자격증DB!J:J, MATCH($D57, 자격증DB!$A:$A, 0))=0, "", INDEX(자격증DB!J:J, MATCH($D57, 자격증DB!$A:$A, 0))), "")</f>
        <v/>
      </c>
      <c r="R57" s="108" t="str">
        <f>IFERROR(IF(INDEX(자격증DB!K:K, MATCH($D57, 자격증DB!$A:$A, 0))=0, "", INDEX(자격증DB!K:K, MATCH($D57, 자격증DB!$A:$A, 0))), "")</f>
        <v/>
      </c>
      <c r="S57" s="108" t="str">
        <f>IFERROR(IF(INDEX(자격증DB!L:L, MATCH($D57, 자격증DB!$A:$A, 0))=0, "", INDEX(자격증DB!L:L, MATCH($D57, 자격증DB!$A:$A, 0))), "")</f>
        <v/>
      </c>
      <c r="T57" s="108" t="str">
        <f>IFERROR(IF(INDEX(자격증DB!M:M, MATCH($D57, 자격증DB!$A:$A, 0))=0, "", INDEX(자격증DB!M:M, MATCH($D57, 자격증DB!$A:$A, 0))), "")</f>
        <v/>
      </c>
      <c r="U57" s="108" t="str">
        <f>IFERROR(IF(INDEX(자격증DB!N:N, MATCH($D57, 자격증DB!$A:$A, 0))=0, "", INDEX(자격증DB!N:N, MATCH($D57, 자격증DB!$A:$A, 0))), "")</f>
        <v/>
      </c>
      <c r="V57" s="108" t="str">
        <f>IFERROR(IF(INDEX(자격증DB!O:O, MATCH($D57, 자격증DB!$A:$A, 0))=0, "", INDEX(자격증DB!O:O, MATCH($D57, 자격증DB!$A:$A, 0))), "")</f>
        <v/>
      </c>
      <c r="W57" s="114" t="str">
        <f>IFERROR(IF(INDEX(자격증DB!P:P, MATCH($D57, 자격증DB!$A:$A, 0))=0, "", INDEX(자격증DB!P:P, MATCH($D57, 자격증DB!$A:$A, 0))), "")</f>
        <v/>
      </c>
      <c r="X57"/>
      <c r="Y57" s="362" t="str">
        <f>A57 &amp; "_" &amp; "자격증_" &amp; COUNTIFS($A$2:A57, A57)</f>
        <v>이남일_자격증_1</v>
      </c>
      <c r="Z57" s="362" t="str">
        <f>D57 &amp; "_" &amp;"자격증_" &amp;  COUNTIFS($D$2:D57, D57)</f>
        <v>건축기사_자격증_3</v>
      </c>
    </row>
    <row r="58" spans="1:26" ht="20.100000000000001" customHeight="1">
      <c r="A58" s="204" t="s">
        <v>28</v>
      </c>
      <c r="B58" s="160" t="str">
        <f>IFERROR(INDEX(개인DB!C:C, MATCH($A58, 개인DB!B:B, 0)), "")</f>
        <v>건설사업</v>
      </c>
      <c r="C58" s="160" t="str">
        <f>IFERROR(INDEX(개인DB!D:D, MATCH($A58, 개인DB!B:B, 0)), "")</f>
        <v>부원장</v>
      </c>
      <c r="D58" s="212" t="s">
        <v>138</v>
      </c>
      <c r="E58" s="160" t="str">
        <f>IFERROR(INDEX(자격증DB!E:E, MATCH($D58, 자격증DB!A:A, 0)), "")</f>
        <v>국가기술자격</v>
      </c>
      <c r="F58" s="132" t="str">
        <f>IFERROR(INDEX(자격증DB!B:B, MATCH($D58, 자격증DB!A:A, 0)), "")</f>
        <v>국토교통부</v>
      </c>
      <c r="G58" s="206" t="str">
        <f>IFERROR(INDEX(자격증DB!C:C, MATCH($D58, 자격증DB!A:A, 0)), "")</f>
        <v>한국산업인력공단</v>
      </c>
      <c r="H58" s="163" t="str">
        <f>IFERROR(INDEX(자격증DB!F:F, MATCH($D58, 자격증DB!A:A, 0)), "")</f>
        <v>자격증</v>
      </c>
      <c r="I58" s="207">
        <v>32506</v>
      </c>
      <c r="J58" s="207"/>
      <c r="K58" s="208"/>
      <c r="L58" s="209" t="str">
        <f t="shared" si="2"/>
        <v>PDF</v>
      </c>
      <c r="M58" s="210" t="str">
        <f t="shared" si="3"/>
        <v>건축기사_이병준</v>
      </c>
      <c r="N58" s="211" t="str">
        <f>IFERROR(IF(INDEX(자격증DB!G:G, MATCH($D58, 자격증DB!$A:$A, 0))=0, "", INDEX(자격증DB!G:G, MATCH($D58, 자격증DB!$A:$A, 0))), "")</f>
        <v>공사(CB)</v>
      </c>
      <c r="O58" s="153" t="str">
        <f>IFERROR(IF(INDEX(자격증DB!H:H, MATCH($D58, 자격증DB!$A:$A, 0))=0, "", INDEX(자격증DB!H:H, MATCH($D58, 자격증DB!$A:$A, 0))), "")</f>
        <v/>
      </c>
      <c r="P58" s="108" t="str">
        <f>IFERROR(IF(INDEX(자격증DB!I:I, MATCH($D58, 자격증DB!$A:$A, 0))=0, "", INDEX(자격증DB!I:I, MATCH($D58, 자격증DB!$A:$A, 0))), "")</f>
        <v>공사(CB)</v>
      </c>
      <c r="Q58" s="108" t="str">
        <f>IFERROR(IF(INDEX(자격증DB!J:J, MATCH($D58, 자격증DB!$A:$A, 0))=0, "", INDEX(자격증DB!J:J, MATCH($D58, 자격증DB!$A:$A, 0))), "")</f>
        <v/>
      </c>
      <c r="R58" s="108" t="str">
        <f>IFERROR(IF(INDEX(자격증DB!K:K, MATCH($D58, 자격증DB!$A:$A, 0))=0, "", INDEX(자격증DB!K:K, MATCH($D58, 자격증DB!$A:$A, 0))), "")</f>
        <v/>
      </c>
      <c r="S58" s="108" t="str">
        <f>IFERROR(IF(INDEX(자격증DB!L:L, MATCH($D58, 자격증DB!$A:$A, 0))=0, "", INDEX(자격증DB!L:L, MATCH($D58, 자격증DB!$A:$A, 0))), "")</f>
        <v/>
      </c>
      <c r="T58" s="108" t="str">
        <f>IFERROR(IF(INDEX(자격증DB!M:M, MATCH($D58, 자격증DB!$A:$A, 0))=0, "", INDEX(자격증DB!M:M, MATCH($D58, 자격증DB!$A:$A, 0))), "")</f>
        <v/>
      </c>
      <c r="U58" s="108" t="str">
        <f>IFERROR(IF(INDEX(자격증DB!N:N, MATCH($D58, 자격증DB!$A:$A, 0))=0, "", INDEX(자격증DB!N:N, MATCH($D58, 자격증DB!$A:$A, 0))), "")</f>
        <v/>
      </c>
      <c r="V58" s="108" t="str">
        <f>IFERROR(IF(INDEX(자격증DB!O:O, MATCH($D58, 자격증DB!$A:$A, 0))=0, "", INDEX(자격증DB!O:O, MATCH($D58, 자격증DB!$A:$A, 0))), "")</f>
        <v/>
      </c>
      <c r="W58" s="114" t="str">
        <f>IFERROR(IF(INDEX(자격증DB!P:P, MATCH($D58, 자격증DB!$A:$A, 0))=0, "", INDEX(자격증DB!P:P, MATCH($D58, 자격증DB!$A:$A, 0))), "")</f>
        <v/>
      </c>
      <c r="X58"/>
      <c r="Y58" s="210" t="str">
        <f>A58 &amp; "_" &amp; "자격증_" &amp; COUNTIFS($A$2:A58, A58)</f>
        <v>이병준_자격증_3</v>
      </c>
      <c r="Z58" s="210" t="str">
        <f>D58 &amp; "_" &amp;"자격증_" &amp;  COUNTIFS($D$2:D58, D58)</f>
        <v>건축기사_자격증_4</v>
      </c>
    </row>
    <row r="59" spans="1:26" ht="20.100000000000001" customHeight="1">
      <c r="A59" s="204" t="s">
        <v>22</v>
      </c>
      <c r="B59" s="160" t="str">
        <f>IFERROR(INDEX(개인DB!C:C, MATCH($A59, 개인DB!B:B, 0)), "")</f>
        <v>원가분석</v>
      </c>
      <c r="C59" s="160" t="str">
        <f>IFERROR(INDEX(개인DB!D:D, MATCH($A59, 개인DB!B:B, 0)), "")</f>
        <v>위원</v>
      </c>
      <c r="D59" s="232" t="s">
        <v>250</v>
      </c>
      <c r="E59" s="160" t="str">
        <f>IFERROR(INDEX(자격증DB!E:E, MATCH($D59, 자격증DB!A:A, 0)), "")</f>
        <v>-</v>
      </c>
      <c r="F59" s="132" t="str">
        <f>IFERROR(INDEX(자격증DB!B:B, MATCH($D59, 자격증DB!A:A, 0)), "")</f>
        <v>-</v>
      </c>
      <c r="G59" s="206" t="str">
        <f>IFERROR(INDEX(자격증DB!C:C, MATCH($D59, 자격증DB!A:A, 0)), "")</f>
        <v>한국산업인력공단</v>
      </c>
      <c r="H59" s="163" t="str">
        <f>IFERROR(INDEX(자격증DB!F:F, MATCH($D59, 자격증DB!A:A, 0)), "")</f>
        <v>자격증</v>
      </c>
      <c r="I59" s="233">
        <v>30263</v>
      </c>
      <c r="J59" s="233">
        <v>40155</v>
      </c>
      <c r="K59" s="234"/>
      <c r="L59" s="209" t="str">
        <f t="shared" si="2"/>
        <v>PDF</v>
      </c>
      <c r="M59" s="235" t="str">
        <f t="shared" si="3"/>
        <v>소방설비기사(기계분야)_유길상</v>
      </c>
      <c r="N59" s="236" t="str">
        <f>IFERROR(IF(INDEX(자격증DB!G:G, MATCH($D59, 자격증DB!$A:$A, 0))=0, "", INDEX(자격증DB!G:G, MATCH($D59, 자격증DB!$A:$A, 0))), "")</f>
        <v>공사(CB)</v>
      </c>
      <c r="O59" s="153" t="str">
        <f>IFERROR(IF(INDEX(자격증DB!H:H, MATCH($D59, 자격증DB!$A:$A, 0))=0, "", INDEX(자격증DB!H:H, MATCH($D59, 자격증DB!$A:$A, 0))), "")</f>
        <v/>
      </c>
      <c r="P59" s="108" t="str">
        <f>IFERROR(IF(INDEX(자격증DB!I:I, MATCH($D59, 자격증DB!$A:$A, 0))=0, "", INDEX(자격증DB!I:I, MATCH($D59, 자격증DB!$A:$A, 0))), "")</f>
        <v>공사(CB)</v>
      </c>
      <c r="Q59" s="108" t="str">
        <f>IFERROR(IF(INDEX(자격증DB!J:J, MATCH($D59, 자격증DB!$A:$A, 0))=0, "", INDEX(자격증DB!J:J, MATCH($D59, 자격증DB!$A:$A, 0))), "")</f>
        <v/>
      </c>
      <c r="R59" s="108" t="str">
        <f>IFERROR(IF(INDEX(자격증DB!K:K, MATCH($D59, 자격증DB!$A:$A, 0))=0, "", INDEX(자격증DB!K:K, MATCH($D59, 자격증DB!$A:$A, 0))), "")</f>
        <v/>
      </c>
      <c r="S59" s="108" t="str">
        <f>IFERROR(IF(INDEX(자격증DB!L:L, MATCH($D59, 자격증DB!$A:$A, 0))=0, "", INDEX(자격증DB!L:L, MATCH($D59, 자격증DB!$A:$A, 0))), "")</f>
        <v/>
      </c>
      <c r="T59" s="108" t="str">
        <f>IFERROR(IF(INDEX(자격증DB!M:M, MATCH($D59, 자격증DB!$A:$A, 0))=0, "", INDEX(자격증DB!M:M, MATCH($D59, 자격증DB!$A:$A, 0))), "")</f>
        <v/>
      </c>
      <c r="U59" s="108" t="str">
        <f>IFERROR(IF(INDEX(자격증DB!N:N, MATCH($D59, 자격증DB!$A:$A, 0))=0, "", INDEX(자격증DB!N:N, MATCH($D59, 자격증DB!$A:$A, 0))), "")</f>
        <v>법원감정(CG)</v>
      </c>
      <c r="V59" s="108" t="str">
        <f>IFERROR(IF(INDEX(자격증DB!O:O, MATCH($D59, 자격증DB!$A:$A, 0))=0, "", INDEX(자격증DB!O:O, MATCH($D59, 자격증DB!$A:$A, 0))), "")</f>
        <v/>
      </c>
      <c r="W59" s="114" t="str">
        <f>IFERROR(IF(INDEX(자격증DB!P:P, MATCH($D59, 자격증DB!$A:$A, 0))=0, "", INDEX(자격증DB!P:P, MATCH($D59, 자격증DB!$A:$A, 0))), "")</f>
        <v/>
      </c>
      <c r="X59"/>
      <c r="Y59" s="364" t="str">
        <f>A59 &amp; "_" &amp; "자격증_" &amp; COUNTIFS($A$2:A59, A59)</f>
        <v>유길상_자격증_6</v>
      </c>
      <c r="Z59" s="364" t="str">
        <f>D59 &amp; "_" &amp;"자격증_" &amp;  COUNTIFS($D$2:D59, D59)</f>
        <v>소방설비기사(기계분야)_자격증_1</v>
      </c>
    </row>
    <row r="60" spans="1:26" ht="20.100000000000001" customHeight="1">
      <c r="A60" s="204" t="s">
        <v>10</v>
      </c>
      <c r="B60" s="160" t="str">
        <f>IFERROR(INDEX(개인DB!C:C, MATCH($A60, 개인DB!B:B, 0)), "")</f>
        <v>건설사업</v>
      </c>
      <c r="C60" s="160" t="str">
        <f>IFERROR(INDEX(개인DB!D:D, MATCH($A60, 개인DB!B:B, 0)), "")</f>
        <v>전임연구원</v>
      </c>
      <c r="D60" s="212" t="s">
        <v>127</v>
      </c>
      <c r="E60" s="160" t="str">
        <f>IFERROR(INDEX(자격증DB!E:E, MATCH($D60, 자격증DB!A:A, 0)), "")</f>
        <v>기사</v>
      </c>
      <c r="F60" s="132" t="str">
        <f>IFERROR(INDEX(자격증DB!B:B, MATCH($D60, 자격증DB!A:A, 0)), "")</f>
        <v>-</v>
      </c>
      <c r="G60" s="206" t="str">
        <f>IFERROR(INDEX(자격증DB!C:C, MATCH($D60, 자격증DB!A:A, 0)), "")</f>
        <v>한국산업인력공단</v>
      </c>
      <c r="H60" s="163" t="str">
        <f>IFERROR(INDEX(자격증DB!F:F, MATCH($D60, 자격증DB!A:A, 0)), "")</f>
        <v>자격증</v>
      </c>
      <c r="I60" s="231">
        <v>44806</v>
      </c>
      <c r="J60" s="207"/>
      <c r="K60" s="208"/>
      <c r="L60" s="209" t="str">
        <f t="shared" si="2"/>
        <v>PDF</v>
      </c>
      <c r="M60" s="210" t="str">
        <f t="shared" si="3"/>
        <v>건설안전기사_김연화</v>
      </c>
      <c r="N60" s="211" t="str">
        <f>IFERROR(IF(INDEX(자격증DB!G:G, MATCH($D60, 자격증DB!$A:$A, 0))=0, "", INDEX(자격증DB!G:G, MATCH($D60, 자격증DB!$A:$A, 0))), "")</f>
        <v>공사(CB)</v>
      </c>
      <c r="O60" s="153" t="str">
        <f>IFERROR(IF(INDEX(자격증DB!H:H, MATCH($D60, 자격증DB!$A:$A, 0))=0, "", INDEX(자격증DB!H:H, MATCH($D60, 자격증DB!$A:$A, 0))), "")</f>
        <v/>
      </c>
      <c r="P60" s="108" t="str">
        <f>IFERROR(IF(INDEX(자격증DB!I:I, MATCH($D60, 자격증DB!$A:$A, 0))=0, "", INDEX(자격증DB!I:I, MATCH($D60, 자격증DB!$A:$A, 0))), "")</f>
        <v>공사(CB)</v>
      </c>
      <c r="Q60" s="108" t="str">
        <f>IFERROR(IF(INDEX(자격증DB!J:J, MATCH($D60, 자격증DB!$A:$A, 0))=0, "", INDEX(자격증DB!J:J, MATCH($D60, 자격증DB!$A:$A, 0))), "")</f>
        <v/>
      </c>
      <c r="R60" s="108" t="str">
        <f>IFERROR(IF(INDEX(자격증DB!K:K, MATCH($D60, 자격증DB!$A:$A, 0))=0, "", INDEX(자격증DB!K:K, MATCH($D60, 자격증DB!$A:$A, 0))), "")</f>
        <v/>
      </c>
      <c r="S60" s="108" t="str">
        <f>IFERROR(IF(INDEX(자격증DB!L:L, MATCH($D60, 자격증DB!$A:$A, 0))=0, "", INDEX(자격증DB!L:L, MATCH($D60, 자격증DB!$A:$A, 0))), "")</f>
        <v/>
      </c>
      <c r="T60" s="108" t="str">
        <f>IFERROR(IF(INDEX(자격증DB!M:M, MATCH($D60, 자격증DB!$A:$A, 0))=0, "", INDEX(자격증DB!M:M, MATCH($D60, 자격증DB!$A:$A, 0))), "")</f>
        <v/>
      </c>
      <c r="U60" s="108" t="str">
        <f>IFERROR(IF(INDEX(자격증DB!N:N, MATCH($D60, 자격증DB!$A:$A, 0))=0, "", INDEX(자격증DB!N:N, MATCH($D60, 자격증DB!$A:$A, 0))), "")</f>
        <v/>
      </c>
      <c r="V60" s="108" t="str">
        <f>IFERROR(IF(INDEX(자격증DB!O:O, MATCH($D60, 자격증DB!$A:$A, 0))=0, "", INDEX(자격증DB!O:O, MATCH($D60, 자격증DB!$A:$A, 0))), "")</f>
        <v/>
      </c>
      <c r="W60" s="114" t="str">
        <f>IFERROR(IF(INDEX(자격증DB!P:P, MATCH($D60, 자격증DB!$A:$A, 0))=0, "", INDEX(자격증DB!P:P, MATCH($D60, 자격증DB!$A:$A, 0))), "")</f>
        <v/>
      </c>
      <c r="X60"/>
      <c r="Y60" s="210" t="str">
        <f>A60 &amp; "_" &amp; "자격증_" &amp; COUNTIFS($A$2:A60, A60)</f>
        <v>김연화_자격증_3</v>
      </c>
      <c r="Z60" s="210" t="str">
        <f>D60 &amp; "_" &amp;"자격증_" &amp;  COUNTIFS($D$2:D60, D60)</f>
        <v>건설안전기사_자격증_1</v>
      </c>
    </row>
    <row r="61" spans="1:26" ht="20.100000000000001" customHeight="1">
      <c r="A61" s="204" t="s">
        <v>0</v>
      </c>
      <c r="B61" s="160" t="str">
        <f>IFERROR(INDEX(개인DB!C:C, MATCH($A61, 개인DB!B:B, 0)), "")</f>
        <v>원장</v>
      </c>
      <c r="C61" s="160" t="str">
        <f>IFERROR(INDEX(개인DB!D:D, MATCH($A61, 개인DB!B:B, 0)), "")</f>
        <v>원장</v>
      </c>
      <c r="D61" s="205" t="s">
        <v>79</v>
      </c>
      <c r="E61" s="160" t="str">
        <f>IFERROR(INDEX(자격증DB!E:E, MATCH($D61, 자격증DB!A:A, 0)), "")</f>
        <v>민간</v>
      </c>
      <c r="F61" s="132" t="str">
        <f>IFERROR(INDEX(자격증DB!B:B, MATCH($D61, 자격증DB!A:A, 0)), "")</f>
        <v>-</v>
      </c>
      <c r="G61" s="206" t="str">
        <f>IFERROR(INDEX(자격증DB!C:C, MATCH($D61, 자격증DB!A:A, 0)), "")</f>
        <v>(사)한국비아이엠학회</v>
      </c>
      <c r="H61" s="163" t="str">
        <f>IFERROR(INDEX(자격증DB!F:F, MATCH($D61, 자격증DB!A:A, 0)), "")</f>
        <v>자격증</v>
      </c>
      <c r="I61" s="207">
        <v>43894</v>
      </c>
      <c r="J61" s="207"/>
      <c r="K61" s="208"/>
      <c r="L61" s="209" t="str">
        <f t="shared" si="2"/>
        <v>PDF</v>
      </c>
      <c r="M61" s="210" t="str">
        <f t="shared" si="3"/>
        <v>BIM 운용전문가2급 건축_김민선</v>
      </c>
      <c r="N61" s="211" t="str">
        <f>IFERROR(IF(INDEX(자격증DB!G:G, MATCH($D61, 자격증DB!$A:$A, 0))=0, "", INDEX(자격증DB!G:G, MATCH($D61, 자격증DB!$A:$A, 0))), "")</f>
        <v>공사(CB)</v>
      </c>
      <c r="O61" s="153" t="str">
        <f>IFERROR(IF(INDEX(자격증DB!H:H, MATCH($D61, 자격증DB!$A:$A, 0))=0, "", INDEX(자격증DB!H:H, MATCH($D61, 자격증DB!$A:$A, 0))), "")</f>
        <v/>
      </c>
      <c r="P61" s="108" t="str">
        <f>IFERROR(IF(INDEX(자격증DB!I:I, MATCH($D61, 자격증DB!$A:$A, 0))=0, "", INDEX(자격증DB!I:I, MATCH($D61, 자격증DB!$A:$A, 0))), "")</f>
        <v>공사(CB)</v>
      </c>
      <c r="Q61" s="108" t="str">
        <f>IFERROR(IF(INDEX(자격증DB!J:J, MATCH($D61, 자격증DB!$A:$A, 0))=0, "", INDEX(자격증DB!J:J, MATCH($D61, 자격증DB!$A:$A, 0))), "")</f>
        <v/>
      </c>
      <c r="R61" s="108" t="str">
        <f>IFERROR(IF(INDEX(자격증DB!K:K, MATCH($D61, 자격증DB!$A:$A, 0))=0, "", INDEX(자격증DB!K:K, MATCH($D61, 자격증DB!$A:$A, 0))), "")</f>
        <v/>
      </c>
      <c r="S61" s="108" t="str">
        <f>IFERROR(IF(INDEX(자격증DB!L:L, MATCH($D61, 자격증DB!$A:$A, 0))=0, "", INDEX(자격증DB!L:L, MATCH($D61, 자격증DB!$A:$A, 0))), "")</f>
        <v/>
      </c>
      <c r="T61" s="108" t="str">
        <f>IFERROR(IF(INDEX(자격증DB!M:M, MATCH($D61, 자격증DB!$A:$A, 0))=0, "", INDEX(자격증DB!M:M, MATCH($D61, 자격증DB!$A:$A, 0))), "")</f>
        <v/>
      </c>
      <c r="U61" s="108" t="str">
        <f>IFERROR(IF(INDEX(자격증DB!N:N, MATCH($D61, 자격증DB!$A:$A, 0))=0, "", INDEX(자격증DB!N:N, MATCH($D61, 자격증DB!$A:$A, 0))), "")</f>
        <v>법원감정(CG)</v>
      </c>
      <c r="V61" s="108" t="str">
        <f>IFERROR(IF(INDEX(자격증DB!O:O, MATCH($D61, 자격증DB!$A:$A, 0))=0, "", INDEX(자격증DB!O:O, MATCH($D61, 자격증DB!$A:$A, 0))), "")</f>
        <v/>
      </c>
      <c r="W61" s="114" t="str">
        <f>IFERROR(IF(INDEX(자격증DB!P:P, MATCH($D61, 자격증DB!$A:$A, 0))=0, "", INDEX(자격증DB!P:P, MATCH($D61, 자격증DB!$A:$A, 0))), "")</f>
        <v/>
      </c>
      <c r="X61"/>
      <c r="Y61" s="361" t="str">
        <f>A61 &amp; "_" &amp; "자격증_" &amp; COUNTIFS($A$2:A61, A61)</f>
        <v>김민선_자격증_10</v>
      </c>
      <c r="Z61" s="361" t="str">
        <f>D61 &amp; "_" &amp;"자격증_" &amp;  COUNTIFS($D$2:D61, D61)</f>
        <v>BIM 운용전문가2급 건축_자격증_1</v>
      </c>
    </row>
    <row r="62" spans="1:26" ht="20.100000000000001" customHeight="1">
      <c r="A62" s="204" t="s">
        <v>24</v>
      </c>
      <c r="B62" s="160" t="str">
        <f>IFERROR(INDEX(개인DB!C:C, MATCH($A62, 개인DB!B:B, 0)), "")</f>
        <v>원가분석</v>
      </c>
      <c r="C62" s="160" t="str">
        <f>IFERROR(INDEX(개인DB!D:D, MATCH($A62, 개인DB!B:B, 0)), "")</f>
        <v>위원</v>
      </c>
      <c r="D62" s="229" t="s">
        <v>251</v>
      </c>
      <c r="E62" s="160" t="str">
        <f>IFERROR(INDEX(자격증DB!E:E, MATCH($D62, 자격증DB!A:A, 0)), "")</f>
        <v>전문자격</v>
      </c>
      <c r="F62" s="132" t="str">
        <f>IFERROR(INDEX(자격증DB!B:B, MATCH($D62, 자격증DB!A:A, 0)), "")</f>
        <v>국토교통부</v>
      </c>
      <c r="G62" s="206" t="str">
        <f>IFERROR(INDEX(자격증DB!C:C, MATCH($D62, 자격증DB!A:A, 0)), "")</f>
        <v>한국산업인력공단</v>
      </c>
      <c r="H62" s="163" t="str">
        <f>IFERROR(INDEX(자격증DB!F:F, MATCH($D62, 자격증DB!A:A, 0)), "")</f>
        <v>자격증</v>
      </c>
      <c r="I62" s="214">
        <v>31372</v>
      </c>
      <c r="J62" s="214"/>
      <c r="K62" s="226"/>
      <c r="L62" s="209" t="str">
        <f t="shared" si="2"/>
        <v>PDF</v>
      </c>
      <c r="M62" s="227" t="str">
        <f t="shared" si="3"/>
        <v>공인중개사_이규희</v>
      </c>
      <c r="N62" s="228" t="str">
        <f>IFERROR(IF(INDEX(자격증DB!G:G, MATCH($D62, 자격증DB!$A:$A, 0))=0, "", INDEX(자격증DB!G:G, MATCH($D62, 자격증DB!$A:$A, 0))), "")</f>
        <v>공사(CB)</v>
      </c>
      <c r="O62" s="153" t="str">
        <f>IFERROR(IF(INDEX(자격증DB!H:H, MATCH($D62, 자격증DB!$A:$A, 0))=0, "", INDEX(자격증DB!H:H, MATCH($D62, 자격증DB!$A:$A, 0))), "")</f>
        <v/>
      </c>
      <c r="P62" s="108" t="str">
        <f>IFERROR(IF(INDEX(자격증DB!I:I, MATCH($D62, 자격증DB!$A:$A, 0))=0, "", INDEX(자격증DB!I:I, MATCH($D62, 자격증DB!$A:$A, 0))), "")</f>
        <v>공사(CB)</v>
      </c>
      <c r="Q62" s="108" t="str">
        <f>IFERROR(IF(INDEX(자격증DB!J:J, MATCH($D62, 자격증DB!$A:$A, 0))=0, "", INDEX(자격증DB!J:J, MATCH($D62, 자격증DB!$A:$A, 0))), "")</f>
        <v/>
      </c>
      <c r="R62" s="108" t="str">
        <f>IFERROR(IF(INDEX(자격증DB!K:K, MATCH($D62, 자격증DB!$A:$A, 0))=0, "", INDEX(자격증DB!K:K, MATCH($D62, 자격증DB!$A:$A, 0))), "")</f>
        <v/>
      </c>
      <c r="S62" s="108" t="str">
        <f>IFERROR(IF(INDEX(자격증DB!L:L, MATCH($D62, 자격증DB!$A:$A, 0))=0, "", INDEX(자격증DB!L:L, MATCH($D62, 자격증DB!$A:$A, 0))), "")</f>
        <v/>
      </c>
      <c r="T62" s="108" t="str">
        <f>IFERROR(IF(INDEX(자격증DB!M:M, MATCH($D62, 자격증DB!$A:$A, 0))=0, "", INDEX(자격증DB!M:M, MATCH($D62, 자격증DB!$A:$A, 0))), "")</f>
        <v>각종 수수료(CF)</v>
      </c>
      <c r="U62" s="108" t="str">
        <f>IFERROR(IF(INDEX(자격증DB!N:N, MATCH($D62, 자격증DB!$A:$A, 0))=0, "", INDEX(자격증DB!N:N, MATCH($D62, 자격증DB!$A:$A, 0))), "")</f>
        <v/>
      </c>
      <c r="V62" s="108" t="str">
        <f>IFERROR(IF(INDEX(자격증DB!O:O, MATCH($D62, 자격증DB!$A:$A, 0))=0, "", INDEX(자격증DB!O:O, MATCH($D62, 자격증DB!$A:$A, 0))), "")</f>
        <v/>
      </c>
      <c r="W62" s="114" t="str">
        <f>IFERROR(IF(INDEX(자격증DB!P:P, MATCH($D62, 자격증DB!$A:$A, 0))=0, "", INDEX(자격증DB!P:P, MATCH($D62, 자격증DB!$A:$A, 0))), "")</f>
        <v/>
      </c>
      <c r="X62"/>
      <c r="Y62" s="227" t="str">
        <f>A62 &amp; "_" &amp; "자격증_" &amp; COUNTIFS($A$2:A62, A62)</f>
        <v>이규희_자격증_3</v>
      </c>
      <c r="Z62" s="227" t="str">
        <f>D62 &amp; "_" &amp;"자격증_" &amp;  COUNTIFS($D$2:D62, D62)</f>
        <v>공인중개사_자격증_1</v>
      </c>
    </row>
    <row r="63" spans="1:26" ht="20.100000000000001" customHeight="1">
      <c r="A63" s="204" t="s">
        <v>10</v>
      </c>
      <c r="B63" s="160" t="str">
        <f>IFERROR(INDEX(개인DB!C:C, MATCH($A63, 개인DB!B:B, 0)), "")</f>
        <v>건설사업</v>
      </c>
      <c r="C63" s="160" t="str">
        <f>IFERROR(INDEX(개인DB!D:D, MATCH($A63, 개인DB!B:B, 0)), "")</f>
        <v>전임연구원</v>
      </c>
      <c r="D63" s="212" t="s">
        <v>131</v>
      </c>
      <c r="E63" s="160" t="str">
        <f>IFERROR(INDEX(자격증DB!E:E, MATCH($D63, 자격증DB!A:A, 0)), "")</f>
        <v>기능사</v>
      </c>
      <c r="F63" s="132" t="str">
        <f>IFERROR(INDEX(자격증DB!B:B, MATCH($D63, 자격증DB!A:A, 0)), "")</f>
        <v>-</v>
      </c>
      <c r="G63" s="206" t="str">
        <f>IFERROR(INDEX(자격증DB!C:C, MATCH($D63, 자격증DB!A:A, 0)), "")</f>
        <v>한국산업인력공단</v>
      </c>
      <c r="H63" s="163" t="str">
        <f>IFERROR(INDEX(자격증DB!F:F, MATCH($D63, 자격증DB!A:A, 0)), "")</f>
        <v>자격증</v>
      </c>
      <c r="I63" s="231">
        <v>42839</v>
      </c>
      <c r="J63" s="207"/>
      <c r="K63" s="208"/>
      <c r="L63" s="209" t="str">
        <f t="shared" si="2"/>
        <v>PDF</v>
      </c>
      <c r="M63" s="210" t="str">
        <f t="shared" si="3"/>
        <v>전산응용건축제도기능사_김연화</v>
      </c>
      <c r="N63" s="211" t="str">
        <f>IFERROR(IF(INDEX(자격증DB!G:G, MATCH($D63, 자격증DB!$A:$A, 0))=0, "", INDEX(자격증DB!G:G, MATCH($D63, 자격증DB!$A:$A, 0))), "")</f>
        <v>공사(CB)</v>
      </c>
      <c r="O63" s="153" t="str">
        <f>IFERROR(IF(INDEX(자격증DB!H:H, MATCH($D63, 자격증DB!$A:$A, 0))=0, "", INDEX(자격증DB!H:H, MATCH($D63, 자격증DB!$A:$A, 0))), "")</f>
        <v/>
      </c>
      <c r="P63" s="108" t="str">
        <f>IFERROR(IF(INDEX(자격증DB!I:I, MATCH($D63, 자격증DB!$A:$A, 0))=0, "", INDEX(자격증DB!I:I, MATCH($D63, 자격증DB!$A:$A, 0))), "")</f>
        <v>공사(CB)</v>
      </c>
      <c r="Q63" s="108" t="str">
        <f>IFERROR(IF(INDEX(자격증DB!J:J, MATCH($D63, 자격증DB!$A:$A, 0))=0, "", INDEX(자격증DB!J:J, MATCH($D63, 자격증DB!$A:$A, 0))), "")</f>
        <v/>
      </c>
      <c r="R63" s="108" t="str">
        <f>IFERROR(IF(INDEX(자격증DB!K:K, MATCH($D63, 자격증DB!$A:$A, 0))=0, "", INDEX(자격증DB!K:K, MATCH($D63, 자격증DB!$A:$A, 0))), "")</f>
        <v/>
      </c>
      <c r="S63" s="108" t="str">
        <f>IFERROR(IF(INDEX(자격증DB!L:L, MATCH($D63, 자격증DB!$A:$A, 0))=0, "", INDEX(자격증DB!L:L, MATCH($D63, 자격증DB!$A:$A, 0))), "")</f>
        <v/>
      </c>
      <c r="T63" s="108" t="str">
        <f>IFERROR(IF(INDEX(자격증DB!M:M, MATCH($D63, 자격증DB!$A:$A, 0))=0, "", INDEX(자격증DB!M:M, MATCH($D63, 자격증DB!$A:$A, 0))), "")</f>
        <v/>
      </c>
      <c r="U63" s="108" t="str">
        <f>IFERROR(IF(INDEX(자격증DB!N:N, MATCH($D63, 자격증DB!$A:$A, 0))=0, "", INDEX(자격증DB!N:N, MATCH($D63, 자격증DB!$A:$A, 0))), "")</f>
        <v/>
      </c>
      <c r="V63" s="108" t="str">
        <f>IFERROR(IF(INDEX(자격증DB!O:O, MATCH($D63, 자격증DB!$A:$A, 0))=0, "", INDEX(자격증DB!O:O, MATCH($D63, 자격증DB!$A:$A, 0))), "")</f>
        <v/>
      </c>
      <c r="W63" s="114" t="str">
        <f>IFERROR(IF(INDEX(자격증DB!P:P, MATCH($D63, 자격증DB!$A:$A, 0))=0, "", INDEX(자격증DB!P:P, MATCH($D63, 자격증DB!$A:$A, 0))), "")</f>
        <v/>
      </c>
      <c r="X63"/>
      <c r="Y63" s="361" t="str">
        <f>A63 &amp; "_" &amp; "자격증_" &amp; COUNTIFS($A$2:A63, A63)</f>
        <v>김연화_자격증_4</v>
      </c>
      <c r="Z63" s="361" t="str">
        <f>D63 &amp; "_" &amp;"자격증_" &amp;  COUNTIFS($D$2:D63, D63)</f>
        <v>전산응용건축제도기능사_자격증_1</v>
      </c>
    </row>
    <row r="64" spans="1:26" ht="20.100000000000001" customHeight="1">
      <c r="A64" s="204" t="s">
        <v>0</v>
      </c>
      <c r="B64" s="160" t="str">
        <f>IFERROR(INDEX(개인DB!C:C, MATCH($A64, 개인DB!B:B, 0)), "")</f>
        <v>원장</v>
      </c>
      <c r="C64" s="160" t="str">
        <f>IFERROR(INDEX(개인DB!D:D, MATCH($A64, 개인DB!B:B, 0)), "")</f>
        <v>원장</v>
      </c>
      <c r="D64" s="205" t="s">
        <v>83</v>
      </c>
      <c r="E64" s="160" t="str">
        <f>IFERROR(INDEX(자격증DB!E:E, MATCH($D64, 자격증DB!A:A, 0)), "")</f>
        <v>민간</v>
      </c>
      <c r="F64" s="132" t="str">
        <f>IFERROR(INDEX(자격증DB!B:B, MATCH($D64, 자격증DB!A:A, 0)), "")</f>
        <v>산업통상자원부</v>
      </c>
      <c r="G64" s="206" t="str">
        <f>IFERROR(INDEX(자격증DB!C:C, MATCH($D64, 자격증DB!A:A, 0)), "")</f>
        <v>(사)기술거래사회</v>
      </c>
      <c r="H64" s="163" t="str">
        <f>IFERROR(INDEX(자격증DB!F:F, MATCH($D64, 자격증DB!A:A, 0)), "")</f>
        <v>등록증</v>
      </c>
      <c r="I64" s="207">
        <v>41806</v>
      </c>
      <c r="J64" s="207">
        <v>43826</v>
      </c>
      <c r="K64" s="208"/>
      <c r="L64" s="209" t="str">
        <f t="shared" si="2"/>
        <v>PDF</v>
      </c>
      <c r="M64" s="210" t="str">
        <f t="shared" si="3"/>
        <v>기술거래사_김민선</v>
      </c>
      <c r="N64" s="211" t="str">
        <f>IFERROR(IF(INDEX(자격증DB!G:G, MATCH($D64, 자격증DB!$A:$A, 0))=0, "", INDEX(자격증DB!G:G, MATCH($D64, 자격증DB!$A:$A, 0))), "")</f>
        <v>학술(CC)</v>
      </c>
      <c r="O64" s="153" t="str">
        <f>IFERROR(IF(INDEX(자격증DB!H:H, MATCH($D64, 자격증DB!$A:$A, 0))=0, "", INDEX(자격증DB!H:H, MATCH($D64, 자격증DB!$A:$A, 0))), "")</f>
        <v/>
      </c>
      <c r="P64" s="108" t="str">
        <f>IFERROR(IF(INDEX(자격증DB!I:I, MATCH($D64, 자격증DB!$A:$A, 0))=0, "", INDEX(자격증DB!I:I, MATCH($D64, 자격증DB!$A:$A, 0))), "")</f>
        <v/>
      </c>
      <c r="Q64" s="108" t="str">
        <f>IFERROR(IF(INDEX(자격증DB!J:J, MATCH($D64, 자격증DB!$A:$A, 0))=0, "", INDEX(자격증DB!J:J, MATCH($D64, 자격증DB!$A:$A, 0))), "")</f>
        <v>학술(CC)</v>
      </c>
      <c r="R64" s="108" t="str">
        <f>IFERROR(IF(INDEX(자격증DB!K:K, MATCH($D64, 자격증DB!$A:$A, 0))=0, "", INDEX(자격증DB!K:K, MATCH($D64, 자격증DB!$A:$A, 0))), "")</f>
        <v/>
      </c>
      <c r="S64" s="108" t="str">
        <f>IFERROR(IF(INDEX(자격증DB!L:L, MATCH($D64, 자격증DB!$A:$A, 0))=0, "", INDEX(자격증DB!L:L, MATCH($D64, 자격증DB!$A:$A, 0))), "")</f>
        <v/>
      </c>
      <c r="T64" s="108" t="str">
        <f>IFERROR(IF(INDEX(자격증DB!M:M, MATCH($D64, 자격증DB!$A:$A, 0))=0, "", INDEX(자격증DB!M:M, MATCH($D64, 자격증DB!$A:$A, 0))), "")</f>
        <v>각종 수수료(CF)</v>
      </c>
      <c r="U64" s="108" t="str">
        <f>IFERROR(IF(INDEX(자격증DB!N:N, MATCH($D64, 자격증DB!$A:$A, 0))=0, "", INDEX(자격증DB!N:N, MATCH($D64, 자격증DB!$A:$A, 0))), "")</f>
        <v/>
      </c>
      <c r="V64" s="108" t="str">
        <f>IFERROR(IF(INDEX(자격증DB!O:O, MATCH($D64, 자격증DB!$A:$A, 0))=0, "", INDEX(자격증DB!O:O, MATCH($D64, 자격증DB!$A:$A, 0))), "")</f>
        <v/>
      </c>
      <c r="W64" s="114" t="str">
        <f>IFERROR(IF(INDEX(자격증DB!P:P, MATCH($D64, 자격증DB!$A:$A, 0))=0, "", INDEX(자격증DB!P:P, MATCH($D64, 자격증DB!$A:$A, 0))), "")</f>
        <v/>
      </c>
      <c r="X64"/>
      <c r="Y64" s="210" t="str">
        <f>A64 &amp; "_" &amp; "자격증_" &amp; COUNTIFS($A$2:A64, A64)</f>
        <v>김민선_자격증_11</v>
      </c>
      <c r="Z64" s="210" t="str">
        <f>D64 &amp; "_" &amp;"자격증_" &amp;  COUNTIFS($D$2:D64, D64)</f>
        <v>기술거래사_자격증_1</v>
      </c>
    </row>
    <row r="65" spans="1:26" ht="20.100000000000001" customHeight="1">
      <c r="A65" s="204" t="s">
        <v>3</v>
      </c>
      <c r="B65" s="160" t="str">
        <f>IFERROR(INDEX(개인DB!C:C, MATCH($A65, 개인DB!B:B, 0)), "")</f>
        <v>원가분석</v>
      </c>
      <c r="C65" s="160" t="str">
        <f>IFERROR(INDEX(개인DB!D:D, MATCH($A65, 개인DB!B:B, 0)), "")</f>
        <v>이사</v>
      </c>
      <c r="D65" s="229" t="s">
        <v>83</v>
      </c>
      <c r="E65" s="160" t="str">
        <f>IFERROR(INDEX(자격증DB!E:E, MATCH($D65, 자격증DB!A:A, 0)), "X")</f>
        <v>민간</v>
      </c>
      <c r="F65" s="132" t="str">
        <f>IFERROR(INDEX(자격증DB!B:B, MATCH($D65, 자격증DB!A:A, 0)), "X")</f>
        <v>산업통상자원부</v>
      </c>
      <c r="G65" s="206" t="str">
        <f>IFERROR(INDEX(자격증DB!C:C, MATCH($D65, 자격증DB!A:A, 0)), "")</f>
        <v>(사)기술거래사회</v>
      </c>
      <c r="H65" s="163" t="str">
        <f>IFERROR(INDEX(자격증DB!F:F, MATCH($D65, 자격증DB!A:A, 0)), "")</f>
        <v>등록증</v>
      </c>
      <c r="I65" s="214">
        <v>41806</v>
      </c>
      <c r="J65" s="214">
        <v>43826</v>
      </c>
      <c r="K65" s="226"/>
      <c r="L65" s="209" t="str">
        <f t="shared" si="2"/>
        <v>PDF</v>
      </c>
      <c r="M65" s="227" t="str">
        <f t="shared" si="3"/>
        <v>기술거래사_하은정</v>
      </c>
      <c r="N65" s="228" t="str">
        <f>IFERROR(IF(INDEX(자격증DB!G:G, MATCH($D65, 자격증DB!$A:$A, 0))=0, "", INDEX(자격증DB!G:G, MATCH($D65, 자격증DB!$A:$A, 0))), "")</f>
        <v>학술(CC)</v>
      </c>
      <c r="O65" s="153" t="str">
        <f>IFERROR(IF(INDEX(자격증DB!H:H, MATCH($D65, 자격증DB!$A:$A, 0))=0, "", INDEX(자격증DB!H:H, MATCH($D65, 자격증DB!$A:$A, 0))), "")</f>
        <v/>
      </c>
      <c r="P65" s="108" t="str">
        <f>IFERROR(IF(INDEX(자격증DB!I:I, MATCH($D65, 자격증DB!$A:$A, 0))=0, "", INDEX(자격증DB!I:I, MATCH($D65, 자격증DB!$A:$A, 0))), "")</f>
        <v/>
      </c>
      <c r="Q65" s="108" t="str">
        <f>IFERROR(IF(INDEX(자격증DB!J:J, MATCH($D65, 자격증DB!$A:$A, 0))=0, "", INDEX(자격증DB!J:J, MATCH($D65, 자격증DB!$A:$A, 0))), "")</f>
        <v>학술(CC)</v>
      </c>
      <c r="R65" s="108" t="str">
        <f>IFERROR(IF(INDEX(자격증DB!K:K, MATCH($D65, 자격증DB!$A:$A, 0))=0, "", INDEX(자격증DB!K:K, MATCH($D65, 자격증DB!$A:$A, 0))), "")</f>
        <v/>
      </c>
      <c r="S65" s="108" t="str">
        <f>IFERROR(IF(INDEX(자격증DB!L:L, MATCH($D65, 자격증DB!$A:$A, 0))=0, "", INDEX(자격증DB!L:L, MATCH($D65, 자격증DB!$A:$A, 0))), "")</f>
        <v/>
      </c>
      <c r="T65" s="108" t="str">
        <f>IFERROR(IF(INDEX(자격증DB!M:M, MATCH($D65, 자격증DB!$A:$A, 0))=0, "", INDEX(자격증DB!M:M, MATCH($D65, 자격증DB!$A:$A, 0))), "")</f>
        <v>각종 수수료(CF)</v>
      </c>
      <c r="U65" s="108" t="str">
        <f>IFERROR(IF(INDEX(자격증DB!N:N, MATCH($D65, 자격증DB!$A:$A, 0))=0, "", INDEX(자격증DB!N:N, MATCH($D65, 자격증DB!$A:$A, 0))), "")</f>
        <v/>
      </c>
      <c r="V65" s="108" t="str">
        <f>IFERROR(IF(INDEX(자격증DB!O:O, MATCH($D65, 자격증DB!$A:$A, 0))=0, "", INDEX(자격증DB!O:O, MATCH($D65, 자격증DB!$A:$A, 0))), "")</f>
        <v/>
      </c>
      <c r="W65" s="114" t="str">
        <f>IFERROR(IF(INDEX(자격증DB!P:P, MATCH($D65, 자격증DB!$A:$A, 0))=0, "", INDEX(자격증DB!P:P, MATCH($D65, 자격증DB!$A:$A, 0))), "")</f>
        <v/>
      </c>
      <c r="X65"/>
      <c r="Y65" s="363" t="str">
        <f>A65 &amp; "_" &amp; "자격증_" &amp; COUNTIFS($A$2:A65, A65)</f>
        <v>하은정_자격증_2</v>
      </c>
      <c r="Z65" s="363" t="str">
        <f>D65 &amp; "_" &amp;"자격증_" &amp;  COUNTIFS($D$2:D65, D65)</f>
        <v>기술거래사_자격증_2</v>
      </c>
    </row>
    <row r="66" spans="1:26" ht="20.100000000000001" customHeight="1">
      <c r="A66" s="204" t="s">
        <v>0</v>
      </c>
      <c r="B66" s="160" t="str">
        <f>IFERROR(INDEX(개인DB!C:C, MATCH($A66, 개인DB!B:B, 0)), "")</f>
        <v>원장</v>
      </c>
      <c r="C66" s="160" t="str">
        <f>IFERROR(INDEX(개인DB!D:D, MATCH($A66, 개인DB!B:B, 0)), "")</f>
        <v>원장</v>
      </c>
      <c r="D66" s="205" t="s">
        <v>71</v>
      </c>
      <c r="E66" s="160" t="str">
        <f>IFERROR(INDEX(자격증DB!E:E, MATCH($D66, 자격증DB!A:A, 0)), "")</f>
        <v>민간</v>
      </c>
      <c r="F66" s="132" t="str">
        <f>IFERROR(INDEX(자격증DB!B:B, MATCH($D66, 자격증DB!A:A, 0)), "")</f>
        <v>-</v>
      </c>
      <c r="G66" s="206" t="str">
        <f>IFERROR(INDEX(자격증DB!C:C, MATCH($D66, 자격증DB!A:A, 0)), "")</f>
        <v>한국경영기술지도사회</v>
      </c>
      <c r="H66" s="163" t="str">
        <f>IFERROR(INDEX(자격증DB!F:F, MATCH($D66, 자격증DB!A:A, 0)), "")</f>
        <v>자격증</v>
      </c>
      <c r="I66" s="207">
        <v>43101</v>
      </c>
      <c r="J66" s="207"/>
      <c r="K66" s="208">
        <v>44196</v>
      </c>
      <c r="L66" s="209" t="str">
        <f t="shared" ref="L66:L97" si="4">HYPERLINK("학력, 자격증-excel 연동 파일\" &amp; A66 &amp; "\자격증\" &amp; D66 &amp; "_" &amp; A66 &amp; ".pdf", "PDF")</f>
        <v>PDF</v>
      </c>
      <c r="M66" s="210" t="str">
        <f t="shared" ref="M66:M97" si="5">D66&amp;"_"&amp;A66</f>
        <v>국제경영컨설턴트(CMC)_김민선</v>
      </c>
      <c r="N66" s="211" t="str">
        <f>IFERROR(IF(INDEX(자격증DB!G:G, MATCH($D66, 자격증DB!$A:$A, 0))=0, "", INDEX(자격증DB!G:G, MATCH($D66, 자격증DB!$A:$A, 0))), "")</f>
        <v>학술(CC)</v>
      </c>
      <c r="O66" s="153" t="str">
        <f>IFERROR(IF(INDEX(자격증DB!H:H, MATCH($D66, 자격증DB!$A:$A, 0))=0, "", INDEX(자격증DB!H:H, MATCH($D66, 자격증DB!$A:$A, 0))), "")</f>
        <v/>
      </c>
      <c r="P66" s="108" t="str">
        <f>IFERROR(IF(INDEX(자격증DB!I:I, MATCH($D66, 자격증DB!$A:$A, 0))=0, "", INDEX(자격증DB!I:I, MATCH($D66, 자격증DB!$A:$A, 0))), "")</f>
        <v/>
      </c>
      <c r="Q66" s="108" t="str">
        <f>IFERROR(IF(INDEX(자격증DB!J:J, MATCH($D66, 자격증DB!$A:$A, 0))=0, "", INDEX(자격증DB!J:J, MATCH($D66, 자격증DB!$A:$A, 0))), "")</f>
        <v>학술(CC)</v>
      </c>
      <c r="R66" s="108" t="str">
        <f>IFERROR(IF(INDEX(자격증DB!K:K, MATCH($D66, 자격증DB!$A:$A, 0))=0, "", INDEX(자격증DB!K:K, MATCH($D66, 자격증DB!$A:$A, 0))), "")</f>
        <v/>
      </c>
      <c r="S66" s="108" t="str">
        <f>IFERROR(IF(INDEX(자격증DB!L:L, MATCH($D66, 자격증DB!$A:$A, 0))=0, "", INDEX(자격증DB!L:L, MATCH($D66, 자격증DB!$A:$A, 0))), "")</f>
        <v/>
      </c>
      <c r="T66" s="108" t="str">
        <f>IFERROR(IF(INDEX(자격증DB!M:M, MATCH($D66, 자격증DB!$A:$A, 0))=0, "", INDEX(자격증DB!M:M, MATCH($D66, 자격증DB!$A:$A, 0))), "")</f>
        <v>각종 수수료(CF)</v>
      </c>
      <c r="U66" s="108" t="str">
        <f>IFERROR(IF(INDEX(자격증DB!N:N, MATCH($D66, 자격증DB!$A:$A, 0))=0, "", INDEX(자격증DB!N:N, MATCH($D66, 자격증DB!$A:$A, 0))), "")</f>
        <v/>
      </c>
      <c r="V66" s="108" t="str">
        <f>IFERROR(IF(INDEX(자격증DB!O:O, MATCH($D66, 자격증DB!$A:$A, 0))=0, "", INDEX(자격증DB!O:O, MATCH($D66, 자격증DB!$A:$A, 0))), "")</f>
        <v/>
      </c>
      <c r="W66" s="114" t="str">
        <f>IFERROR(IF(INDEX(자격증DB!P:P, MATCH($D66, 자격증DB!$A:$A, 0))=0, "", INDEX(자격증DB!P:P, MATCH($D66, 자격증DB!$A:$A, 0))), "")</f>
        <v/>
      </c>
      <c r="X66"/>
      <c r="Y66" s="210" t="str">
        <f>A66 &amp; "_" &amp; "자격증_" &amp; COUNTIFS($A$2:A66, A66)</f>
        <v>김민선_자격증_12</v>
      </c>
      <c r="Z66" s="210" t="str">
        <f>D66 &amp; "_" &amp;"자격증_" &amp;  COUNTIFS($D$2:D66, D66)</f>
        <v>국제경영컨설턴트(CMC)_자격증_1</v>
      </c>
    </row>
    <row r="67" spans="1:26" ht="20.100000000000001" customHeight="1">
      <c r="A67" s="204" t="s">
        <v>0</v>
      </c>
      <c r="B67" s="160" t="str">
        <f>IFERROR(INDEX(개인DB!C:C, MATCH($A67, 개인DB!B:B, 0)), "")</f>
        <v>원장</v>
      </c>
      <c r="C67" s="160" t="str">
        <f>IFERROR(INDEX(개인DB!D:D, MATCH($A67, 개인DB!B:B, 0)), "")</f>
        <v>원장</v>
      </c>
      <c r="D67" s="205" t="s">
        <v>80</v>
      </c>
      <c r="E67" s="160" t="str">
        <f>IFERROR(INDEX(자격증DB!E:E, MATCH($D67, 자격증DB!A:A, 0)), "")</f>
        <v>민간</v>
      </c>
      <c r="F67" s="132" t="str">
        <f>IFERROR(INDEX(자격증DB!B:B, MATCH($D67, 자격증DB!A:A, 0)), "")</f>
        <v>산림청</v>
      </c>
      <c r="G67" s="206" t="str">
        <f>IFERROR(INDEX(자격증DB!C:C, MATCH($D67, 자격증DB!A:A, 0)), "")</f>
        <v>산림청</v>
      </c>
      <c r="H67" s="163" t="str">
        <f>IFERROR(INDEX(자격증DB!F:F, MATCH($D67, 자격증DB!A:A, 0)), "")</f>
        <v>자격증</v>
      </c>
      <c r="I67" s="207">
        <v>44054</v>
      </c>
      <c r="J67" s="207"/>
      <c r="K67" s="208"/>
      <c r="L67" s="209" t="str">
        <f t="shared" si="4"/>
        <v>PDF</v>
      </c>
      <c r="M67" s="210" t="str">
        <f t="shared" si="5"/>
        <v>수목치료기술자_김민선</v>
      </c>
      <c r="N67" s="211" t="str">
        <f>IFERROR(IF(INDEX(자격증DB!G:G, MATCH($D67, 자격증DB!$A:$A, 0))=0, "", INDEX(자격증DB!G:G, MATCH($D67, 자격증DB!$A:$A, 0))), "")</f>
        <v>학술(CC)</v>
      </c>
      <c r="O67" s="153" t="str">
        <f>IFERROR(IF(INDEX(자격증DB!H:H, MATCH($D67, 자격증DB!$A:$A, 0))=0, "", INDEX(자격증DB!H:H, MATCH($D67, 자격증DB!$A:$A, 0))), "")</f>
        <v/>
      </c>
      <c r="P67" s="108" t="str">
        <f>IFERROR(IF(INDEX(자격증DB!I:I, MATCH($D67, 자격증DB!$A:$A, 0))=0, "", INDEX(자격증DB!I:I, MATCH($D67, 자격증DB!$A:$A, 0))), "")</f>
        <v/>
      </c>
      <c r="Q67" s="108" t="str">
        <f>IFERROR(IF(INDEX(자격증DB!J:J, MATCH($D67, 자격증DB!$A:$A, 0))=0, "", INDEX(자격증DB!J:J, MATCH($D67, 자격증DB!$A:$A, 0))), "")</f>
        <v>학술(CC)</v>
      </c>
      <c r="R67" s="108" t="str">
        <f>IFERROR(IF(INDEX(자격증DB!K:K, MATCH($D67, 자격증DB!$A:$A, 0))=0, "", INDEX(자격증DB!K:K, MATCH($D67, 자격증DB!$A:$A, 0))), "")</f>
        <v/>
      </c>
      <c r="S67" s="108" t="str">
        <f>IFERROR(IF(INDEX(자격증DB!L:L, MATCH($D67, 자격증DB!$A:$A, 0))=0, "", INDEX(자격증DB!L:L, MATCH($D67, 자격증DB!$A:$A, 0))), "")</f>
        <v/>
      </c>
      <c r="T67" s="108" t="str">
        <f>IFERROR(IF(INDEX(자격증DB!M:M, MATCH($D67, 자격증DB!$A:$A, 0))=0, "", INDEX(자격증DB!M:M, MATCH($D67, 자격증DB!$A:$A, 0))), "")</f>
        <v>각종 수수료(CF)</v>
      </c>
      <c r="U67" s="108" t="str">
        <f>IFERROR(IF(INDEX(자격증DB!N:N, MATCH($D67, 자격증DB!$A:$A, 0))=0, "", INDEX(자격증DB!N:N, MATCH($D67, 자격증DB!$A:$A, 0))), "")</f>
        <v/>
      </c>
      <c r="V67" s="108" t="str">
        <f>IFERROR(IF(INDEX(자격증DB!O:O, MATCH($D67, 자격증DB!$A:$A, 0))=0, "", INDEX(자격증DB!O:O, MATCH($D67, 자격증DB!$A:$A, 0))), "")</f>
        <v/>
      </c>
      <c r="W67" s="114" t="str">
        <f>IFERROR(IF(INDEX(자격증DB!P:P, MATCH($D67, 자격증DB!$A:$A, 0))=0, "", INDEX(자격증DB!P:P, MATCH($D67, 자격증DB!$A:$A, 0))), "")</f>
        <v/>
      </c>
      <c r="X67"/>
      <c r="Y67" s="361" t="str">
        <f>A67 &amp; "_" &amp; "자격증_" &amp; COUNTIFS($A$2:A67, A67)</f>
        <v>김민선_자격증_13</v>
      </c>
      <c r="Z67" s="361" t="str">
        <f>D67 &amp; "_" &amp;"자격증_" &amp;  COUNTIFS($D$2:D67, D67)</f>
        <v>수목치료기술자_자격증_1</v>
      </c>
    </row>
    <row r="68" spans="1:26" ht="20.100000000000001" customHeight="1">
      <c r="A68" s="204" t="s">
        <v>3</v>
      </c>
      <c r="B68" s="160" t="str">
        <f>IFERROR(INDEX(개인DB!C:C, MATCH($A68, 개인DB!B:B, 0)), "")</f>
        <v>원가분석</v>
      </c>
      <c r="C68" s="160" t="str">
        <f>IFERROR(INDEX(개인DB!D:D, MATCH($A68, 개인DB!B:B, 0)), "")</f>
        <v>이사</v>
      </c>
      <c r="D68" s="229" t="s">
        <v>80</v>
      </c>
      <c r="E68" s="160" t="str">
        <f>IFERROR(INDEX(자격증DB!E:E, MATCH($D68, 자격증DB!A:A, 0)), "X")</f>
        <v>민간</v>
      </c>
      <c r="F68" s="132" t="str">
        <f>IFERROR(INDEX(자격증DB!B:B, MATCH($D68, 자격증DB!A:A, 0)), "X")</f>
        <v>산림청</v>
      </c>
      <c r="G68" s="206" t="str">
        <f>IFERROR(INDEX(자격증DB!C:C, MATCH($D68, 자격증DB!A:A, 0)), "")</f>
        <v>산림청</v>
      </c>
      <c r="H68" s="163" t="str">
        <f>IFERROR(INDEX(자격증DB!F:F, MATCH($D68, 자격증DB!A:A, 0)), "")</f>
        <v>자격증</v>
      </c>
      <c r="I68" s="214">
        <v>44455</v>
      </c>
      <c r="J68" s="214"/>
      <c r="K68" s="226"/>
      <c r="L68" s="209" t="str">
        <f t="shared" si="4"/>
        <v>PDF</v>
      </c>
      <c r="M68" s="227" t="str">
        <f t="shared" si="5"/>
        <v>수목치료기술자_하은정</v>
      </c>
      <c r="N68" s="228" t="str">
        <f>IFERROR(IF(INDEX(자격증DB!G:G, MATCH($D68, 자격증DB!$A:$A, 0))=0, "", INDEX(자격증DB!G:G, MATCH($D68, 자격증DB!$A:$A, 0))), "")</f>
        <v>학술(CC)</v>
      </c>
      <c r="O68" s="153" t="str">
        <f>IFERROR(IF(INDEX(자격증DB!H:H, MATCH($D68, 자격증DB!$A:$A, 0))=0, "", INDEX(자격증DB!H:H, MATCH($D68, 자격증DB!$A:$A, 0))), "")</f>
        <v/>
      </c>
      <c r="P68" s="108" t="str">
        <f>IFERROR(IF(INDEX(자격증DB!I:I, MATCH($D68, 자격증DB!$A:$A, 0))=0, "", INDEX(자격증DB!I:I, MATCH($D68, 자격증DB!$A:$A, 0))), "")</f>
        <v/>
      </c>
      <c r="Q68" s="108" t="str">
        <f>IFERROR(IF(INDEX(자격증DB!J:J, MATCH($D68, 자격증DB!$A:$A, 0))=0, "", INDEX(자격증DB!J:J, MATCH($D68, 자격증DB!$A:$A, 0))), "")</f>
        <v>학술(CC)</v>
      </c>
      <c r="R68" s="108" t="str">
        <f>IFERROR(IF(INDEX(자격증DB!K:K, MATCH($D68, 자격증DB!$A:$A, 0))=0, "", INDEX(자격증DB!K:K, MATCH($D68, 자격증DB!$A:$A, 0))), "")</f>
        <v/>
      </c>
      <c r="S68" s="108" t="str">
        <f>IFERROR(IF(INDEX(자격증DB!L:L, MATCH($D68, 자격증DB!$A:$A, 0))=0, "", INDEX(자격증DB!L:L, MATCH($D68, 자격증DB!$A:$A, 0))), "")</f>
        <v/>
      </c>
      <c r="T68" s="108" t="str">
        <f>IFERROR(IF(INDEX(자격증DB!M:M, MATCH($D68, 자격증DB!$A:$A, 0))=0, "", INDEX(자격증DB!M:M, MATCH($D68, 자격증DB!$A:$A, 0))), "")</f>
        <v>각종 수수료(CF)</v>
      </c>
      <c r="U68" s="108" t="str">
        <f>IFERROR(IF(INDEX(자격증DB!N:N, MATCH($D68, 자격증DB!$A:$A, 0))=0, "", INDEX(자격증DB!N:N, MATCH($D68, 자격증DB!$A:$A, 0))), "")</f>
        <v/>
      </c>
      <c r="V68" s="108" t="str">
        <f>IFERROR(IF(INDEX(자격증DB!O:O, MATCH($D68, 자격증DB!$A:$A, 0))=0, "", INDEX(자격증DB!O:O, MATCH($D68, 자격증DB!$A:$A, 0))), "")</f>
        <v/>
      </c>
      <c r="W68" s="114" t="str">
        <f>IFERROR(IF(INDEX(자격증DB!P:P, MATCH($D68, 자격증DB!$A:$A, 0))=0, "", INDEX(자격증DB!P:P, MATCH($D68, 자격증DB!$A:$A, 0))), "")</f>
        <v/>
      </c>
      <c r="X68"/>
      <c r="Y68" s="227" t="str">
        <f>A68 &amp; "_" &amp; "자격증_" &amp; COUNTIFS($A$2:A68, A68)</f>
        <v>하은정_자격증_3</v>
      </c>
      <c r="Z68" s="227" t="str">
        <f>D68 &amp; "_" &amp;"자격증_" &amp;  COUNTIFS($D$2:D68, D68)</f>
        <v>수목치료기술자_자격증_2</v>
      </c>
    </row>
    <row r="69" spans="1:26" ht="20.100000000000001" customHeight="1">
      <c r="A69" s="204" t="s">
        <v>0</v>
      </c>
      <c r="B69" s="160" t="str">
        <f>IFERROR(INDEX(개인DB!C:C, MATCH($A69, 개인DB!B:B, 0)), "")</f>
        <v>원장</v>
      </c>
      <c r="C69" s="160" t="str">
        <f>IFERROR(INDEX(개인DB!D:D, MATCH($A69, 개인DB!B:B, 0)), "")</f>
        <v>원장</v>
      </c>
      <c r="D69" s="205" t="s">
        <v>72</v>
      </c>
      <c r="E69" s="160" t="str">
        <f>IFERROR(INDEX(자격증DB!E:E, MATCH($D69, 자격증DB!A:A, 0)), "")</f>
        <v>타기관</v>
      </c>
      <c r="F69" s="132" t="str">
        <f>IFERROR(INDEX(자격증DB!B:B, MATCH($D69, 자격증DB!A:A, 0)), "")</f>
        <v>교육부</v>
      </c>
      <c r="G69" s="206" t="str">
        <f>IFERROR(INDEX(자격증DB!C:C, MATCH($D69, 자격증DB!A:A, 0)), "")</f>
        <v>교육부</v>
      </c>
      <c r="H69" s="163" t="str">
        <f>IFERROR(INDEX(자격증DB!F:F, MATCH($D69, 자격증DB!A:A, 0)), "")</f>
        <v>자격증</v>
      </c>
      <c r="I69" s="207">
        <v>43343</v>
      </c>
      <c r="J69" s="207"/>
      <c r="K69" s="208"/>
      <c r="L69" s="209" t="str">
        <f t="shared" si="4"/>
        <v>PDF</v>
      </c>
      <c r="M69" s="210" t="str">
        <f t="shared" si="5"/>
        <v>평생교육사2급_김민선</v>
      </c>
      <c r="N69" s="211" t="str">
        <f>IFERROR(IF(INDEX(자격증DB!G:G, MATCH($D69, 자격증DB!$A:$A, 0))=0, "", INDEX(자격증DB!G:G, MATCH($D69, 자격증DB!$A:$A, 0))), "")</f>
        <v>학술(CC)</v>
      </c>
      <c r="O69" s="153" t="str">
        <f>IFERROR(IF(INDEX(자격증DB!H:H, MATCH($D69, 자격증DB!$A:$A, 0))=0, "", INDEX(자격증DB!H:H, MATCH($D69, 자격증DB!$A:$A, 0))), "")</f>
        <v/>
      </c>
      <c r="P69" s="108" t="str">
        <f>IFERROR(IF(INDEX(자격증DB!I:I, MATCH($D69, 자격증DB!$A:$A, 0))=0, "", INDEX(자격증DB!I:I, MATCH($D69, 자격증DB!$A:$A, 0))), "")</f>
        <v/>
      </c>
      <c r="Q69" s="108" t="str">
        <f>IFERROR(IF(INDEX(자격증DB!J:J, MATCH($D69, 자격증DB!$A:$A, 0))=0, "", INDEX(자격증DB!J:J, MATCH($D69, 자격증DB!$A:$A, 0))), "")</f>
        <v>학술(CC)</v>
      </c>
      <c r="R69" s="108" t="str">
        <f>IFERROR(IF(INDEX(자격증DB!K:K, MATCH($D69, 자격증DB!$A:$A, 0))=0, "", INDEX(자격증DB!K:K, MATCH($D69, 자격증DB!$A:$A, 0))), "")</f>
        <v/>
      </c>
      <c r="S69" s="108" t="str">
        <f>IFERROR(IF(INDEX(자격증DB!L:L, MATCH($D69, 자격증DB!$A:$A, 0))=0, "", INDEX(자격증DB!L:L, MATCH($D69, 자격증DB!$A:$A, 0))), "")</f>
        <v/>
      </c>
      <c r="T69" s="108" t="str">
        <f>IFERROR(IF(INDEX(자격증DB!M:M, MATCH($D69, 자격증DB!$A:$A, 0))=0, "", INDEX(자격증DB!M:M, MATCH($D69, 자격증DB!$A:$A, 0))), "")</f>
        <v/>
      </c>
      <c r="U69" s="108" t="str">
        <f>IFERROR(IF(INDEX(자격증DB!N:N, MATCH($D69, 자격증DB!$A:$A, 0))=0, "", INDEX(자격증DB!N:N, MATCH($D69, 자격증DB!$A:$A, 0))), "")</f>
        <v/>
      </c>
      <c r="V69" s="108" t="str">
        <f>IFERROR(IF(INDEX(자격증DB!O:O, MATCH($D69, 자격증DB!$A:$A, 0))=0, "", INDEX(자격증DB!O:O, MATCH($D69, 자격증DB!$A:$A, 0))), "")</f>
        <v/>
      </c>
      <c r="W69" s="114" t="str">
        <f>IFERROR(IF(INDEX(자격증DB!P:P, MATCH($D69, 자격증DB!$A:$A, 0))=0, "", INDEX(자격증DB!P:P, MATCH($D69, 자격증DB!$A:$A, 0))), "")</f>
        <v/>
      </c>
      <c r="X69"/>
      <c r="Y69" s="361" t="str">
        <f>A69 &amp; "_" &amp; "자격증_" &amp; COUNTIFS($A$2:A69, A69)</f>
        <v>김민선_자격증_14</v>
      </c>
      <c r="Z69" s="361" t="str">
        <f>D69 &amp; "_" &amp;"자격증_" &amp;  COUNTIFS($D$2:D69, D69)</f>
        <v>평생교육사2급_자격증_1</v>
      </c>
    </row>
    <row r="70" spans="1:26" ht="20.100000000000001" customHeight="1">
      <c r="A70" s="204" t="s">
        <v>3</v>
      </c>
      <c r="B70" s="160" t="str">
        <f>IFERROR(INDEX(개인DB!C:C, MATCH($A70, 개인DB!B:B, 0)), "")</f>
        <v>원가분석</v>
      </c>
      <c r="C70" s="160" t="str">
        <f>IFERROR(INDEX(개인DB!D:D, MATCH($A70, 개인DB!B:B, 0)), "")</f>
        <v>이사</v>
      </c>
      <c r="D70" s="229" t="s">
        <v>72</v>
      </c>
      <c r="E70" s="160" t="str">
        <f>IFERROR(INDEX(자격증DB!E:E, MATCH($D70, 자격증DB!A:A, 0)), "X")</f>
        <v>타기관</v>
      </c>
      <c r="F70" s="132" t="str">
        <f>IFERROR(INDEX(자격증DB!B:B, MATCH($D70, 자격증DB!A:A, 0)), "X")</f>
        <v>교육부</v>
      </c>
      <c r="G70" s="206" t="str">
        <f>IFERROR(INDEX(자격증DB!C:C, MATCH($D70, 자격증DB!A:A, 0)), "")</f>
        <v>교육부</v>
      </c>
      <c r="H70" s="163" t="str">
        <f>IFERROR(INDEX(자격증DB!F:F, MATCH($D70, 자격증DB!A:A, 0)), "")</f>
        <v>자격증</v>
      </c>
      <c r="I70" s="214">
        <v>43325</v>
      </c>
      <c r="J70" s="214"/>
      <c r="K70" s="226"/>
      <c r="L70" s="209" t="str">
        <f t="shared" si="4"/>
        <v>PDF</v>
      </c>
      <c r="M70" s="227" t="str">
        <f t="shared" si="5"/>
        <v>평생교육사2급_하은정</v>
      </c>
      <c r="N70" s="228" t="str">
        <f>IFERROR(IF(INDEX(자격증DB!G:G, MATCH($D70, 자격증DB!$A:$A, 0))=0, "", INDEX(자격증DB!G:G, MATCH($D70, 자격증DB!$A:$A, 0))), "")</f>
        <v>학술(CC)</v>
      </c>
      <c r="O70" s="153" t="str">
        <f>IFERROR(IF(INDEX(자격증DB!H:H, MATCH($D70, 자격증DB!$A:$A, 0))=0, "", INDEX(자격증DB!H:H, MATCH($D70, 자격증DB!$A:$A, 0))), "")</f>
        <v/>
      </c>
      <c r="P70" s="108" t="str">
        <f>IFERROR(IF(INDEX(자격증DB!I:I, MATCH($D70, 자격증DB!$A:$A, 0))=0, "", INDEX(자격증DB!I:I, MATCH($D70, 자격증DB!$A:$A, 0))), "")</f>
        <v/>
      </c>
      <c r="Q70" s="108" t="str">
        <f>IFERROR(IF(INDEX(자격증DB!J:J, MATCH($D70, 자격증DB!$A:$A, 0))=0, "", INDEX(자격증DB!J:J, MATCH($D70, 자격증DB!$A:$A, 0))), "")</f>
        <v>학술(CC)</v>
      </c>
      <c r="R70" s="108" t="str">
        <f>IFERROR(IF(INDEX(자격증DB!K:K, MATCH($D70, 자격증DB!$A:$A, 0))=0, "", INDEX(자격증DB!K:K, MATCH($D70, 자격증DB!$A:$A, 0))), "")</f>
        <v/>
      </c>
      <c r="S70" s="108" t="str">
        <f>IFERROR(IF(INDEX(자격증DB!L:L, MATCH($D70, 자격증DB!$A:$A, 0))=0, "", INDEX(자격증DB!L:L, MATCH($D70, 자격증DB!$A:$A, 0))), "")</f>
        <v/>
      </c>
      <c r="T70" s="108" t="str">
        <f>IFERROR(IF(INDEX(자격증DB!M:M, MATCH($D70, 자격증DB!$A:$A, 0))=0, "", INDEX(자격증DB!M:M, MATCH($D70, 자격증DB!$A:$A, 0))), "")</f>
        <v/>
      </c>
      <c r="U70" s="108" t="str">
        <f>IFERROR(IF(INDEX(자격증DB!N:N, MATCH($D70, 자격증DB!$A:$A, 0))=0, "", INDEX(자격증DB!N:N, MATCH($D70, 자격증DB!$A:$A, 0))), "")</f>
        <v/>
      </c>
      <c r="V70" s="108" t="str">
        <f>IFERROR(IF(INDEX(자격증DB!O:O, MATCH($D70, 자격증DB!$A:$A, 0))=0, "", INDEX(자격증DB!O:O, MATCH($D70, 자격증DB!$A:$A, 0))), "")</f>
        <v/>
      </c>
      <c r="W70" s="114" t="str">
        <f>IFERROR(IF(INDEX(자격증DB!P:P, MATCH($D70, 자격증DB!$A:$A, 0))=0, "", INDEX(자격증DB!P:P, MATCH($D70, 자격증DB!$A:$A, 0))), "")</f>
        <v/>
      </c>
      <c r="X70"/>
      <c r="Y70" s="227" t="str">
        <f>A70 &amp; "_" &amp; "자격증_" &amp; COUNTIFS($A$2:A70, A70)</f>
        <v>하은정_자격증_4</v>
      </c>
      <c r="Z70" s="227" t="str">
        <f>D70 &amp; "_" &amp;"자격증_" &amp;  COUNTIFS($D$2:D70, D70)</f>
        <v>평생교육사2급_자격증_2</v>
      </c>
    </row>
    <row r="71" spans="1:26" ht="20.100000000000001" customHeight="1">
      <c r="A71" s="204" t="s">
        <v>0</v>
      </c>
      <c r="B71" s="160" t="str">
        <f>IFERROR(INDEX(개인DB!C:C, MATCH($A71, 개인DB!B:B, 0)), "")</f>
        <v>원장</v>
      </c>
      <c r="C71" s="160" t="str">
        <f>IFERROR(INDEX(개인DB!D:D, MATCH($A71, 개인DB!B:B, 0)), "")</f>
        <v>원장</v>
      </c>
      <c r="D71" s="205" t="s">
        <v>519</v>
      </c>
      <c r="E71" s="160" t="str">
        <f>IFERROR(INDEX(자격증DB!E:E, MATCH($D71, 자격증DB!A:A, 0)), "")</f>
        <v>산업기사</v>
      </c>
      <c r="F71" s="132" t="str">
        <f>IFERROR(INDEX(자격증DB!B:B, MATCH($D71, 자격증DB!A:A, 0)), "")</f>
        <v>농촌진흥청</v>
      </c>
      <c r="G71" s="206" t="str">
        <f>IFERROR(INDEX(자격증DB!C:C, MATCH($D71, 자격증DB!A:A, 0)), "")</f>
        <v>한국산업인력공단</v>
      </c>
      <c r="H71" s="163" t="str">
        <f>IFERROR(INDEX(자격증DB!F:F, MATCH($D71, 자격증DB!A:A, 0)), "")</f>
        <v>자격증</v>
      </c>
      <c r="I71" s="207">
        <v>44911</v>
      </c>
      <c r="J71" s="207"/>
      <c r="K71" s="208"/>
      <c r="L71" s="209" t="str">
        <f t="shared" si="4"/>
        <v>PDF</v>
      </c>
      <c r="M71" s="210" t="str">
        <f t="shared" si="5"/>
        <v>식물보호산업기사_김민선</v>
      </c>
      <c r="N71" s="211" t="str">
        <f>IFERROR(IF(INDEX(자격증DB!G:G, MATCH($D71, 자격증DB!$A:$A, 0))=0, "", INDEX(자격증DB!G:G, MATCH($D71, 자격증DB!$A:$A, 0))), "")</f>
        <v>학술(CC)</v>
      </c>
      <c r="O71" s="153" t="str">
        <f>IFERROR(IF(INDEX(자격증DB!H:H, MATCH($D71, 자격증DB!$A:$A, 0))=0, "", INDEX(자격증DB!H:H, MATCH($D71, 자격증DB!$A:$A, 0))), "")</f>
        <v/>
      </c>
      <c r="P71" s="108" t="str">
        <f>IFERROR(IF(INDEX(자격증DB!I:I, MATCH($D71, 자격증DB!$A:$A, 0))=0, "", INDEX(자격증DB!I:I, MATCH($D71, 자격증DB!$A:$A, 0))), "")</f>
        <v/>
      </c>
      <c r="Q71" s="108" t="str">
        <f>IFERROR(IF(INDEX(자격증DB!J:J, MATCH($D71, 자격증DB!$A:$A, 0))=0, "", INDEX(자격증DB!J:J, MATCH($D71, 자격증DB!$A:$A, 0))), "")</f>
        <v>학술(CC)</v>
      </c>
      <c r="R71" s="108" t="str">
        <f>IFERROR(IF(INDEX(자격증DB!K:K, MATCH($D71, 자격증DB!$A:$A, 0))=0, "", INDEX(자격증DB!K:K, MATCH($D71, 자격증DB!$A:$A, 0))), "")</f>
        <v/>
      </c>
      <c r="S71" s="108" t="str">
        <f>IFERROR(IF(INDEX(자격증DB!L:L, MATCH($D71, 자격증DB!$A:$A, 0))=0, "", INDEX(자격증DB!L:L, MATCH($D71, 자격증DB!$A:$A, 0))), "")</f>
        <v/>
      </c>
      <c r="T71" s="108" t="str">
        <f>IFERROR(IF(INDEX(자격증DB!M:M, MATCH($D71, 자격증DB!$A:$A, 0))=0, "", INDEX(자격증DB!M:M, MATCH($D71, 자격증DB!$A:$A, 0))), "")</f>
        <v>각종 수수료(CF)</v>
      </c>
      <c r="U71" s="108" t="str">
        <f>IFERROR(IF(INDEX(자격증DB!N:N, MATCH($D71, 자격증DB!$A:$A, 0))=0, "", INDEX(자격증DB!N:N, MATCH($D71, 자격증DB!$A:$A, 0))), "")</f>
        <v/>
      </c>
      <c r="V71" s="108" t="str">
        <f>IFERROR(IF(INDEX(자격증DB!O:O, MATCH($D71, 자격증DB!$A:$A, 0))=0, "", INDEX(자격증DB!O:O, MATCH($D71, 자격증DB!$A:$A, 0))), "")</f>
        <v/>
      </c>
      <c r="W71" s="114" t="str">
        <f>IFERROR(IF(INDEX(자격증DB!P:P, MATCH($D71, 자격증DB!$A:$A, 0))=0, "", INDEX(자격증DB!P:P, MATCH($D71, 자격증DB!$A:$A, 0))), "")</f>
        <v/>
      </c>
      <c r="X71"/>
      <c r="Y71" s="361" t="str">
        <f>A71 &amp; "_" &amp; "자격증_" &amp; COUNTIFS($A$2:A71, A71)</f>
        <v>김민선_자격증_15</v>
      </c>
      <c r="Z71" s="361" t="str">
        <f>D71 &amp; "_" &amp;"자격증_" &amp;  COUNTIFS($D$2:D71, D71)</f>
        <v>식물보호산업기사_자격증_1</v>
      </c>
    </row>
    <row r="72" spans="1:26" ht="20.100000000000001" customHeight="1">
      <c r="A72" s="204" t="s">
        <v>20</v>
      </c>
      <c r="B72" s="160" t="str">
        <f>IFERROR(INDEX(개인DB!C:C, MATCH($A72, 개인DB!B:B, 0)), "")</f>
        <v>원가분석</v>
      </c>
      <c r="C72" s="160" t="str">
        <f>IFERROR(INDEX(개인DB!D:D, MATCH($A72, 개인DB!B:B, 0)), "")</f>
        <v>위원</v>
      </c>
      <c r="D72" s="229" t="s">
        <v>519</v>
      </c>
      <c r="E72" s="160" t="str">
        <f>IFERROR(INDEX(자격증DB!E:E, MATCH($D72, 자격증DB!A:A, 0)), "")</f>
        <v>산업기사</v>
      </c>
      <c r="F72" s="132" t="str">
        <f>IFERROR(INDEX(자격증DB!B:B, MATCH($D72, 자격증DB!A:A, 0)), "")</f>
        <v>농촌진흥청</v>
      </c>
      <c r="G72" s="206" t="str">
        <f>IFERROR(INDEX(자격증DB!C:C, MATCH($D72, 자격증DB!A:A, 0)), "")</f>
        <v>한국산업인력공단</v>
      </c>
      <c r="H72" s="163" t="str">
        <f>IFERROR(INDEX(자격증DB!F:F, MATCH($D72, 자격증DB!A:A, 0)), "")</f>
        <v>자격증</v>
      </c>
      <c r="I72" s="214">
        <v>45245</v>
      </c>
      <c r="J72" s="214"/>
      <c r="K72" s="226"/>
      <c r="L72" s="209" t="str">
        <f t="shared" si="4"/>
        <v>PDF</v>
      </c>
      <c r="M72" s="227" t="str">
        <f t="shared" si="5"/>
        <v>식물보호산업기사_신광수</v>
      </c>
      <c r="N72" s="228" t="str">
        <f>IFERROR(IF(INDEX(자격증DB!G:G, MATCH($D72, 자격증DB!$A:$A, 0))=0, "", INDEX(자격증DB!G:G, MATCH($D72, 자격증DB!$A:$A, 0))), "")</f>
        <v>학술(CC)</v>
      </c>
      <c r="O72" s="153" t="str">
        <f>IFERROR(IF(INDEX(자격증DB!H:H, MATCH($D72, 자격증DB!$A:$A, 0))=0, "", INDEX(자격증DB!H:H, MATCH($D72, 자격증DB!$A:$A, 0))), "")</f>
        <v/>
      </c>
      <c r="P72" s="108" t="str">
        <f>IFERROR(IF(INDEX(자격증DB!I:I, MATCH($D72, 자격증DB!$A:$A, 0))=0, "", INDEX(자격증DB!I:I, MATCH($D72, 자격증DB!$A:$A, 0))), "")</f>
        <v/>
      </c>
      <c r="Q72" s="108" t="str">
        <f>IFERROR(IF(INDEX(자격증DB!J:J, MATCH($D72, 자격증DB!$A:$A, 0))=0, "", INDEX(자격증DB!J:J, MATCH($D72, 자격증DB!$A:$A, 0))), "")</f>
        <v>학술(CC)</v>
      </c>
      <c r="R72" s="108" t="str">
        <f>IFERROR(IF(INDEX(자격증DB!K:K, MATCH($D72, 자격증DB!$A:$A, 0))=0, "", INDEX(자격증DB!K:K, MATCH($D72, 자격증DB!$A:$A, 0))), "")</f>
        <v/>
      </c>
      <c r="S72" s="108" t="str">
        <f>IFERROR(IF(INDEX(자격증DB!L:L, MATCH($D72, 자격증DB!$A:$A, 0))=0, "", INDEX(자격증DB!L:L, MATCH($D72, 자격증DB!$A:$A, 0))), "")</f>
        <v/>
      </c>
      <c r="T72" s="108" t="str">
        <f>IFERROR(IF(INDEX(자격증DB!M:M, MATCH($D72, 자격증DB!$A:$A, 0))=0, "", INDEX(자격증DB!M:M, MATCH($D72, 자격증DB!$A:$A, 0))), "")</f>
        <v>각종 수수료(CF)</v>
      </c>
      <c r="U72" s="108" t="str">
        <f>IFERROR(IF(INDEX(자격증DB!N:N, MATCH($D72, 자격증DB!$A:$A, 0))=0, "", INDEX(자격증DB!N:N, MATCH($D72, 자격증DB!$A:$A, 0))), "")</f>
        <v/>
      </c>
      <c r="V72" s="108" t="str">
        <f>IFERROR(IF(INDEX(자격증DB!O:O, MATCH($D72, 자격증DB!$A:$A, 0))=0, "", INDEX(자격증DB!O:O, MATCH($D72, 자격증DB!$A:$A, 0))), "")</f>
        <v/>
      </c>
      <c r="W72" s="114" t="str">
        <f>IFERROR(IF(INDEX(자격증DB!P:P, MATCH($D72, 자격증DB!$A:$A, 0))=0, "", INDEX(자격증DB!P:P, MATCH($D72, 자격증DB!$A:$A, 0))), "")</f>
        <v/>
      </c>
      <c r="X72"/>
      <c r="Y72" s="227" t="str">
        <f>A72 &amp; "_" &amp; "자격증_" &amp; COUNTIFS($A$2:A72, A72)</f>
        <v>신광수_자격증_3</v>
      </c>
      <c r="Z72" s="227" t="str">
        <f>D72 &amp; "_" &amp;"자격증_" &amp;  COUNTIFS($D$2:D72, D72)</f>
        <v>식물보호산업기사_자격증_2</v>
      </c>
    </row>
    <row r="73" spans="1:26" ht="20.100000000000001" customHeight="1">
      <c r="A73" s="204" t="s">
        <v>0</v>
      </c>
      <c r="B73" s="160" t="str">
        <f>IFERROR(INDEX(개인DB!C:C, MATCH($A73, 개인DB!B:B, 0)), "")</f>
        <v>원장</v>
      </c>
      <c r="C73" s="160" t="str">
        <f>IFERROR(INDEX(개인DB!D:D, MATCH($A73, 개인DB!B:B, 0)), "")</f>
        <v>원장</v>
      </c>
      <c r="D73" s="213" t="s">
        <v>81</v>
      </c>
      <c r="E73" s="160" t="str">
        <f>IFERROR(INDEX(자격증DB!E:E, MATCH($D73, 자격증DB!A:A, 0)), "")</f>
        <v>민간</v>
      </c>
      <c r="F73" s="132" t="str">
        <f>IFERROR(INDEX(자격증DB!B:B, MATCH($D73, 자격증DB!A:A, 0)), "")</f>
        <v>-</v>
      </c>
      <c r="G73" s="206" t="str">
        <f>IFERROR(INDEX(자격증DB!C:C, MATCH($D73, 자격증DB!A:A, 0)), "")</f>
        <v>(사)한국창업보육협회</v>
      </c>
      <c r="H73" s="163" t="str">
        <f>IFERROR(INDEX(자격증DB!F:F, MATCH($D73, 자격증DB!A:A, 0)), "")</f>
        <v>자격증</v>
      </c>
      <c r="I73" s="207">
        <v>45473</v>
      </c>
      <c r="J73" s="207"/>
      <c r="K73" s="208">
        <v>47483</v>
      </c>
      <c r="L73" s="209" t="str">
        <f t="shared" si="4"/>
        <v>PDF</v>
      </c>
      <c r="M73" s="210" t="str">
        <f t="shared" si="5"/>
        <v>창업보육전문매니저_김민선</v>
      </c>
      <c r="N73" s="211" t="str">
        <f>IFERROR(IF(INDEX(자격증DB!G:G, MATCH($D73, 자격증DB!$A:$A, 0))=0, "", INDEX(자격증DB!G:G, MATCH($D73, 자격증DB!$A:$A, 0))), "")</f>
        <v>학술(CC)</v>
      </c>
      <c r="O73" s="153" t="str">
        <f>IFERROR(IF(INDEX(자격증DB!H:H, MATCH($D73, 자격증DB!$A:$A, 0))=0, "", INDEX(자격증DB!H:H, MATCH($D73, 자격증DB!$A:$A, 0))), "")</f>
        <v/>
      </c>
      <c r="P73" s="108" t="str">
        <f>IFERROR(IF(INDEX(자격증DB!I:I, MATCH($D73, 자격증DB!$A:$A, 0))=0, "", INDEX(자격증DB!I:I, MATCH($D73, 자격증DB!$A:$A, 0))), "")</f>
        <v/>
      </c>
      <c r="Q73" s="108" t="str">
        <f>IFERROR(IF(INDEX(자격증DB!J:J, MATCH($D73, 자격증DB!$A:$A, 0))=0, "", INDEX(자격증DB!J:J, MATCH($D73, 자격증DB!$A:$A, 0))), "")</f>
        <v>학술(CC)</v>
      </c>
      <c r="R73" s="108" t="str">
        <f>IFERROR(IF(INDEX(자격증DB!K:K, MATCH($D73, 자격증DB!$A:$A, 0))=0, "", INDEX(자격증DB!K:K, MATCH($D73, 자격증DB!$A:$A, 0))), "")</f>
        <v/>
      </c>
      <c r="S73" s="108" t="str">
        <f>IFERROR(IF(INDEX(자격증DB!L:L, MATCH($D73, 자격증DB!$A:$A, 0))=0, "", INDEX(자격증DB!L:L, MATCH($D73, 자격증DB!$A:$A, 0))), "")</f>
        <v/>
      </c>
      <c r="T73" s="108" t="str">
        <f>IFERROR(IF(INDEX(자격증DB!M:M, MATCH($D73, 자격증DB!$A:$A, 0))=0, "", INDEX(자격증DB!M:M, MATCH($D73, 자격증DB!$A:$A, 0))), "")</f>
        <v/>
      </c>
      <c r="U73" s="108" t="str">
        <f>IFERROR(IF(INDEX(자격증DB!N:N, MATCH($D73, 자격증DB!$A:$A, 0))=0, "", INDEX(자격증DB!N:N, MATCH($D73, 자격증DB!$A:$A, 0))), "")</f>
        <v/>
      </c>
      <c r="V73" s="108" t="str">
        <f>IFERROR(IF(INDEX(자격증DB!O:O, MATCH($D73, 자격증DB!$A:$A, 0))=0, "", INDEX(자격증DB!O:O, MATCH($D73, 자격증DB!$A:$A, 0))), "")</f>
        <v/>
      </c>
      <c r="W73" s="114" t="str">
        <f>IFERROR(IF(INDEX(자격증DB!P:P, MATCH($D73, 자격증DB!$A:$A, 0))=0, "", INDEX(자격증DB!P:P, MATCH($D73, 자격증DB!$A:$A, 0))), "")</f>
        <v/>
      </c>
      <c r="X73"/>
      <c r="Y73" s="361" t="str">
        <f>A73 &amp; "_" &amp; "자격증_" &amp; COUNTIFS($A$2:A73, A73)</f>
        <v>김민선_자격증_16</v>
      </c>
      <c r="Z73" s="361" t="str">
        <f>D73 &amp; "_" &amp;"자격증_" &amp;  COUNTIFS($D$2:D73, D73)</f>
        <v>창업보육전문매니저_자격증_1</v>
      </c>
    </row>
    <row r="74" spans="1:26" ht="20.100000000000001" customHeight="1">
      <c r="A74" s="204" t="s">
        <v>0</v>
      </c>
      <c r="B74" s="160" t="str">
        <f>IFERROR(INDEX(개인DB!C:C, MATCH($A74, 개인DB!B:B, 0)), "")</f>
        <v>원장</v>
      </c>
      <c r="C74" s="160" t="str">
        <f>IFERROR(INDEX(개인DB!D:D, MATCH($A74, 개인DB!B:B, 0)), "")</f>
        <v>원장</v>
      </c>
      <c r="D74" s="205" t="s">
        <v>225</v>
      </c>
      <c r="E74" s="160" t="str">
        <f>IFERROR(INDEX(자격증DB!E:E, MATCH($D74, 자격증DB!A:A, 0)), "")</f>
        <v>민간</v>
      </c>
      <c r="F74" s="132" t="str">
        <f>IFERROR(INDEX(자격증DB!B:B, MATCH($D74, 자격증DB!A:A, 0)), "")</f>
        <v>고용노동부</v>
      </c>
      <c r="G74" s="206" t="str">
        <f>IFERROR(INDEX(자격증DB!C:C, MATCH($D74, 자격증DB!A:A, 0)), "")</f>
        <v>한국산업카운슬러협회</v>
      </c>
      <c r="H74" s="163" t="str">
        <f>IFERROR(INDEX(자격증DB!F:F, MATCH($D74, 자격증DB!A:A, 0)), "")</f>
        <v>자격증</v>
      </c>
      <c r="I74" s="207">
        <v>42511</v>
      </c>
      <c r="J74" s="207">
        <v>42511</v>
      </c>
      <c r="K74" s="208">
        <v>43605</v>
      </c>
      <c r="L74" s="209" t="str">
        <f t="shared" si="4"/>
        <v>PDF</v>
      </c>
      <c r="M74" s="210" t="str">
        <f t="shared" si="5"/>
        <v>산업카운슬러1급_김민선</v>
      </c>
      <c r="N74" s="211" t="str">
        <f>IFERROR(IF(INDEX(자격증DB!G:G, MATCH($D74, 자격증DB!$A:$A, 0))=0, "", INDEX(자격증DB!G:G, MATCH($D74, 자격증DB!$A:$A, 0))), "")</f>
        <v>학술(CC)</v>
      </c>
      <c r="O74" s="153" t="str">
        <f>IFERROR(IF(INDEX(자격증DB!H:H, MATCH($D74, 자격증DB!$A:$A, 0))=0, "", INDEX(자격증DB!H:H, MATCH($D74, 자격증DB!$A:$A, 0))), "")</f>
        <v/>
      </c>
      <c r="P74" s="108" t="str">
        <f>IFERROR(IF(INDEX(자격증DB!I:I, MATCH($D74, 자격증DB!$A:$A, 0))=0, "", INDEX(자격증DB!I:I, MATCH($D74, 자격증DB!$A:$A, 0))), "")</f>
        <v/>
      </c>
      <c r="Q74" s="108" t="str">
        <f>IFERROR(IF(INDEX(자격증DB!J:J, MATCH($D74, 자격증DB!$A:$A, 0))=0, "", INDEX(자격증DB!J:J, MATCH($D74, 자격증DB!$A:$A, 0))), "")</f>
        <v>학술(CC)</v>
      </c>
      <c r="R74" s="108" t="str">
        <f>IFERROR(IF(INDEX(자격증DB!K:K, MATCH($D74, 자격증DB!$A:$A, 0))=0, "", INDEX(자격증DB!K:K, MATCH($D74, 자격증DB!$A:$A, 0))), "")</f>
        <v/>
      </c>
      <c r="S74" s="108" t="str">
        <f>IFERROR(IF(INDEX(자격증DB!L:L, MATCH($D74, 자격증DB!$A:$A, 0))=0, "", INDEX(자격증DB!L:L, MATCH($D74, 자격증DB!$A:$A, 0))), "")</f>
        <v/>
      </c>
      <c r="T74" s="108" t="str">
        <f>IFERROR(IF(INDEX(자격증DB!M:M, MATCH($D74, 자격증DB!$A:$A, 0))=0, "", INDEX(자격증DB!M:M, MATCH($D74, 자격증DB!$A:$A, 0))), "")</f>
        <v>각종 수수료(CF)</v>
      </c>
      <c r="U74" s="108" t="str">
        <f>IFERROR(IF(INDEX(자격증DB!N:N, MATCH($D74, 자격증DB!$A:$A, 0))=0, "", INDEX(자격증DB!N:N, MATCH($D74, 자격증DB!$A:$A, 0))), "")</f>
        <v>법원감정(CG)</v>
      </c>
      <c r="V74" s="108" t="str">
        <f>IFERROR(IF(INDEX(자격증DB!O:O, MATCH($D74, 자격증DB!$A:$A, 0))=0, "", INDEX(자격증DB!O:O, MATCH($D74, 자격증DB!$A:$A, 0))), "")</f>
        <v/>
      </c>
      <c r="W74" s="114" t="str">
        <f>IFERROR(IF(INDEX(자격증DB!P:P, MATCH($D74, 자격증DB!$A:$A, 0))=0, "", INDEX(자격증DB!P:P, MATCH($D74, 자격증DB!$A:$A, 0))), "")</f>
        <v>갈등조정</v>
      </c>
      <c r="X74"/>
      <c r="Y74" s="210" t="str">
        <f>A74 &amp; "_" &amp; "자격증_" &amp; COUNTIFS($A$2:A74, A74)</f>
        <v>김민선_자격증_17</v>
      </c>
      <c r="Z74" s="210" t="str">
        <f>D74 &amp; "_" &amp;"자격증_" &amp;  COUNTIFS($D$2:D74, D74)</f>
        <v>산업카운슬러1급_자격증_1</v>
      </c>
    </row>
    <row r="75" spans="1:26" ht="20.100000000000001" customHeight="1">
      <c r="A75" s="204" t="s">
        <v>0</v>
      </c>
      <c r="B75" s="160" t="str">
        <f>IFERROR(INDEX(개인DB!C:C, MATCH($A75, 개인DB!B:B, 0)), "")</f>
        <v>원장</v>
      </c>
      <c r="C75" s="160" t="str">
        <f>IFERROR(INDEX(개인DB!D:D, MATCH($A75, 개인DB!B:B, 0)), "")</f>
        <v>원장</v>
      </c>
      <c r="D75" s="205" t="s">
        <v>66</v>
      </c>
      <c r="E75" s="160" t="str">
        <f>IFERROR(INDEX(자격증DB!E:E, MATCH($D75, 자격증DB!A:A, 0)), "")</f>
        <v>민간</v>
      </c>
      <c r="F75" s="132" t="str">
        <f>IFERROR(INDEX(자격증DB!B:B, MATCH($D75, 자격증DB!A:A, 0)), "")</f>
        <v>-</v>
      </c>
      <c r="G75" s="206" t="str">
        <f>IFERROR(INDEX(자격증DB!C:C, MATCH($D75, 자격증DB!A:A, 0)), "")</f>
        <v>(사)한국M&amp;A컨설팅협회</v>
      </c>
      <c r="H75" s="163" t="str">
        <f>IFERROR(INDEX(자격증DB!F:F, MATCH($D75, 자격증DB!A:A, 0)), "")</f>
        <v>자격증</v>
      </c>
      <c r="I75" s="207">
        <v>39171</v>
      </c>
      <c r="J75" s="207"/>
      <c r="K75" s="208"/>
      <c r="L75" s="209" t="str">
        <f t="shared" si="4"/>
        <v>PDF</v>
      </c>
      <c r="M75" s="210" t="str">
        <f t="shared" si="5"/>
        <v>M&amp;A지도사_김민선</v>
      </c>
      <c r="N75" s="211" t="str">
        <f>IFERROR(IF(INDEX(자격증DB!G:G, MATCH($D75, 자격증DB!$A:$A, 0))=0, "", INDEX(자격증DB!G:G, MATCH($D75, 자격증DB!$A:$A, 0))), "")</f>
        <v>학술(CC)</v>
      </c>
      <c r="O75" s="153" t="str">
        <f>IFERROR(IF(INDEX(자격증DB!H:H, MATCH($D75, 자격증DB!$A:$A, 0))=0, "", INDEX(자격증DB!H:H, MATCH($D75, 자격증DB!$A:$A, 0))), "")</f>
        <v/>
      </c>
      <c r="P75" s="108" t="str">
        <f>IFERROR(IF(INDEX(자격증DB!I:I, MATCH($D75, 자격증DB!$A:$A, 0))=0, "", INDEX(자격증DB!I:I, MATCH($D75, 자격증DB!$A:$A, 0))), "")</f>
        <v/>
      </c>
      <c r="Q75" s="108" t="str">
        <f>IFERROR(IF(INDEX(자격증DB!J:J, MATCH($D75, 자격증DB!$A:$A, 0))=0, "", INDEX(자격증DB!J:J, MATCH($D75, 자격증DB!$A:$A, 0))), "")</f>
        <v>학술(CC)</v>
      </c>
      <c r="R75" s="108" t="str">
        <f>IFERROR(IF(INDEX(자격증DB!K:K, MATCH($D75, 자격증DB!$A:$A, 0))=0, "", INDEX(자격증DB!K:K, MATCH($D75, 자격증DB!$A:$A, 0))), "")</f>
        <v/>
      </c>
      <c r="S75" s="108" t="str">
        <f>IFERROR(IF(INDEX(자격증DB!L:L, MATCH($D75, 자격증DB!$A:$A, 0))=0, "", INDEX(자격증DB!L:L, MATCH($D75, 자격증DB!$A:$A, 0))), "")</f>
        <v/>
      </c>
      <c r="T75" s="108" t="str">
        <f>IFERROR(IF(INDEX(자격증DB!M:M, MATCH($D75, 자격증DB!$A:$A, 0))=0, "", INDEX(자격증DB!M:M, MATCH($D75, 자격증DB!$A:$A, 0))), "")</f>
        <v>각종 수수료(CF)</v>
      </c>
      <c r="U75" s="108" t="str">
        <f>IFERROR(IF(INDEX(자격증DB!N:N, MATCH($D75, 자격증DB!$A:$A, 0))=0, "", INDEX(자격증DB!N:N, MATCH($D75, 자격증DB!$A:$A, 0))), "")</f>
        <v/>
      </c>
      <c r="V75" s="108" t="str">
        <f>IFERROR(IF(INDEX(자격증DB!O:O, MATCH($D75, 자격증DB!$A:$A, 0))=0, "", INDEX(자격증DB!O:O, MATCH($D75, 자격증DB!$A:$A, 0))), "")</f>
        <v/>
      </c>
      <c r="W75" s="114" t="str">
        <f>IFERROR(IF(INDEX(자격증DB!P:P, MATCH($D75, 자격증DB!$A:$A, 0))=0, "", INDEX(자격증DB!P:P, MATCH($D75, 자격증DB!$A:$A, 0))), "")</f>
        <v/>
      </c>
      <c r="X75"/>
      <c r="Y75" s="361" t="str">
        <f>A75 &amp; "_" &amp; "자격증_" &amp; COUNTIFS($A$2:A75, A75)</f>
        <v>김민선_자격증_18</v>
      </c>
      <c r="Z75" s="361" t="str">
        <f>D75 &amp; "_" &amp;"자격증_" &amp;  COUNTIFS($D$2:D75, D75)</f>
        <v>M&amp;A지도사_자격증_1</v>
      </c>
    </row>
    <row r="76" spans="1:26" ht="20.100000000000001" customHeight="1">
      <c r="A76" s="204" t="s">
        <v>0</v>
      </c>
      <c r="B76" s="160" t="str">
        <f>IFERROR(INDEX(개인DB!C:C, MATCH($A76, 개인DB!B:B, 0)), "")</f>
        <v>원장</v>
      </c>
      <c r="C76" s="160" t="str">
        <f>IFERROR(INDEX(개인DB!D:D, MATCH($A76, 개인DB!B:B, 0)), "")</f>
        <v>원장</v>
      </c>
      <c r="D76" s="205" t="s">
        <v>64</v>
      </c>
      <c r="E76" s="160" t="str">
        <f>IFERROR(INDEX(자격증DB!E:E, MATCH($D76, 자격증DB!A:A, 0)), "")</f>
        <v>민간</v>
      </c>
      <c r="F76" s="132" t="str">
        <f>IFERROR(INDEX(자격증DB!B:B, MATCH($D76, 자격증DB!A:A, 0)), "")</f>
        <v>-</v>
      </c>
      <c r="G76" s="206" t="str">
        <f>IFERROR(INDEX(자격증DB!C:C, MATCH($D76, 자격증DB!A:A, 0)), "")</f>
        <v>한국공인회계사회</v>
      </c>
      <c r="H76" s="163" t="str">
        <f>IFERROR(INDEX(자격증DB!F:F, MATCH($D76, 자격증DB!A:A, 0)), "")</f>
        <v>자격증</v>
      </c>
      <c r="I76" s="207">
        <v>38169</v>
      </c>
      <c r="J76" s="207"/>
      <c r="K76" s="208"/>
      <c r="L76" s="209" t="str">
        <f t="shared" si="4"/>
        <v>PDF</v>
      </c>
      <c r="M76" s="210" t="str">
        <f t="shared" si="5"/>
        <v>ERP 물류 컨설턴트_김민선</v>
      </c>
      <c r="N76" s="211" t="str">
        <f>IFERROR(IF(INDEX(자격증DB!G:G, MATCH($D76, 자격증DB!$A:$A, 0))=0, "", INDEX(자격증DB!G:G, MATCH($D76, 자격증DB!$A:$A, 0))), "")</f>
        <v>학술(CC)</v>
      </c>
      <c r="O76" s="153" t="str">
        <f>IFERROR(IF(INDEX(자격증DB!H:H, MATCH($D76, 자격증DB!$A:$A, 0))=0, "", INDEX(자격증DB!H:H, MATCH($D76, 자격증DB!$A:$A, 0))), "")</f>
        <v/>
      </c>
      <c r="P76" s="108" t="str">
        <f>IFERROR(IF(INDEX(자격증DB!I:I, MATCH($D76, 자격증DB!$A:$A, 0))=0, "", INDEX(자격증DB!I:I, MATCH($D76, 자격증DB!$A:$A, 0))), "")</f>
        <v/>
      </c>
      <c r="Q76" s="108" t="str">
        <f>IFERROR(IF(INDEX(자격증DB!J:J, MATCH($D76, 자격증DB!$A:$A, 0))=0, "", INDEX(자격증DB!J:J, MATCH($D76, 자격증DB!$A:$A, 0))), "")</f>
        <v/>
      </c>
      <c r="R76" s="108" t="str">
        <f>IFERROR(IF(INDEX(자격증DB!K:K, MATCH($D76, 자격증DB!$A:$A, 0))=0, "", INDEX(자격증DB!K:K, MATCH($D76, 자격증DB!$A:$A, 0))), "")</f>
        <v/>
      </c>
      <c r="S76" s="108" t="str">
        <f>IFERROR(IF(INDEX(자격증DB!L:L, MATCH($D76, 자격증DB!$A:$A, 0))=0, "", INDEX(자격증DB!L:L, MATCH($D76, 자격증DB!$A:$A, 0))), "")</f>
        <v/>
      </c>
      <c r="T76" s="108" t="str">
        <f>IFERROR(IF(INDEX(자격증DB!M:M, MATCH($D76, 자격증DB!$A:$A, 0))=0, "", INDEX(자격증DB!M:M, MATCH($D76, 자격증DB!$A:$A, 0))), "")</f>
        <v>각종 수수료(CF)</v>
      </c>
      <c r="U76" s="108" t="str">
        <f>IFERROR(IF(INDEX(자격증DB!N:N, MATCH($D76, 자격증DB!$A:$A, 0))=0, "", INDEX(자격증DB!N:N, MATCH($D76, 자격증DB!$A:$A, 0))), "")</f>
        <v/>
      </c>
      <c r="V76" s="108" t="str">
        <f>IFERROR(IF(INDEX(자격증DB!O:O, MATCH($D76, 자격증DB!$A:$A, 0))=0, "", INDEX(자격증DB!O:O, MATCH($D76, 자격증DB!$A:$A, 0))), "")</f>
        <v/>
      </c>
      <c r="W76" s="114" t="str">
        <f>IFERROR(IF(INDEX(자격증DB!P:P, MATCH($D76, 자격증DB!$A:$A, 0))=0, "", INDEX(자격증DB!P:P, MATCH($D76, 자격증DB!$A:$A, 0))), "")</f>
        <v/>
      </c>
      <c r="X76"/>
      <c r="Y76" s="210" t="str">
        <f>A76 &amp; "_" &amp; "자격증_" &amp; COUNTIFS($A$2:A76, A76)</f>
        <v>김민선_자격증_19</v>
      </c>
      <c r="Z76" s="210" t="str">
        <f>D76 &amp; "_" &amp;"자격증_" &amp;  COUNTIFS($D$2:D76, D76)</f>
        <v>ERP 물류 컨설턴트_자격증_1</v>
      </c>
    </row>
    <row r="77" spans="1:26" ht="20.100000000000001" customHeight="1">
      <c r="A77" s="204" t="s">
        <v>0</v>
      </c>
      <c r="B77" s="160" t="str">
        <f>IFERROR(INDEX(개인DB!C:C, MATCH($A77, 개인DB!B:B, 0)), "")</f>
        <v>원장</v>
      </c>
      <c r="C77" s="160" t="str">
        <f>IFERROR(INDEX(개인DB!D:D, MATCH($A77, 개인DB!B:B, 0)), "")</f>
        <v>원장</v>
      </c>
      <c r="D77" s="205" t="s">
        <v>70</v>
      </c>
      <c r="E77" s="160" t="str">
        <f>IFERROR(INDEX(자격증DB!E:E, MATCH($D77, 자격증DB!A:A, 0)), "")</f>
        <v>민간</v>
      </c>
      <c r="F77" s="132" t="str">
        <f>IFERROR(INDEX(자격증DB!B:B, MATCH($D77, 자격증DB!A:A, 0)), "")</f>
        <v>-</v>
      </c>
      <c r="G77" s="206" t="str">
        <f>IFERROR(INDEX(자격증DB!C:C, MATCH($D77, 자격증DB!A:A, 0)), "")</f>
        <v>한국채용면접관인증원</v>
      </c>
      <c r="H77" s="163" t="str">
        <f>IFERROR(INDEX(자격증DB!F:F, MATCH($D77, 자격증DB!A:A, 0)), "")</f>
        <v>자격증</v>
      </c>
      <c r="I77" s="207">
        <v>43077</v>
      </c>
      <c r="J77" s="207"/>
      <c r="K77" s="208"/>
      <c r="L77" s="209" t="str">
        <f t="shared" si="4"/>
        <v>PDF</v>
      </c>
      <c r="M77" s="210" t="str">
        <f t="shared" si="5"/>
        <v>채용면접관 자격인증서_김민선</v>
      </c>
      <c r="N77" s="211" t="str">
        <f>IFERROR(IF(INDEX(자격증DB!G:G, MATCH($D77, 자격증DB!$A:$A, 0))=0, "", INDEX(자격증DB!G:G, MATCH($D77, 자격증DB!$A:$A, 0))), "")</f>
        <v>학술(CC)</v>
      </c>
      <c r="O77" s="153" t="str">
        <f>IFERROR(IF(INDEX(자격증DB!H:H, MATCH($D77, 자격증DB!$A:$A, 0))=0, "", INDEX(자격증DB!H:H, MATCH($D77, 자격증DB!$A:$A, 0))), "")</f>
        <v/>
      </c>
      <c r="P77" s="108" t="str">
        <f>IFERROR(IF(INDEX(자격증DB!I:I, MATCH($D77, 자격증DB!$A:$A, 0))=0, "", INDEX(자격증DB!I:I, MATCH($D77, 자격증DB!$A:$A, 0))), "")</f>
        <v/>
      </c>
      <c r="Q77" s="108" t="str">
        <f>IFERROR(IF(INDEX(자격증DB!J:J, MATCH($D77, 자격증DB!$A:$A, 0))=0, "", INDEX(자격증DB!J:J, MATCH($D77, 자격증DB!$A:$A, 0))), "")</f>
        <v>학술(CC)</v>
      </c>
      <c r="R77" s="108" t="str">
        <f>IFERROR(IF(INDEX(자격증DB!K:K, MATCH($D77, 자격증DB!$A:$A, 0))=0, "", INDEX(자격증DB!K:K, MATCH($D77, 자격증DB!$A:$A, 0))), "")</f>
        <v/>
      </c>
      <c r="S77" s="108" t="str">
        <f>IFERROR(IF(INDEX(자격증DB!L:L, MATCH($D77, 자격증DB!$A:$A, 0))=0, "", INDEX(자격증DB!L:L, MATCH($D77, 자격증DB!$A:$A, 0))), "")</f>
        <v/>
      </c>
      <c r="T77" s="108" t="str">
        <f>IFERROR(IF(INDEX(자격증DB!M:M, MATCH($D77, 자격증DB!$A:$A, 0))=0, "", INDEX(자격증DB!M:M, MATCH($D77, 자격증DB!$A:$A, 0))), "")</f>
        <v>각종 수수료(CF)</v>
      </c>
      <c r="U77" s="108" t="str">
        <f>IFERROR(IF(INDEX(자격증DB!N:N, MATCH($D77, 자격증DB!$A:$A, 0))=0, "", INDEX(자격증DB!N:N, MATCH($D77, 자격증DB!$A:$A, 0))), "")</f>
        <v/>
      </c>
      <c r="V77" s="108" t="str">
        <f>IFERROR(IF(INDEX(자격증DB!O:O, MATCH($D77, 자격증DB!$A:$A, 0))=0, "", INDEX(자격증DB!O:O, MATCH($D77, 자격증DB!$A:$A, 0))), "")</f>
        <v/>
      </c>
      <c r="W77" s="114" t="str">
        <f>IFERROR(IF(INDEX(자격증DB!P:P, MATCH($D77, 자격증DB!$A:$A, 0))=0, "", INDEX(자격증DB!P:P, MATCH($D77, 자격증DB!$A:$A, 0))), "")</f>
        <v/>
      </c>
      <c r="X77"/>
      <c r="Y77" s="361" t="str">
        <f>A77 &amp; "_" &amp; "자격증_" &amp; COUNTIFS($A$2:A77, A77)</f>
        <v>김민선_자격증_20</v>
      </c>
      <c r="Z77" s="361" t="str">
        <f>D77 &amp; "_" &amp;"자격증_" &amp;  COUNTIFS($D$2:D77, D77)</f>
        <v>채용면접관 자격인증서_자격증_1</v>
      </c>
    </row>
    <row r="78" spans="1:26" ht="20.100000000000001" customHeight="1">
      <c r="A78" s="204" t="s">
        <v>34</v>
      </c>
      <c r="B78" s="160" t="str">
        <f>IFERROR(INDEX(개인DB!C:C, MATCH($A78, 개인DB!B:B, 0)), "")</f>
        <v>품질관리</v>
      </c>
      <c r="C78" s="160" t="str">
        <f>IFERROR(INDEX(개인DB!D:D, MATCH($A78, 개인DB!B:B, 0)), "")</f>
        <v>위원</v>
      </c>
      <c r="D78" s="229" t="s">
        <v>261</v>
      </c>
      <c r="E78" s="160" t="str">
        <f>IFERROR(INDEX(자격증DB!E:E, MATCH($D78, 자격증DB!A:A, 0)), "X")</f>
        <v>민간(국가)</v>
      </c>
      <c r="F78" s="132" t="str">
        <f>IFERROR(INDEX(자격증DB!B:B, MATCH($D78, 자격증DB!A:A, 0)), "X")</f>
        <v>금융위원회</v>
      </c>
      <c r="G78" s="206" t="str">
        <f>IFERROR(INDEX(자격증DB!C:C, MATCH($D78, 자격증DB!A:A, 0)), "")</f>
        <v>한국금융연수원</v>
      </c>
      <c r="H78" s="163" t="str">
        <f>IFERROR(INDEX(자격증DB!F:F, MATCH($D78, 자격증DB!A:A, 0)), "")</f>
        <v>자격증</v>
      </c>
      <c r="I78" s="214">
        <v>33070</v>
      </c>
      <c r="J78" s="214"/>
      <c r="K78" s="226"/>
      <c r="L78" s="209" t="str">
        <f t="shared" si="4"/>
        <v>PDF</v>
      </c>
      <c r="M78" s="227" t="str">
        <f t="shared" si="5"/>
        <v>신용분석사_표순천</v>
      </c>
      <c r="N78" s="228" t="str">
        <f>IFERROR(IF(INDEX(자격증DB!G:G, MATCH($D78, 자격증DB!$A:$A, 0))=0, "", INDEX(자격증DB!G:G, MATCH($D78, 자격증DB!$A:$A, 0))), "")</f>
        <v>학술(CC)</v>
      </c>
      <c r="O78" s="153" t="str">
        <f>IFERROR(IF(INDEX(자격증DB!H:H, MATCH($D78, 자격증DB!$A:$A, 0))=0, "", INDEX(자격증DB!H:H, MATCH($D78, 자격증DB!$A:$A, 0))), "")</f>
        <v/>
      </c>
      <c r="P78" s="108" t="str">
        <f>IFERROR(IF(INDEX(자격증DB!I:I, MATCH($D78, 자격증DB!$A:$A, 0))=0, "", INDEX(자격증DB!I:I, MATCH($D78, 자격증DB!$A:$A, 0))), "")</f>
        <v/>
      </c>
      <c r="Q78" s="108" t="str">
        <f>IFERROR(IF(INDEX(자격증DB!J:J, MATCH($D78, 자격증DB!$A:$A, 0))=0, "", INDEX(자격증DB!J:J, MATCH($D78, 자격증DB!$A:$A, 0))), "")</f>
        <v>학술(CC)</v>
      </c>
      <c r="R78" s="108" t="str">
        <f>IFERROR(IF(INDEX(자격증DB!K:K, MATCH($D78, 자격증DB!$A:$A, 0))=0, "", INDEX(자격증DB!K:K, MATCH($D78, 자격증DB!$A:$A, 0))), "")</f>
        <v/>
      </c>
      <c r="S78" s="108" t="str">
        <f>IFERROR(IF(INDEX(자격증DB!L:L, MATCH($D78, 자격증DB!$A:$A, 0))=0, "", INDEX(자격증DB!L:L, MATCH($D78, 자격증DB!$A:$A, 0))), "")</f>
        <v/>
      </c>
      <c r="T78" s="108" t="str">
        <f>IFERROR(IF(INDEX(자격증DB!M:M, MATCH($D78, 자격증DB!$A:$A, 0))=0, "", INDEX(자격증DB!M:M, MATCH($D78, 자격증DB!$A:$A, 0))), "")</f>
        <v/>
      </c>
      <c r="U78" s="108" t="str">
        <f>IFERROR(IF(INDEX(자격증DB!N:N, MATCH($D78, 자격증DB!$A:$A, 0))=0, "", INDEX(자격증DB!N:N, MATCH($D78, 자격증DB!$A:$A, 0))), "")</f>
        <v/>
      </c>
      <c r="V78" s="108" t="str">
        <f>IFERROR(IF(INDEX(자격증DB!O:O, MATCH($D78, 자격증DB!$A:$A, 0))=0, "", INDEX(자격증DB!O:O, MATCH($D78, 자격증DB!$A:$A, 0))), "")</f>
        <v/>
      </c>
      <c r="W78" s="114" t="str">
        <f>IFERROR(IF(INDEX(자격증DB!P:P, MATCH($D78, 자격증DB!$A:$A, 0))=0, "", INDEX(자격증DB!P:P, MATCH($D78, 자격증DB!$A:$A, 0))), "")</f>
        <v/>
      </c>
      <c r="X78"/>
      <c r="Y78" s="227" t="str">
        <f>A78 &amp; "_" &amp; "자격증_" &amp; COUNTIFS($A$2:A78, A78)</f>
        <v>표순천_자격증_3</v>
      </c>
      <c r="Z78" s="227" t="str">
        <f>D78 &amp; "_" &amp;"자격증_" &amp;  COUNTIFS($D$2:D78, D78)</f>
        <v>신용분석사_자격증_1</v>
      </c>
    </row>
    <row r="79" spans="1:26" ht="20.100000000000001" customHeight="1">
      <c r="A79" s="204" t="s">
        <v>20</v>
      </c>
      <c r="B79" s="160" t="str">
        <f>IFERROR(INDEX(개인DB!C:C, MATCH($A79, 개인DB!B:B, 0)), "")</f>
        <v>원가분석</v>
      </c>
      <c r="C79" s="160" t="str">
        <f>IFERROR(INDEX(개인DB!D:D, MATCH($A79, 개인DB!B:B, 0)), "")</f>
        <v>위원</v>
      </c>
      <c r="D79" s="229" t="s">
        <v>244</v>
      </c>
      <c r="E79" s="160" t="str">
        <f>IFERROR(INDEX(자격증DB!E:E, MATCH($D79, 자격증DB!A:A, 0)), "")</f>
        <v>민간</v>
      </c>
      <c r="F79" s="132" t="str">
        <f>IFERROR(INDEX(자격증DB!B:B, MATCH($D79, 자격증DB!A:A, 0)), "")</f>
        <v>-</v>
      </c>
      <c r="G79" s="206" t="str">
        <f>IFERROR(INDEX(자격증DB!C:C, MATCH($D79, 자격증DB!A:A, 0)), "")</f>
        <v>한국자격개발원</v>
      </c>
      <c r="H79" s="163" t="str">
        <f>IFERROR(INDEX(자격증DB!F:F, MATCH($D79, 자격증DB!A:A, 0)), "")</f>
        <v>자격증</v>
      </c>
      <c r="I79" s="214">
        <v>38771</v>
      </c>
      <c r="J79" s="214"/>
      <c r="K79" s="237">
        <v>39866</v>
      </c>
      <c r="L79" s="209" t="str">
        <f t="shared" si="4"/>
        <v>PDF</v>
      </c>
      <c r="M79" s="238" t="str">
        <f t="shared" si="5"/>
        <v>약용식물관리사_신광수</v>
      </c>
      <c r="N79" s="239" t="str">
        <f>IFERROR(IF(INDEX(자격증DB!G:G, MATCH($D79, 자격증DB!$A:$A, 0))=0, "", INDEX(자격증DB!G:G, MATCH($D79, 자격증DB!$A:$A, 0))), "")</f>
        <v>학술(CC)</v>
      </c>
      <c r="O79" s="153" t="str">
        <f>IFERROR(IF(INDEX(자격증DB!H:H, MATCH($D79, 자격증DB!$A:$A, 0))=0, "", INDEX(자격증DB!H:H, MATCH($D79, 자격증DB!$A:$A, 0))), "")</f>
        <v/>
      </c>
      <c r="P79" s="108" t="str">
        <f>IFERROR(IF(INDEX(자격증DB!I:I, MATCH($D79, 자격증DB!$A:$A, 0))=0, "", INDEX(자격증DB!I:I, MATCH($D79, 자격증DB!$A:$A, 0))), "")</f>
        <v/>
      </c>
      <c r="Q79" s="108" t="str">
        <f>IFERROR(IF(INDEX(자격증DB!J:J, MATCH($D79, 자격증DB!$A:$A, 0))=0, "", INDEX(자격증DB!J:J, MATCH($D79, 자격증DB!$A:$A, 0))), "")</f>
        <v>학술(CC)</v>
      </c>
      <c r="R79" s="108" t="str">
        <f>IFERROR(IF(INDEX(자격증DB!K:K, MATCH($D79, 자격증DB!$A:$A, 0))=0, "", INDEX(자격증DB!K:K, MATCH($D79, 자격증DB!$A:$A, 0))), "")</f>
        <v/>
      </c>
      <c r="S79" s="108" t="str">
        <f>IFERROR(IF(INDEX(자격증DB!L:L, MATCH($D79, 자격증DB!$A:$A, 0))=0, "", INDEX(자격증DB!L:L, MATCH($D79, 자격증DB!$A:$A, 0))), "")</f>
        <v/>
      </c>
      <c r="T79" s="108" t="str">
        <f>IFERROR(IF(INDEX(자격증DB!M:M, MATCH($D79, 자격증DB!$A:$A, 0))=0, "", INDEX(자격증DB!M:M, MATCH($D79, 자격증DB!$A:$A, 0))), "")</f>
        <v>각종 수수료(CF)</v>
      </c>
      <c r="U79" s="108" t="str">
        <f>IFERROR(IF(INDEX(자격증DB!N:N, MATCH($D79, 자격증DB!$A:$A, 0))=0, "", INDEX(자격증DB!N:N, MATCH($D79, 자격증DB!$A:$A, 0))), "")</f>
        <v/>
      </c>
      <c r="V79" s="108" t="str">
        <f>IFERROR(IF(INDEX(자격증DB!O:O, MATCH($D79, 자격증DB!$A:$A, 0))=0, "", INDEX(자격증DB!O:O, MATCH($D79, 자격증DB!$A:$A, 0))), "")</f>
        <v/>
      </c>
      <c r="W79" s="114" t="str">
        <f>IFERROR(IF(INDEX(자격증DB!P:P, MATCH($D79, 자격증DB!$A:$A, 0))=0, "", INDEX(자격증DB!P:P, MATCH($D79, 자격증DB!$A:$A, 0))), "")</f>
        <v/>
      </c>
      <c r="X79"/>
      <c r="Y79" s="365" t="str">
        <f>A79 &amp; "_" &amp; "자격증_" &amp; COUNTIFS($A$2:A79, A79)</f>
        <v>신광수_자격증_4</v>
      </c>
      <c r="Z79" s="365" t="str">
        <f>D79 &amp; "_" &amp;"자격증_" &amp;  COUNTIFS($D$2:D79, D79)</f>
        <v>약용식물관리사_자격증_1</v>
      </c>
    </row>
    <row r="80" spans="1:26" ht="20.100000000000001" customHeight="1">
      <c r="A80" s="204" t="s">
        <v>0</v>
      </c>
      <c r="B80" s="160" t="str">
        <f>IFERROR(INDEX(개인DB!C:C, MATCH($A80, 개인DB!B:B, 0)), "")</f>
        <v>원장</v>
      </c>
      <c r="C80" s="160" t="str">
        <f>IFERROR(INDEX(개인DB!D:D, MATCH($A80, 개인DB!B:B, 0)), "")</f>
        <v>원장</v>
      </c>
      <c r="D80" s="205" t="s">
        <v>78</v>
      </c>
      <c r="E80" s="160" t="str">
        <f>IFERROR(INDEX(자격증DB!E:E, MATCH($D80, 자격증DB!A:A, 0)), "")</f>
        <v>민간</v>
      </c>
      <c r="F80" s="132" t="str">
        <f>IFERROR(INDEX(자격증DB!B:B, MATCH($D80, 자격증DB!A:A, 0)), "")</f>
        <v>-</v>
      </c>
      <c r="G80" s="206" t="str">
        <f>IFERROR(INDEX(자격증DB!C:C, MATCH($D80, 자격증DB!A:A, 0)), "")</f>
        <v>한국소프트웨어측정원</v>
      </c>
      <c r="H80" s="163" t="str">
        <f>IFERROR(INDEX(자격증DB!F:F, MATCH($D80, 자격증DB!A:A, 0)), "")</f>
        <v>자격증</v>
      </c>
      <c r="I80" s="207">
        <v>43889</v>
      </c>
      <c r="J80" s="207"/>
      <c r="K80" s="208"/>
      <c r="L80" s="209" t="str">
        <f t="shared" si="4"/>
        <v>PDF</v>
      </c>
      <c r="M80" s="210" t="str">
        <f t="shared" si="5"/>
        <v>기능점수측정전문가(K-CFPS)_김민선</v>
      </c>
      <c r="N80" s="211" t="str">
        <f>IFERROR(IF(INDEX(자격증DB!G:G, MATCH($D80, 자격증DB!$A:$A, 0))=0, "", INDEX(자격증DB!G:G, MATCH($D80, 자격증DB!$A:$A, 0))), "")</f>
        <v>SW(CD)</v>
      </c>
      <c r="O80" s="153" t="str">
        <f>IFERROR(IF(INDEX(자격증DB!H:H, MATCH($D80, 자격증DB!$A:$A, 0))=0, "", INDEX(자격증DB!H:H, MATCH($D80, 자격증DB!$A:$A, 0))), "")</f>
        <v/>
      </c>
      <c r="P80" s="108" t="str">
        <f>IFERROR(IF(INDEX(자격증DB!I:I, MATCH($D80, 자격증DB!$A:$A, 0))=0, "", INDEX(자격증DB!I:I, MATCH($D80, 자격증DB!$A:$A, 0))), "")</f>
        <v/>
      </c>
      <c r="Q80" s="108" t="str">
        <f>IFERROR(IF(INDEX(자격증DB!J:J, MATCH($D80, 자격증DB!$A:$A, 0))=0, "", INDEX(자격증DB!J:J, MATCH($D80, 자격증DB!$A:$A, 0))), "")</f>
        <v/>
      </c>
      <c r="R80" s="108" t="str">
        <f>IFERROR(IF(INDEX(자격증DB!K:K, MATCH($D80, 자격증DB!$A:$A, 0))=0, "", INDEX(자격증DB!K:K, MATCH($D80, 자격증DB!$A:$A, 0))), "")</f>
        <v>SW(CD)</v>
      </c>
      <c r="S80" s="108" t="str">
        <f>IFERROR(IF(INDEX(자격증DB!L:L, MATCH($D80, 자격증DB!$A:$A, 0))=0, "", INDEX(자격증DB!L:L, MATCH($D80, 자격증DB!$A:$A, 0))), "")</f>
        <v/>
      </c>
      <c r="T80" s="108" t="str">
        <f>IFERROR(IF(INDEX(자격증DB!M:M, MATCH($D80, 자격증DB!$A:$A, 0))=0, "", INDEX(자격증DB!M:M, MATCH($D80, 자격증DB!$A:$A, 0))), "")</f>
        <v/>
      </c>
      <c r="U80" s="108" t="str">
        <f>IFERROR(IF(INDEX(자격증DB!N:N, MATCH($D80, 자격증DB!$A:$A, 0))=0, "", INDEX(자격증DB!N:N, MATCH($D80, 자격증DB!$A:$A, 0))), "")</f>
        <v/>
      </c>
      <c r="V80" s="108" t="str">
        <f>IFERROR(IF(INDEX(자격증DB!O:O, MATCH($D80, 자격증DB!$A:$A, 0))=0, "", INDEX(자격증DB!O:O, MATCH($D80, 자격증DB!$A:$A, 0))), "")</f>
        <v/>
      </c>
      <c r="W80" s="114" t="str">
        <f>IFERROR(IF(INDEX(자격증DB!P:P, MATCH($D80, 자격증DB!$A:$A, 0))=0, "", INDEX(자격증DB!P:P, MATCH($D80, 자격증DB!$A:$A, 0))), "")</f>
        <v/>
      </c>
      <c r="X80"/>
      <c r="Y80" s="210" t="str">
        <f>A80 &amp; "_" &amp; "자격증_" &amp; COUNTIFS($A$2:A80, A80)</f>
        <v>김민선_자격증_21</v>
      </c>
      <c r="Z80" s="210" t="str">
        <f>D80 &amp; "_" &amp;"자격증_" &amp;  COUNTIFS($D$2:D80, D80)</f>
        <v>기능점수측정전문가(K-CFPS)_자격증_1</v>
      </c>
    </row>
    <row r="81" spans="1:26" ht="20.100000000000001" customHeight="1">
      <c r="A81" s="204" t="s">
        <v>278</v>
      </c>
      <c r="B81" s="160" t="str">
        <f>IFERROR(INDEX(개인DB!C:C, MATCH($A81, 개인DB!B:B, 0)), "")</f>
        <v>원가분석</v>
      </c>
      <c r="C81" s="160" t="str">
        <f>IFERROR(INDEX(개인DB!D:D, MATCH($A81, 개인DB!B:B, 0)), "")</f>
        <v>위원</v>
      </c>
      <c r="D81" s="213" t="s">
        <v>240</v>
      </c>
      <c r="E81" s="160" t="str">
        <f>IFERROR(INDEX(자격증DB!E:E, MATCH($D81, 자격증DB!A:A, 0)), "")</f>
        <v>민간</v>
      </c>
      <c r="F81" s="132" t="str">
        <f>IFERROR(INDEX(자격증DB!B:B, MATCH($D81, 자격증DB!A:A, 0)), "")</f>
        <v>-</v>
      </c>
      <c r="G81" s="206" t="str">
        <f>IFERROR(INDEX(자격증DB!C:C, MATCH($D81, 자격증DB!A:A, 0)), "")</f>
        <v>한국소프트웨어측정원</v>
      </c>
      <c r="H81" s="163" t="str">
        <f>IFERROR(INDEX(자격증DB!F:F, MATCH($D81, 자격증DB!A:A, 0)), "")</f>
        <v>자격증</v>
      </c>
      <c r="I81" s="214">
        <v>43637</v>
      </c>
      <c r="J81" s="214"/>
      <c r="K81" s="226"/>
      <c r="L81" s="209" t="str">
        <f t="shared" si="4"/>
        <v>PDF</v>
      </c>
      <c r="M81" s="227" t="str">
        <f t="shared" si="5"/>
        <v>기능점수측정전문가(K-CFPS)_박희성</v>
      </c>
      <c r="N81" s="228" t="str">
        <f>IFERROR(IF(INDEX(자격증DB!G:G, MATCH($D81, 자격증DB!$A:$A, 0))=0, "", INDEX(자격증DB!G:G, MATCH($D81, 자격증DB!$A:$A, 0))), "")</f>
        <v>SW(CD)</v>
      </c>
      <c r="O81" s="153" t="str">
        <f>IFERROR(IF(INDEX(자격증DB!H:H, MATCH($D81, 자격증DB!$A:$A, 0))=0, "", INDEX(자격증DB!H:H, MATCH($D81, 자격증DB!$A:$A, 0))), "")</f>
        <v/>
      </c>
      <c r="P81" s="108" t="str">
        <f>IFERROR(IF(INDEX(자격증DB!I:I, MATCH($D81, 자격증DB!$A:$A, 0))=0, "", INDEX(자격증DB!I:I, MATCH($D81, 자격증DB!$A:$A, 0))), "")</f>
        <v/>
      </c>
      <c r="Q81" s="108" t="str">
        <f>IFERROR(IF(INDEX(자격증DB!J:J, MATCH($D81, 자격증DB!$A:$A, 0))=0, "", INDEX(자격증DB!J:J, MATCH($D81, 자격증DB!$A:$A, 0))), "")</f>
        <v/>
      </c>
      <c r="R81" s="108" t="str">
        <f>IFERROR(IF(INDEX(자격증DB!K:K, MATCH($D81, 자격증DB!$A:$A, 0))=0, "", INDEX(자격증DB!K:K, MATCH($D81, 자격증DB!$A:$A, 0))), "")</f>
        <v>SW(CD)</v>
      </c>
      <c r="S81" s="108" t="str">
        <f>IFERROR(IF(INDEX(자격증DB!L:L, MATCH($D81, 자격증DB!$A:$A, 0))=0, "", INDEX(자격증DB!L:L, MATCH($D81, 자격증DB!$A:$A, 0))), "")</f>
        <v/>
      </c>
      <c r="T81" s="108" t="str">
        <f>IFERROR(IF(INDEX(자격증DB!M:M, MATCH($D81, 자격증DB!$A:$A, 0))=0, "", INDEX(자격증DB!M:M, MATCH($D81, 자격증DB!$A:$A, 0))), "")</f>
        <v/>
      </c>
      <c r="U81" s="108" t="str">
        <f>IFERROR(IF(INDEX(자격증DB!N:N, MATCH($D81, 자격증DB!$A:$A, 0))=0, "", INDEX(자격증DB!N:N, MATCH($D81, 자격증DB!$A:$A, 0))), "")</f>
        <v/>
      </c>
      <c r="V81" s="108" t="str">
        <f>IFERROR(IF(INDEX(자격증DB!O:O, MATCH($D81, 자격증DB!$A:$A, 0))=0, "", INDEX(자격증DB!O:O, MATCH($D81, 자격증DB!$A:$A, 0))), "")</f>
        <v/>
      </c>
      <c r="W81" s="114" t="str">
        <f>IFERROR(IF(INDEX(자격증DB!P:P, MATCH($D81, 자격증DB!$A:$A, 0))=0, "", INDEX(자격증DB!P:P, MATCH($D81, 자격증DB!$A:$A, 0))), "")</f>
        <v/>
      </c>
      <c r="X81"/>
      <c r="Y81" s="363" t="str">
        <f>A81 &amp; "_" &amp; "자격증_" &amp; COUNTIFS($A$2:A81, A81)</f>
        <v>박희성_자격증_1</v>
      </c>
      <c r="Z81" s="363" t="str">
        <f>D81 &amp; "_" &amp;"자격증_" &amp;  COUNTIFS($D$2:D81, D81)</f>
        <v>기능점수측정전문가(K-CFPS)_자격증_2</v>
      </c>
    </row>
    <row r="82" spans="1:26" ht="20.100000000000001" customHeight="1">
      <c r="A82" s="204" t="s">
        <v>7</v>
      </c>
      <c r="B82" s="160" t="str">
        <f>IFERROR(INDEX(개인DB!C:C, MATCH($A82, 개인DB!B:B, 0)), "")</f>
        <v>원가분석</v>
      </c>
      <c r="C82" s="160" t="str">
        <f>IFERROR(INDEX(개인DB!D:D, MATCH($A82, 개인DB!B:B, 0)), "")</f>
        <v>위원</v>
      </c>
      <c r="D82" s="229" t="s">
        <v>217</v>
      </c>
      <c r="E82" s="160" t="str">
        <f>IFERROR(INDEX(자격증DB!E:E, MATCH($D82, 자격증DB!A:A, 0)), "")</f>
        <v>기사</v>
      </c>
      <c r="F82" s="132" t="str">
        <f>IFERROR(INDEX(자격증DB!B:B, MATCH($D82, 자격증DB!A:A, 0)), "")</f>
        <v>과학기술정보통신부</v>
      </c>
      <c r="G82" s="206" t="str">
        <f>IFERROR(INDEX(자격증DB!C:C, MATCH($D82, 자격증DB!A:A, 0)), "")</f>
        <v>한국산업인력공단</v>
      </c>
      <c r="H82" s="163" t="str">
        <f>IFERROR(INDEX(자격증DB!F:F, MATCH($D82, 자격증DB!A:A, 0)), "")</f>
        <v>자격증</v>
      </c>
      <c r="I82" s="230">
        <v>38215</v>
      </c>
      <c r="J82" s="207"/>
      <c r="K82" s="208"/>
      <c r="L82" s="209" t="str">
        <f t="shared" si="4"/>
        <v>PDF</v>
      </c>
      <c r="M82" s="210" t="str">
        <f t="shared" si="5"/>
        <v>정보처리기사_김대식</v>
      </c>
      <c r="N82" s="211" t="str">
        <f>IFERROR(IF(INDEX(자격증DB!G:G, MATCH($D82, 자격증DB!$A:$A, 0))=0, "", INDEX(자격증DB!G:G, MATCH($D82, 자격증DB!$A:$A, 0))), "")</f>
        <v>SW(CD)</v>
      </c>
      <c r="O82" s="153" t="str">
        <f>IFERROR(IF(INDEX(자격증DB!H:H, MATCH($D82, 자격증DB!$A:$A, 0))=0, "", INDEX(자격증DB!H:H, MATCH($D82, 자격증DB!$A:$A, 0))), "")</f>
        <v/>
      </c>
      <c r="P82" s="108" t="str">
        <f>IFERROR(IF(INDEX(자격증DB!I:I, MATCH($D82, 자격증DB!$A:$A, 0))=0, "", INDEX(자격증DB!I:I, MATCH($D82, 자격증DB!$A:$A, 0))), "")</f>
        <v/>
      </c>
      <c r="Q82" s="108" t="str">
        <f>IFERROR(IF(INDEX(자격증DB!J:J, MATCH($D82, 자격증DB!$A:$A, 0))=0, "", INDEX(자격증DB!J:J, MATCH($D82, 자격증DB!$A:$A, 0))), "")</f>
        <v/>
      </c>
      <c r="R82" s="108" t="str">
        <f>IFERROR(IF(INDEX(자격증DB!K:K, MATCH($D82, 자격증DB!$A:$A, 0))=0, "", INDEX(자격증DB!K:K, MATCH($D82, 자격증DB!$A:$A, 0))), "")</f>
        <v>SW(CD)</v>
      </c>
      <c r="S82" s="108" t="str">
        <f>IFERROR(IF(INDEX(자격증DB!L:L, MATCH($D82, 자격증DB!$A:$A, 0))=0, "", INDEX(자격증DB!L:L, MATCH($D82, 자격증DB!$A:$A, 0))), "")</f>
        <v/>
      </c>
      <c r="T82" s="108" t="str">
        <f>IFERROR(IF(INDEX(자격증DB!M:M, MATCH($D82, 자격증DB!$A:$A, 0))=0, "", INDEX(자격증DB!M:M, MATCH($D82, 자격증DB!$A:$A, 0))), "")</f>
        <v/>
      </c>
      <c r="U82" s="108" t="str">
        <f>IFERROR(IF(INDEX(자격증DB!N:N, MATCH($D82, 자격증DB!$A:$A, 0))=0, "", INDEX(자격증DB!N:N, MATCH($D82, 자격증DB!$A:$A, 0))), "")</f>
        <v/>
      </c>
      <c r="V82" s="108" t="str">
        <f>IFERROR(IF(INDEX(자격증DB!O:O, MATCH($D82, 자격증DB!$A:$A, 0))=0, "", INDEX(자격증DB!O:O, MATCH($D82, 자격증DB!$A:$A, 0))), "")</f>
        <v/>
      </c>
      <c r="W82" s="114" t="str">
        <f>IFERROR(IF(INDEX(자격증DB!P:P, MATCH($D82, 자격증DB!$A:$A, 0))=0, "", INDEX(자격증DB!P:P, MATCH($D82, 자격증DB!$A:$A, 0))), "")</f>
        <v/>
      </c>
      <c r="X82"/>
      <c r="Y82" s="210" t="str">
        <f>A82 &amp; "_" &amp; "자격증_" &amp; COUNTIFS($A$2:A82, A82)</f>
        <v>김대식_자격증_2</v>
      </c>
      <c r="Z82" s="210" t="str">
        <f>D82 &amp; "_" &amp;"자격증_" &amp;  COUNTIFS($D$2:D82, D82)</f>
        <v>정보처리기사_자격증_1</v>
      </c>
    </row>
    <row r="83" spans="1:26" ht="20.100000000000001" customHeight="1">
      <c r="A83" s="204" t="s">
        <v>18</v>
      </c>
      <c r="B83" s="160" t="str">
        <f>IFERROR(INDEX(개인DB!C:C, MATCH($A83, 개인DB!B:B, 0)), "")</f>
        <v>원가분석</v>
      </c>
      <c r="C83" s="160" t="str">
        <f>IFERROR(INDEX(개인DB!D:D, MATCH($A83, 개인DB!B:B, 0)), "")</f>
        <v>위원</v>
      </c>
      <c r="D83" s="229" t="s">
        <v>238</v>
      </c>
      <c r="E83" s="160" t="str">
        <f>IFERROR(INDEX(자격증DB!E:E, MATCH($D83, 자격증DB!A:A, 0)), "")</f>
        <v>외국</v>
      </c>
      <c r="F83" s="132" t="str">
        <f>IFERROR(INDEX(자격증DB!B:B, MATCH($D83, 자격증DB!A:A, 0)), "")</f>
        <v>-</v>
      </c>
      <c r="G83" s="206" t="str">
        <f>IFERROR(INDEX(자격증DB!C:C, MATCH($D83, 자격증DB!A:A, 0)), "")</f>
        <v>(국제)정보시스템 감사통제협회(ISACA)</v>
      </c>
      <c r="H83" s="163" t="str">
        <f>IFERROR(INDEX(자격증DB!F:F, MATCH($D83, 자격증DB!A:A, 0)), "")</f>
        <v>자격증</v>
      </c>
      <c r="I83" s="214">
        <v>37146</v>
      </c>
      <c r="J83" s="214"/>
      <c r="K83" s="226"/>
      <c r="L83" s="209" t="str">
        <f t="shared" si="4"/>
        <v>PDF</v>
      </c>
      <c r="M83" s="227" t="str">
        <f t="shared" si="5"/>
        <v>CISA(certified Information Systems Auditor)_박희성</v>
      </c>
      <c r="N83" s="228" t="str">
        <f>IFERROR(IF(INDEX(자격증DB!G:G, MATCH($D83, 자격증DB!$A:$A, 0))=0, "", INDEX(자격증DB!G:G, MATCH($D83, 자격증DB!$A:$A, 0))), "")</f>
        <v>SW(CD)</v>
      </c>
      <c r="O83" s="153" t="str">
        <f>IFERROR(IF(INDEX(자격증DB!H:H, MATCH($D83, 자격증DB!$A:$A, 0))=0, "", INDEX(자격증DB!H:H, MATCH($D83, 자격증DB!$A:$A, 0))), "")</f>
        <v/>
      </c>
      <c r="P83" s="108" t="str">
        <f>IFERROR(IF(INDEX(자격증DB!I:I, MATCH($D83, 자격증DB!$A:$A, 0))=0, "", INDEX(자격증DB!I:I, MATCH($D83, 자격증DB!$A:$A, 0))), "")</f>
        <v/>
      </c>
      <c r="Q83" s="108" t="str">
        <f>IFERROR(IF(INDEX(자격증DB!J:J, MATCH($D83, 자격증DB!$A:$A, 0))=0, "", INDEX(자격증DB!J:J, MATCH($D83, 자격증DB!$A:$A, 0))), "")</f>
        <v/>
      </c>
      <c r="R83" s="108" t="str">
        <f>IFERROR(IF(INDEX(자격증DB!K:K, MATCH($D83, 자격증DB!$A:$A, 0))=0, "", INDEX(자격증DB!K:K, MATCH($D83, 자격증DB!$A:$A, 0))), "")</f>
        <v>SW(CD)</v>
      </c>
      <c r="S83" s="108" t="str">
        <f>IFERROR(IF(INDEX(자격증DB!L:L, MATCH($D83, 자격증DB!$A:$A, 0))=0, "", INDEX(자격증DB!L:L, MATCH($D83, 자격증DB!$A:$A, 0))), "")</f>
        <v/>
      </c>
      <c r="T83" s="108" t="str">
        <f>IFERROR(IF(INDEX(자격증DB!M:M, MATCH($D83, 자격증DB!$A:$A, 0))=0, "", INDEX(자격증DB!M:M, MATCH($D83, 자격증DB!$A:$A, 0))), "")</f>
        <v/>
      </c>
      <c r="U83" s="108" t="str">
        <f>IFERROR(IF(INDEX(자격증DB!N:N, MATCH($D83, 자격증DB!$A:$A, 0))=0, "", INDEX(자격증DB!N:N, MATCH($D83, 자격증DB!$A:$A, 0))), "")</f>
        <v/>
      </c>
      <c r="V83" s="108" t="str">
        <f>IFERROR(IF(INDEX(자격증DB!O:O, MATCH($D83, 자격증DB!$A:$A, 0))=0, "", INDEX(자격증DB!O:O, MATCH($D83, 자격증DB!$A:$A, 0))), "")</f>
        <v/>
      </c>
      <c r="W83" s="114" t="str">
        <f>IFERROR(IF(INDEX(자격증DB!P:P, MATCH($D83, 자격증DB!$A:$A, 0))=0, "", INDEX(자격증DB!P:P, MATCH($D83, 자격증DB!$A:$A, 0))), "")</f>
        <v/>
      </c>
      <c r="X83"/>
      <c r="Y83" s="363" t="str">
        <f>A83 &amp; "_" &amp; "자격증_" &amp; COUNTIFS($A$2:A83, A83)</f>
        <v>박희성_자격증_2</v>
      </c>
      <c r="Z83" s="363" t="str">
        <f>D83 &amp; "_" &amp;"자격증_" &amp;  COUNTIFS($D$2:D83, D83)</f>
        <v>CISA(certified Information Systems Auditor)_자격증_1</v>
      </c>
    </row>
    <row r="84" spans="1:26" ht="20.100000000000001" customHeight="1">
      <c r="A84" s="204" t="s">
        <v>0</v>
      </c>
      <c r="B84" s="160" t="str">
        <f>IFERROR(INDEX(개인DB!C:C, MATCH($A84, 개인DB!B:B, 0)), "")</f>
        <v>원장</v>
      </c>
      <c r="C84" s="160" t="str">
        <f>IFERROR(INDEX(개인DB!D:D, MATCH($A84, 개인DB!B:B, 0)), "")</f>
        <v>원장</v>
      </c>
      <c r="D84" s="205" t="s">
        <v>74</v>
      </c>
      <c r="E84" s="160" t="str">
        <f>IFERROR(INDEX(자격증DB!E:E, MATCH($D84, 자격증DB!A:A, 0)), "")</f>
        <v>민간</v>
      </c>
      <c r="F84" s="132" t="str">
        <f>IFERROR(INDEX(자격증DB!B:B, MATCH($D84, 자격증DB!A:A, 0)), "")</f>
        <v>-</v>
      </c>
      <c r="G84" s="206" t="str">
        <f>IFERROR(INDEX(자격증DB!C:C, MATCH($D84, 자격증DB!A:A, 0)), "")</f>
        <v>한국생산성본부</v>
      </c>
      <c r="H84" s="163" t="str">
        <f>IFERROR(INDEX(자격증DB!F:F, MATCH($D84, 자격증DB!A:A, 0)), "")</f>
        <v>자격증</v>
      </c>
      <c r="I84" s="207">
        <v>43455</v>
      </c>
      <c r="J84" s="207"/>
      <c r="K84" s="208"/>
      <c r="L84" s="209" t="str">
        <f t="shared" si="4"/>
        <v>PDF</v>
      </c>
      <c r="M84" s="210" t="str">
        <f t="shared" si="5"/>
        <v>데이터 사이언티스트 능력 인증(DSAC)_김민선</v>
      </c>
      <c r="N84" s="211" t="str">
        <f>IFERROR(IF(INDEX(자격증DB!G:G, MATCH($D84, 자격증DB!$A:$A, 0))=0, "", INDEX(자격증DB!G:G, MATCH($D84, 자격증DB!$A:$A, 0))), "")</f>
        <v>SW(CD)</v>
      </c>
      <c r="O84" s="153" t="str">
        <f>IFERROR(IF(INDEX(자격증DB!H:H, MATCH($D84, 자격증DB!$A:$A, 0))=0, "", INDEX(자격증DB!H:H, MATCH($D84, 자격증DB!$A:$A, 0))), "")</f>
        <v/>
      </c>
      <c r="P84" s="108" t="str">
        <f>IFERROR(IF(INDEX(자격증DB!I:I, MATCH($D84, 자격증DB!$A:$A, 0))=0, "", INDEX(자격증DB!I:I, MATCH($D84, 자격증DB!$A:$A, 0))), "")</f>
        <v/>
      </c>
      <c r="Q84" s="108" t="str">
        <f>IFERROR(IF(INDEX(자격증DB!J:J, MATCH($D84, 자격증DB!$A:$A, 0))=0, "", INDEX(자격증DB!J:J, MATCH($D84, 자격증DB!$A:$A, 0))), "")</f>
        <v/>
      </c>
      <c r="R84" s="108" t="str">
        <f>IFERROR(IF(INDEX(자격증DB!K:K, MATCH($D84, 자격증DB!$A:$A, 0))=0, "", INDEX(자격증DB!K:K, MATCH($D84, 자격증DB!$A:$A, 0))), "")</f>
        <v>SW(CD)</v>
      </c>
      <c r="S84" s="108" t="str">
        <f>IFERROR(IF(INDEX(자격증DB!L:L, MATCH($D84, 자격증DB!$A:$A, 0))=0, "", INDEX(자격증DB!L:L, MATCH($D84, 자격증DB!$A:$A, 0))), "")</f>
        <v/>
      </c>
      <c r="T84" s="108" t="str">
        <f>IFERROR(IF(INDEX(자격증DB!M:M, MATCH($D84, 자격증DB!$A:$A, 0))=0, "", INDEX(자격증DB!M:M, MATCH($D84, 자격증DB!$A:$A, 0))), "")</f>
        <v/>
      </c>
      <c r="U84" s="108" t="str">
        <f>IFERROR(IF(INDEX(자격증DB!N:N, MATCH($D84, 자격증DB!$A:$A, 0))=0, "", INDEX(자격증DB!N:N, MATCH($D84, 자격증DB!$A:$A, 0))), "")</f>
        <v/>
      </c>
      <c r="V84" s="108" t="str">
        <f>IFERROR(IF(INDEX(자격증DB!O:O, MATCH($D84, 자격증DB!$A:$A, 0))=0, "", INDEX(자격증DB!O:O, MATCH($D84, 자격증DB!$A:$A, 0))), "")</f>
        <v/>
      </c>
      <c r="W84" s="114" t="str">
        <f>IFERROR(IF(INDEX(자격증DB!P:P, MATCH($D84, 자격증DB!$A:$A, 0))=0, "", INDEX(자격증DB!P:P, MATCH($D84, 자격증DB!$A:$A, 0))), "")</f>
        <v/>
      </c>
      <c r="X84"/>
      <c r="Y84" s="210" t="str">
        <f>A84 &amp; "_" &amp; "자격증_" &amp; COUNTIFS($A$2:A84, A84)</f>
        <v>김민선_자격증_22</v>
      </c>
      <c r="Z84" s="210" t="str">
        <f>D84 &amp; "_" &amp;"자격증_" &amp;  COUNTIFS($D$2:D84, D84)</f>
        <v>데이터 사이언티스트 능력 인증(DSAC)_자격증_1</v>
      </c>
    </row>
    <row r="85" spans="1:26" ht="20.100000000000001" customHeight="1">
      <c r="A85" s="204" t="s">
        <v>278</v>
      </c>
      <c r="B85" s="160" t="str">
        <f>IFERROR(INDEX(개인DB!C:C, MATCH($A85, 개인DB!B:B, 0)), "")</f>
        <v>원가분석</v>
      </c>
      <c r="C85" s="160" t="str">
        <f>IFERROR(INDEX(개인DB!D:D, MATCH($A85, 개인DB!B:B, 0)), "")</f>
        <v>위원</v>
      </c>
      <c r="D85" s="213" t="s">
        <v>438</v>
      </c>
      <c r="E85" s="160" t="str">
        <f>IFERROR(INDEX(자격증DB!E:E, MATCH($D85, 자격증DB!A:A, 0)), "")</f>
        <v>민간</v>
      </c>
      <c r="F85" s="132" t="str">
        <f>IFERROR(INDEX(자격증DB!B:B, MATCH($D85, 자격증DB!A:A, 0)), "")</f>
        <v>-</v>
      </c>
      <c r="G85" s="206" t="str">
        <f>IFERROR(INDEX(자격증DB!C:C, MATCH($D85, 자격증DB!A:A, 0)), "")</f>
        <v>정보통신산업진흥원</v>
      </c>
      <c r="H85" s="163" t="str">
        <f>IFERROR(INDEX(자격증DB!F:F, MATCH($D85, 자격증DB!A:A, 0)), "")</f>
        <v>자격증</v>
      </c>
      <c r="I85" s="214">
        <v>41436</v>
      </c>
      <c r="J85" s="214"/>
      <c r="K85" s="226"/>
      <c r="L85" s="209" t="str">
        <f t="shared" si="4"/>
        <v>PDF</v>
      </c>
      <c r="M85" s="227" t="str">
        <f t="shared" si="5"/>
        <v>SW프로세스품질인증심사원_박희성</v>
      </c>
      <c r="N85" s="228" t="str">
        <f>IFERROR(IF(INDEX(자격증DB!G:G, MATCH($D85, 자격증DB!$A:$A, 0))=0, "", INDEX(자격증DB!G:G, MATCH($D85, 자격증DB!$A:$A, 0))), "")</f>
        <v>SW(CD)</v>
      </c>
      <c r="O85" s="153" t="str">
        <f>IFERROR(IF(INDEX(자격증DB!H:H, MATCH($D85, 자격증DB!$A:$A, 0))=0, "", INDEX(자격증DB!H:H, MATCH($D85, 자격증DB!$A:$A, 0))), "")</f>
        <v/>
      </c>
      <c r="P85" s="108" t="str">
        <f>IFERROR(IF(INDEX(자격증DB!I:I, MATCH($D85, 자격증DB!$A:$A, 0))=0, "", INDEX(자격증DB!I:I, MATCH($D85, 자격증DB!$A:$A, 0))), "")</f>
        <v/>
      </c>
      <c r="Q85" s="108" t="str">
        <f>IFERROR(IF(INDEX(자격증DB!J:J, MATCH($D85, 자격증DB!$A:$A, 0))=0, "", INDEX(자격증DB!J:J, MATCH($D85, 자격증DB!$A:$A, 0))), "")</f>
        <v/>
      </c>
      <c r="R85" s="108" t="str">
        <f>IFERROR(IF(INDEX(자격증DB!K:K, MATCH($D85, 자격증DB!$A:$A, 0))=0, "", INDEX(자격증DB!K:K, MATCH($D85, 자격증DB!$A:$A, 0))), "")</f>
        <v>SW(CD)</v>
      </c>
      <c r="S85" s="108" t="str">
        <f>IFERROR(IF(INDEX(자격증DB!L:L, MATCH($D85, 자격증DB!$A:$A, 0))=0, "", INDEX(자격증DB!L:L, MATCH($D85, 자격증DB!$A:$A, 0))), "")</f>
        <v/>
      </c>
      <c r="T85" s="108" t="str">
        <f>IFERROR(IF(INDEX(자격증DB!M:M, MATCH($D85, 자격증DB!$A:$A, 0))=0, "", INDEX(자격증DB!M:M, MATCH($D85, 자격증DB!$A:$A, 0))), "")</f>
        <v/>
      </c>
      <c r="U85" s="108" t="str">
        <f>IFERROR(IF(INDEX(자격증DB!N:N, MATCH($D85, 자격증DB!$A:$A, 0))=0, "", INDEX(자격증DB!N:N, MATCH($D85, 자격증DB!$A:$A, 0))), "")</f>
        <v/>
      </c>
      <c r="V85" s="108" t="str">
        <f>IFERROR(IF(INDEX(자격증DB!O:O, MATCH($D85, 자격증DB!$A:$A, 0))=0, "", INDEX(자격증DB!O:O, MATCH($D85, 자격증DB!$A:$A, 0))), "")</f>
        <v/>
      </c>
      <c r="W85" s="114" t="str">
        <f>IFERROR(IF(INDEX(자격증DB!P:P, MATCH($D85, 자격증DB!$A:$A, 0))=0, "", INDEX(자격증DB!P:P, MATCH($D85, 자격증DB!$A:$A, 0))), "")</f>
        <v/>
      </c>
      <c r="X85"/>
      <c r="Y85" s="363" t="str">
        <f>A85 &amp; "_" &amp; "자격증_" &amp; COUNTIFS($A$2:A85, A85)</f>
        <v>박희성_자격증_3</v>
      </c>
      <c r="Z85" s="363" t="str">
        <f>D85 &amp; "_" &amp;"자격증_" &amp;  COUNTIFS($D$2:D85, D85)</f>
        <v>SW프로세스품질인증심사원_자격증_1</v>
      </c>
    </row>
    <row r="86" spans="1:26" ht="20.100000000000001" customHeight="1">
      <c r="A86" s="204" t="s">
        <v>10</v>
      </c>
      <c r="B86" s="160" t="str">
        <f>IFERROR(INDEX(개인DB!C:C, MATCH($A86, 개인DB!B:B, 0)), "")</f>
        <v>건설사업</v>
      </c>
      <c r="C86" s="160" t="str">
        <f>IFERROR(INDEX(개인DB!D:D, MATCH($A86, 개인DB!B:B, 0)), "")</f>
        <v>전임연구원</v>
      </c>
      <c r="D86" s="212" t="s">
        <v>132</v>
      </c>
      <c r="E86" s="160" t="str">
        <f>IFERROR(INDEX(자격증DB!E:E, MATCH($D86, 자격증DB!A:A, 0)), "")</f>
        <v>기능사</v>
      </c>
      <c r="F86" s="132" t="str">
        <f>IFERROR(INDEX(자격증DB!B:B, MATCH($D86, 자격증DB!A:A, 0)), "")</f>
        <v>-</v>
      </c>
      <c r="G86" s="206" t="str">
        <f>IFERROR(INDEX(자격증DB!C:C, MATCH($D86, 자격증DB!A:A, 0)), "")</f>
        <v>한국산업인력공단</v>
      </c>
      <c r="H86" s="163" t="str">
        <f>IFERROR(INDEX(자격증DB!F:F, MATCH($D86, 자격증DB!A:A, 0)), "")</f>
        <v>자격증</v>
      </c>
      <c r="I86" s="231">
        <v>41453</v>
      </c>
      <c r="J86" s="207"/>
      <c r="K86" s="208"/>
      <c r="L86" s="209" t="str">
        <f t="shared" si="4"/>
        <v>PDF</v>
      </c>
      <c r="M86" s="210" t="str">
        <f t="shared" si="5"/>
        <v>컴퓨터그래픽기능사_김연화</v>
      </c>
      <c r="N86" s="211" t="str">
        <f>IFERROR(IF(INDEX(자격증DB!G:G, MATCH($D86, 자격증DB!$A:$A, 0))=0, "", INDEX(자격증DB!G:G, MATCH($D86, 자격증DB!$A:$A, 0))), "")</f>
        <v>SW(CD)</v>
      </c>
      <c r="O86" s="153" t="str">
        <f>IFERROR(IF(INDEX(자격증DB!H:H, MATCH($D86, 자격증DB!$A:$A, 0))=0, "", INDEX(자격증DB!H:H, MATCH($D86, 자격증DB!$A:$A, 0))), "")</f>
        <v/>
      </c>
      <c r="P86" s="108" t="str">
        <f>IFERROR(IF(INDEX(자격증DB!I:I, MATCH($D86, 자격증DB!$A:$A, 0))=0, "", INDEX(자격증DB!I:I, MATCH($D86, 자격증DB!$A:$A, 0))), "")</f>
        <v/>
      </c>
      <c r="Q86" s="108" t="str">
        <f>IFERROR(IF(INDEX(자격증DB!J:J, MATCH($D86, 자격증DB!$A:$A, 0))=0, "", INDEX(자격증DB!J:J, MATCH($D86, 자격증DB!$A:$A, 0))), "")</f>
        <v/>
      </c>
      <c r="R86" s="108" t="str">
        <f>IFERROR(IF(INDEX(자격증DB!K:K, MATCH($D86, 자격증DB!$A:$A, 0))=0, "", INDEX(자격증DB!K:K, MATCH($D86, 자격증DB!$A:$A, 0))), "")</f>
        <v>SW(CD)</v>
      </c>
      <c r="S86" s="108" t="str">
        <f>IFERROR(IF(INDEX(자격증DB!L:L, MATCH($D86, 자격증DB!$A:$A, 0))=0, "", INDEX(자격증DB!L:L, MATCH($D86, 자격증DB!$A:$A, 0))), "")</f>
        <v/>
      </c>
      <c r="T86" s="108" t="str">
        <f>IFERROR(IF(INDEX(자격증DB!M:M, MATCH($D86, 자격증DB!$A:$A, 0))=0, "", INDEX(자격증DB!M:M, MATCH($D86, 자격증DB!$A:$A, 0))), "")</f>
        <v/>
      </c>
      <c r="U86" s="108" t="str">
        <f>IFERROR(IF(INDEX(자격증DB!N:N, MATCH($D86, 자격증DB!$A:$A, 0))=0, "", INDEX(자격증DB!N:N, MATCH($D86, 자격증DB!$A:$A, 0))), "")</f>
        <v/>
      </c>
      <c r="V86" s="108" t="str">
        <f>IFERROR(IF(INDEX(자격증DB!O:O, MATCH($D86, 자격증DB!$A:$A, 0))=0, "", INDEX(자격증DB!O:O, MATCH($D86, 자격증DB!$A:$A, 0))), "")</f>
        <v/>
      </c>
      <c r="W86" s="114" t="str">
        <f>IFERROR(IF(INDEX(자격증DB!P:P, MATCH($D86, 자격증DB!$A:$A, 0))=0, "", INDEX(자격증DB!P:P, MATCH($D86, 자격증DB!$A:$A, 0))), "")</f>
        <v/>
      </c>
      <c r="X86"/>
      <c r="Y86" s="210" t="str">
        <f>A86 &amp; "_" &amp; "자격증_" &amp; COUNTIFS($A$2:A86, A86)</f>
        <v>김연화_자격증_5</v>
      </c>
      <c r="Z86" s="210" t="str">
        <f>D86 &amp; "_" &amp;"자격증_" &amp;  COUNTIFS($D$2:D86, D86)</f>
        <v>컴퓨터그래픽기능사_자격증_1</v>
      </c>
    </row>
    <row r="87" spans="1:26" ht="20.100000000000001" customHeight="1">
      <c r="A87" s="204" t="s">
        <v>29</v>
      </c>
      <c r="B87" s="160" t="str">
        <f>IFERROR(INDEX(개인DB!C:C, MATCH($A87, 개인DB!B:B, 0)), "")</f>
        <v>원가분석</v>
      </c>
      <c r="C87" s="160" t="str">
        <f>IFERROR(INDEX(개인DB!D:D, MATCH($A87, 개인DB!B:B, 0)), "")</f>
        <v>주임연구원</v>
      </c>
      <c r="D87" s="232" t="s">
        <v>152</v>
      </c>
      <c r="E87" s="160" t="str">
        <f>IFERROR(INDEX(자격증DB!E:E, MATCH($D87, 자격증DB!A:A, 0)), "")</f>
        <v>민간(국가)</v>
      </c>
      <c r="F87" s="132" t="str">
        <f>IFERROR(INDEX(자격증DB!B:B, MATCH($D87, 자격증DB!A:A, 0)), "")</f>
        <v>고용노동부</v>
      </c>
      <c r="G87" s="206" t="str">
        <f>IFERROR(INDEX(자격증DB!C:C, MATCH($D87, 자격증DB!A:A, 0)), "")</f>
        <v>대한상공회의소</v>
      </c>
      <c r="H87" s="163" t="str">
        <f>IFERROR(INDEX(자격증DB!F:F, MATCH($D87, 자격증DB!A:A, 0)), "")</f>
        <v>자격증</v>
      </c>
      <c r="I87" s="233">
        <v>45352</v>
      </c>
      <c r="J87" s="233"/>
      <c r="K87" s="226"/>
      <c r="L87" s="209" t="str">
        <f t="shared" si="4"/>
        <v>PDF</v>
      </c>
      <c r="M87" s="227" t="str">
        <f t="shared" si="5"/>
        <v>컴퓨터활용능력 2급_장연주</v>
      </c>
      <c r="N87" s="228" t="str">
        <f>IFERROR(IF(INDEX(자격증DB!G:G, MATCH($D87, 자격증DB!$A:$A, 0))=0, "", INDEX(자격증DB!G:G, MATCH($D87, 자격증DB!$A:$A, 0))), "")</f>
        <v>SW(CD)</v>
      </c>
      <c r="O87" s="153" t="str">
        <f>IFERROR(IF(INDEX(자격증DB!H:H, MATCH($D87, 자격증DB!$A:$A, 0))=0, "", INDEX(자격증DB!H:H, MATCH($D87, 자격증DB!$A:$A, 0))), "")</f>
        <v/>
      </c>
      <c r="P87" s="108" t="str">
        <f>IFERROR(IF(INDEX(자격증DB!I:I, MATCH($D87, 자격증DB!$A:$A, 0))=0, "", INDEX(자격증DB!I:I, MATCH($D87, 자격증DB!$A:$A, 0))), "")</f>
        <v/>
      </c>
      <c r="Q87" s="108" t="str">
        <f>IFERROR(IF(INDEX(자격증DB!J:J, MATCH($D87, 자격증DB!$A:$A, 0))=0, "", INDEX(자격증DB!J:J, MATCH($D87, 자격증DB!$A:$A, 0))), "")</f>
        <v/>
      </c>
      <c r="R87" s="108" t="str">
        <f>IFERROR(IF(INDEX(자격증DB!K:K, MATCH($D87, 자격증DB!$A:$A, 0))=0, "", INDEX(자격증DB!K:K, MATCH($D87, 자격증DB!$A:$A, 0))), "")</f>
        <v/>
      </c>
      <c r="S87" s="108" t="str">
        <f>IFERROR(IF(INDEX(자격증DB!L:L, MATCH($D87, 자격증DB!$A:$A, 0))=0, "", INDEX(자격증DB!L:L, MATCH($D87, 자격증DB!$A:$A, 0))), "")</f>
        <v/>
      </c>
      <c r="T87" s="108" t="str">
        <f>IFERROR(IF(INDEX(자격증DB!M:M, MATCH($D87, 자격증DB!$A:$A, 0))=0, "", INDEX(자격증DB!M:M, MATCH($D87, 자격증DB!$A:$A, 0))), "")</f>
        <v>각종 수수료(CF)</v>
      </c>
      <c r="U87" s="108" t="str">
        <f>IFERROR(IF(INDEX(자격증DB!N:N, MATCH($D87, 자격증DB!$A:$A, 0))=0, "", INDEX(자격증DB!N:N, MATCH($D87, 자격증DB!$A:$A, 0))), "")</f>
        <v/>
      </c>
      <c r="V87" s="108" t="str">
        <f>IFERROR(IF(INDEX(자격증DB!O:O, MATCH($D87, 자격증DB!$A:$A, 0))=0, "", INDEX(자격증DB!O:O, MATCH($D87, 자격증DB!$A:$A, 0))), "")</f>
        <v/>
      </c>
      <c r="W87" s="114" t="str">
        <f>IFERROR(IF(INDEX(자격증DB!P:P, MATCH($D87, 자격증DB!$A:$A, 0))=0, "", INDEX(자격증DB!P:P, MATCH($D87, 자격증DB!$A:$A, 0))), "")</f>
        <v/>
      </c>
      <c r="X87"/>
      <c r="Y87" s="363" t="str">
        <f>A87 &amp; "_" &amp; "자격증_" &amp; COUNTIFS($A$2:A87, A87)</f>
        <v>장연주_자격증_2</v>
      </c>
      <c r="Z87" s="363" t="str">
        <f>D87 &amp; "_" &amp;"자격증_" &amp;  COUNTIFS($D$2:D87, D87)</f>
        <v>컴퓨터활용능력 2급_자격증_1</v>
      </c>
    </row>
    <row r="88" spans="1:26" ht="20.100000000000001" customHeight="1">
      <c r="A88" s="204" t="s">
        <v>10</v>
      </c>
      <c r="B88" s="160" t="str">
        <f>IFERROR(INDEX(개인DB!C:C, MATCH($A88, 개인DB!B:B, 0)), "")</f>
        <v>건설사업</v>
      </c>
      <c r="C88" s="160" t="str">
        <f>IFERROR(INDEX(개인DB!D:D, MATCH($A88, 개인DB!B:B, 0)), "")</f>
        <v>전임연구원</v>
      </c>
      <c r="D88" s="212" t="s">
        <v>130</v>
      </c>
      <c r="E88" s="160" t="str">
        <f>IFERROR(INDEX(자격증DB!E:E, MATCH($D88, 자격증DB!A:A, 0)), "")</f>
        <v>기능사</v>
      </c>
      <c r="F88" s="132" t="str">
        <f>IFERROR(INDEX(자격증DB!B:B, MATCH($D88, 자격증DB!A:A, 0)), "")</f>
        <v>-</v>
      </c>
      <c r="G88" s="206" t="str">
        <f>IFERROR(INDEX(자격증DB!C:C, MATCH($D88, 자격증DB!A:A, 0)), "")</f>
        <v>한국산업인력공단</v>
      </c>
      <c r="H88" s="163" t="str">
        <f>IFERROR(INDEX(자격증DB!F:F, MATCH($D88, 자격증DB!A:A, 0)), "")</f>
        <v>자격증</v>
      </c>
      <c r="I88" s="231">
        <v>41635</v>
      </c>
      <c r="J88" s="207"/>
      <c r="K88" s="208"/>
      <c r="L88" s="209" t="str">
        <f t="shared" si="4"/>
        <v>PDF</v>
      </c>
      <c r="M88" s="210" t="str">
        <f t="shared" si="5"/>
        <v>웹디자인개발기능사_김연화</v>
      </c>
      <c r="N88" s="211" t="str">
        <f>IFERROR(IF(INDEX(자격증DB!G:G, MATCH($D88, 자격증DB!$A:$A, 0))=0, "", INDEX(자격증DB!G:G, MATCH($D88, 자격증DB!$A:$A, 0))), "")</f>
        <v>SW(CD)</v>
      </c>
      <c r="O88" s="153" t="str">
        <f>IFERROR(IF(INDEX(자격증DB!H:H, MATCH($D88, 자격증DB!$A:$A, 0))=0, "", INDEX(자격증DB!H:H, MATCH($D88, 자격증DB!$A:$A, 0))), "")</f>
        <v/>
      </c>
      <c r="P88" s="108" t="str">
        <f>IFERROR(IF(INDEX(자격증DB!I:I, MATCH($D88, 자격증DB!$A:$A, 0))=0, "", INDEX(자격증DB!I:I, MATCH($D88, 자격증DB!$A:$A, 0))), "")</f>
        <v/>
      </c>
      <c r="Q88" s="108" t="str">
        <f>IFERROR(IF(INDEX(자격증DB!J:J, MATCH($D88, 자격증DB!$A:$A, 0))=0, "", INDEX(자격증DB!J:J, MATCH($D88, 자격증DB!$A:$A, 0))), "")</f>
        <v>학술(CC)</v>
      </c>
      <c r="R88" s="108" t="str">
        <f>IFERROR(IF(INDEX(자격증DB!K:K, MATCH($D88, 자격증DB!$A:$A, 0))=0, "", INDEX(자격증DB!K:K, MATCH($D88, 자격증DB!$A:$A, 0))), "")</f>
        <v>SW(CD)</v>
      </c>
      <c r="S88" s="108" t="str">
        <f>IFERROR(IF(INDEX(자격증DB!L:L, MATCH($D88, 자격증DB!$A:$A, 0))=0, "", INDEX(자격증DB!L:L, MATCH($D88, 자격증DB!$A:$A, 0))), "")</f>
        <v/>
      </c>
      <c r="T88" s="108" t="str">
        <f>IFERROR(IF(INDEX(자격증DB!M:M, MATCH($D88, 자격증DB!$A:$A, 0))=0, "", INDEX(자격증DB!M:M, MATCH($D88, 자격증DB!$A:$A, 0))), "")</f>
        <v/>
      </c>
      <c r="U88" s="108" t="str">
        <f>IFERROR(IF(INDEX(자격증DB!N:N, MATCH($D88, 자격증DB!$A:$A, 0))=0, "", INDEX(자격증DB!N:N, MATCH($D88, 자격증DB!$A:$A, 0))), "")</f>
        <v/>
      </c>
      <c r="V88" s="108" t="str">
        <f>IFERROR(IF(INDEX(자격증DB!O:O, MATCH($D88, 자격증DB!$A:$A, 0))=0, "", INDEX(자격증DB!O:O, MATCH($D88, 자격증DB!$A:$A, 0))), "")</f>
        <v/>
      </c>
      <c r="W88" s="114" t="str">
        <f>IFERROR(IF(INDEX(자격증DB!P:P, MATCH($D88, 자격증DB!$A:$A, 0))=0, "", INDEX(자격증DB!P:P, MATCH($D88, 자격증DB!$A:$A, 0))), "")</f>
        <v/>
      </c>
      <c r="X88"/>
      <c r="Y88" s="210" t="str">
        <f>A88 &amp; "_" &amp; "자격증_" &amp; COUNTIFS($A$2:A88, A88)</f>
        <v>김연화_자격증_6</v>
      </c>
      <c r="Z88" s="210" t="str">
        <f>D88 &amp; "_" &amp;"자격증_" &amp;  COUNTIFS($D$2:D88, D88)</f>
        <v>웹디자인개발기능사_자격증_1</v>
      </c>
    </row>
    <row r="89" spans="1:26" ht="20.100000000000001" customHeight="1">
      <c r="A89" s="204" t="s">
        <v>7</v>
      </c>
      <c r="B89" s="160" t="str">
        <f>IFERROR(INDEX(개인DB!C:C, MATCH($A89, 개인DB!B:B, 0)), "")</f>
        <v>원가분석</v>
      </c>
      <c r="C89" s="160" t="str">
        <f>IFERROR(INDEX(개인DB!D:D, MATCH($A89, 개인DB!B:B, 0)), "")</f>
        <v>위원</v>
      </c>
      <c r="D89" s="229" t="s">
        <v>216</v>
      </c>
      <c r="E89" s="160" t="str">
        <f>IFERROR(INDEX(자격증DB!E:E, MATCH($D89, 자격증DB!A:A, 0)), "")</f>
        <v>산업기사</v>
      </c>
      <c r="F89" s="132" t="str">
        <f>IFERROR(INDEX(자격증DB!B:B, MATCH($D89, 자격증DB!A:A, 0)), "")</f>
        <v>과학기술정보통신부</v>
      </c>
      <c r="G89" s="206" t="str">
        <f>IFERROR(INDEX(자격증DB!C:C, MATCH($D89, 자격증DB!A:A, 0)), "")</f>
        <v>한국산업인력공단</v>
      </c>
      <c r="H89" s="163" t="str">
        <f>IFERROR(INDEX(자격증DB!F:F, MATCH($D89, 자격증DB!A:A, 0)), "")</f>
        <v>자격증</v>
      </c>
      <c r="I89" s="230">
        <v>35702</v>
      </c>
      <c r="J89" s="207"/>
      <c r="K89" s="208"/>
      <c r="L89" s="209" t="str">
        <f t="shared" si="4"/>
        <v>PDF</v>
      </c>
      <c r="M89" s="210" t="str">
        <f t="shared" si="5"/>
        <v>정보처리산업기사_김대식</v>
      </c>
      <c r="N89" s="211" t="str">
        <f>IFERROR(IF(INDEX(자격증DB!G:G, MATCH($D89, 자격증DB!$A:$A, 0))=0, "", INDEX(자격증DB!G:G, MATCH($D89, 자격증DB!$A:$A, 0))), "")</f>
        <v>SW(CD)</v>
      </c>
      <c r="O89" s="153" t="str">
        <f>IFERROR(IF(INDEX(자격증DB!H:H, MATCH($D89, 자격증DB!$A:$A, 0))=0, "", INDEX(자격증DB!H:H, MATCH($D89, 자격증DB!$A:$A, 0))), "")</f>
        <v/>
      </c>
      <c r="P89" s="108" t="str">
        <f>IFERROR(IF(INDEX(자격증DB!I:I, MATCH($D89, 자격증DB!$A:$A, 0))=0, "", INDEX(자격증DB!I:I, MATCH($D89, 자격증DB!$A:$A, 0))), "")</f>
        <v/>
      </c>
      <c r="Q89" s="108" t="str">
        <f>IFERROR(IF(INDEX(자격증DB!J:J, MATCH($D89, 자격증DB!$A:$A, 0))=0, "", INDEX(자격증DB!J:J, MATCH($D89, 자격증DB!$A:$A, 0))), "")</f>
        <v/>
      </c>
      <c r="R89" s="108" t="str">
        <f>IFERROR(IF(INDEX(자격증DB!K:K, MATCH($D89, 자격증DB!$A:$A, 0))=0, "", INDEX(자격증DB!K:K, MATCH($D89, 자격증DB!$A:$A, 0))), "")</f>
        <v>SW(CD)</v>
      </c>
      <c r="S89" s="108" t="str">
        <f>IFERROR(IF(INDEX(자격증DB!L:L, MATCH($D89, 자격증DB!$A:$A, 0))=0, "", INDEX(자격증DB!L:L, MATCH($D89, 자격증DB!$A:$A, 0))), "")</f>
        <v/>
      </c>
      <c r="T89" s="108" t="str">
        <f>IFERROR(IF(INDEX(자격증DB!M:M, MATCH($D89, 자격증DB!$A:$A, 0))=0, "", INDEX(자격증DB!M:M, MATCH($D89, 자격증DB!$A:$A, 0))), "")</f>
        <v/>
      </c>
      <c r="U89" s="108" t="str">
        <f>IFERROR(IF(INDEX(자격증DB!N:N, MATCH($D89, 자격증DB!$A:$A, 0))=0, "", INDEX(자격증DB!N:N, MATCH($D89, 자격증DB!$A:$A, 0))), "")</f>
        <v/>
      </c>
      <c r="V89" s="108" t="str">
        <f>IFERROR(IF(INDEX(자격증DB!O:O, MATCH($D89, 자격증DB!$A:$A, 0))=0, "", INDEX(자격증DB!O:O, MATCH($D89, 자격증DB!$A:$A, 0))), "")</f>
        <v/>
      </c>
      <c r="W89" s="114" t="str">
        <f>IFERROR(IF(INDEX(자격증DB!P:P, MATCH($D89, 자격증DB!$A:$A, 0))=0, "", INDEX(자격증DB!P:P, MATCH($D89, 자격증DB!$A:$A, 0))), "")</f>
        <v/>
      </c>
      <c r="X89"/>
      <c r="Y89" s="361" t="str">
        <f>A89 &amp; "_" &amp; "자격증_" &amp; COUNTIFS($A$2:A89, A89)</f>
        <v>김대식_자격증_3</v>
      </c>
      <c r="Z89" s="361" t="str">
        <f>D89 &amp; "_" &amp;"자격증_" &amp;  COUNTIFS($D$2:D89, D89)</f>
        <v>정보처리산업기사_자격증_1</v>
      </c>
    </row>
    <row r="90" spans="1:26" ht="20.100000000000001" customHeight="1">
      <c r="A90" s="204" t="s">
        <v>279</v>
      </c>
      <c r="B90" s="160" t="str">
        <f>IFERROR(INDEX(개인DB!C:C, MATCH($A90, 개인DB!B:B, 0)), "")</f>
        <v>원가분석</v>
      </c>
      <c r="C90" s="160" t="str">
        <f>IFERROR(INDEX(개인DB!D:D, MATCH($A90, 개인DB!B:B, 0)), "")</f>
        <v>위원</v>
      </c>
      <c r="D90" s="229" t="s">
        <v>252</v>
      </c>
      <c r="E90" s="160" t="str">
        <f>IFERROR(INDEX(자격증DB!E:E, MATCH($D90, 자격증DB!A:A, 0)), "")</f>
        <v>전문자격</v>
      </c>
      <c r="F90" s="132" t="str">
        <f>IFERROR(INDEX(자격증DB!B:B, MATCH($D90, 자격증DB!A:A, 0)), "")</f>
        <v>공정거래위원회</v>
      </c>
      <c r="G90" s="206" t="str">
        <f>IFERROR(INDEX(자격증DB!C:C, MATCH($D90, 자격증DB!A:A, 0)), "")</f>
        <v>한국산업인력공단</v>
      </c>
      <c r="H90" s="163" t="str">
        <f>IFERROR(INDEX(자격증DB!F:F, MATCH($D90, 자격증DB!A:A, 0)), "")</f>
        <v>자격증</v>
      </c>
      <c r="I90" s="214">
        <v>43829</v>
      </c>
      <c r="J90" s="214"/>
      <c r="K90" s="226"/>
      <c r="L90" s="209" t="str">
        <f t="shared" si="4"/>
        <v>PDF</v>
      </c>
      <c r="M90" s="227" t="str">
        <f t="shared" si="5"/>
        <v>가맹거래사_이규희</v>
      </c>
      <c r="N90" s="228" t="str">
        <f>IFERROR(IF(INDEX(자격증DB!G:G, MATCH($D90, 자격증DB!$A:$A, 0))=0, "", INDEX(자격증DB!G:G, MATCH($D90, 자격증DB!$A:$A, 0))), "")</f>
        <v>기타</v>
      </c>
      <c r="O90" s="153" t="str">
        <f>IFERROR(IF(INDEX(자격증DB!H:H, MATCH($D90, 자격증DB!$A:$A, 0))=0, "", INDEX(자격증DB!H:H, MATCH($D90, 자격증DB!$A:$A, 0))), "")</f>
        <v/>
      </c>
      <c r="P90" s="108" t="str">
        <f>IFERROR(IF(INDEX(자격증DB!I:I, MATCH($D90, 자격증DB!$A:$A, 0))=0, "", INDEX(자격증DB!I:I, MATCH($D90, 자격증DB!$A:$A, 0))), "")</f>
        <v/>
      </c>
      <c r="Q90" s="108" t="str">
        <f>IFERROR(IF(INDEX(자격증DB!J:J, MATCH($D90, 자격증DB!$A:$A, 0))=0, "", INDEX(자격증DB!J:J, MATCH($D90, 자격증DB!$A:$A, 0))), "")</f>
        <v/>
      </c>
      <c r="R90" s="108" t="str">
        <f>IFERROR(IF(INDEX(자격증DB!K:K, MATCH($D90, 자격증DB!$A:$A, 0))=0, "", INDEX(자격증DB!K:K, MATCH($D90, 자격증DB!$A:$A, 0))), "")</f>
        <v/>
      </c>
      <c r="S90" s="108" t="str">
        <f>IFERROR(IF(INDEX(자격증DB!L:L, MATCH($D90, 자격증DB!$A:$A, 0))=0, "", INDEX(자격증DB!L:L, MATCH($D90, 자격증DB!$A:$A, 0))), "")</f>
        <v/>
      </c>
      <c r="T90" s="108" t="str">
        <f>IFERROR(IF(INDEX(자격증DB!M:M, MATCH($D90, 자격증DB!$A:$A, 0))=0, "", INDEX(자격증DB!M:M, MATCH($D90, 자격증DB!$A:$A, 0))), "")</f>
        <v>각종 수수료(CF)</v>
      </c>
      <c r="U90" s="108" t="str">
        <f>IFERROR(IF(INDEX(자격증DB!N:N, MATCH($D90, 자격증DB!$A:$A, 0))=0, "", INDEX(자격증DB!N:N, MATCH($D90, 자격증DB!$A:$A, 0))), "")</f>
        <v/>
      </c>
      <c r="V90" s="108" t="str">
        <f>IFERROR(IF(INDEX(자격증DB!O:O, MATCH($D90, 자격증DB!$A:$A, 0))=0, "", INDEX(자격증DB!O:O, MATCH($D90, 자격증DB!$A:$A, 0))), "")</f>
        <v/>
      </c>
      <c r="W90" s="114" t="str">
        <f>IFERROR(IF(INDEX(자격증DB!P:P, MATCH($D90, 자격증DB!$A:$A, 0))=0, "", INDEX(자격증DB!P:P, MATCH($D90, 자격증DB!$A:$A, 0))), "")</f>
        <v/>
      </c>
      <c r="X90"/>
      <c r="Y90" s="227" t="str">
        <f>A90 &amp; "_" &amp; "자격증_" &amp; COUNTIFS($A$2:A90, A90)</f>
        <v>이규희_자격증_4</v>
      </c>
      <c r="Z90" s="227" t="str">
        <f>D90 &amp; "_" &amp;"자격증_" &amp;  COUNTIFS($D$2:D90, D90)</f>
        <v>가맹거래사_자격증_1</v>
      </c>
    </row>
    <row r="91" spans="1:26" ht="20.100000000000001" customHeight="1">
      <c r="A91" s="204" t="s">
        <v>34</v>
      </c>
      <c r="B91" s="160" t="str">
        <f>IFERROR(INDEX(개인DB!C:C, MATCH($A91, 개인DB!B:B, 0)), "")</f>
        <v>품질관리</v>
      </c>
      <c r="C91" s="160" t="str">
        <f>IFERROR(INDEX(개인DB!D:D, MATCH($A91, 개인DB!B:B, 0)), "")</f>
        <v>위원</v>
      </c>
      <c r="D91" s="213" t="s">
        <v>252</v>
      </c>
      <c r="E91" s="160" t="str">
        <f>IFERROR(INDEX(자격증DB!E:E, MATCH($D91, 자격증DB!A:A, 0)), "X")</f>
        <v>전문자격</v>
      </c>
      <c r="F91" s="132" t="str">
        <f>IFERROR(INDEX(자격증DB!B:B, MATCH($D91, 자격증DB!A:A, 0)), "X")</f>
        <v>공정거래위원회</v>
      </c>
      <c r="G91" s="206" t="str">
        <f>IFERROR(INDEX(자격증DB!C:C, MATCH($D91, 자격증DB!A:A, 0)), "")</f>
        <v>한국산업인력공단</v>
      </c>
      <c r="H91" s="163" t="str">
        <f>IFERROR(INDEX(자격증DB!F:F, MATCH($D91, 자격증DB!A:A, 0)), "")</f>
        <v>자격증</v>
      </c>
      <c r="I91" s="214">
        <v>44266</v>
      </c>
      <c r="J91" s="214">
        <v>44266</v>
      </c>
      <c r="K91" s="215">
        <v>46091</v>
      </c>
      <c r="L91" s="209" t="str">
        <f t="shared" si="4"/>
        <v>PDF</v>
      </c>
      <c r="M91" s="216" t="str">
        <f t="shared" si="5"/>
        <v>가맹거래사_표순천</v>
      </c>
      <c r="N91" s="217" t="str">
        <f>IFERROR(IF(INDEX(자격증DB!G:G, MATCH($D91, 자격증DB!$A:$A, 0))=0, "", INDEX(자격증DB!G:G, MATCH($D91, 자격증DB!$A:$A, 0))), "")</f>
        <v>기타</v>
      </c>
      <c r="O91" s="153" t="str">
        <f>IFERROR(IF(INDEX(자격증DB!H:H, MATCH($D91, 자격증DB!$A:$A, 0))=0, "", INDEX(자격증DB!H:H, MATCH($D91, 자격증DB!$A:$A, 0))), "")</f>
        <v/>
      </c>
      <c r="P91" s="108" t="str">
        <f>IFERROR(IF(INDEX(자격증DB!I:I, MATCH($D91, 자격증DB!$A:$A, 0))=0, "", INDEX(자격증DB!I:I, MATCH($D91, 자격증DB!$A:$A, 0))), "")</f>
        <v/>
      </c>
      <c r="Q91" s="108" t="str">
        <f>IFERROR(IF(INDEX(자격증DB!J:J, MATCH($D91, 자격증DB!$A:$A, 0))=0, "", INDEX(자격증DB!J:J, MATCH($D91, 자격증DB!$A:$A, 0))), "")</f>
        <v/>
      </c>
      <c r="R91" s="108" t="str">
        <f>IFERROR(IF(INDEX(자격증DB!K:K, MATCH($D91, 자격증DB!$A:$A, 0))=0, "", INDEX(자격증DB!K:K, MATCH($D91, 자격증DB!$A:$A, 0))), "")</f>
        <v/>
      </c>
      <c r="S91" s="108" t="str">
        <f>IFERROR(IF(INDEX(자격증DB!L:L, MATCH($D91, 자격증DB!$A:$A, 0))=0, "", INDEX(자격증DB!L:L, MATCH($D91, 자격증DB!$A:$A, 0))), "")</f>
        <v/>
      </c>
      <c r="T91" s="108" t="str">
        <f>IFERROR(IF(INDEX(자격증DB!M:M, MATCH($D91, 자격증DB!$A:$A, 0))=0, "", INDEX(자격증DB!M:M, MATCH($D91, 자격증DB!$A:$A, 0))), "")</f>
        <v>각종 수수료(CF)</v>
      </c>
      <c r="U91" s="108" t="str">
        <f>IFERROR(IF(INDEX(자격증DB!N:N, MATCH($D91, 자격증DB!$A:$A, 0))=0, "", INDEX(자격증DB!N:N, MATCH($D91, 자격증DB!$A:$A, 0))), "")</f>
        <v/>
      </c>
      <c r="V91" s="108" t="str">
        <f>IFERROR(IF(INDEX(자격증DB!O:O, MATCH($D91, 자격증DB!$A:$A, 0))=0, "", INDEX(자격증DB!O:O, MATCH($D91, 자격증DB!$A:$A, 0))), "")</f>
        <v/>
      </c>
      <c r="W91" s="114" t="str">
        <f>IFERROR(IF(INDEX(자격증DB!P:P, MATCH($D91, 자격증DB!$A:$A, 0))=0, "", INDEX(자격증DB!P:P, MATCH($D91, 자격증DB!$A:$A, 0))), "")</f>
        <v/>
      </c>
      <c r="X91"/>
      <c r="Y91" s="362" t="str">
        <f>A91 &amp; "_" &amp; "자격증_" &amp; COUNTIFS($A$2:A91, A91)</f>
        <v>표순천_자격증_4</v>
      </c>
      <c r="Z91" s="362" t="str">
        <f>D91 &amp; "_" &amp;"자격증_" &amp;  COUNTIFS($D$2:D91, D91)</f>
        <v>가맹거래사_자격증_2</v>
      </c>
    </row>
    <row r="92" spans="1:26" ht="20.100000000000001" customHeight="1">
      <c r="A92" s="204" t="s">
        <v>30</v>
      </c>
      <c r="B92" s="160" t="str">
        <f>IFERROR(INDEX(개인DB!C:C, MATCH($A92, 개인DB!B:B, 0)), "")</f>
        <v>갈등조정중재</v>
      </c>
      <c r="C92" s="160" t="str">
        <f>IFERROR(INDEX(개인DB!D:D, MATCH($A92, 개인DB!B:B, 0)), "")</f>
        <v>위원</v>
      </c>
      <c r="D92" s="224" t="s">
        <v>252</v>
      </c>
      <c r="E92" s="160" t="str">
        <f>IFERROR(INDEX(자격증DB!E:E, MATCH($D92, 자격증DB!A:A, 0)), "X")</f>
        <v>전문자격</v>
      </c>
      <c r="F92" s="132" t="str">
        <f>IFERROR(INDEX(자격증DB!B:B, MATCH($D92, 자격증DB!A:A, 0)), "X")</f>
        <v>공정거래위원회</v>
      </c>
      <c r="G92" s="206" t="str">
        <f>IFERROR(INDEX(자격증DB!C:C, MATCH($D92, 자격증DB!A:A, 0)), "")</f>
        <v>한국산업인력공단</v>
      </c>
      <c r="H92" s="163" t="str">
        <f>IFERROR(INDEX(자격증DB!F:F, MATCH($D92, 자격증DB!A:A, 0)), "")</f>
        <v>자격증</v>
      </c>
      <c r="I92" s="225">
        <v>40906</v>
      </c>
      <c r="J92" s="225"/>
      <c r="K92" s="226"/>
      <c r="L92" s="209" t="str">
        <f t="shared" si="4"/>
        <v>PDF</v>
      </c>
      <c r="M92" s="227" t="str">
        <f t="shared" si="5"/>
        <v>가맹거래사_정영대</v>
      </c>
      <c r="N92" s="228" t="str">
        <f>IFERROR(IF(INDEX(자격증DB!G:G, MATCH($D92, 자격증DB!$A:$A, 0))=0, "", INDEX(자격증DB!G:G, MATCH($D92, 자격증DB!$A:$A, 0))), "")</f>
        <v>기타</v>
      </c>
      <c r="O92" s="153" t="str">
        <f>IFERROR(IF(INDEX(자격증DB!H:H, MATCH($D92, 자격증DB!$A:$A, 0))=0, "", INDEX(자격증DB!H:H, MATCH($D92, 자격증DB!$A:$A, 0))), "")</f>
        <v/>
      </c>
      <c r="P92" s="108" t="str">
        <f>IFERROR(IF(INDEX(자격증DB!I:I, MATCH($D92, 자격증DB!$A:$A, 0))=0, "", INDEX(자격증DB!I:I, MATCH($D92, 자격증DB!$A:$A, 0))), "")</f>
        <v/>
      </c>
      <c r="Q92" s="108" t="str">
        <f>IFERROR(IF(INDEX(자격증DB!J:J, MATCH($D92, 자격증DB!$A:$A, 0))=0, "", INDEX(자격증DB!J:J, MATCH($D92, 자격증DB!$A:$A, 0))), "")</f>
        <v/>
      </c>
      <c r="R92" s="108" t="str">
        <f>IFERROR(IF(INDEX(자격증DB!K:K, MATCH($D92, 자격증DB!$A:$A, 0))=0, "", INDEX(자격증DB!K:K, MATCH($D92, 자격증DB!$A:$A, 0))), "")</f>
        <v/>
      </c>
      <c r="S92" s="108" t="str">
        <f>IFERROR(IF(INDEX(자격증DB!L:L, MATCH($D92, 자격증DB!$A:$A, 0))=0, "", INDEX(자격증DB!L:L, MATCH($D92, 자격증DB!$A:$A, 0))), "")</f>
        <v/>
      </c>
      <c r="T92" s="108" t="str">
        <f>IFERROR(IF(INDEX(자격증DB!M:M, MATCH($D92, 자격증DB!$A:$A, 0))=0, "", INDEX(자격증DB!M:M, MATCH($D92, 자격증DB!$A:$A, 0))), "")</f>
        <v>각종 수수료(CF)</v>
      </c>
      <c r="U92" s="108" t="str">
        <f>IFERROR(IF(INDEX(자격증DB!N:N, MATCH($D92, 자격증DB!$A:$A, 0))=0, "", INDEX(자격증DB!N:N, MATCH($D92, 자격증DB!$A:$A, 0))), "")</f>
        <v/>
      </c>
      <c r="V92" s="108" t="str">
        <f>IFERROR(IF(INDEX(자격증DB!O:O, MATCH($D92, 자격증DB!$A:$A, 0))=0, "", INDEX(자격증DB!O:O, MATCH($D92, 자격증DB!$A:$A, 0))), "")</f>
        <v/>
      </c>
      <c r="W92" s="114" t="str">
        <f>IFERROR(IF(INDEX(자격증DB!P:P, MATCH($D92, 자격증DB!$A:$A, 0))=0, "", INDEX(자격증DB!P:P, MATCH($D92, 자격증DB!$A:$A, 0))), "")</f>
        <v/>
      </c>
      <c r="X92"/>
      <c r="Y92" s="227" t="str">
        <f>A92 &amp; "_" &amp; "자격증_" &amp; COUNTIFS($A$2:A92, A92)</f>
        <v>정영대_자격증_3</v>
      </c>
      <c r="Z92" s="227" t="str">
        <f>D92 &amp; "_" &amp;"자격증_" &amp;  COUNTIFS($D$2:D92, D92)</f>
        <v>가맹거래사_자격증_3</v>
      </c>
    </row>
    <row r="93" spans="1:26" ht="20.100000000000001" customHeight="1">
      <c r="A93" s="204" t="s">
        <v>0</v>
      </c>
      <c r="B93" s="160" t="str">
        <f>IFERROR(INDEX(개인DB!C:C, MATCH($A93, 개인DB!B:B, 0)), "")</f>
        <v>원장</v>
      </c>
      <c r="C93" s="160" t="str">
        <f>IFERROR(INDEX(개인DB!D:D, MATCH($A93, 개인DB!B:B, 0)), "")</f>
        <v>원장</v>
      </c>
      <c r="D93" s="205" t="s">
        <v>68</v>
      </c>
      <c r="E93" s="160" t="str">
        <f>IFERROR(INDEX(자격증DB!E:E, MATCH($D93, 자격증DB!A:A, 0)), "")</f>
        <v>민간</v>
      </c>
      <c r="F93" s="132" t="str">
        <f>IFERROR(INDEX(자격증DB!B:B, MATCH($D93, 자격증DB!A:A, 0)), "")</f>
        <v>보건복지부</v>
      </c>
      <c r="G93" s="206" t="str">
        <f>IFERROR(INDEX(자격증DB!C:C, MATCH($D93, 자격증DB!A:A, 0)), "")</f>
        <v>한국사회복지사협회</v>
      </c>
      <c r="H93" s="163" t="str">
        <f>IFERROR(INDEX(자격증DB!F:F, MATCH($D93, 자격증DB!A:A, 0)), "")</f>
        <v>자격증</v>
      </c>
      <c r="I93" s="207">
        <v>42388</v>
      </c>
      <c r="J93" s="207"/>
      <c r="K93" s="208"/>
      <c r="L93" s="209" t="str">
        <f t="shared" si="4"/>
        <v>PDF</v>
      </c>
      <c r="M93" s="210" t="str">
        <f t="shared" si="5"/>
        <v>사회복지사2급_김민선</v>
      </c>
      <c r="N93" s="211" t="str">
        <f>IFERROR(IF(INDEX(자격증DB!G:G, MATCH($D93, 자격증DB!$A:$A, 0))=0, "", INDEX(자격증DB!G:G, MATCH($D93, 자격증DB!$A:$A, 0))), "")</f>
        <v>기타</v>
      </c>
      <c r="O93" s="153" t="str">
        <f>IFERROR(IF(INDEX(자격증DB!H:H, MATCH($D93, 자격증DB!$A:$A, 0))=0, "", INDEX(자격증DB!H:H, MATCH($D93, 자격증DB!$A:$A, 0))), "")</f>
        <v/>
      </c>
      <c r="P93" s="108" t="str">
        <f>IFERROR(IF(INDEX(자격증DB!I:I, MATCH($D93, 자격증DB!$A:$A, 0))=0, "", INDEX(자격증DB!I:I, MATCH($D93, 자격증DB!$A:$A, 0))), "")</f>
        <v/>
      </c>
      <c r="Q93" s="108" t="str">
        <f>IFERROR(IF(INDEX(자격증DB!J:J, MATCH($D93, 자격증DB!$A:$A, 0))=0, "", INDEX(자격증DB!J:J, MATCH($D93, 자격증DB!$A:$A, 0))), "")</f>
        <v/>
      </c>
      <c r="R93" s="108" t="str">
        <f>IFERROR(IF(INDEX(자격증DB!K:K, MATCH($D93, 자격증DB!$A:$A, 0))=0, "", INDEX(자격증DB!K:K, MATCH($D93, 자격증DB!$A:$A, 0))), "")</f>
        <v/>
      </c>
      <c r="S93" s="108" t="str">
        <f>IFERROR(IF(INDEX(자격증DB!L:L, MATCH($D93, 자격증DB!$A:$A, 0))=0, "", INDEX(자격증DB!L:L, MATCH($D93, 자격증DB!$A:$A, 0))), "")</f>
        <v/>
      </c>
      <c r="T93" s="108" t="str">
        <f>IFERROR(IF(INDEX(자격증DB!M:M, MATCH($D93, 자격증DB!$A:$A, 0))=0, "", INDEX(자격증DB!M:M, MATCH($D93, 자격증DB!$A:$A, 0))), "")</f>
        <v>각종 수수료(CF)</v>
      </c>
      <c r="U93" s="108" t="str">
        <f>IFERROR(IF(INDEX(자격증DB!N:N, MATCH($D93, 자격증DB!$A:$A, 0))=0, "", INDEX(자격증DB!N:N, MATCH($D93, 자격증DB!$A:$A, 0))), "")</f>
        <v/>
      </c>
      <c r="V93" s="108" t="str">
        <f>IFERROR(IF(INDEX(자격증DB!O:O, MATCH($D93, 자격증DB!$A:$A, 0))=0, "", INDEX(자격증DB!O:O, MATCH($D93, 자격증DB!$A:$A, 0))), "")</f>
        <v/>
      </c>
      <c r="W93" s="114" t="str">
        <f>IFERROR(IF(INDEX(자격증DB!P:P, MATCH($D93, 자격증DB!$A:$A, 0))=0, "", INDEX(자격증DB!P:P, MATCH($D93, 자격증DB!$A:$A, 0))), "")</f>
        <v/>
      </c>
      <c r="X93"/>
      <c r="Y93" s="361" t="str">
        <f>A93 &amp; "_" &amp; "자격증_" &amp; COUNTIFS($A$2:A93, A93)</f>
        <v>김민선_자격증_23</v>
      </c>
      <c r="Z93" s="361" t="str">
        <f>D93 &amp; "_" &amp;"자격증_" &amp;  COUNTIFS($D$2:D93, D93)</f>
        <v>사회복지사2급_자격증_1</v>
      </c>
    </row>
    <row r="94" spans="1:26" ht="20.100000000000001" customHeight="1">
      <c r="A94" s="204" t="s">
        <v>3</v>
      </c>
      <c r="B94" s="160" t="str">
        <f>IFERROR(INDEX(개인DB!C:C, MATCH($A94, 개인DB!B:B, 0)), "")</f>
        <v>원가분석</v>
      </c>
      <c r="C94" s="160" t="str">
        <f>IFERROR(INDEX(개인DB!D:D, MATCH($A94, 개인DB!B:B, 0)), "")</f>
        <v>이사</v>
      </c>
      <c r="D94" s="229" t="s">
        <v>68</v>
      </c>
      <c r="E94" s="160" t="str">
        <f>IFERROR(INDEX(자격증DB!E:E, MATCH($D94, 자격증DB!A:A, 0)), "X")</f>
        <v>민간</v>
      </c>
      <c r="F94" s="132" t="str">
        <f>IFERROR(INDEX(자격증DB!B:B, MATCH($D94, 자격증DB!A:A, 0)), "X")</f>
        <v>보건복지부</v>
      </c>
      <c r="G94" s="206" t="str">
        <f>IFERROR(INDEX(자격증DB!C:C, MATCH($D94, 자격증DB!A:A, 0)), "")</f>
        <v>한국사회복지사협회</v>
      </c>
      <c r="H94" s="163" t="str">
        <f>IFERROR(INDEX(자격증DB!F:F, MATCH($D94, 자격증DB!A:A, 0)), "")</f>
        <v>자격증</v>
      </c>
      <c r="I94" s="214">
        <v>42388</v>
      </c>
      <c r="J94" s="214"/>
      <c r="K94" s="226"/>
      <c r="L94" s="209" t="str">
        <f t="shared" si="4"/>
        <v>PDF</v>
      </c>
      <c r="M94" s="227" t="str">
        <f t="shared" si="5"/>
        <v>사회복지사2급_하은정</v>
      </c>
      <c r="N94" s="228" t="str">
        <f>IFERROR(IF(INDEX(자격증DB!G:G, MATCH($D94, 자격증DB!$A:$A, 0))=0, "", INDEX(자격증DB!G:G, MATCH($D94, 자격증DB!$A:$A, 0))), "")</f>
        <v>기타</v>
      </c>
      <c r="O94" s="153" t="str">
        <f>IFERROR(IF(INDEX(자격증DB!H:H, MATCH($D94, 자격증DB!$A:$A, 0))=0, "", INDEX(자격증DB!H:H, MATCH($D94, 자격증DB!$A:$A, 0))), "")</f>
        <v/>
      </c>
      <c r="P94" s="108" t="str">
        <f>IFERROR(IF(INDEX(자격증DB!I:I, MATCH($D94, 자격증DB!$A:$A, 0))=0, "", INDEX(자격증DB!I:I, MATCH($D94, 자격증DB!$A:$A, 0))), "")</f>
        <v/>
      </c>
      <c r="Q94" s="108" t="str">
        <f>IFERROR(IF(INDEX(자격증DB!J:J, MATCH($D94, 자격증DB!$A:$A, 0))=0, "", INDEX(자격증DB!J:J, MATCH($D94, 자격증DB!$A:$A, 0))), "")</f>
        <v/>
      </c>
      <c r="R94" s="108" t="str">
        <f>IFERROR(IF(INDEX(자격증DB!K:K, MATCH($D94, 자격증DB!$A:$A, 0))=0, "", INDEX(자격증DB!K:K, MATCH($D94, 자격증DB!$A:$A, 0))), "")</f>
        <v/>
      </c>
      <c r="S94" s="108" t="str">
        <f>IFERROR(IF(INDEX(자격증DB!L:L, MATCH($D94, 자격증DB!$A:$A, 0))=0, "", INDEX(자격증DB!L:L, MATCH($D94, 자격증DB!$A:$A, 0))), "")</f>
        <v/>
      </c>
      <c r="T94" s="108" t="str">
        <f>IFERROR(IF(INDEX(자격증DB!M:M, MATCH($D94, 자격증DB!$A:$A, 0))=0, "", INDEX(자격증DB!M:M, MATCH($D94, 자격증DB!$A:$A, 0))), "")</f>
        <v>각종 수수료(CF)</v>
      </c>
      <c r="U94" s="108" t="str">
        <f>IFERROR(IF(INDEX(자격증DB!N:N, MATCH($D94, 자격증DB!$A:$A, 0))=0, "", INDEX(자격증DB!N:N, MATCH($D94, 자격증DB!$A:$A, 0))), "")</f>
        <v/>
      </c>
      <c r="V94" s="108" t="str">
        <f>IFERROR(IF(INDEX(자격증DB!O:O, MATCH($D94, 자격증DB!$A:$A, 0))=0, "", INDEX(자격증DB!O:O, MATCH($D94, 자격증DB!$A:$A, 0))), "")</f>
        <v/>
      </c>
      <c r="W94" s="114" t="str">
        <f>IFERROR(IF(INDEX(자격증DB!P:P, MATCH($D94, 자격증DB!$A:$A, 0))=0, "", INDEX(자격증DB!P:P, MATCH($D94, 자격증DB!$A:$A, 0))), "")</f>
        <v/>
      </c>
      <c r="X94"/>
      <c r="Y94" s="227" t="str">
        <f>A94 &amp; "_" &amp; "자격증_" &amp; COUNTIFS($A$2:A94, A94)</f>
        <v>하은정_자격증_5</v>
      </c>
      <c r="Z94" s="227" t="str">
        <f>D94 &amp; "_" &amp;"자격증_" &amp;  COUNTIFS($D$2:D94, D94)</f>
        <v>사회복지사2급_자격증_2</v>
      </c>
    </row>
    <row r="95" spans="1:26" ht="20.100000000000001" customHeight="1">
      <c r="A95" s="204" t="s">
        <v>0</v>
      </c>
      <c r="B95" s="160" t="str">
        <f>IFERROR(INDEX(개인DB!C:C, MATCH($A95, 개인DB!B:B, 0)), "")</f>
        <v>원장</v>
      </c>
      <c r="C95" s="160" t="str">
        <f>IFERROR(INDEX(개인DB!D:D, MATCH($A95, 개인DB!B:B, 0)), "")</f>
        <v>원장</v>
      </c>
      <c r="D95" s="205" t="s">
        <v>62</v>
      </c>
      <c r="E95" s="160" t="str">
        <f>IFERROR(INDEX(자격증DB!E:E, MATCH($D95, 자격증DB!A:A, 0)), "")</f>
        <v>민간(국가)</v>
      </c>
      <c r="F95" s="132" t="str">
        <f>IFERROR(INDEX(자격증DB!B:B, MATCH($D95, 자격증DB!A:A, 0)), "")</f>
        <v>금융위원회</v>
      </c>
      <c r="G95" s="206" t="str">
        <f>IFERROR(INDEX(자격증DB!C:C, MATCH($D95, 자격증DB!A:A, 0)), "")</f>
        <v>삼일회계법인</v>
      </c>
      <c r="H95" s="163" t="str">
        <f>IFERROR(INDEX(자격증DB!F:F, MATCH($D95, 자격증DB!A:A, 0)), "")</f>
        <v>자격증</v>
      </c>
      <c r="I95" s="207">
        <v>37900</v>
      </c>
      <c r="J95" s="207"/>
      <c r="K95" s="208"/>
      <c r="L95" s="209" t="str">
        <f t="shared" si="4"/>
        <v>PDF</v>
      </c>
      <c r="M95" s="210" t="str">
        <f t="shared" si="5"/>
        <v>재경관리사_김민선</v>
      </c>
      <c r="N95" s="211" t="str">
        <f>IFERROR(IF(INDEX(자격증DB!G:G, MATCH($D95, 자격증DB!$A:$A, 0))=0, "", INDEX(자격증DB!G:G, MATCH($D95, 자격증DB!$A:$A, 0))), "")</f>
        <v>기타</v>
      </c>
      <c r="O95" s="153" t="str">
        <f>IFERROR(IF(INDEX(자격증DB!H:H, MATCH($D95, 자격증DB!$A:$A, 0))=0, "", INDEX(자격증DB!H:H, MATCH($D95, 자격증DB!$A:$A, 0))), "")</f>
        <v/>
      </c>
      <c r="P95" s="108" t="str">
        <f>IFERROR(IF(INDEX(자격증DB!I:I, MATCH($D95, 자격증DB!$A:$A, 0))=0, "", INDEX(자격증DB!I:I, MATCH($D95, 자격증DB!$A:$A, 0))), "")</f>
        <v/>
      </c>
      <c r="Q95" s="108" t="str">
        <f>IFERROR(IF(INDEX(자격증DB!J:J, MATCH($D95, 자격증DB!$A:$A, 0))=0, "", INDEX(자격증DB!J:J, MATCH($D95, 자격증DB!$A:$A, 0))), "")</f>
        <v/>
      </c>
      <c r="R95" s="108" t="str">
        <f>IFERROR(IF(INDEX(자격증DB!K:K, MATCH($D95, 자격증DB!$A:$A, 0))=0, "", INDEX(자격증DB!K:K, MATCH($D95, 자격증DB!$A:$A, 0))), "")</f>
        <v/>
      </c>
      <c r="S95" s="108" t="str">
        <f>IFERROR(IF(INDEX(자격증DB!L:L, MATCH($D95, 자격증DB!$A:$A, 0))=0, "", INDEX(자격증DB!L:L, MATCH($D95, 자격증DB!$A:$A, 0))), "")</f>
        <v>사후정산(CE)</v>
      </c>
      <c r="T95" s="108" t="str">
        <f>IFERROR(IF(INDEX(자격증DB!M:M, MATCH($D95, 자격증DB!$A:$A, 0))=0, "", INDEX(자격증DB!M:M, MATCH($D95, 자격증DB!$A:$A, 0))), "")</f>
        <v/>
      </c>
      <c r="U95" s="108" t="str">
        <f>IFERROR(IF(INDEX(자격증DB!N:N, MATCH($D95, 자격증DB!$A:$A, 0))=0, "", INDEX(자격증DB!N:N, MATCH($D95, 자격증DB!$A:$A, 0))), "")</f>
        <v/>
      </c>
      <c r="V95" s="108" t="str">
        <f>IFERROR(IF(INDEX(자격증DB!O:O, MATCH($D95, 자격증DB!$A:$A, 0))=0, "", INDEX(자격증DB!O:O, MATCH($D95, 자격증DB!$A:$A, 0))), "")</f>
        <v/>
      </c>
      <c r="W95" s="114" t="str">
        <f>IFERROR(IF(INDEX(자격증DB!P:P, MATCH($D95, 자격증DB!$A:$A, 0))=0, "", INDEX(자격증DB!P:P, MATCH($D95, 자격증DB!$A:$A, 0))), "")</f>
        <v/>
      </c>
      <c r="X95"/>
      <c r="Y95" s="361" t="str">
        <f>A95 &amp; "_" &amp; "자격증_" &amp; COUNTIFS($A$2:A95, A95)</f>
        <v>김민선_자격증_24</v>
      </c>
      <c r="Z95" s="361" t="str">
        <f>D95 &amp; "_" &amp;"자격증_" &amp;  COUNTIFS($D$2:D95, D95)</f>
        <v>재경관리사_자격증_1</v>
      </c>
    </row>
    <row r="96" spans="1:26" ht="20.100000000000001" customHeight="1">
      <c r="A96" s="204" t="s">
        <v>11</v>
      </c>
      <c r="B96" s="160" t="str">
        <f>IFERROR(INDEX(개인DB!C:C, MATCH($A96, 개인DB!B:B, 0)), "")</f>
        <v/>
      </c>
      <c r="C96" s="160" t="str">
        <f>IFERROR(INDEX(개인DB!D:D, MATCH($A96, 개인DB!B:B, 0)), "")</f>
        <v/>
      </c>
      <c r="D96" s="212" t="s">
        <v>62</v>
      </c>
      <c r="E96" s="160" t="str">
        <f>IFERROR(INDEX(자격증DB!E:E, MATCH($D96, 자격증DB!A:A, 0)), "")</f>
        <v>민간(국가)</v>
      </c>
      <c r="F96" s="132" t="str">
        <f>IFERROR(INDEX(자격증DB!B:B, MATCH($D96, 자격증DB!A:A, 0)), "")</f>
        <v>금융위원회</v>
      </c>
      <c r="G96" s="206" t="str">
        <f>IFERROR(INDEX(자격증DB!C:C, MATCH($D96, 자격증DB!A:A, 0)), "")</f>
        <v>삼일회계법인</v>
      </c>
      <c r="H96" s="163" t="str">
        <f>IFERROR(INDEX(자격증DB!F:F, MATCH($D96, 자격증DB!A:A, 0)), "")</f>
        <v>자격증</v>
      </c>
      <c r="I96" s="231">
        <v>45506</v>
      </c>
      <c r="J96" s="207"/>
      <c r="K96" s="208"/>
      <c r="L96" s="209" t="str">
        <f t="shared" si="4"/>
        <v>PDF</v>
      </c>
      <c r="M96" s="210" t="str">
        <f t="shared" si="5"/>
        <v>재경관리사_김용전</v>
      </c>
      <c r="N96" s="211" t="str">
        <f>IFERROR(IF(INDEX(자격증DB!G:G, MATCH($D96, 자격증DB!$A:$A, 0))=0, "", INDEX(자격증DB!G:G, MATCH($D96, 자격증DB!$A:$A, 0))), "")</f>
        <v>기타</v>
      </c>
      <c r="O96" s="153" t="str">
        <f>IFERROR(IF(INDEX(자격증DB!H:H, MATCH($D96, 자격증DB!$A:$A, 0))=0, "", INDEX(자격증DB!H:H, MATCH($D96, 자격증DB!$A:$A, 0))), "")</f>
        <v/>
      </c>
      <c r="P96" s="108" t="str">
        <f>IFERROR(IF(INDEX(자격증DB!I:I, MATCH($D96, 자격증DB!$A:$A, 0))=0, "", INDEX(자격증DB!I:I, MATCH($D96, 자격증DB!$A:$A, 0))), "")</f>
        <v/>
      </c>
      <c r="Q96" s="108" t="str">
        <f>IFERROR(IF(INDEX(자격증DB!J:J, MATCH($D96, 자격증DB!$A:$A, 0))=0, "", INDEX(자격증DB!J:J, MATCH($D96, 자격증DB!$A:$A, 0))), "")</f>
        <v/>
      </c>
      <c r="R96" s="108" t="str">
        <f>IFERROR(IF(INDEX(자격증DB!K:K, MATCH($D96, 자격증DB!$A:$A, 0))=0, "", INDEX(자격증DB!K:K, MATCH($D96, 자격증DB!$A:$A, 0))), "")</f>
        <v/>
      </c>
      <c r="S96" s="108" t="str">
        <f>IFERROR(IF(INDEX(자격증DB!L:L, MATCH($D96, 자격증DB!$A:$A, 0))=0, "", INDEX(자격증DB!L:L, MATCH($D96, 자격증DB!$A:$A, 0))), "")</f>
        <v>사후정산(CE)</v>
      </c>
      <c r="T96" s="108" t="str">
        <f>IFERROR(IF(INDEX(자격증DB!M:M, MATCH($D96, 자격증DB!$A:$A, 0))=0, "", INDEX(자격증DB!M:M, MATCH($D96, 자격증DB!$A:$A, 0))), "")</f>
        <v/>
      </c>
      <c r="U96" s="108" t="str">
        <f>IFERROR(IF(INDEX(자격증DB!N:N, MATCH($D96, 자격증DB!$A:$A, 0))=0, "", INDEX(자격증DB!N:N, MATCH($D96, 자격증DB!$A:$A, 0))), "")</f>
        <v/>
      </c>
      <c r="V96" s="108" t="str">
        <f>IFERROR(IF(INDEX(자격증DB!O:O, MATCH($D96, 자격증DB!$A:$A, 0))=0, "", INDEX(자격증DB!O:O, MATCH($D96, 자격증DB!$A:$A, 0))), "")</f>
        <v/>
      </c>
      <c r="W96" s="114" t="str">
        <f>IFERROR(IF(INDEX(자격증DB!P:P, MATCH($D96, 자격증DB!$A:$A, 0))=0, "", INDEX(자격증DB!P:P, MATCH($D96, 자격증DB!$A:$A, 0))), "")</f>
        <v/>
      </c>
      <c r="X96"/>
      <c r="Y96" s="210" t="str">
        <f>A96 &amp; "_" &amp; "자격증_" &amp; COUNTIFS($A$2:A96, A96)</f>
        <v>김용전_자격증_1</v>
      </c>
      <c r="Z96" s="210" t="str">
        <f>D96 &amp; "_" &amp;"자격증_" &amp;  COUNTIFS($D$2:D96, D96)</f>
        <v>재경관리사_자격증_2</v>
      </c>
    </row>
    <row r="97" spans="1:26" ht="20.100000000000001" customHeight="1">
      <c r="A97" s="204" t="s">
        <v>0</v>
      </c>
      <c r="B97" s="160" t="str">
        <f>IFERROR(INDEX(개인DB!C:C, MATCH($A97, 개인DB!B:B, 0)), "")</f>
        <v>원장</v>
      </c>
      <c r="C97" s="160" t="str">
        <f>IFERROR(INDEX(개인DB!D:D, MATCH($A97, 개인DB!B:B, 0)), "")</f>
        <v>원장</v>
      </c>
      <c r="D97" s="205" t="s">
        <v>73</v>
      </c>
      <c r="E97" s="160" t="str">
        <f>IFERROR(INDEX(자격증DB!E:E, MATCH($D97, 자격증DB!A:A, 0)), "")</f>
        <v>민간</v>
      </c>
      <c r="F97" s="132" t="str">
        <f>IFERROR(INDEX(자격증DB!B:B, MATCH($D97, 자격증DB!A:A, 0)), "")</f>
        <v>보건복지부</v>
      </c>
      <c r="G97" s="206" t="str">
        <f>IFERROR(INDEX(자격증DB!C:C, MATCH($D97, 자격증DB!A:A, 0)), "")</f>
        <v>한국자격검정평가진흥원</v>
      </c>
      <c r="H97" s="163" t="str">
        <f>IFERROR(INDEX(자격증DB!F:F, MATCH($D97, 자격증DB!A:A, 0)), "")</f>
        <v>자격증</v>
      </c>
      <c r="I97" s="207">
        <v>43397</v>
      </c>
      <c r="J97" s="207"/>
      <c r="K97" s="208"/>
      <c r="L97" s="209" t="str">
        <f t="shared" si="4"/>
        <v>PDF</v>
      </c>
      <c r="M97" s="210" t="str">
        <f t="shared" si="5"/>
        <v>보험심사평가사1급_김민선</v>
      </c>
      <c r="N97" s="211" t="str">
        <f>IFERROR(IF(INDEX(자격증DB!G:G, MATCH($D97, 자격증DB!$A:$A, 0))=0, "", INDEX(자격증DB!G:G, MATCH($D97, 자격증DB!$A:$A, 0))), "")</f>
        <v>기타</v>
      </c>
      <c r="O97" s="153" t="str">
        <f>IFERROR(IF(INDEX(자격증DB!H:H, MATCH($D97, 자격증DB!$A:$A, 0))=0, "", INDEX(자격증DB!H:H, MATCH($D97, 자격증DB!$A:$A, 0))), "")</f>
        <v/>
      </c>
      <c r="P97" s="108" t="str">
        <f>IFERROR(IF(INDEX(자격증DB!I:I, MATCH($D97, 자격증DB!$A:$A, 0))=0, "", INDEX(자격증DB!I:I, MATCH($D97, 자격증DB!$A:$A, 0))), "")</f>
        <v/>
      </c>
      <c r="Q97" s="108" t="str">
        <f>IFERROR(IF(INDEX(자격증DB!J:J, MATCH($D97, 자격증DB!$A:$A, 0))=0, "", INDEX(자격증DB!J:J, MATCH($D97, 자격증DB!$A:$A, 0))), "")</f>
        <v/>
      </c>
      <c r="R97" s="108" t="str">
        <f>IFERROR(IF(INDEX(자격증DB!K:K, MATCH($D97, 자격증DB!$A:$A, 0))=0, "", INDEX(자격증DB!K:K, MATCH($D97, 자격증DB!$A:$A, 0))), "")</f>
        <v/>
      </c>
      <c r="S97" s="108" t="str">
        <f>IFERROR(IF(INDEX(자격증DB!L:L, MATCH($D97, 자격증DB!$A:$A, 0))=0, "", INDEX(자격증DB!L:L, MATCH($D97, 자격증DB!$A:$A, 0))), "")</f>
        <v/>
      </c>
      <c r="T97" s="108" t="str">
        <f>IFERROR(IF(INDEX(자격증DB!M:M, MATCH($D97, 자격증DB!$A:$A, 0))=0, "", INDEX(자격증DB!M:M, MATCH($D97, 자격증DB!$A:$A, 0))), "")</f>
        <v>각종 수수료(CF)</v>
      </c>
      <c r="U97" s="108" t="str">
        <f>IFERROR(IF(INDEX(자격증DB!N:N, MATCH($D97, 자격증DB!$A:$A, 0))=0, "", INDEX(자격증DB!N:N, MATCH($D97, 자격증DB!$A:$A, 0))), "")</f>
        <v/>
      </c>
      <c r="V97" s="108" t="str">
        <f>IFERROR(IF(INDEX(자격증DB!O:O, MATCH($D97, 자격증DB!$A:$A, 0))=0, "", INDEX(자격증DB!O:O, MATCH($D97, 자격증DB!$A:$A, 0))), "")</f>
        <v/>
      </c>
      <c r="W97" s="114" t="str">
        <f>IFERROR(IF(INDEX(자격증DB!P:P, MATCH($D97, 자격증DB!$A:$A, 0))=0, "", INDEX(자격증DB!P:P, MATCH($D97, 자격증DB!$A:$A, 0))), "")</f>
        <v/>
      </c>
      <c r="X97"/>
      <c r="Y97" s="361" t="str">
        <f>A97 &amp; "_" &amp; "자격증_" &amp; COUNTIFS($A$2:A97, A97)</f>
        <v>김민선_자격증_25</v>
      </c>
      <c r="Z97" s="361" t="str">
        <f>D97 &amp; "_" &amp;"자격증_" &amp;  COUNTIFS($D$2:D97, D97)</f>
        <v>보험심사평가사1급_자격증_1</v>
      </c>
    </row>
    <row r="98" spans="1:26" ht="20.100000000000001" customHeight="1">
      <c r="A98" s="204" t="s">
        <v>3</v>
      </c>
      <c r="B98" s="160" t="str">
        <f>IFERROR(INDEX(개인DB!C:C, MATCH($A98, 개인DB!B:B, 0)), "")</f>
        <v>원가분석</v>
      </c>
      <c r="C98" s="160" t="str">
        <f>IFERROR(INDEX(개인DB!D:D, MATCH($A98, 개인DB!B:B, 0)), "")</f>
        <v>이사</v>
      </c>
      <c r="D98" s="229" t="s">
        <v>73</v>
      </c>
      <c r="E98" s="160" t="str">
        <f>IFERROR(INDEX(자격증DB!E:E, MATCH($D98, 자격증DB!A:A, 0)), "X")</f>
        <v>민간</v>
      </c>
      <c r="F98" s="132" t="str">
        <f>IFERROR(INDEX(자격증DB!B:B, MATCH($D98, 자격증DB!A:A, 0)), "X")</f>
        <v>보건복지부</v>
      </c>
      <c r="G98" s="206" t="str">
        <f>IFERROR(INDEX(자격증DB!C:C, MATCH($D98, 자격증DB!A:A, 0)), "")</f>
        <v>한국자격검정평가진흥원</v>
      </c>
      <c r="H98" s="163" t="str">
        <f>IFERROR(INDEX(자격증DB!F:F, MATCH($D98, 자격증DB!A:A, 0)), "")</f>
        <v>자격증</v>
      </c>
      <c r="I98" s="214">
        <v>43397</v>
      </c>
      <c r="J98" s="214"/>
      <c r="K98" s="226"/>
      <c r="L98" s="209" t="str">
        <f t="shared" ref="L98:L119" si="6">HYPERLINK("학력, 자격증-excel 연동 파일\" &amp; A98 &amp; "\자격증\" &amp; D98 &amp; "_" &amp; A98 &amp; ".pdf", "PDF")</f>
        <v>PDF</v>
      </c>
      <c r="M98" s="227" t="str">
        <f t="shared" ref="M98:M119" si="7">D98&amp;"_"&amp;A98</f>
        <v>보험심사평가사1급_하은정</v>
      </c>
      <c r="N98" s="228" t="str">
        <f>IFERROR(IF(INDEX(자격증DB!G:G, MATCH($D98, 자격증DB!$A:$A, 0))=0, "", INDEX(자격증DB!G:G, MATCH($D98, 자격증DB!$A:$A, 0))), "")</f>
        <v>기타</v>
      </c>
      <c r="O98" s="153" t="str">
        <f>IFERROR(IF(INDEX(자격증DB!H:H, MATCH($D98, 자격증DB!$A:$A, 0))=0, "", INDEX(자격증DB!H:H, MATCH($D98, 자격증DB!$A:$A, 0))), "")</f>
        <v/>
      </c>
      <c r="P98" s="108" t="str">
        <f>IFERROR(IF(INDEX(자격증DB!I:I, MATCH($D98, 자격증DB!$A:$A, 0))=0, "", INDEX(자격증DB!I:I, MATCH($D98, 자격증DB!$A:$A, 0))), "")</f>
        <v/>
      </c>
      <c r="Q98" s="108" t="str">
        <f>IFERROR(IF(INDEX(자격증DB!J:J, MATCH($D98, 자격증DB!$A:$A, 0))=0, "", INDEX(자격증DB!J:J, MATCH($D98, 자격증DB!$A:$A, 0))), "")</f>
        <v/>
      </c>
      <c r="R98" s="108" t="str">
        <f>IFERROR(IF(INDEX(자격증DB!K:K, MATCH($D98, 자격증DB!$A:$A, 0))=0, "", INDEX(자격증DB!K:K, MATCH($D98, 자격증DB!$A:$A, 0))), "")</f>
        <v/>
      </c>
      <c r="S98" s="108" t="str">
        <f>IFERROR(IF(INDEX(자격증DB!L:L, MATCH($D98, 자격증DB!$A:$A, 0))=0, "", INDEX(자격증DB!L:L, MATCH($D98, 자격증DB!$A:$A, 0))), "")</f>
        <v/>
      </c>
      <c r="T98" s="108" t="str">
        <f>IFERROR(IF(INDEX(자격증DB!M:M, MATCH($D98, 자격증DB!$A:$A, 0))=0, "", INDEX(자격증DB!M:M, MATCH($D98, 자격증DB!$A:$A, 0))), "")</f>
        <v>각종 수수료(CF)</v>
      </c>
      <c r="U98" s="108" t="str">
        <f>IFERROR(IF(INDEX(자격증DB!N:N, MATCH($D98, 자격증DB!$A:$A, 0))=0, "", INDEX(자격증DB!N:N, MATCH($D98, 자격증DB!$A:$A, 0))), "")</f>
        <v/>
      </c>
      <c r="V98" s="108" t="str">
        <f>IFERROR(IF(INDEX(자격증DB!O:O, MATCH($D98, 자격증DB!$A:$A, 0))=0, "", INDEX(자격증DB!O:O, MATCH($D98, 자격증DB!$A:$A, 0))), "")</f>
        <v/>
      </c>
      <c r="W98" s="114" t="str">
        <f>IFERROR(IF(INDEX(자격증DB!P:P, MATCH($D98, 자격증DB!$A:$A, 0))=0, "", INDEX(자격증DB!P:P, MATCH($D98, 자격증DB!$A:$A, 0))), "")</f>
        <v/>
      </c>
      <c r="X98"/>
      <c r="Y98" s="227" t="str">
        <f>A98 &amp; "_" &amp; "자격증_" &amp; COUNTIFS($A$2:A98, A98)</f>
        <v>하은정_자격증_6</v>
      </c>
      <c r="Z98" s="227" t="str">
        <f>D98 &amp; "_" &amp;"자격증_" &amp;  COUNTIFS($D$2:D98, D98)</f>
        <v>보험심사평가사1급_자격증_2</v>
      </c>
    </row>
    <row r="99" spans="1:26" ht="20.100000000000001" customHeight="1">
      <c r="A99" s="204" t="s">
        <v>0</v>
      </c>
      <c r="B99" s="160" t="str">
        <f>IFERROR(INDEX(개인DB!C:C, MATCH($A99, 개인DB!B:B, 0)), "")</f>
        <v>원장</v>
      </c>
      <c r="C99" s="160" t="str">
        <f>IFERROR(INDEX(개인DB!D:D, MATCH($A99, 개인DB!B:B, 0)), "")</f>
        <v>원장</v>
      </c>
      <c r="D99" s="205" t="s">
        <v>63</v>
      </c>
      <c r="E99" s="160" t="str">
        <f>IFERROR(INDEX(자격증DB!E:E, MATCH($D99, 자격증DB!A:A, 0)), "")</f>
        <v>민간</v>
      </c>
      <c r="F99" s="132" t="str">
        <f>IFERROR(INDEX(자격증DB!B:B, MATCH($D99, 자격증DB!A:A, 0)), "")</f>
        <v>-</v>
      </c>
      <c r="G99" s="206" t="str">
        <f>IFERROR(INDEX(자격증DB!C:C, MATCH($D99, 자격증DB!A:A, 0)), "")</f>
        <v>한국공인회계사회</v>
      </c>
      <c r="H99" s="163" t="str">
        <f>IFERROR(INDEX(자격증DB!F:F, MATCH($D99, 자격증DB!A:A, 0)), "")</f>
        <v>자격증</v>
      </c>
      <c r="I99" s="207">
        <v>38113</v>
      </c>
      <c r="J99" s="207"/>
      <c r="K99" s="208"/>
      <c r="L99" s="209" t="str">
        <f t="shared" si="6"/>
        <v>PDF</v>
      </c>
      <c r="M99" s="210" t="str">
        <f t="shared" si="7"/>
        <v>ERP 회계 컨설턴트_김민선</v>
      </c>
      <c r="N99" s="211" t="str">
        <f>IFERROR(IF(INDEX(자격증DB!G:G, MATCH($D99, 자격증DB!$A:$A, 0))=0, "", INDEX(자격증DB!G:G, MATCH($D99, 자격증DB!$A:$A, 0))), "")</f>
        <v>기타</v>
      </c>
      <c r="O99" s="153" t="str">
        <f>IFERROR(IF(INDEX(자격증DB!H:H, MATCH($D99, 자격증DB!$A:$A, 0))=0, "", INDEX(자격증DB!H:H, MATCH($D99, 자격증DB!$A:$A, 0))), "")</f>
        <v/>
      </c>
      <c r="P99" s="108" t="str">
        <f>IFERROR(IF(INDEX(자격증DB!I:I, MATCH($D99, 자격증DB!$A:$A, 0))=0, "", INDEX(자격증DB!I:I, MATCH($D99, 자격증DB!$A:$A, 0))), "")</f>
        <v/>
      </c>
      <c r="Q99" s="108" t="str">
        <f>IFERROR(IF(INDEX(자격증DB!J:J, MATCH($D99, 자격증DB!$A:$A, 0))=0, "", INDEX(자격증DB!J:J, MATCH($D99, 자격증DB!$A:$A, 0))), "")</f>
        <v/>
      </c>
      <c r="R99" s="108" t="str">
        <f>IFERROR(IF(INDEX(자격증DB!K:K, MATCH($D99, 자격증DB!$A:$A, 0))=0, "", INDEX(자격증DB!K:K, MATCH($D99, 자격증DB!$A:$A, 0))), "")</f>
        <v/>
      </c>
      <c r="S99" s="108" t="str">
        <f>IFERROR(IF(INDEX(자격증DB!L:L, MATCH($D99, 자격증DB!$A:$A, 0))=0, "", INDEX(자격증DB!L:L, MATCH($D99, 자격증DB!$A:$A, 0))), "")</f>
        <v>사후정산(CE)</v>
      </c>
      <c r="T99" s="108" t="str">
        <f>IFERROR(IF(INDEX(자격증DB!M:M, MATCH($D99, 자격증DB!$A:$A, 0))=0, "", INDEX(자격증DB!M:M, MATCH($D99, 자격증DB!$A:$A, 0))), "")</f>
        <v/>
      </c>
      <c r="U99" s="108" t="str">
        <f>IFERROR(IF(INDEX(자격증DB!N:N, MATCH($D99, 자격증DB!$A:$A, 0))=0, "", INDEX(자격증DB!N:N, MATCH($D99, 자격증DB!$A:$A, 0))), "")</f>
        <v/>
      </c>
      <c r="V99" s="108" t="str">
        <f>IFERROR(IF(INDEX(자격증DB!O:O, MATCH($D99, 자격증DB!$A:$A, 0))=0, "", INDEX(자격증DB!O:O, MATCH($D99, 자격증DB!$A:$A, 0))), "")</f>
        <v/>
      </c>
      <c r="W99" s="114" t="str">
        <f>IFERROR(IF(INDEX(자격증DB!P:P, MATCH($D99, 자격증DB!$A:$A, 0))=0, "", INDEX(자격증DB!P:P, MATCH($D99, 자격증DB!$A:$A, 0))), "")</f>
        <v/>
      </c>
      <c r="X99"/>
      <c r="Y99" s="361" t="str">
        <f>A99 &amp; "_" &amp; "자격증_" &amp; COUNTIFS($A$2:A99, A99)</f>
        <v>김민선_자격증_26</v>
      </c>
      <c r="Z99" s="361" t="str">
        <f>D99 &amp; "_" &amp;"자격증_" &amp;  COUNTIFS($D$2:D99, D99)</f>
        <v>ERP 회계 컨설턴트_자격증_1</v>
      </c>
    </row>
    <row r="100" spans="1:26" ht="20.100000000000001" customHeight="1">
      <c r="A100" s="204" t="s">
        <v>0</v>
      </c>
      <c r="B100" s="160" t="str">
        <f>IFERROR(INDEX(개인DB!C:C, MATCH($A100, 개인DB!B:B, 0)), "")</f>
        <v>원장</v>
      </c>
      <c r="C100" s="160" t="str">
        <f>IFERROR(INDEX(개인DB!D:D, MATCH($A100, 개인DB!B:B, 0)), "")</f>
        <v>원장</v>
      </c>
      <c r="D100" s="205" t="s">
        <v>67</v>
      </c>
      <c r="E100" s="160" t="str">
        <f>IFERROR(INDEX(자격증DB!E:E, MATCH($D100, 자격증DB!A:A, 0)), "")</f>
        <v>민간</v>
      </c>
      <c r="F100" s="132" t="str">
        <f>IFERROR(INDEX(자격증DB!B:B, MATCH($D100, 자격증DB!A:A, 0)), "")</f>
        <v>-</v>
      </c>
      <c r="G100" s="206" t="str">
        <f>IFERROR(INDEX(자격증DB!C:C, MATCH($D100, 자격증DB!A:A, 0)), "")</f>
        <v>(사)한국비시피협회</v>
      </c>
      <c r="H100" s="163" t="str">
        <f>IFERROR(INDEX(자격증DB!F:F, MATCH($D100, 자격증DB!A:A, 0)), "")</f>
        <v>자격증</v>
      </c>
      <c r="I100" s="207">
        <v>42097</v>
      </c>
      <c r="J100" s="207"/>
      <c r="K100" s="208"/>
      <c r="L100" s="209" t="str">
        <f t="shared" si="6"/>
        <v>PDF</v>
      </c>
      <c r="M100" s="210" t="str">
        <f t="shared" si="7"/>
        <v>재난관리지도사_김민선</v>
      </c>
      <c r="N100" s="211" t="str">
        <f>IFERROR(IF(INDEX(자격증DB!G:G, MATCH($D100, 자격증DB!$A:$A, 0))=0, "", INDEX(자격증DB!G:G, MATCH($D100, 자격증DB!$A:$A, 0))), "")</f>
        <v>기타</v>
      </c>
      <c r="O100" s="153" t="str">
        <f>IFERROR(IF(INDEX(자격증DB!H:H, MATCH($D100, 자격증DB!$A:$A, 0))=0, "", INDEX(자격증DB!H:H, MATCH($D100, 자격증DB!$A:$A, 0))), "")</f>
        <v/>
      </c>
      <c r="P100" s="108" t="str">
        <f>IFERROR(IF(INDEX(자격증DB!I:I, MATCH($D100, 자격증DB!$A:$A, 0))=0, "", INDEX(자격증DB!I:I, MATCH($D100, 자격증DB!$A:$A, 0))), "")</f>
        <v/>
      </c>
      <c r="Q100" s="108" t="str">
        <f>IFERROR(IF(INDEX(자격증DB!J:J, MATCH($D100, 자격증DB!$A:$A, 0))=0, "", INDEX(자격증DB!J:J, MATCH($D100, 자격증DB!$A:$A, 0))), "")</f>
        <v/>
      </c>
      <c r="R100" s="108" t="str">
        <f>IFERROR(IF(INDEX(자격증DB!K:K, MATCH($D100, 자격증DB!$A:$A, 0))=0, "", INDEX(자격증DB!K:K, MATCH($D100, 자격증DB!$A:$A, 0))), "")</f>
        <v/>
      </c>
      <c r="S100" s="108" t="str">
        <f>IFERROR(IF(INDEX(자격증DB!L:L, MATCH($D100, 자격증DB!$A:$A, 0))=0, "", INDEX(자격증DB!L:L, MATCH($D100, 자격증DB!$A:$A, 0))), "")</f>
        <v/>
      </c>
      <c r="T100" s="108" t="str">
        <f>IFERROR(IF(INDEX(자격증DB!M:M, MATCH($D100, 자격증DB!$A:$A, 0))=0, "", INDEX(자격증DB!M:M, MATCH($D100, 자격증DB!$A:$A, 0))), "")</f>
        <v>각종 수수료(CF)</v>
      </c>
      <c r="U100" s="108" t="str">
        <f>IFERROR(IF(INDEX(자격증DB!N:N, MATCH($D100, 자격증DB!$A:$A, 0))=0, "", INDEX(자격증DB!N:N, MATCH($D100, 자격증DB!$A:$A, 0))), "")</f>
        <v/>
      </c>
      <c r="V100" s="108" t="str">
        <f>IFERROR(IF(INDEX(자격증DB!O:O, MATCH($D100, 자격증DB!$A:$A, 0))=0, "", INDEX(자격증DB!O:O, MATCH($D100, 자격증DB!$A:$A, 0))), "")</f>
        <v/>
      </c>
      <c r="W100" s="114" t="str">
        <f>IFERROR(IF(INDEX(자격증DB!P:P, MATCH($D100, 자격증DB!$A:$A, 0))=0, "", INDEX(자격증DB!P:P, MATCH($D100, 자격증DB!$A:$A, 0))), "")</f>
        <v/>
      </c>
      <c r="X100"/>
      <c r="Y100" s="210" t="str">
        <f>A100 &amp; "_" &amp; "자격증_" &amp; COUNTIFS($A$2:A100, A100)</f>
        <v>김민선_자격증_27</v>
      </c>
      <c r="Z100" s="210" t="str">
        <f>D100 &amp; "_" &amp;"자격증_" &amp;  COUNTIFS($D$2:D100, D100)</f>
        <v>재난관리지도사_자격증_1</v>
      </c>
    </row>
    <row r="101" spans="1:26" ht="20.100000000000001" customHeight="1">
      <c r="A101" s="204" t="s">
        <v>20</v>
      </c>
      <c r="B101" s="160" t="str">
        <f>IFERROR(INDEX(개인DB!C:C, MATCH($A101, 개인DB!B:B, 0)), "")</f>
        <v>원가분석</v>
      </c>
      <c r="C101" s="160" t="str">
        <f>IFERROR(INDEX(개인DB!D:D, MATCH($A101, 개인DB!B:B, 0)), "")</f>
        <v>위원</v>
      </c>
      <c r="D101" s="229" t="s">
        <v>246</v>
      </c>
      <c r="E101" s="160" t="str">
        <f>IFERROR(INDEX(자격증DB!E:E, MATCH($D101, 자격증DB!A:A, 0)), "")</f>
        <v>기사</v>
      </c>
      <c r="F101" s="132" t="str">
        <f>IFERROR(INDEX(자격증DB!B:B, MATCH($D101, 자격증DB!A:A, 0)), "")</f>
        <v>농림축산식품부</v>
      </c>
      <c r="G101" s="206" t="str">
        <f>IFERROR(INDEX(자격증DB!C:C, MATCH($D101, 자격증DB!A:A, 0)), "")</f>
        <v>한국산업인력공단</v>
      </c>
      <c r="H101" s="163" t="str">
        <f>IFERROR(INDEX(자격증DB!F:F, MATCH($D101, 자격증DB!A:A, 0)), "")</f>
        <v>자격증</v>
      </c>
      <c r="I101" s="214">
        <v>41236</v>
      </c>
      <c r="J101" s="214"/>
      <c r="K101" s="226"/>
      <c r="L101" s="209" t="str">
        <f t="shared" si="6"/>
        <v>PDF</v>
      </c>
      <c r="M101" s="227" t="str">
        <f t="shared" si="7"/>
        <v>유기농업기사_신광수</v>
      </c>
      <c r="N101" s="228" t="str">
        <f>IFERROR(IF(INDEX(자격증DB!G:G, MATCH($D101, 자격증DB!$A:$A, 0))=0, "", INDEX(자격증DB!G:G, MATCH($D101, 자격증DB!$A:$A, 0))), "")</f>
        <v>기타</v>
      </c>
      <c r="O101" s="153" t="str">
        <f>IFERROR(IF(INDEX(자격증DB!H:H, MATCH($D101, 자격증DB!$A:$A, 0))=0, "", INDEX(자격증DB!H:H, MATCH($D101, 자격증DB!$A:$A, 0))), "")</f>
        <v/>
      </c>
      <c r="P101" s="108" t="str">
        <f>IFERROR(IF(INDEX(자격증DB!I:I, MATCH($D101, 자격증DB!$A:$A, 0))=0, "", INDEX(자격증DB!I:I, MATCH($D101, 자격증DB!$A:$A, 0))), "")</f>
        <v/>
      </c>
      <c r="Q101" s="108" t="str">
        <f>IFERROR(IF(INDEX(자격증DB!J:J, MATCH($D101, 자격증DB!$A:$A, 0))=0, "", INDEX(자격증DB!J:J, MATCH($D101, 자격증DB!$A:$A, 0))), "")</f>
        <v/>
      </c>
      <c r="R101" s="108" t="str">
        <f>IFERROR(IF(INDEX(자격증DB!K:K, MATCH($D101, 자격증DB!$A:$A, 0))=0, "", INDEX(자격증DB!K:K, MATCH($D101, 자격증DB!$A:$A, 0))), "")</f>
        <v/>
      </c>
      <c r="S101" s="108" t="str">
        <f>IFERROR(IF(INDEX(자격증DB!L:L, MATCH($D101, 자격증DB!$A:$A, 0))=0, "", INDEX(자격증DB!L:L, MATCH($D101, 자격증DB!$A:$A, 0))), "")</f>
        <v/>
      </c>
      <c r="T101" s="108" t="str">
        <f>IFERROR(IF(INDEX(자격증DB!M:M, MATCH($D101, 자격증DB!$A:$A, 0))=0, "", INDEX(자격증DB!M:M, MATCH($D101, 자격증DB!$A:$A, 0))), "")</f>
        <v>각종 수수료(CF)</v>
      </c>
      <c r="U101" s="108" t="str">
        <f>IFERROR(IF(INDEX(자격증DB!N:N, MATCH($D101, 자격증DB!$A:$A, 0))=0, "", INDEX(자격증DB!N:N, MATCH($D101, 자격증DB!$A:$A, 0))), "")</f>
        <v/>
      </c>
      <c r="V101" s="108" t="str">
        <f>IFERROR(IF(INDEX(자격증DB!O:O, MATCH($D101, 자격증DB!$A:$A, 0))=0, "", INDEX(자격증DB!O:O, MATCH($D101, 자격증DB!$A:$A, 0))), "")</f>
        <v/>
      </c>
      <c r="W101" s="114" t="str">
        <f>IFERROR(IF(INDEX(자격증DB!P:P, MATCH($D101, 자격증DB!$A:$A, 0))=0, "", INDEX(자격증DB!P:P, MATCH($D101, 자격증DB!$A:$A, 0))), "")</f>
        <v/>
      </c>
      <c r="X101"/>
      <c r="Y101" s="363" t="str">
        <f>A101 &amp; "_" &amp; "자격증_" &amp; COUNTIFS($A$2:A101, A101)</f>
        <v>신광수_자격증_5</v>
      </c>
      <c r="Z101" s="363" t="str">
        <f>D101 &amp; "_" &amp;"자격증_" &amp;  COUNTIFS($D$2:D101, D101)</f>
        <v>유기농업기사_자격증_1</v>
      </c>
    </row>
    <row r="102" spans="1:26" ht="20.100000000000001" customHeight="1">
      <c r="A102" s="204" t="s">
        <v>277</v>
      </c>
      <c r="B102" s="160" t="str">
        <f>IFERROR(INDEX(개인DB!C:C, MATCH($A102, 개인DB!B:B, 0)), "")</f>
        <v>갈등조정중재</v>
      </c>
      <c r="C102" s="160" t="str">
        <f>IFERROR(INDEX(개인DB!D:D, MATCH($A102, 개인DB!B:B, 0)), "")</f>
        <v>위원</v>
      </c>
      <c r="D102" s="229" t="s">
        <v>235</v>
      </c>
      <c r="E102" s="160" t="str">
        <f>IFERROR(INDEX(자격증DB!E:E, MATCH($D102, 자격증DB!A:A, 0)), "")</f>
        <v>타기관</v>
      </c>
      <c r="F102" s="132" t="str">
        <f>IFERROR(INDEX(자격증DB!B:B, MATCH($D102, 자격증DB!A:A, 0)), "")</f>
        <v>보건복지부</v>
      </c>
      <c r="G102" s="206" t="str">
        <f>IFERROR(INDEX(자격증DB!C:C, MATCH($D102, 자격증DB!A:A, 0)), "")</f>
        <v>보건복지부</v>
      </c>
      <c r="H102" s="163" t="str">
        <f>IFERROR(INDEX(자격증DB!F:F, MATCH($D102, 자격증DB!A:A, 0)), "")</f>
        <v>면허증</v>
      </c>
      <c r="I102" s="230">
        <v>37365</v>
      </c>
      <c r="J102" s="207"/>
      <c r="K102" s="208"/>
      <c r="L102" s="209" t="str">
        <f t="shared" si="6"/>
        <v>PDF</v>
      </c>
      <c r="M102" s="210" t="str">
        <f t="shared" si="7"/>
        <v>간호사_김혜미</v>
      </c>
      <c r="N102" s="211" t="str">
        <f>IFERROR(IF(INDEX(자격증DB!G:G, MATCH($D102, 자격증DB!$A:$A, 0))=0, "", INDEX(자격증DB!G:G, MATCH($D102, 자격증DB!$A:$A, 0))), "")</f>
        <v>기타</v>
      </c>
      <c r="O102" s="153" t="str">
        <f>IFERROR(IF(INDEX(자격증DB!H:H, MATCH($D102, 자격증DB!$A:$A, 0))=0, "", INDEX(자격증DB!H:H, MATCH($D102, 자격증DB!$A:$A, 0))), "")</f>
        <v/>
      </c>
      <c r="P102" s="108" t="str">
        <f>IFERROR(IF(INDEX(자격증DB!I:I, MATCH($D102, 자격증DB!$A:$A, 0))=0, "", INDEX(자격증DB!I:I, MATCH($D102, 자격증DB!$A:$A, 0))), "")</f>
        <v/>
      </c>
      <c r="Q102" s="108" t="str">
        <f>IFERROR(IF(INDEX(자격증DB!J:J, MATCH($D102, 자격증DB!$A:$A, 0))=0, "", INDEX(자격증DB!J:J, MATCH($D102, 자격증DB!$A:$A, 0))), "")</f>
        <v/>
      </c>
      <c r="R102" s="108" t="str">
        <f>IFERROR(IF(INDEX(자격증DB!K:K, MATCH($D102, 자격증DB!$A:$A, 0))=0, "", INDEX(자격증DB!K:K, MATCH($D102, 자격증DB!$A:$A, 0))), "")</f>
        <v/>
      </c>
      <c r="S102" s="108" t="str">
        <f>IFERROR(IF(INDEX(자격증DB!L:L, MATCH($D102, 자격증DB!$A:$A, 0))=0, "", INDEX(자격증DB!L:L, MATCH($D102, 자격증DB!$A:$A, 0))), "")</f>
        <v/>
      </c>
      <c r="T102" s="108" t="str">
        <f>IFERROR(IF(INDEX(자격증DB!M:M, MATCH($D102, 자격증DB!$A:$A, 0))=0, "", INDEX(자격증DB!M:M, MATCH($D102, 자격증DB!$A:$A, 0))), "")</f>
        <v>각종 수수료(CF)</v>
      </c>
      <c r="U102" s="108" t="str">
        <f>IFERROR(IF(INDEX(자격증DB!N:N, MATCH($D102, 자격증DB!$A:$A, 0))=0, "", INDEX(자격증DB!N:N, MATCH($D102, 자격증DB!$A:$A, 0))), "")</f>
        <v/>
      </c>
      <c r="V102" s="108" t="str">
        <f>IFERROR(IF(INDEX(자격증DB!O:O, MATCH($D102, 자격증DB!$A:$A, 0))=0, "", INDEX(자격증DB!O:O, MATCH($D102, 자격증DB!$A:$A, 0))), "")</f>
        <v/>
      </c>
      <c r="W102" s="114" t="str">
        <f>IFERROR(IF(INDEX(자격증DB!P:P, MATCH($D102, 자격증DB!$A:$A, 0))=0, "", INDEX(자격증DB!P:P, MATCH($D102, 자격증DB!$A:$A, 0))), "")</f>
        <v>갈등조정</v>
      </c>
      <c r="X102"/>
      <c r="Y102" s="210" t="str">
        <f>A102 &amp; "_" &amp; "자격증_" &amp; COUNTIFS($A$2:A102, A102)</f>
        <v>김혜미_자격증_2</v>
      </c>
      <c r="Z102" s="210" t="str">
        <f>D102 &amp; "_" &amp;"자격증_" &amp;  COUNTIFS($D$2:D102, D102)</f>
        <v>간호사_자격증_1</v>
      </c>
    </row>
    <row r="103" spans="1:26" ht="20.100000000000001" customHeight="1">
      <c r="A103" s="204" t="s">
        <v>0</v>
      </c>
      <c r="B103" s="160" t="str">
        <f>IFERROR(INDEX(개인DB!C:C, MATCH($A103, 개인DB!B:B, 0)), "")</f>
        <v>원장</v>
      </c>
      <c r="C103" s="160" t="str">
        <f>IFERROR(INDEX(개인DB!D:D, MATCH($A103, 개인DB!B:B, 0)), "")</f>
        <v>원장</v>
      </c>
      <c r="D103" s="205" t="s">
        <v>224</v>
      </c>
      <c r="E103" s="160" t="str">
        <f>IFERROR(INDEX(자격증DB!E:E, MATCH($D103, 자격증DB!A:A, 0)), "")</f>
        <v>민간</v>
      </c>
      <c r="F103" s="132" t="str">
        <f>IFERROR(INDEX(자격증DB!B:B, MATCH($D103, 자격증DB!A:A, 0)), "")</f>
        <v>보건복지부</v>
      </c>
      <c r="G103" s="206" t="str">
        <f>IFERROR(INDEX(자격증DB!C:C, MATCH($D103, 자격증DB!A:A, 0)), "")</f>
        <v>사회보험사협회</v>
      </c>
      <c r="H103" s="163" t="str">
        <f>IFERROR(INDEX(자격증DB!F:F, MATCH($D103, 자격증DB!A:A, 0)), "")</f>
        <v>자격증</v>
      </c>
      <c r="I103" s="207">
        <v>40752</v>
      </c>
      <c r="J103" s="207"/>
      <c r="K103" s="208"/>
      <c r="L103" s="209" t="str">
        <f t="shared" si="6"/>
        <v>PDF</v>
      </c>
      <c r="M103" s="210" t="str">
        <f t="shared" si="7"/>
        <v>사회보험사2급_김민선</v>
      </c>
      <c r="N103" s="211" t="str">
        <f>IFERROR(IF(INDEX(자격증DB!G:G, MATCH($D103, 자격증DB!$A:$A, 0))=0, "", INDEX(자격증DB!G:G, MATCH($D103, 자격증DB!$A:$A, 0))), "")</f>
        <v>기타</v>
      </c>
      <c r="O103" s="153" t="str">
        <f>IFERROR(IF(INDEX(자격증DB!H:H, MATCH($D103, 자격증DB!$A:$A, 0))=0, "", INDEX(자격증DB!H:H, MATCH($D103, 자격증DB!$A:$A, 0))), "")</f>
        <v/>
      </c>
      <c r="P103" s="108" t="str">
        <f>IFERROR(IF(INDEX(자격증DB!I:I, MATCH($D103, 자격증DB!$A:$A, 0))=0, "", INDEX(자격증DB!I:I, MATCH($D103, 자격증DB!$A:$A, 0))), "")</f>
        <v/>
      </c>
      <c r="Q103" s="108" t="str">
        <f>IFERROR(IF(INDEX(자격증DB!J:J, MATCH($D103, 자격증DB!$A:$A, 0))=0, "", INDEX(자격증DB!J:J, MATCH($D103, 자격증DB!$A:$A, 0))), "")</f>
        <v/>
      </c>
      <c r="R103" s="108" t="str">
        <f>IFERROR(IF(INDEX(자격증DB!K:K, MATCH($D103, 자격증DB!$A:$A, 0))=0, "", INDEX(자격증DB!K:K, MATCH($D103, 자격증DB!$A:$A, 0))), "")</f>
        <v/>
      </c>
      <c r="S103" s="108" t="str">
        <f>IFERROR(IF(INDEX(자격증DB!L:L, MATCH($D103, 자격증DB!$A:$A, 0))=0, "", INDEX(자격증DB!L:L, MATCH($D103, 자격증DB!$A:$A, 0))), "")</f>
        <v/>
      </c>
      <c r="T103" s="108" t="str">
        <f>IFERROR(IF(INDEX(자격증DB!M:M, MATCH($D103, 자격증DB!$A:$A, 0))=0, "", INDEX(자격증DB!M:M, MATCH($D103, 자격증DB!$A:$A, 0))), "")</f>
        <v>각종 수수료(CF)</v>
      </c>
      <c r="U103" s="108" t="str">
        <f>IFERROR(IF(INDEX(자격증DB!N:N, MATCH($D103, 자격증DB!$A:$A, 0))=0, "", INDEX(자격증DB!N:N, MATCH($D103, 자격증DB!$A:$A, 0))), "")</f>
        <v/>
      </c>
      <c r="V103" s="108" t="str">
        <f>IFERROR(IF(INDEX(자격증DB!O:O, MATCH($D103, 자격증DB!$A:$A, 0))=0, "", INDEX(자격증DB!O:O, MATCH($D103, 자격증DB!$A:$A, 0))), "")</f>
        <v/>
      </c>
      <c r="W103" s="114" t="str">
        <f>IFERROR(IF(INDEX(자격증DB!P:P, MATCH($D103, 자격증DB!$A:$A, 0))=0, "", INDEX(자격증DB!P:P, MATCH($D103, 자격증DB!$A:$A, 0))), "")</f>
        <v/>
      </c>
      <c r="X103"/>
      <c r="Y103" s="361" t="str">
        <f>A103 &amp; "_" &amp; "자격증_" &amp; COUNTIFS($A$2:A103, A103)</f>
        <v>김민선_자격증_28</v>
      </c>
      <c r="Z103" s="361" t="str">
        <f>D103 &amp; "_" &amp;"자격증_" &amp;  COUNTIFS($D$2:D103, D103)</f>
        <v>사회보험사2급_자격증_1</v>
      </c>
    </row>
    <row r="104" spans="1:26" ht="20.100000000000001" customHeight="1">
      <c r="A104" s="204" t="s">
        <v>0</v>
      </c>
      <c r="B104" s="160" t="str">
        <f>IFERROR(INDEX(개인DB!C:C, MATCH($A104, 개인DB!B:B, 0)), "")</f>
        <v>원장</v>
      </c>
      <c r="C104" s="160" t="str">
        <f>IFERROR(INDEX(개인DB!D:D, MATCH($A104, 개인DB!B:B, 0)), "")</f>
        <v>원장</v>
      </c>
      <c r="D104" s="205" t="s">
        <v>69</v>
      </c>
      <c r="E104" s="160" t="str">
        <f>IFERROR(INDEX(자격증DB!E:E, MATCH($D104, 자격증DB!A:A, 0)), "")</f>
        <v>민간</v>
      </c>
      <c r="F104" s="132" t="str">
        <f>IFERROR(INDEX(자격증DB!B:B, MATCH($D104, 자격증DB!A:A, 0)), "")</f>
        <v>-</v>
      </c>
      <c r="G104" s="206" t="str">
        <f>IFERROR(INDEX(자격증DB!C:C, MATCH($D104, 자격증DB!A:A, 0)), "")</f>
        <v>대한골프협회</v>
      </c>
      <c r="H104" s="163" t="str">
        <f>IFERROR(INDEX(자격증DB!F:F, MATCH($D104, 자격증DB!A:A, 0)), "")</f>
        <v>자격증</v>
      </c>
      <c r="I104" s="207">
        <v>43055</v>
      </c>
      <c r="J104" s="207"/>
      <c r="K104" s="208"/>
      <c r="L104" s="209" t="str">
        <f t="shared" si="6"/>
        <v>PDF</v>
      </c>
      <c r="M104" s="210" t="str">
        <f t="shared" si="7"/>
        <v>R&amp;A Level 2 Rules School_김민선</v>
      </c>
      <c r="N104" s="211" t="str">
        <f>IFERROR(IF(INDEX(자격증DB!G:G, MATCH($D104, 자격증DB!$A:$A, 0))=0, "", INDEX(자격증DB!G:G, MATCH($D104, 자격증DB!$A:$A, 0))), "")</f>
        <v>기타</v>
      </c>
      <c r="O104" s="153" t="str">
        <f>IFERROR(IF(INDEX(자격증DB!H:H, MATCH($D104, 자격증DB!$A:$A, 0))=0, "", INDEX(자격증DB!H:H, MATCH($D104, 자격증DB!$A:$A, 0))), "")</f>
        <v/>
      </c>
      <c r="P104" s="108" t="str">
        <f>IFERROR(IF(INDEX(자격증DB!I:I, MATCH($D104, 자격증DB!$A:$A, 0))=0, "", INDEX(자격증DB!I:I, MATCH($D104, 자격증DB!$A:$A, 0))), "")</f>
        <v/>
      </c>
      <c r="Q104" s="108" t="str">
        <f>IFERROR(IF(INDEX(자격증DB!J:J, MATCH($D104, 자격증DB!$A:$A, 0))=0, "", INDEX(자격증DB!J:J, MATCH($D104, 자격증DB!$A:$A, 0))), "")</f>
        <v/>
      </c>
      <c r="R104" s="108" t="str">
        <f>IFERROR(IF(INDEX(자격증DB!K:K, MATCH($D104, 자격증DB!$A:$A, 0))=0, "", INDEX(자격증DB!K:K, MATCH($D104, 자격증DB!$A:$A, 0))), "")</f>
        <v>SW(CD)</v>
      </c>
      <c r="S104" s="108" t="str">
        <f>IFERROR(IF(INDEX(자격증DB!L:L, MATCH($D104, 자격증DB!$A:$A, 0))=0, "", INDEX(자격증DB!L:L, MATCH($D104, 자격증DB!$A:$A, 0))), "")</f>
        <v/>
      </c>
      <c r="T104" s="108" t="str">
        <f>IFERROR(IF(INDEX(자격증DB!M:M, MATCH($D104, 자격증DB!$A:$A, 0))=0, "", INDEX(자격증DB!M:M, MATCH($D104, 자격증DB!$A:$A, 0))), "")</f>
        <v>각종 수수료(CF)</v>
      </c>
      <c r="U104" s="108" t="str">
        <f>IFERROR(IF(INDEX(자격증DB!N:N, MATCH($D104, 자격증DB!$A:$A, 0))=0, "", INDEX(자격증DB!N:N, MATCH($D104, 자격증DB!$A:$A, 0))), "")</f>
        <v/>
      </c>
      <c r="V104" s="108" t="str">
        <f>IFERROR(IF(INDEX(자격증DB!O:O, MATCH($D104, 자격증DB!$A:$A, 0))=0, "", INDEX(자격증DB!O:O, MATCH($D104, 자격증DB!$A:$A, 0))), "")</f>
        <v/>
      </c>
      <c r="W104" s="114" t="str">
        <f>IFERROR(IF(INDEX(자격증DB!P:P, MATCH($D104, 자격증DB!$A:$A, 0))=0, "", INDEX(자격증DB!P:P, MATCH($D104, 자격증DB!$A:$A, 0))), "")</f>
        <v/>
      </c>
      <c r="X104"/>
      <c r="Y104" s="210" t="str">
        <f>A104 &amp; "_" &amp; "자격증_" &amp; COUNTIFS($A$2:A104, A104)</f>
        <v>김민선_자격증_29</v>
      </c>
      <c r="Z104" s="210" t="str">
        <f>D104 &amp; "_" &amp;"자격증_" &amp;  COUNTIFS($D$2:D104, D104)</f>
        <v>R&amp;A Level 2 Rules School_자격증_1</v>
      </c>
    </row>
    <row r="105" spans="1:26" ht="20.100000000000001" customHeight="1">
      <c r="A105" s="204" t="s">
        <v>0</v>
      </c>
      <c r="B105" s="160" t="str">
        <f>IFERROR(INDEX(개인DB!C:C, MATCH($A105, 개인DB!B:B, 0)), "")</f>
        <v>원장</v>
      </c>
      <c r="C105" s="160" t="str">
        <f>IFERROR(INDEX(개인DB!D:D, MATCH($A105, 개인DB!B:B, 0)), "")</f>
        <v>원장</v>
      </c>
      <c r="D105" s="205" t="s">
        <v>84</v>
      </c>
      <c r="E105" s="160" t="str">
        <f>IFERROR(INDEX(자격증DB!E:E, MATCH($D105, 자격증DB!A:A, 0)), "")</f>
        <v>-</v>
      </c>
      <c r="F105" s="132" t="str">
        <f>IFERROR(INDEX(자격증DB!B:B, MATCH($D105, 자격증DB!A:A, 0)), "")</f>
        <v>인천지방해양수산청</v>
      </c>
      <c r="G105" s="206" t="str">
        <f>IFERROR(INDEX(자격증DB!C:C, MATCH($D105, 자격증DB!A:A, 0)), "")</f>
        <v>인천지방해양수산청</v>
      </c>
      <c r="H105" s="163" t="str">
        <f>IFERROR(INDEX(자격증DB!F:F, MATCH($D105, 자격증DB!A:A, 0)), "")</f>
        <v>면허증</v>
      </c>
      <c r="I105" s="207">
        <v>43069</v>
      </c>
      <c r="J105" s="207">
        <v>46719</v>
      </c>
      <c r="K105" s="208"/>
      <c r="L105" s="209" t="str">
        <f t="shared" si="6"/>
        <v>PDF</v>
      </c>
      <c r="M105" s="210" t="str">
        <f t="shared" si="7"/>
        <v>소형선박조종사(해기사)_김민선</v>
      </c>
      <c r="N105" s="211" t="str">
        <f>IFERROR(IF(INDEX(자격증DB!G:G, MATCH($D105, 자격증DB!$A:$A, 0))=0, "", INDEX(자격증DB!G:G, MATCH($D105, 자격증DB!$A:$A, 0))), "")</f>
        <v>기타</v>
      </c>
      <c r="O105" s="153" t="str">
        <f>IFERROR(IF(INDEX(자격증DB!H:H, MATCH($D105, 자격증DB!$A:$A, 0))=0, "", INDEX(자격증DB!H:H, MATCH($D105, 자격증DB!$A:$A, 0))), "")</f>
        <v/>
      </c>
      <c r="P105" s="108" t="str">
        <f>IFERROR(IF(INDEX(자격증DB!I:I, MATCH($D105, 자격증DB!$A:$A, 0))=0, "", INDEX(자격증DB!I:I, MATCH($D105, 자격증DB!$A:$A, 0))), "")</f>
        <v/>
      </c>
      <c r="Q105" s="108" t="str">
        <f>IFERROR(IF(INDEX(자격증DB!J:J, MATCH($D105, 자격증DB!$A:$A, 0))=0, "", INDEX(자격증DB!J:J, MATCH($D105, 자격증DB!$A:$A, 0))), "")</f>
        <v/>
      </c>
      <c r="R105" s="108" t="str">
        <f>IFERROR(IF(INDEX(자격증DB!K:K, MATCH($D105, 자격증DB!$A:$A, 0))=0, "", INDEX(자격증DB!K:K, MATCH($D105, 자격증DB!$A:$A, 0))), "")</f>
        <v/>
      </c>
      <c r="S105" s="108" t="str">
        <f>IFERROR(IF(INDEX(자격증DB!L:L, MATCH($D105, 자격증DB!$A:$A, 0))=0, "", INDEX(자격증DB!L:L, MATCH($D105, 자격증DB!$A:$A, 0))), "")</f>
        <v/>
      </c>
      <c r="T105" s="108" t="str">
        <f>IFERROR(IF(INDEX(자격증DB!M:M, MATCH($D105, 자격증DB!$A:$A, 0))=0, "", INDEX(자격증DB!M:M, MATCH($D105, 자격증DB!$A:$A, 0))), "")</f>
        <v>각종 수수료(CF)</v>
      </c>
      <c r="U105" s="108" t="str">
        <f>IFERROR(IF(INDEX(자격증DB!N:N, MATCH($D105, 자격증DB!$A:$A, 0))=0, "", INDEX(자격증DB!N:N, MATCH($D105, 자격증DB!$A:$A, 0))), "")</f>
        <v/>
      </c>
      <c r="V105" s="108" t="str">
        <f>IFERROR(IF(INDEX(자격증DB!O:O, MATCH($D105, 자격증DB!$A:$A, 0))=0, "", INDEX(자격증DB!O:O, MATCH($D105, 자격증DB!$A:$A, 0))), "")</f>
        <v/>
      </c>
      <c r="W105" s="114" t="str">
        <f>IFERROR(IF(INDEX(자격증DB!P:P, MATCH($D105, 자격증DB!$A:$A, 0))=0, "", INDEX(자격증DB!P:P, MATCH($D105, 자격증DB!$A:$A, 0))), "")</f>
        <v/>
      </c>
      <c r="X105"/>
      <c r="Y105" s="361" t="str">
        <f>A105 &amp; "_" &amp; "자격증_" &amp; COUNTIFS($A$2:A105, A105)</f>
        <v>김민선_자격증_30</v>
      </c>
      <c r="Z105" s="361" t="str">
        <f>D105 &amp; "_" &amp;"자격증_" &amp;  COUNTIFS($D$2:D105, D105)</f>
        <v>소형선박조종사(해기사)_자격증_1</v>
      </c>
    </row>
    <row r="106" spans="1:26" ht="20.100000000000001" customHeight="1">
      <c r="A106" s="204" t="s">
        <v>29</v>
      </c>
      <c r="B106" s="160" t="str">
        <f>IFERROR(INDEX(개인DB!C:C, MATCH($A106, 개인DB!B:B, 0)), "")</f>
        <v>원가분석</v>
      </c>
      <c r="C106" s="160" t="str">
        <f>IFERROR(INDEX(개인DB!D:D, MATCH($A106, 개인DB!B:B, 0)), "")</f>
        <v>주임연구원</v>
      </c>
      <c r="D106" s="232" t="s">
        <v>148</v>
      </c>
      <c r="E106" s="160" t="str">
        <f>IFERROR(INDEX(자격증DB!E:E, MATCH($D106, 자격증DB!A:A, 0)), "")</f>
        <v>민간(국가)</v>
      </c>
      <c r="F106" s="132" t="str">
        <f>IFERROR(INDEX(자격증DB!B:B, MATCH($D106, 자격증DB!A:A, 0)), "")</f>
        <v>금융위원회</v>
      </c>
      <c r="G106" s="206" t="str">
        <f>IFERROR(INDEX(자격증DB!C:C, MATCH($D106, 자격증DB!A:A, 0)), "")</f>
        <v>한국공인회계사회</v>
      </c>
      <c r="H106" s="163" t="str">
        <f>IFERROR(INDEX(자격증DB!F:F, MATCH($D106, 자격증DB!A:A, 0)), "")</f>
        <v>자격증</v>
      </c>
      <c r="I106" s="233">
        <v>45227</v>
      </c>
      <c r="J106" s="233"/>
      <c r="K106" s="234">
        <v>47053</v>
      </c>
      <c r="L106" s="209" t="str">
        <f t="shared" si="6"/>
        <v>PDF</v>
      </c>
      <c r="M106" s="235" t="str">
        <f t="shared" si="7"/>
        <v>FAT 2급_장연주</v>
      </c>
      <c r="N106" s="228" t="str">
        <f>IFERROR(IF(INDEX(자격증DB!G:G, MATCH($D106, 자격증DB!$A:$A, 0))=0, "", INDEX(자격증DB!G:G, MATCH($D106, 자격증DB!$A:$A, 0))), "")</f>
        <v>기타</v>
      </c>
      <c r="O106" s="153" t="str">
        <f>IFERROR(IF(INDEX(자격증DB!H:H, MATCH($D106, 자격증DB!$A:$A, 0))=0, "", INDEX(자격증DB!H:H, MATCH($D106, 자격증DB!$A:$A, 0))), "")</f>
        <v>제조(CA)</v>
      </c>
      <c r="P106" s="108" t="str">
        <f>IFERROR(IF(INDEX(자격증DB!I:I, MATCH($D106, 자격증DB!$A:$A, 0))=0, "", INDEX(자격증DB!I:I, MATCH($D106, 자격증DB!$A:$A, 0))), "")</f>
        <v/>
      </c>
      <c r="Q106" s="108" t="str">
        <f>IFERROR(IF(INDEX(자격증DB!J:J, MATCH($D106, 자격증DB!$A:$A, 0))=0, "", INDEX(자격증DB!J:J, MATCH($D106, 자격증DB!$A:$A, 0))), "")</f>
        <v/>
      </c>
      <c r="R106" s="108" t="str">
        <f>IFERROR(IF(INDEX(자격증DB!K:K, MATCH($D106, 자격증DB!$A:$A, 0))=0, "", INDEX(자격증DB!K:K, MATCH($D106, 자격증DB!$A:$A, 0))), "")</f>
        <v/>
      </c>
      <c r="S106" s="108" t="str">
        <f>IFERROR(IF(INDEX(자격증DB!L:L, MATCH($D106, 자격증DB!$A:$A, 0))=0, "", INDEX(자격증DB!L:L, MATCH($D106, 자격증DB!$A:$A, 0))), "")</f>
        <v/>
      </c>
      <c r="T106" s="108" t="str">
        <f>IFERROR(IF(INDEX(자격증DB!M:M, MATCH($D106, 자격증DB!$A:$A, 0))=0, "", INDEX(자격증DB!M:M, MATCH($D106, 자격증DB!$A:$A, 0))), "")</f>
        <v/>
      </c>
      <c r="U106" s="108" t="str">
        <f>IFERROR(IF(INDEX(자격증DB!N:N, MATCH($D106, 자격증DB!$A:$A, 0))=0, "", INDEX(자격증DB!N:N, MATCH($D106, 자격증DB!$A:$A, 0))), "")</f>
        <v/>
      </c>
      <c r="V106" s="108" t="str">
        <f>IFERROR(IF(INDEX(자격증DB!O:O, MATCH($D106, 자격증DB!$A:$A, 0))=0, "", INDEX(자격증DB!O:O, MATCH($D106, 자격증DB!$A:$A, 0))), "")</f>
        <v/>
      </c>
      <c r="W106" s="114" t="str">
        <f>IFERROR(IF(INDEX(자격증DB!P:P, MATCH($D106, 자격증DB!$A:$A, 0))=0, "", INDEX(자격증DB!P:P, MATCH($D106, 자격증DB!$A:$A, 0))), "")</f>
        <v/>
      </c>
      <c r="X106"/>
      <c r="Y106" s="235" t="str">
        <f>A106 &amp; "_" &amp; "자격증_" &amp; COUNTIFS($A$2:A106, A106)</f>
        <v>장연주_자격증_3</v>
      </c>
      <c r="Z106" s="235" t="str">
        <f>D106 &amp; "_" &amp;"자격증_" &amp;  COUNTIFS($D$2:D106, D106)</f>
        <v>FAT 2급_자격증_1</v>
      </c>
    </row>
    <row r="107" spans="1:26" ht="20.100000000000001" customHeight="1">
      <c r="A107" s="204" t="s">
        <v>0</v>
      </c>
      <c r="B107" s="160" t="str">
        <f>IFERROR(INDEX(개인DB!C:C, MATCH($A107, 개인DB!B:B, 0)), "")</f>
        <v>원장</v>
      </c>
      <c r="C107" s="160" t="str">
        <f>IFERROR(INDEX(개인DB!D:D, MATCH($A107, 개인DB!B:B, 0)), "")</f>
        <v>원장</v>
      </c>
      <c r="D107" s="205" t="s">
        <v>85</v>
      </c>
      <c r="E107" s="160" t="str">
        <f>IFERROR(INDEX(자격증DB!E:E, MATCH($D107, 자격증DB!A:A, 0)), "")</f>
        <v>-</v>
      </c>
      <c r="F107" s="132" t="str">
        <f>IFERROR(INDEX(자격증DB!B:B, MATCH($D107, 자격증DB!A:A, 0)), "")</f>
        <v>한국교통안전공단</v>
      </c>
      <c r="G107" s="206" t="str">
        <f>IFERROR(INDEX(자격증DB!C:C, MATCH($D107, 자격증DB!A:A, 0)), "")</f>
        <v>한국교통안전공단</v>
      </c>
      <c r="H107" s="163" t="str">
        <f>IFERROR(INDEX(자격증DB!F:F, MATCH($D107, 자격증DB!A:A, 0)), "")</f>
        <v>면허증</v>
      </c>
      <c r="I107" s="207">
        <v>43850</v>
      </c>
      <c r="J107" s="207"/>
      <c r="K107" s="208"/>
      <c r="L107" s="209" t="str">
        <f t="shared" si="6"/>
        <v>PDF</v>
      </c>
      <c r="M107" s="210" t="str">
        <f t="shared" si="7"/>
        <v>초경량비행장치 조종자_김민선</v>
      </c>
      <c r="N107" s="211" t="str">
        <f>IFERROR(IF(INDEX(자격증DB!G:G, MATCH($D107, 자격증DB!$A:$A, 0))=0, "", INDEX(자격증DB!G:G, MATCH($D107, 자격증DB!$A:$A, 0))), "")</f>
        <v>기타</v>
      </c>
      <c r="O107" s="153" t="str">
        <f>IFERROR(IF(INDEX(자격증DB!H:H, MATCH($D107, 자격증DB!$A:$A, 0))=0, "", INDEX(자격증DB!H:H, MATCH($D107, 자격증DB!$A:$A, 0))), "")</f>
        <v/>
      </c>
      <c r="P107" s="108" t="str">
        <f>IFERROR(IF(INDEX(자격증DB!I:I, MATCH($D107, 자격증DB!$A:$A, 0))=0, "", INDEX(자격증DB!I:I, MATCH($D107, 자격증DB!$A:$A, 0))), "")</f>
        <v/>
      </c>
      <c r="Q107" s="108" t="str">
        <f>IFERROR(IF(INDEX(자격증DB!J:J, MATCH($D107, 자격증DB!$A:$A, 0))=0, "", INDEX(자격증DB!J:J, MATCH($D107, 자격증DB!$A:$A, 0))), "")</f>
        <v/>
      </c>
      <c r="R107" s="108" t="str">
        <f>IFERROR(IF(INDEX(자격증DB!K:K, MATCH($D107, 자격증DB!$A:$A, 0))=0, "", INDEX(자격증DB!K:K, MATCH($D107, 자격증DB!$A:$A, 0))), "")</f>
        <v/>
      </c>
      <c r="S107" s="108" t="str">
        <f>IFERROR(IF(INDEX(자격증DB!L:L, MATCH($D107, 자격증DB!$A:$A, 0))=0, "", INDEX(자격증DB!L:L, MATCH($D107, 자격증DB!$A:$A, 0))), "")</f>
        <v/>
      </c>
      <c r="T107" s="108" t="str">
        <f>IFERROR(IF(INDEX(자격증DB!M:M, MATCH($D107, 자격증DB!$A:$A, 0))=0, "", INDEX(자격증DB!M:M, MATCH($D107, 자격증DB!$A:$A, 0))), "")</f>
        <v>각종 수수료(CF)</v>
      </c>
      <c r="U107" s="108" t="str">
        <f>IFERROR(IF(INDEX(자격증DB!N:N, MATCH($D107, 자격증DB!$A:$A, 0))=0, "", INDEX(자격증DB!N:N, MATCH($D107, 자격증DB!$A:$A, 0))), "")</f>
        <v/>
      </c>
      <c r="V107" s="108" t="str">
        <f>IFERROR(IF(INDEX(자격증DB!O:O, MATCH($D107, 자격증DB!$A:$A, 0))=0, "", INDEX(자격증DB!O:O, MATCH($D107, 자격증DB!$A:$A, 0))), "")</f>
        <v/>
      </c>
      <c r="W107" s="114" t="str">
        <f>IFERROR(IF(INDEX(자격증DB!P:P, MATCH($D107, 자격증DB!$A:$A, 0))=0, "", INDEX(자격증DB!P:P, MATCH($D107, 자격증DB!$A:$A, 0))), "")</f>
        <v/>
      </c>
      <c r="X107"/>
      <c r="Y107" s="361" t="str">
        <f>A107 &amp; "_" &amp; "자격증_" &amp; COUNTIFS($A$2:A107, A107)</f>
        <v>김민선_자격증_31</v>
      </c>
      <c r="Z107" s="361" t="str">
        <f>D107 &amp; "_" &amp;"자격증_" &amp;  COUNTIFS($D$2:D107, D107)</f>
        <v>초경량비행장치 조종자_자격증_1</v>
      </c>
    </row>
    <row r="108" spans="1:26" ht="20.100000000000001" customHeight="1">
      <c r="A108" s="204" t="s">
        <v>29</v>
      </c>
      <c r="B108" s="160" t="str">
        <f>IFERROR(INDEX(개인DB!C:C, MATCH($A108, 개인DB!B:B, 0)), "")</f>
        <v>원가분석</v>
      </c>
      <c r="C108" s="160" t="str">
        <f>IFERROR(INDEX(개인DB!D:D, MATCH($A108, 개인DB!B:B, 0)), "")</f>
        <v>주임연구원</v>
      </c>
      <c r="D108" s="232" t="s">
        <v>141</v>
      </c>
      <c r="E108" s="160" t="str">
        <f>IFERROR(INDEX(자격증DB!E:E, MATCH($D108, 자격증DB!A:A, 0)), "")</f>
        <v>민간(국가)</v>
      </c>
      <c r="F108" s="132" t="str">
        <f>IFERROR(INDEX(자격증DB!B:B, MATCH($D108, 자격증DB!A:A, 0)), "")</f>
        <v>과학기술정보통신부</v>
      </c>
      <c r="G108" s="206" t="str">
        <f>IFERROR(INDEX(자격증DB!C:C, MATCH($D108, 자격증DB!A:A, 0)), "")</f>
        <v>한국생산성본부</v>
      </c>
      <c r="H108" s="163" t="str">
        <f>IFERROR(INDEX(자격증DB!F:F, MATCH($D108, 자격증DB!A:A, 0)), "")</f>
        <v>자격증</v>
      </c>
      <c r="I108" s="233">
        <v>45209</v>
      </c>
      <c r="J108" s="233"/>
      <c r="K108" s="226"/>
      <c r="L108" s="209" t="str">
        <f t="shared" si="6"/>
        <v>PDF</v>
      </c>
      <c r="M108" s="227" t="str">
        <f t="shared" si="7"/>
        <v>ERP 회계 정보관리사 2급_장연주</v>
      </c>
      <c r="N108" s="228" t="str">
        <f>IFERROR(IF(INDEX(자격증DB!G:G, MATCH($D108, 자격증DB!$A:$A, 0))=0, "", INDEX(자격증DB!G:G, MATCH($D108, 자격증DB!$A:$A, 0))), "")</f>
        <v>기타</v>
      </c>
      <c r="O108" s="153" t="str">
        <f>IFERROR(IF(INDEX(자격증DB!H:H, MATCH($D108, 자격증DB!$A:$A, 0))=0, "", INDEX(자격증DB!H:H, MATCH($D108, 자격증DB!$A:$A, 0))), "")</f>
        <v/>
      </c>
      <c r="P108" s="108" t="str">
        <f>IFERROR(IF(INDEX(자격증DB!I:I, MATCH($D108, 자격증DB!$A:$A, 0))=0, "", INDEX(자격증DB!I:I, MATCH($D108, 자격증DB!$A:$A, 0))), "")</f>
        <v/>
      </c>
      <c r="Q108" s="108" t="str">
        <f>IFERROR(IF(INDEX(자격증DB!J:J, MATCH($D108, 자격증DB!$A:$A, 0))=0, "", INDEX(자격증DB!J:J, MATCH($D108, 자격증DB!$A:$A, 0))), "")</f>
        <v/>
      </c>
      <c r="R108" s="108" t="str">
        <f>IFERROR(IF(INDEX(자격증DB!K:K, MATCH($D108, 자격증DB!$A:$A, 0))=0, "", INDEX(자격증DB!K:K, MATCH($D108, 자격증DB!$A:$A, 0))), "")</f>
        <v/>
      </c>
      <c r="S108" s="108" t="str">
        <f>IFERROR(IF(INDEX(자격증DB!L:L, MATCH($D108, 자격증DB!$A:$A, 0))=0, "", INDEX(자격증DB!L:L, MATCH($D108, 자격증DB!$A:$A, 0))), "")</f>
        <v>사후정산(CE)</v>
      </c>
      <c r="T108" s="108" t="str">
        <f>IFERROR(IF(INDEX(자격증DB!M:M, MATCH($D108, 자격증DB!$A:$A, 0))=0, "", INDEX(자격증DB!M:M, MATCH($D108, 자격증DB!$A:$A, 0))), "")</f>
        <v/>
      </c>
      <c r="U108" s="108" t="str">
        <f>IFERROR(IF(INDEX(자격증DB!N:N, MATCH($D108, 자격증DB!$A:$A, 0))=0, "", INDEX(자격증DB!N:N, MATCH($D108, 자격증DB!$A:$A, 0))), "")</f>
        <v/>
      </c>
      <c r="V108" s="108" t="str">
        <f>IFERROR(IF(INDEX(자격증DB!O:O, MATCH($D108, 자격증DB!$A:$A, 0))=0, "", INDEX(자격증DB!O:O, MATCH($D108, 자격증DB!$A:$A, 0))), "")</f>
        <v/>
      </c>
      <c r="W108" s="114" t="str">
        <f>IFERROR(IF(INDEX(자격증DB!P:P, MATCH($D108, 자격증DB!$A:$A, 0))=0, "", INDEX(자격증DB!P:P, MATCH($D108, 자격증DB!$A:$A, 0))), "")</f>
        <v/>
      </c>
      <c r="X108"/>
      <c r="Y108" s="227" t="str">
        <f>A108 &amp; "_" &amp; "자격증_" &amp; COUNTIFS($A$2:A108, A108)</f>
        <v>장연주_자격증_4</v>
      </c>
      <c r="Z108" s="227" t="str">
        <f>D108 &amp; "_" &amp;"자격증_" &amp;  COUNTIFS($D$2:D108, D108)</f>
        <v>ERP 회계 정보관리사 2급_자격증_1</v>
      </c>
    </row>
    <row r="109" spans="1:26" ht="20.100000000000001" customHeight="1">
      <c r="A109" s="204" t="s">
        <v>29</v>
      </c>
      <c r="B109" s="160" t="str">
        <f>IFERROR(INDEX(개인DB!C:C, MATCH($A109, 개인DB!B:B, 0)), "")</f>
        <v>원가분석</v>
      </c>
      <c r="C109" s="160" t="str">
        <f>IFERROR(INDEX(개인DB!D:D, MATCH($A109, 개인DB!B:B, 0)), "")</f>
        <v>주임연구원</v>
      </c>
      <c r="D109" s="232" t="s">
        <v>143</v>
      </c>
      <c r="E109" s="160" t="str">
        <f>IFERROR(INDEX(자격증DB!E:E, MATCH($D109, 자격증DB!A:A, 0)), "")</f>
        <v>민간(국가)</v>
      </c>
      <c r="F109" s="132" t="str">
        <f>IFERROR(INDEX(자격증DB!B:B, MATCH($D109, 자격증DB!A:A, 0)), "")</f>
        <v>과학기술정보통신부</v>
      </c>
      <c r="G109" s="206" t="str">
        <f>IFERROR(INDEX(자격증DB!C:C, MATCH($D109, 자격증DB!A:A, 0)), "")</f>
        <v>한국생산성본부</v>
      </c>
      <c r="H109" s="163" t="str">
        <f>IFERROR(INDEX(자격증DB!F:F, MATCH($D109, 자격증DB!A:A, 0)), "")</f>
        <v>자격증</v>
      </c>
      <c r="I109" s="233">
        <v>45027</v>
      </c>
      <c r="J109" s="233"/>
      <c r="K109" s="226"/>
      <c r="L109" s="209" t="str">
        <f t="shared" si="6"/>
        <v>PDF</v>
      </c>
      <c r="M109" s="227" t="str">
        <f t="shared" si="7"/>
        <v>ERP 인사 정보관리사 2급_장연주</v>
      </c>
      <c r="N109" s="228" t="str">
        <f>IFERROR(IF(INDEX(자격증DB!G:G, MATCH($D109, 자격증DB!$A:$A, 0))=0, "", INDEX(자격증DB!G:G, MATCH($D109, 자격증DB!$A:$A, 0))), "")</f>
        <v>기타</v>
      </c>
      <c r="O109" s="153" t="str">
        <f>IFERROR(IF(INDEX(자격증DB!H:H, MATCH($D109, 자격증DB!$A:$A, 0))=0, "", INDEX(자격증DB!H:H, MATCH($D109, 자격증DB!$A:$A, 0))), "")</f>
        <v/>
      </c>
      <c r="P109" s="108" t="str">
        <f>IFERROR(IF(INDEX(자격증DB!I:I, MATCH($D109, 자격증DB!$A:$A, 0))=0, "", INDEX(자격증DB!I:I, MATCH($D109, 자격증DB!$A:$A, 0))), "")</f>
        <v/>
      </c>
      <c r="Q109" s="108" t="str">
        <f>IFERROR(IF(INDEX(자격증DB!J:J, MATCH($D109, 자격증DB!$A:$A, 0))=0, "", INDEX(자격증DB!J:J, MATCH($D109, 자격증DB!$A:$A, 0))), "")</f>
        <v>학술(CC)</v>
      </c>
      <c r="R109" s="108" t="str">
        <f>IFERROR(IF(INDEX(자격증DB!K:K, MATCH($D109, 자격증DB!$A:$A, 0))=0, "", INDEX(자격증DB!K:K, MATCH($D109, 자격증DB!$A:$A, 0))), "")</f>
        <v/>
      </c>
      <c r="S109" s="108" t="str">
        <f>IFERROR(IF(INDEX(자격증DB!L:L, MATCH($D109, 자격증DB!$A:$A, 0))=0, "", INDEX(자격증DB!L:L, MATCH($D109, 자격증DB!$A:$A, 0))), "")</f>
        <v/>
      </c>
      <c r="T109" s="108" t="str">
        <f>IFERROR(IF(INDEX(자격증DB!M:M, MATCH($D109, 자격증DB!$A:$A, 0))=0, "", INDEX(자격증DB!M:M, MATCH($D109, 자격증DB!$A:$A, 0))), "")</f>
        <v>각종 수수료(CF)</v>
      </c>
      <c r="U109" s="108" t="str">
        <f>IFERROR(IF(INDEX(자격증DB!N:N, MATCH($D109, 자격증DB!$A:$A, 0))=0, "", INDEX(자격증DB!N:N, MATCH($D109, 자격증DB!$A:$A, 0))), "")</f>
        <v/>
      </c>
      <c r="V109" s="108" t="str">
        <f>IFERROR(IF(INDEX(자격증DB!O:O, MATCH($D109, 자격증DB!$A:$A, 0))=0, "", INDEX(자격증DB!O:O, MATCH($D109, 자격증DB!$A:$A, 0))), "")</f>
        <v xml:space="preserve"> </v>
      </c>
      <c r="W109" s="114" t="str">
        <f>IFERROR(IF(INDEX(자격증DB!P:P, MATCH($D109, 자격증DB!$A:$A, 0))=0, "", INDEX(자격증DB!P:P, MATCH($D109, 자격증DB!$A:$A, 0))), "")</f>
        <v/>
      </c>
      <c r="X109"/>
      <c r="Y109" s="363" t="str">
        <f>A109 &amp; "_" &amp; "자격증_" &amp; COUNTIFS($A$2:A109, A109)</f>
        <v>장연주_자격증_5</v>
      </c>
      <c r="Z109" s="363" t="str">
        <f>D109 &amp; "_" &amp;"자격증_" &amp;  COUNTIFS($D$2:D109, D109)</f>
        <v>ERP 인사 정보관리사 2급_자격증_1</v>
      </c>
    </row>
    <row r="110" spans="1:26" ht="20.100000000000001" customHeight="1">
      <c r="A110" s="204" t="s">
        <v>29</v>
      </c>
      <c r="B110" s="160" t="str">
        <f>IFERROR(INDEX(개인DB!C:C, MATCH($A110, 개인DB!B:B, 0)), "")</f>
        <v>원가분석</v>
      </c>
      <c r="C110" s="160" t="str">
        <f>IFERROR(INDEX(개인DB!D:D, MATCH($A110, 개인DB!B:B, 0)), "")</f>
        <v>주임연구원</v>
      </c>
      <c r="D110" s="232" t="s">
        <v>517</v>
      </c>
      <c r="E110" s="160" t="str">
        <f>IFERROR(INDEX(자격증DB!E:E, MATCH($D110, 자격증DB!A:A, 0)), "")</f>
        <v>민간(국가)</v>
      </c>
      <c r="F110" s="132" t="str">
        <f>IFERROR(INDEX(자격증DB!B:B, MATCH($D110, 자격증DB!A:A, 0)), "")</f>
        <v>고용노동부</v>
      </c>
      <c r="G110" s="206" t="str">
        <f>IFERROR(INDEX(자격증DB!C:C, MATCH($D110, 자격증DB!A:A, 0)), "")</f>
        <v>한국세무사회</v>
      </c>
      <c r="H110" s="163" t="str">
        <f>IFERROR(INDEX(자격증DB!F:F, MATCH($D110, 자격증DB!A:A, 0)), "")</f>
        <v>자격증</v>
      </c>
      <c r="I110" s="233">
        <v>45225</v>
      </c>
      <c r="J110" s="233">
        <v>45225</v>
      </c>
      <c r="K110" s="234">
        <v>47051</v>
      </c>
      <c r="L110" s="209" t="str">
        <f t="shared" si="6"/>
        <v>PDF</v>
      </c>
      <c r="M110" s="235" t="str">
        <f t="shared" si="7"/>
        <v>전산회계 2급_장연주</v>
      </c>
      <c r="N110" s="228" t="str">
        <f>IFERROR(IF(INDEX(자격증DB!G:G, MATCH($D110, 자격증DB!$A:$A, 0))=0, "", INDEX(자격증DB!G:G, MATCH($D110, 자격증DB!$A:$A, 0))), "")</f>
        <v>기타</v>
      </c>
      <c r="O110" s="153" t="str">
        <f>IFERROR(IF(INDEX(자격증DB!H:H, MATCH($D110, 자격증DB!$A:$A, 0))=0, "", INDEX(자격증DB!H:H, MATCH($D110, 자격증DB!$A:$A, 0))), "")</f>
        <v/>
      </c>
      <c r="P110" s="108" t="str">
        <f>IFERROR(IF(INDEX(자격증DB!I:I, MATCH($D110, 자격증DB!$A:$A, 0))=0, "", INDEX(자격증DB!I:I, MATCH($D110, 자격증DB!$A:$A, 0))), "")</f>
        <v/>
      </c>
      <c r="Q110" s="108" t="str">
        <f>IFERROR(IF(INDEX(자격증DB!J:J, MATCH($D110, 자격증DB!$A:$A, 0))=0, "", INDEX(자격증DB!J:J, MATCH($D110, 자격증DB!$A:$A, 0))), "")</f>
        <v/>
      </c>
      <c r="R110" s="108" t="str">
        <f>IFERROR(IF(INDEX(자격증DB!K:K, MATCH($D110, 자격증DB!$A:$A, 0))=0, "", INDEX(자격증DB!K:K, MATCH($D110, 자격증DB!$A:$A, 0))), "")</f>
        <v/>
      </c>
      <c r="S110" s="108" t="str">
        <f>IFERROR(IF(INDEX(자격증DB!L:L, MATCH($D110, 자격증DB!$A:$A, 0))=0, "", INDEX(자격증DB!L:L, MATCH($D110, 자격증DB!$A:$A, 0))), "")</f>
        <v>사후정산(CE)</v>
      </c>
      <c r="T110" s="108" t="str">
        <f>IFERROR(IF(INDEX(자격증DB!M:M, MATCH($D110, 자격증DB!$A:$A, 0))=0, "", INDEX(자격증DB!M:M, MATCH($D110, 자격증DB!$A:$A, 0))), "")</f>
        <v/>
      </c>
      <c r="U110" s="108" t="str">
        <f>IFERROR(IF(INDEX(자격증DB!N:N, MATCH($D110, 자격증DB!$A:$A, 0))=0, "", INDEX(자격증DB!N:N, MATCH($D110, 자격증DB!$A:$A, 0))), "")</f>
        <v/>
      </c>
      <c r="V110" s="108" t="str">
        <f>IFERROR(IF(INDEX(자격증DB!O:O, MATCH($D110, 자격증DB!$A:$A, 0))=0, "", INDEX(자격증DB!O:O, MATCH($D110, 자격증DB!$A:$A, 0))), "")</f>
        <v/>
      </c>
      <c r="W110" s="114" t="str">
        <f>IFERROR(IF(INDEX(자격증DB!P:P, MATCH($D110, 자격증DB!$A:$A, 0))=0, "", INDEX(자격증DB!P:P, MATCH($D110, 자격증DB!$A:$A, 0))), "")</f>
        <v/>
      </c>
      <c r="X110"/>
      <c r="Y110" s="235" t="str">
        <f>A110 &amp; "_" &amp; "자격증_" &amp; COUNTIFS($A$2:A110, A110)</f>
        <v>장연주_자격증_6</v>
      </c>
      <c r="Z110" s="235" t="str">
        <f>D110 &amp; "_" &amp;"자격증_" &amp;  COUNTIFS($D$2:D110, D110)</f>
        <v>전산회계 2급_자격증_1</v>
      </c>
    </row>
    <row r="111" spans="1:26" ht="20.100000000000001" customHeight="1">
      <c r="A111" s="204" t="s">
        <v>0</v>
      </c>
      <c r="B111" s="160" t="str">
        <f>IFERROR(INDEX(개인DB!C:C, MATCH($A111, 개인DB!B:B, 0)), "")</f>
        <v>원장</v>
      </c>
      <c r="C111" s="160" t="str">
        <f>IFERROR(INDEX(개인DB!D:D, MATCH($A111, 개인DB!B:B, 0)), "")</f>
        <v>원장</v>
      </c>
      <c r="D111" s="205" t="s">
        <v>228</v>
      </c>
      <c r="E111" s="160" t="str">
        <f>IFERROR(INDEX(자격증DB!E:E, MATCH($D111, 자격증DB!A:A, 0)), "")</f>
        <v>민간</v>
      </c>
      <c r="F111" s="132" t="str">
        <f>IFERROR(INDEX(자격증DB!B:B, MATCH($D111, 자격증DB!A:A, 0)), "")</f>
        <v>보건복지부</v>
      </c>
      <c r="G111" s="206" t="str">
        <f>IFERROR(INDEX(자격증DB!C:C, MATCH($D111, 자격증DB!A:A, 0)), "")</f>
        <v>(사)한국의료행정실무협회</v>
      </c>
      <c r="H111" s="163" t="str">
        <f>IFERROR(INDEX(자격증DB!F:F, MATCH($D111, 자격증DB!A:A, 0)), "")</f>
        <v>자격증</v>
      </c>
      <c r="I111" s="207">
        <v>43453</v>
      </c>
      <c r="J111" s="207"/>
      <c r="K111" s="208">
        <v>45278</v>
      </c>
      <c r="L111" s="209" t="str">
        <f t="shared" si="6"/>
        <v>PDF</v>
      </c>
      <c r="M111" s="210" t="str">
        <f t="shared" si="7"/>
        <v>보험심사평가사2급_김민선</v>
      </c>
      <c r="N111" s="211" t="str">
        <f>IFERROR(IF(INDEX(자격증DB!G:G, MATCH($D111, 자격증DB!$A:$A, 0))=0, "", INDEX(자격증DB!G:G, MATCH($D111, 자격증DB!$A:$A, 0))), "")</f>
        <v>기타</v>
      </c>
      <c r="O111" s="153" t="str">
        <f>IFERROR(IF(INDEX(자격증DB!H:H, MATCH($D111, 자격증DB!$A:$A, 0))=0, "", INDEX(자격증DB!H:H, MATCH($D111, 자격증DB!$A:$A, 0))), "")</f>
        <v/>
      </c>
      <c r="P111" s="108" t="str">
        <f>IFERROR(IF(INDEX(자격증DB!I:I, MATCH($D111, 자격증DB!$A:$A, 0))=0, "", INDEX(자격증DB!I:I, MATCH($D111, 자격증DB!$A:$A, 0))), "")</f>
        <v/>
      </c>
      <c r="Q111" s="108" t="str">
        <f>IFERROR(IF(INDEX(자격증DB!J:J, MATCH($D111, 자격증DB!$A:$A, 0))=0, "", INDEX(자격증DB!J:J, MATCH($D111, 자격증DB!$A:$A, 0))), "")</f>
        <v/>
      </c>
      <c r="R111" s="108" t="str">
        <f>IFERROR(IF(INDEX(자격증DB!K:K, MATCH($D111, 자격증DB!$A:$A, 0))=0, "", INDEX(자격증DB!K:K, MATCH($D111, 자격증DB!$A:$A, 0))), "")</f>
        <v/>
      </c>
      <c r="S111" s="108" t="str">
        <f>IFERROR(IF(INDEX(자격증DB!L:L, MATCH($D111, 자격증DB!$A:$A, 0))=0, "", INDEX(자격증DB!L:L, MATCH($D111, 자격증DB!$A:$A, 0))), "")</f>
        <v/>
      </c>
      <c r="T111" s="108" t="str">
        <f>IFERROR(IF(INDEX(자격증DB!M:M, MATCH($D111, 자격증DB!$A:$A, 0))=0, "", INDEX(자격증DB!M:M, MATCH($D111, 자격증DB!$A:$A, 0))), "")</f>
        <v>각종 수수료(CF)</v>
      </c>
      <c r="U111" s="108" t="str">
        <f>IFERROR(IF(INDEX(자격증DB!N:N, MATCH($D111, 자격증DB!$A:$A, 0))=0, "", INDEX(자격증DB!N:N, MATCH($D111, 자격증DB!$A:$A, 0))), "")</f>
        <v/>
      </c>
      <c r="V111" s="108" t="str">
        <f>IFERROR(IF(INDEX(자격증DB!O:O, MATCH($D111, 자격증DB!$A:$A, 0))=0, "", INDEX(자격증DB!O:O, MATCH($D111, 자격증DB!$A:$A, 0))), "")</f>
        <v/>
      </c>
      <c r="W111" s="114" t="str">
        <f>IFERROR(IF(INDEX(자격증DB!P:P, MATCH($D111, 자격증DB!$A:$A, 0))=0, "", INDEX(자격증DB!P:P, MATCH($D111, 자격증DB!$A:$A, 0))), "")</f>
        <v/>
      </c>
      <c r="X111"/>
      <c r="Y111" s="361" t="str">
        <f>A111 &amp; "_" &amp; "자격증_" &amp; COUNTIFS($A$2:A111, A111)</f>
        <v>김민선_자격증_32</v>
      </c>
      <c r="Z111" s="361" t="str">
        <f>D111 &amp; "_" &amp;"자격증_" &amp;  COUNTIFS($D$2:D111, D111)</f>
        <v>보험심사평가사2급_자격증_1</v>
      </c>
    </row>
    <row r="112" spans="1:26" ht="20.100000000000001" customHeight="1">
      <c r="A112" s="204" t="s">
        <v>0</v>
      </c>
      <c r="B112" s="160" t="str">
        <f>IFERROR(INDEX(개인DB!C:C, MATCH($A112, 개인DB!B:B, 0)), "")</f>
        <v>원장</v>
      </c>
      <c r="C112" s="160" t="str">
        <f>IFERROR(INDEX(개인DB!D:D, MATCH($A112, 개인DB!B:B, 0)), "")</f>
        <v>원장</v>
      </c>
      <c r="D112" s="205" t="s">
        <v>226</v>
      </c>
      <c r="E112" s="160" t="str">
        <f>IFERROR(INDEX(자격증DB!E:E, MATCH($D112, 자격증DB!A:A, 0)), "")</f>
        <v>민간</v>
      </c>
      <c r="F112" s="132" t="str">
        <f>IFERROR(INDEX(자격증DB!B:B, MATCH($D112, 자격증DB!A:A, 0)), "")</f>
        <v>보건복지부</v>
      </c>
      <c r="G112" s="206" t="str">
        <f>IFERROR(INDEX(자격증DB!C:C, MATCH($D112, 자격증DB!A:A, 0)), "")</f>
        <v>사회보험사협회</v>
      </c>
      <c r="H112" s="163" t="str">
        <f>IFERROR(INDEX(자격증DB!F:F, MATCH($D112, 자격증DB!A:A, 0)), "")</f>
        <v>자격증</v>
      </c>
      <c r="I112" s="207">
        <v>42955</v>
      </c>
      <c r="J112" s="207"/>
      <c r="K112" s="208"/>
      <c r="L112" s="209" t="str">
        <f t="shared" si="6"/>
        <v>PDF</v>
      </c>
      <c r="M112" s="210" t="str">
        <f t="shared" si="7"/>
        <v>사회보험사1급_김민선</v>
      </c>
      <c r="N112" s="211" t="str">
        <f>IFERROR(IF(INDEX(자격증DB!G:G, MATCH($D112, 자격증DB!$A:$A, 0))=0, "", INDEX(자격증DB!G:G, MATCH($D112, 자격증DB!$A:$A, 0))), "")</f>
        <v>기타</v>
      </c>
      <c r="O112" s="153" t="str">
        <f>IFERROR(IF(INDEX(자격증DB!H:H, MATCH($D112, 자격증DB!$A:$A, 0))=0, "", INDEX(자격증DB!H:H, MATCH($D112, 자격증DB!$A:$A, 0))), "")</f>
        <v/>
      </c>
      <c r="P112" s="108" t="str">
        <f>IFERROR(IF(INDEX(자격증DB!I:I, MATCH($D112, 자격증DB!$A:$A, 0))=0, "", INDEX(자격증DB!I:I, MATCH($D112, 자격증DB!$A:$A, 0))), "")</f>
        <v/>
      </c>
      <c r="Q112" s="108" t="str">
        <f>IFERROR(IF(INDEX(자격증DB!J:J, MATCH($D112, 자격증DB!$A:$A, 0))=0, "", INDEX(자격증DB!J:J, MATCH($D112, 자격증DB!$A:$A, 0))), "")</f>
        <v/>
      </c>
      <c r="R112" s="108" t="str">
        <f>IFERROR(IF(INDEX(자격증DB!K:K, MATCH($D112, 자격증DB!$A:$A, 0))=0, "", INDEX(자격증DB!K:K, MATCH($D112, 자격증DB!$A:$A, 0))), "")</f>
        <v/>
      </c>
      <c r="S112" s="108" t="str">
        <f>IFERROR(IF(INDEX(자격증DB!L:L, MATCH($D112, 자격증DB!$A:$A, 0))=0, "", INDEX(자격증DB!L:L, MATCH($D112, 자격증DB!$A:$A, 0))), "")</f>
        <v/>
      </c>
      <c r="T112" s="108" t="str">
        <f>IFERROR(IF(INDEX(자격증DB!M:M, MATCH($D112, 자격증DB!$A:$A, 0))=0, "", INDEX(자격증DB!M:M, MATCH($D112, 자격증DB!$A:$A, 0))), "")</f>
        <v>각종 수수료(CF)</v>
      </c>
      <c r="U112" s="108" t="str">
        <f>IFERROR(IF(INDEX(자격증DB!N:N, MATCH($D112, 자격증DB!$A:$A, 0))=0, "", INDEX(자격증DB!N:N, MATCH($D112, 자격증DB!$A:$A, 0))), "")</f>
        <v/>
      </c>
      <c r="V112" s="108" t="str">
        <f>IFERROR(IF(INDEX(자격증DB!O:O, MATCH($D112, 자격증DB!$A:$A, 0))=0, "", INDEX(자격증DB!O:O, MATCH($D112, 자격증DB!$A:$A, 0))), "")</f>
        <v/>
      </c>
      <c r="W112" s="114" t="str">
        <f>IFERROR(IF(INDEX(자격증DB!P:P, MATCH($D112, 자격증DB!$A:$A, 0))=0, "", INDEX(자격증DB!P:P, MATCH($D112, 자격증DB!$A:$A, 0))), "")</f>
        <v/>
      </c>
      <c r="X112"/>
      <c r="Y112" s="210" t="str">
        <f>A112 &amp; "_" &amp; "자격증_" &amp; COUNTIFS($A$2:A112, A112)</f>
        <v>김민선_자격증_33</v>
      </c>
      <c r="Z112" s="210" t="str">
        <f>D112 &amp; "_" &amp;"자격증_" &amp;  COUNTIFS($D$2:D112, D112)</f>
        <v>사회보험사1급_자격증_1</v>
      </c>
    </row>
    <row r="113" spans="1:26" s="71" customFormat="1" ht="20.100000000000001" customHeight="1">
      <c r="A113" s="218" t="s">
        <v>18</v>
      </c>
      <c r="B113" s="241" t="str">
        <f>IFERROR(INDEX(개인DB!C:C, MATCH($A113, 개인DB!B:B, 0)), "")</f>
        <v>원가분석</v>
      </c>
      <c r="C113" s="241" t="str">
        <f>IFERROR(INDEX(개인DB!D:D, MATCH($A113, 개인DB!B:B, 0)), "")</f>
        <v>위원</v>
      </c>
      <c r="D113" s="219" t="s">
        <v>579</v>
      </c>
      <c r="E113" s="241" t="str">
        <f>IFERROR(INDEX(자격증DB!E:E, MATCH($D113, 자격증DB!A:A, 0)), "X")</f>
        <v>-</v>
      </c>
      <c r="F113" s="242" t="str">
        <f>IFERROR(INDEX(자격증DB!B:B, MATCH($D113, 자격증DB!A:A, 0)), "X")</f>
        <v>-</v>
      </c>
      <c r="G113" s="206" t="str">
        <f>IFERROR(INDEX(자격증DB!C:C, MATCH($D113, 자격증DB!A:A, 0)), "")</f>
        <v>SGS United Kingdom Ltd</v>
      </c>
      <c r="H113" s="163" t="str">
        <f>IFERROR(INDEX(자격증DB!F:F, MATCH($D113, 자격증DB!A:A, 0)), "")</f>
        <v>자격증</v>
      </c>
      <c r="I113" s="220">
        <v>40083</v>
      </c>
      <c r="J113" s="220"/>
      <c r="K113" s="221"/>
      <c r="L113" s="243" t="str">
        <f t="shared" si="6"/>
        <v>PDF</v>
      </c>
      <c r="M113" s="222" t="str">
        <f t="shared" si="7"/>
        <v>ISO27001_SGS심사원_박희성</v>
      </c>
      <c r="N113" s="244" t="str">
        <f>IFERROR(IF(INDEX(자격증DB!G:G, MATCH($D113, 자격증DB!$A:$A, 0))=0, "", INDEX(자격증DB!G:G, MATCH($D113, 자격증DB!$A:$A, 0))), "")</f>
        <v>공통</v>
      </c>
      <c r="O113" s="245" t="str">
        <f>IFERROR(IF(INDEX(자격증DB!H:H, MATCH($D113, 자격증DB!$A:$A, 0))=0, "", INDEX(자격증DB!H:H, MATCH($D113, 자격증DB!$A:$A, 0))), "")</f>
        <v/>
      </c>
      <c r="P113" s="115" t="str">
        <f>IFERROR(IF(INDEX(자격증DB!I:I, MATCH($D113, 자격증DB!$A:$A, 0))=0, "", INDEX(자격증DB!I:I, MATCH($D113, 자격증DB!$A:$A, 0))), "")</f>
        <v/>
      </c>
      <c r="Q113" s="115" t="str">
        <f>IFERROR(IF(INDEX(자격증DB!J:J, MATCH($D113, 자격증DB!$A:$A, 0))=0, "", INDEX(자격증DB!J:J, MATCH($D113, 자격증DB!$A:$A, 0))), "")</f>
        <v/>
      </c>
      <c r="R113" s="115" t="str">
        <f>IFERROR(IF(INDEX(자격증DB!K:K, MATCH($D113, 자격증DB!$A:$A, 0))=0, "", INDEX(자격증DB!K:K, MATCH($D113, 자격증DB!$A:$A, 0))), "")</f>
        <v/>
      </c>
      <c r="S113" s="115" t="str">
        <f>IFERROR(IF(INDEX(자격증DB!L:L, MATCH($D113, 자격증DB!$A:$A, 0))=0, "", INDEX(자격증DB!L:L, MATCH($D113, 자격증DB!$A:$A, 0))), "")</f>
        <v/>
      </c>
      <c r="T113" s="115" t="str">
        <f>IFERROR(IF(INDEX(자격증DB!M:M, MATCH($D113, 자격증DB!$A:$A, 0))=0, "", INDEX(자격증DB!M:M, MATCH($D113, 자격증DB!$A:$A, 0))), "")</f>
        <v/>
      </c>
      <c r="U113" s="115" t="str">
        <f>IFERROR(IF(INDEX(자격증DB!N:N, MATCH($D113, 자격증DB!$A:$A, 0))=0, "", INDEX(자격증DB!N:N, MATCH($D113, 자격증DB!$A:$A, 0))), "")</f>
        <v/>
      </c>
      <c r="V113" s="115" t="str">
        <f>IFERROR(IF(INDEX(자격증DB!O:O, MATCH($D113, 자격증DB!$A:$A, 0))=0, "", INDEX(자격증DB!O:O, MATCH($D113, 자격증DB!$A:$A, 0))), "")</f>
        <v/>
      </c>
      <c r="W113" s="119" t="str">
        <f>IFERROR(IF(INDEX(자격증DB!P:P, MATCH($D113, 자격증DB!$A:$A, 0))=0, "", INDEX(자격증DB!P:P, MATCH($D113, 자격증DB!$A:$A, 0))), "")</f>
        <v/>
      </c>
      <c r="Y113" s="222" t="str">
        <f>A113 &amp; "_" &amp; "자격증_" &amp; COUNTIFS($A$2:A113, A113)</f>
        <v>박희성_자격증_4</v>
      </c>
      <c r="Z113" s="222" t="str">
        <f>D113 &amp; "_" &amp;"자격증_" &amp;  COUNTIFS($D$2:D113, D113)</f>
        <v>ISO27001_SGS심사원_자격증_1</v>
      </c>
    </row>
    <row r="114" spans="1:26" s="71" customFormat="1" ht="20.100000000000001" customHeight="1">
      <c r="A114" s="218" t="s">
        <v>37</v>
      </c>
      <c r="B114" s="241" t="str">
        <f>IFERROR(INDEX(개인DB!C:C, MATCH($A114, 개인DB!B:B, 0)), "")</f>
        <v>건설사업</v>
      </c>
      <c r="C114" s="241" t="str">
        <f>IFERROR(INDEX(개인DB!D:D, MATCH($A114, 개인DB!B:B, 0)), "")</f>
        <v>본부장</v>
      </c>
      <c r="D114" s="219" t="s">
        <v>576</v>
      </c>
      <c r="E114" s="241" t="str">
        <f>IFERROR(INDEX(자격증DB!E:E, MATCH($D114, 자격증DB!A:A, 0)), "")</f>
        <v>-</v>
      </c>
      <c r="F114" s="241" t="str">
        <f>IFERROR(INDEX(자격증DB!B:B, MATCH($D114, 자격증DB!A:A, 0)), "")</f>
        <v>-</v>
      </c>
      <c r="G114" s="206" t="str">
        <f>IFERROR(INDEX(자격증DB!C:C, MATCH($D114, 자격증DB!A:A, 0)), "")</f>
        <v>한국자격검정평가진흥원</v>
      </c>
      <c r="H114" s="163" t="str">
        <f>IFERROR(INDEX(자격증DB!F:F, MATCH($D114, 자격증DB!A:A, 0)), "")</f>
        <v>자격증</v>
      </c>
      <c r="I114" s="220" t="s">
        <v>577</v>
      </c>
      <c r="J114" s="220"/>
      <c r="K114" s="221"/>
      <c r="L114" s="243" t="str">
        <f t="shared" si="6"/>
        <v>PDF</v>
      </c>
      <c r="M114" s="246" t="str">
        <f t="shared" si="7"/>
        <v>PMP(프로젝트관리전문가) 1급_최재운</v>
      </c>
      <c r="N114" s="247" t="str">
        <f>IFERROR(IF(INDEX(자격증DB!G:G, MATCH($D114, 자격증DB!$A:$A, 0))=0, "", INDEX(자격증DB!G:G, MATCH($D114, 자격증DB!$A:$A, 0))), "")</f>
        <v>공통</v>
      </c>
      <c r="O114" s="245" t="str">
        <f>IFERROR(IF(INDEX(자격증DB!H:H, MATCH($D114, 자격증DB!$A:$A, 0))=0, "", INDEX(자격증DB!H:H, MATCH($D114, 자격증DB!$A:$A, 0))), "")</f>
        <v>제조(CA)</v>
      </c>
      <c r="P114" s="115" t="str">
        <f>IFERROR(IF(INDEX(자격증DB!I:I, MATCH($D114, 자격증DB!$A:$A, 0))=0, "", INDEX(자격증DB!I:I, MATCH($D114, 자격증DB!$A:$A, 0))), "")</f>
        <v>공사(CB)</v>
      </c>
      <c r="Q114" s="115" t="str">
        <f>IFERROR(IF(INDEX(자격증DB!J:J, MATCH($D114, 자격증DB!$A:$A, 0))=0, "", INDEX(자격증DB!J:J, MATCH($D114, 자격증DB!$A:$A, 0))), "")</f>
        <v/>
      </c>
      <c r="R114" s="115" t="str">
        <f>IFERROR(IF(INDEX(자격증DB!K:K, MATCH($D114, 자격증DB!$A:$A, 0))=0, "", INDEX(자격증DB!K:K, MATCH($D114, 자격증DB!$A:$A, 0))), "")</f>
        <v/>
      </c>
      <c r="S114" s="115" t="str">
        <f>IFERROR(IF(INDEX(자격증DB!L:L, MATCH($D114, 자격증DB!$A:$A, 0))=0, "", INDEX(자격증DB!L:L, MATCH($D114, 자격증DB!$A:$A, 0))), "")</f>
        <v/>
      </c>
      <c r="T114" s="115" t="str">
        <f>IFERROR(IF(INDEX(자격증DB!M:M, MATCH($D114, 자격증DB!$A:$A, 0))=0, "", INDEX(자격증DB!M:M, MATCH($D114, 자격증DB!$A:$A, 0))), "")</f>
        <v/>
      </c>
      <c r="U114" s="115" t="str">
        <f>IFERROR(IF(INDEX(자격증DB!N:N, MATCH($D114, 자격증DB!$A:$A, 0))=0, "", INDEX(자격증DB!N:N, MATCH($D114, 자격증DB!$A:$A, 0))), "")</f>
        <v>법원감정(CG)</v>
      </c>
      <c r="V114" s="115" t="str">
        <f>IFERROR(IF(INDEX(자격증DB!O:O, MATCH($D114, 자격증DB!$A:$A, 0))=0, "", INDEX(자격증DB!O:O, MATCH($D114, 자격증DB!$A:$A, 0))), "")</f>
        <v/>
      </c>
      <c r="W114" s="119" t="str">
        <f>IFERROR(IF(INDEX(자격증DB!P:P, MATCH($D114, 자격증DB!$A:$A, 0))=0, "", INDEX(자격증DB!P:P, MATCH($D114, 자격증DB!$A:$A, 0))), "")</f>
        <v/>
      </c>
      <c r="Y114" s="246" t="str">
        <f>A114 &amp; "_" &amp; "자격증_" &amp; COUNTIFS($A$2:A114, A114)</f>
        <v>최재운_자격증_1</v>
      </c>
      <c r="Z114" s="246" t="str">
        <f>D114 &amp; "_" &amp;"자격증_" &amp;  COUNTIFS($D$2:D114, D114)</f>
        <v>PMP(프로젝트관리전문가) 1급_자격증_1</v>
      </c>
    </row>
    <row r="115" spans="1:26" s="71" customFormat="1">
      <c r="A115" s="218" t="s">
        <v>28</v>
      </c>
      <c r="B115" s="241" t="str">
        <f>IFERROR(INDEX(개인DB!C:C, MATCH($A115, 개인DB!B:B, 0)), "")</f>
        <v>건설사업</v>
      </c>
      <c r="C115" s="241" t="str">
        <f>IFERROR(INDEX(개인DB!D:D, MATCH($A115, 개인DB!B:B, 0)), "")</f>
        <v>부원장</v>
      </c>
      <c r="D115" s="219" t="s">
        <v>443</v>
      </c>
      <c r="E115" s="241" t="str">
        <f>IFERROR(INDEX(자격증DB!E:E, MATCH($D115, 자격증DB!A:A, 0)), "X")</f>
        <v>-</v>
      </c>
      <c r="F115" s="242" t="str">
        <f>IFERROR(INDEX(자격증DB!B:B, MATCH($D115, 자격증DB!A:A, 0)), "X")</f>
        <v>-</v>
      </c>
      <c r="G115" s="206" t="str">
        <f>IFERROR(INDEX(자격증DB!C:C, MATCH($D115, 자격증DB!A:A, 0)), "")</f>
        <v>한국기술사회</v>
      </c>
      <c r="H115" s="163" t="str">
        <f>IFERROR(INDEX(자격증DB!F:F, MATCH($D115, 자격증DB!A:A, 0)), "")</f>
        <v>자격증</v>
      </c>
      <c r="I115" s="220" t="s">
        <v>585</v>
      </c>
      <c r="J115" s="220"/>
      <c r="K115" s="221"/>
      <c r="L115" s="243" t="str">
        <f t="shared" si="6"/>
        <v>PDF</v>
      </c>
      <c r="M115" s="222" t="str">
        <f t="shared" si="7"/>
        <v>건설사업관리전문가(CMP)_이병준</v>
      </c>
      <c r="N115" s="244" t="str">
        <f>IFERROR(IF(INDEX(자격증DB!G:G, MATCH($D115, 자격증DB!$A:$A, 0))=0, "", INDEX(자격증DB!G:G, MATCH($D115, 자격증DB!$A:$A, 0))), "")</f>
        <v>공사(CB)</v>
      </c>
      <c r="O115" s="245" t="str">
        <f>IFERROR(IF(INDEX(자격증DB!H:H, MATCH($D115, 자격증DB!$A:$A, 0))=0, "", INDEX(자격증DB!H:H, MATCH($D115, 자격증DB!$A:$A, 0))), "")</f>
        <v/>
      </c>
      <c r="P115" s="115" t="str">
        <f>IFERROR(IF(INDEX(자격증DB!I:I, MATCH($D115, 자격증DB!$A:$A, 0))=0, "", INDEX(자격증DB!I:I, MATCH($D115, 자격증DB!$A:$A, 0))), "")</f>
        <v>공사(CB)</v>
      </c>
      <c r="Q115" s="115" t="str">
        <f>IFERROR(IF(INDEX(자격증DB!J:J, MATCH($D115, 자격증DB!$A:$A, 0))=0, "", INDEX(자격증DB!J:J, MATCH($D115, 자격증DB!$A:$A, 0))), "")</f>
        <v/>
      </c>
      <c r="R115" s="115" t="str">
        <f>IFERROR(IF(INDEX(자격증DB!K:K, MATCH($D115, 자격증DB!$A:$A, 0))=0, "", INDEX(자격증DB!K:K, MATCH($D115, 자격증DB!$A:$A, 0))), "")</f>
        <v/>
      </c>
      <c r="S115" s="115" t="str">
        <f>IFERROR(IF(INDEX(자격증DB!L:L, MATCH($D115, 자격증DB!$A:$A, 0))=0, "", INDEX(자격증DB!L:L, MATCH($D115, 자격증DB!$A:$A, 0))), "")</f>
        <v/>
      </c>
      <c r="T115" s="115" t="str">
        <f>IFERROR(IF(INDEX(자격증DB!M:M, MATCH($D115, 자격증DB!$A:$A, 0))=0, "", INDEX(자격증DB!M:M, MATCH($D115, 자격증DB!$A:$A, 0))), "")</f>
        <v/>
      </c>
      <c r="U115" s="115" t="str">
        <f>IFERROR(IF(INDEX(자격증DB!N:N, MATCH($D115, 자격증DB!$A:$A, 0))=0, "", INDEX(자격증DB!N:N, MATCH($D115, 자격증DB!$A:$A, 0))), "")</f>
        <v/>
      </c>
      <c r="V115" s="115" t="str">
        <f>IFERROR(IF(INDEX(자격증DB!O:O, MATCH($D115, 자격증DB!$A:$A, 0))=0, "", INDEX(자격증DB!O:O, MATCH($D115, 자격증DB!$A:$A, 0))), "")</f>
        <v/>
      </c>
      <c r="W115" s="119" t="str">
        <f>IFERROR(IF(INDEX(자격증DB!P:P, MATCH($D115, 자격증DB!$A:$A, 0))=0, "", INDEX(자격증DB!P:P, MATCH($D115, 자격증DB!$A:$A, 0))), "")</f>
        <v/>
      </c>
      <c r="Y115" s="222" t="str">
        <f>A115 &amp; "_" &amp; "자격증_" &amp; COUNTIFS($A$2:A115, A115)</f>
        <v>이병준_자격증_4</v>
      </c>
      <c r="Z115" s="222" t="str">
        <f>D115 &amp; "_" &amp;"자격증_" &amp;  COUNTIFS($D$2:D115, D115)</f>
        <v>건설사업관리전문가(CMP)_자격증_1</v>
      </c>
    </row>
    <row r="116" spans="1:26" s="71" customFormat="1">
      <c r="A116" s="248" t="s">
        <v>30</v>
      </c>
      <c r="B116" s="249" t="str">
        <f>IFERROR(INDEX(개인DB!C:C, MATCH($A116, 개인DB!B:B, 0)), "")</f>
        <v>갈등조정중재</v>
      </c>
      <c r="C116" s="249" t="str">
        <f>IFERROR(INDEX(개인DB!D:D, MATCH($A116, 개인DB!B:B, 0)), "")</f>
        <v>위원</v>
      </c>
      <c r="D116" s="250" t="s">
        <v>256</v>
      </c>
      <c r="E116" s="241" t="str">
        <f>IFERROR(INDEX(자격증DB!E:E, MATCH($D116, 자격증DB!A:A, 0)), "X")</f>
        <v>전문자격</v>
      </c>
      <c r="F116" s="242" t="str">
        <f>IFERROR(INDEX(자격증DB!B:B, MATCH($D116, 자격증DB!A:A, 0)), "X")</f>
        <v>국세청</v>
      </c>
      <c r="G116" s="206" t="str">
        <f>IFERROR(INDEX(자격증DB!C:C, MATCH($D116, 자격증DB!A:A, 0)), "")</f>
        <v>한국산업인력공단</v>
      </c>
      <c r="H116" s="163" t="str">
        <f>IFERROR(INDEX(자격증DB!F:F, MATCH($D116, 자격증DB!A:A, 0)), "")</f>
        <v>자격증</v>
      </c>
      <c r="I116" s="251">
        <v>39729</v>
      </c>
      <c r="J116" s="251"/>
      <c r="K116" s="252"/>
      <c r="L116" s="243" t="str">
        <f t="shared" si="6"/>
        <v>PDF</v>
      </c>
      <c r="M116" s="253" t="str">
        <f t="shared" si="7"/>
        <v>세무사_정영대</v>
      </c>
      <c r="N116" s="254" t="str">
        <f>IFERROR(IF(INDEX(자격증DB!G:G, MATCH($D116, 자격증DB!$A:$A, 0))=0, "", INDEX(자격증DB!G:G, MATCH($D116, 자격증DB!$A:$A, 0))), "")</f>
        <v>학술(CC)</v>
      </c>
      <c r="O116" s="255" t="str">
        <f>IFERROR(IF(INDEX(자격증DB!H:H, MATCH($D116, 자격증DB!$A:$A, 0))=0, "", INDEX(자격증DB!H:H, MATCH($D116, 자격증DB!$A:$A, 0))), "")</f>
        <v/>
      </c>
      <c r="P116" s="256" t="str">
        <f>IFERROR(IF(INDEX(자격증DB!I:I, MATCH($D116, 자격증DB!$A:$A, 0))=0, "", INDEX(자격증DB!I:I, MATCH($D116, 자격증DB!$A:$A, 0))), "")</f>
        <v/>
      </c>
      <c r="Q116" s="256" t="str">
        <f>IFERROR(IF(INDEX(자격증DB!J:J, MATCH($D116, 자격증DB!$A:$A, 0))=0, "", INDEX(자격증DB!J:J, MATCH($D116, 자격증DB!$A:$A, 0))), "")</f>
        <v>학술(CC)</v>
      </c>
      <c r="R116" s="256" t="str">
        <f>IFERROR(IF(INDEX(자격증DB!K:K, MATCH($D116, 자격증DB!$A:$A, 0))=0, "", INDEX(자격증DB!K:K, MATCH($D116, 자격증DB!$A:$A, 0))), "")</f>
        <v/>
      </c>
      <c r="S116" s="256" t="str">
        <f>IFERROR(IF(INDEX(자격증DB!L:L, MATCH($D116, 자격증DB!$A:$A, 0))=0, "", INDEX(자격증DB!L:L, MATCH($D116, 자격증DB!$A:$A, 0))), "")</f>
        <v>사후정산(CE)</v>
      </c>
      <c r="T116" s="256" t="str">
        <f>IFERROR(IF(INDEX(자격증DB!M:M, MATCH($D116, 자격증DB!$A:$A, 0))=0, "", INDEX(자격증DB!M:M, MATCH($D116, 자격증DB!$A:$A, 0))), "")</f>
        <v/>
      </c>
      <c r="U116" s="256" t="str">
        <f>IFERROR(IF(INDEX(자격증DB!N:N, MATCH($D116, 자격증DB!$A:$A, 0))=0, "", INDEX(자격증DB!N:N, MATCH($D116, 자격증DB!$A:$A, 0))), "")</f>
        <v/>
      </c>
      <c r="V116" s="256" t="str">
        <f>IFERROR(IF(INDEX(자격증DB!O:O, MATCH($D116, 자격증DB!$A:$A, 0))=0, "", INDEX(자격증DB!O:O, MATCH($D116, 자격증DB!$A:$A, 0))), "")</f>
        <v/>
      </c>
      <c r="W116" s="257" t="str">
        <f>IFERROR(IF(INDEX(자격증DB!P:P, MATCH($D116, 자격증DB!$A:$A, 0))=0, "", INDEX(자격증DB!P:P, MATCH($D116, 자격증DB!$A:$A, 0))), "")</f>
        <v/>
      </c>
      <c r="Y116" s="253" t="str">
        <f>A116 &amp; "_" &amp; "자격증_" &amp; COUNTIFS($A$2:A116, A116)</f>
        <v>정영대_자격증_4</v>
      </c>
      <c r="Z116" s="253" t="str">
        <f>D116 &amp; "_" &amp;"자격증_" &amp;  COUNTIFS($D$2:D116, D116)</f>
        <v>세무사_자격증_1</v>
      </c>
    </row>
    <row r="117" spans="1:26">
      <c r="A117" s="258" t="s">
        <v>28</v>
      </c>
      <c r="B117" s="160" t="str">
        <f>IFERROR(INDEX(개인DB!C:C, MATCH($A117, 개인DB!B:B, 0)), "")</f>
        <v>건설사업</v>
      </c>
      <c r="C117" s="160" t="str">
        <f>IFERROR(INDEX(개인DB!D:D, MATCH($A117, 개인DB!B:B, 0)), "")</f>
        <v>부원장</v>
      </c>
      <c r="D117" s="259" t="s">
        <v>583</v>
      </c>
      <c r="E117" s="160" t="str">
        <f>IFERROR(INDEX(자격증DB!E:E, MATCH($D117, 자격증DB!A:A, 0)), "")</f>
        <v>민간</v>
      </c>
      <c r="F117" s="132" t="str">
        <f>IFERROR(INDEX(자격증DB!B:B, MATCH($D117, 자격증DB!A:A, 0)), "")</f>
        <v>-</v>
      </c>
      <c r="G117" s="206" t="str">
        <f>IFERROR(INDEX(자격증DB!C:C, MATCH($D117, 자격증DB!A:A, 0)), "")</f>
        <v>한국소방시설협회</v>
      </c>
      <c r="H117" s="260" t="str">
        <f>IFERROR(INDEX(자격증DB!F:F, MATCH($D117, 자격증DB!A:A, 0)), "")</f>
        <v>자격증</v>
      </c>
      <c r="I117" s="261">
        <v>44642</v>
      </c>
      <c r="J117" s="233"/>
      <c r="K117" s="234"/>
      <c r="L117" s="209" t="str">
        <f t="shared" si="6"/>
        <v>PDF</v>
      </c>
      <c r="M117" s="262" t="str">
        <f t="shared" si="7"/>
        <v>소방기술자 (기계 특급, 전기 고급)_이병준</v>
      </c>
      <c r="N117" s="263" t="str">
        <f>IFERROR(IF(INDEX(자격증DB!G:G, MATCH($D117, 자격증DB!$A:$A, 0))=0, "", INDEX(자격증DB!G:G, MATCH($D117, 자격증DB!$A:$A, 0))), "")</f>
        <v>공사(CB)</v>
      </c>
      <c r="O117" s="264" t="str">
        <f>IFERROR(IF(INDEX(자격증DB!H:H, MATCH($D117, 자격증DB!$A:$A, 0))=0, "", INDEX(자격증DB!H:H, MATCH($D117, 자격증DB!$A:$A, 0))), "")</f>
        <v/>
      </c>
      <c r="P117" s="108" t="str">
        <f>IFERROR(IF(INDEX(자격증DB!I:I, MATCH($D117, 자격증DB!$A:$A, 0))=0, "", INDEX(자격증DB!I:I, MATCH($D117, 자격증DB!$A:$A, 0))), "")</f>
        <v>공사(CB)</v>
      </c>
      <c r="Q117" s="108" t="str">
        <f>IFERROR(IF(INDEX(자격증DB!J:J, MATCH($D117, 자격증DB!$A:$A, 0))=0, "", INDEX(자격증DB!J:J, MATCH($D117, 자격증DB!$A:$A, 0))), "")</f>
        <v/>
      </c>
      <c r="R117" s="108" t="str">
        <f>IFERROR(IF(INDEX(자격증DB!K:K, MATCH($D117, 자격증DB!$A:$A, 0))=0, "", INDEX(자격증DB!K:K, MATCH($D117, 자격증DB!$A:$A, 0))), "")</f>
        <v/>
      </c>
      <c r="S117" s="108" t="str">
        <f>IFERROR(IF(INDEX(자격증DB!L:L, MATCH($D117, 자격증DB!$A:$A, 0))=0, "", INDEX(자격증DB!L:L, MATCH($D117, 자격증DB!$A:$A, 0))), "")</f>
        <v/>
      </c>
      <c r="T117" s="108" t="str">
        <f>IFERROR(IF(INDEX(자격증DB!M:M, MATCH($D117, 자격증DB!$A:$A, 0))=0, "", INDEX(자격증DB!M:M, MATCH($D117, 자격증DB!$A:$A, 0))), "")</f>
        <v>각종 수수료(CF)</v>
      </c>
      <c r="U117" s="108" t="str">
        <f>IFERROR(IF(INDEX(자격증DB!N:N, MATCH($D117, 자격증DB!$A:$A, 0))=0, "", INDEX(자격증DB!N:N, MATCH($D117, 자격증DB!$A:$A, 0))), "")</f>
        <v>법원감정(CG)</v>
      </c>
      <c r="V117" s="108" t="str">
        <f>IFERROR(IF(INDEX(자격증DB!O:O, MATCH($D117, 자격증DB!$A:$A, 0))=0, "", INDEX(자격증DB!O:O, MATCH($D117, 자격증DB!$A:$A, 0))), "")</f>
        <v/>
      </c>
      <c r="W117" s="114" t="str">
        <f>IFERROR(IF(INDEX(자격증DB!P:P, MATCH($D117, 자격증DB!$A:$A, 0))=0, "", INDEX(자격증DB!P:P, MATCH($D117, 자격증DB!$A:$A, 0))), "")</f>
        <v/>
      </c>
      <c r="X117"/>
      <c r="Y117" s="366" t="str">
        <f>A117 &amp; "_" &amp; "자격증_" &amp; COUNTIFS($A$2:A117, A117)</f>
        <v>이병준_자격증_5</v>
      </c>
      <c r="Z117" s="366" t="str">
        <f>D117 &amp; "_" &amp;"자격증_" &amp;  COUNTIFS($D$2:D117, D117)</f>
        <v>소방기술자 (기계 특급, 전기 고급)_자격증_1</v>
      </c>
    </row>
    <row r="118" spans="1:26">
      <c r="A118" s="265" t="s">
        <v>0</v>
      </c>
      <c r="B118" s="266" t="str">
        <f>IFERROR(INDEX(개인DB!C:C, MATCH($A118, 개인DB!B:B, 0)), "")</f>
        <v>원장</v>
      </c>
      <c r="C118" s="266" t="str">
        <f>IFERROR(INDEX(개인DB!D:D, MATCH($A118, 개인DB!B:B, 0)), "")</f>
        <v>원장</v>
      </c>
      <c r="D118" s="267" t="s">
        <v>75</v>
      </c>
      <c r="E118" s="160" t="str">
        <f>IFERROR(INDEX(자격증DB!E:E, MATCH($D118, 자격증DB!A:A, 0)), "")</f>
        <v>민간</v>
      </c>
      <c r="F118" s="132" t="str">
        <f>IFERROR(INDEX(자격증DB!B:B, MATCH($D118, 자격증DB!A:A, 0)), "")</f>
        <v>행정안전부</v>
      </c>
      <c r="G118" s="206" t="str">
        <f>IFERROR(INDEX(자격증DB!C:C, MATCH($D118, 자격증DB!A:A, 0)), "")</f>
        <v>한국공공정책평가협회</v>
      </c>
      <c r="H118" s="260" t="str">
        <f>IFERROR(INDEX(자격증DB!F:F, MATCH($D118, 자격증DB!A:A, 0)), "")</f>
        <v>자격증</v>
      </c>
      <c r="I118" s="268">
        <v>43456</v>
      </c>
      <c r="J118" s="268"/>
      <c r="K118" s="269"/>
      <c r="L118" s="209" t="str">
        <f t="shared" si="6"/>
        <v>PDF</v>
      </c>
      <c r="M118" s="258" t="str">
        <f t="shared" si="7"/>
        <v>정책분석평가사1급_김민선</v>
      </c>
      <c r="N118" s="270" t="str">
        <f>IFERROR(IF(INDEX(자격증DB!G:G, MATCH($D118, 자격증DB!$A:$A, 0))=0, "", INDEX(자격증DB!G:G, MATCH($D118, 자격증DB!$A:$A, 0))), "")</f>
        <v>학술(CC)</v>
      </c>
      <c r="O118" s="271" t="str">
        <f>IFERROR(IF(INDEX(자격증DB!H:H, MATCH($D118, 자격증DB!$A:$A, 0))=0, "", INDEX(자격증DB!H:H, MATCH($D118, 자격증DB!$A:$A, 0))), "")</f>
        <v/>
      </c>
      <c r="P118" s="272" t="str">
        <f>IFERROR(IF(INDEX(자격증DB!I:I, MATCH($D118, 자격증DB!$A:$A, 0))=0, "", INDEX(자격증DB!I:I, MATCH($D118, 자격증DB!$A:$A, 0))), "")</f>
        <v/>
      </c>
      <c r="Q118" s="272" t="str">
        <f>IFERROR(IF(INDEX(자격증DB!J:J, MATCH($D118, 자격증DB!$A:$A, 0))=0, "", INDEX(자격증DB!J:J, MATCH($D118, 자격증DB!$A:$A, 0))), "")</f>
        <v>학술(CC)</v>
      </c>
      <c r="R118" s="272" t="str">
        <f>IFERROR(IF(INDEX(자격증DB!K:K, MATCH($D118, 자격증DB!$A:$A, 0))=0, "", INDEX(자격증DB!K:K, MATCH($D118, 자격증DB!$A:$A, 0))), "")</f>
        <v/>
      </c>
      <c r="S118" s="272" t="str">
        <f>IFERROR(IF(INDEX(자격증DB!L:L, MATCH($D118, 자격증DB!$A:$A, 0))=0, "", INDEX(자격증DB!L:L, MATCH($D118, 자격증DB!$A:$A, 0))), "")</f>
        <v/>
      </c>
      <c r="T118" s="272" t="str">
        <f>IFERROR(IF(INDEX(자격증DB!M:M, MATCH($D118, 자격증DB!$A:$A, 0))=0, "", INDEX(자격증DB!M:M, MATCH($D118, 자격증DB!$A:$A, 0))), "")</f>
        <v>각종 수수료(CF)</v>
      </c>
      <c r="U118" s="272" t="str">
        <f>IFERROR(IF(INDEX(자격증DB!N:N, MATCH($D118, 자격증DB!$A:$A, 0))=0, "", INDEX(자격증DB!N:N, MATCH($D118, 자격증DB!$A:$A, 0))), "")</f>
        <v/>
      </c>
      <c r="V118" s="272" t="str">
        <f>IFERROR(IF(INDEX(자격증DB!O:O, MATCH($D118, 자격증DB!$A:$A, 0))=0, "", INDEX(자격증DB!O:O, MATCH($D118, 자격증DB!$A:$A, 0))), "")</f>
        <v/>
      </c>
      <c r="W118" s="273" t="str">
        <f>IFERROR(IF(INDEX(자격증DB!P:P, MATCH($D118, 자격증DB!$A:$A, 0))=0, "", INDEX(자격증DB!P:P, MATCH($D118, 자격증DB!$A:$A, 0))), "")</f>
        <v/>
      </c>
      <c r="X118"/>
      <c r="Y118" s="258" t="str">
        <f>A118 &amp; "_" &amp; "자격증_" &amp; COUNTIFS($A$2:A118, A118)</f>
        <v>김민선_자격증_34</v>
      </c>
      <c r="Z118" s="258" t="str">
        <f>D118 &amp; "_" &amp;"자격증_" &amp;  COUNTIFS($D$2:D118, D118)</f>
        <v>정책분석평가사1급_자격증_1</v>
      </c>
    </row>
    <row r="119" spans="1:26">
      <c r="A119" s="265" t="s">
        <v>3</v>
      </c>
      <c r="B119" s="266" t="str">
        <f>IFERROR(INDEX(개인DB!C:C, MATCH($A119, 개인DB!B:B, 0)), "")</f>
        <v>원가분석</v>
      </c>
      <c r="C119" s="266" t="str">
        <f>IFERROR(INDEX(개인DB!D:D, MATCH($A119, 개인DB!B:B, 0)), "")</f>
        <v>이사</v>
      </c>
      <c r="D119" s="274" t="s">
        <v>75</v>
      </c>
      <c r="E119" s="160" t="str">
        <f>IFERROR(INDEX(자격증DB!E:E, MATCH($D119, 자격증DB!A:A, 0)), "X")</f>
        <v>민간</v>
      </c>
      <c r="F119" s="132" t="str">
        <f>IFERROR(INDEX(자격증DB!B:B, MATCH($D119, 자격증DB!A:A, 0)), "")</f>
        <v>행정안전부</v>
      </c>
      <c r="G119" s="206" t="str">
        <f>IFERROR(INDEX(자격증DB!C:C, MATCH($D119, 자격증DB!A:A, 0)), "X")</f>
        <v>한국공공정책평가협회</v>
      </c>
      <c r="H119" s="260" t="str">
        <f>IFERROR(INDEX(자격증DB!F:F, MATCH($D119, 자격증DB!A:A, 0)), "X")</f>
        <v>자격증</v>
      </c>
      <c r="I119" s="275">
        <v>43456</v>
      </c>
      <c r="J119" s="275"/>
      <c r="K119" s="276"/>
      <c r="L119" s="209" t="str">
        <f t="shared" si="6"/>
        <v>PDF</v>
      </c>
      <c r="M119" s="277" t="str">
        <f t="shared" si="7"/>
        <v>정책분석평가사1급_하은정</v>
      </c>
      <c r="N119" s="278" t="str">
        <f>IFERROR(IF(INDEX(자격증DB!G:G, MATCH($D119, 자격증DB!$A:$A, 0))=0, "", INDEX(자격증DB!G:G, MATCH($D119, 자격증DB!$A:$A, 0))), "")</f>
        <v>학술(CC)</v>
      </c>
      <c r="O119" s="271" t="str">
        <f>IFERROR(IF(INDEX(자격증DB!H:H, MATCH($D119, 자격증DB!$A:$A, 0))=0, "", INDEX(자격증DB!H:H, MATCH($D119, 자격증DB!$A:$A, 0))), "")</f>
        <v/>
      </c>
      <c r="P119" s="272" t="str">
        <f>IFERROR(IF(INDEX(자격증DB!I:I, MATCH($D119, 자격증DB!$A:$A, 0))=0, "", INDEX(자격증DB!I:I, MATCH($D119, 자격증DB!$A:$A, 0))), "")</f>
        <v/>
      </c>
      <c r="Q119" s="272" t="str">
        <f>IFERROR(IF(INDEX(자격증DB!J:J, MATCH($D119, 자격증DB!$A:$A, 0))=0, "", INDEX(자격증DB!J:J, MATCH($D119, 자격증DB!$A:$A, 0))), "")</f>
        <v>학술(CC)</v>
      </c>
      <c r="R119" s="272" t="str">
        <f>IFERROR(IF(INDEX(자격증DB!K:K, MATCH($D119, 자격증DB!$A:$A, 0))=0, "", INDEX(자격증DB!K:K, MATCH($D119, 자격증DB!$A:$A, 0))), "")</f>
        <v/>
      </c>
      <c r="S119" s="272" t="str">
        <f>IFERROR(IF(INDEX(자격증DB!L:L, MATCH($D119, 자격증DB!$A:$A, 0))=0, "", INDEX(자격증DB!L:L, MATCH($D119, 자격증DB!$A:$A, 0))), "")</f>
        <v/>
      </c>
      <c r="T119" s="272" t="str">
        <f>IFERROR(IF(INDEX(자격증DB!M:M, MATCH($D119, 자격증DB!$A:$A, 0))=0, "", INDEX(자격증DB!M:M, MATCH($D119, 자격증DB!$A:$A, 0))), "")</f>
        <v>각종 수수료(CF)</v>
      </c>
      <c r="U119" s="272" t="str">
        <f>IFERROR(IF(INDEX(자격증DB!N:N, MATCH($D119, 자격증DB!$A:$A, 0))=0, "", INDEX(자격증DB!N:N, MATCH($D119, 자격증DB!$A:$A, 0))), "")</f>
        <v/>
      </c>
      <c r="V119" s="272" t="str">
        <f>IFERROR(IF(INDEX(자격증DB!O:O, MATCH($D119, 자격증DB!$A:$A, 0))=0, "", INDEX(자격증DB!O:O, MATCH($D119, 자격증DB!$A:$A, 0))), "")</f>
        <v/>
      </c>
      <c r="W119" s="273" t="str">
        <f>IFERROR(IF(INDEX(자격증DB!P:P, MATCH($D119, 자격증DB!$A:$A, 0))=0, "", INDEX(자격증DB!P:P, MATCH($D119, 자격증DB!$A:$A, 0))), "")</f>
        <v/>
      </c>
      <c r="X119"/>
      <c r="Y119" s="370" t="str">
        <f>A119 &amp; "_" &amp; "자격증_" &amp; COUNTIFS($A$2:A129, A119)</f>
        <v>하은정_자격증_7</v>
      </c>
      <c r="Z119" s="370" t="str">
        <f>D119 &amp; "_" &amp;"자격증_" &amp;  COUNTIFS($D$2:D129, D119)</f>
        <v>정책분석평가사1급_자격증_2</v>
      </c>
    </row>
    <row r="120" spans="1:26">
      <c r="A120" s="265" t="s">
        <v>680</v>
      </c>
      <c r="B120" s="160" t="str">
        <f>IFERROR(INDEX(개인DB!C:C, MATCH($A120, 개인DB!B:B, 0)), "")</f>
        <v>경영기획</v>
      </c>
      <c r="C120" s="160" t="str">
        <f>IFERROR(INDEX(개인DB!D:D, MATCH($A120, 개인DB!B:B, 0)), "")</f>
        <v>사원</v>
      </c>
      <c r="D120" s="371" t="s">
        <v>682</v>
      </c>
      <c r="E120" s="160" t="str">
        <f>IFERROR(INDEX(자격증DB!E:E, MATCH($D120, 자격증DB!A:A, 0)), "X")</f>
        <v>민간(국가)</v>
      </c>
      <c r="F120" s="132" t="str">
        <f>IFERROR(INDEX(자격증DB!B:B, MATCH($D120, 자격증DB!A:A, 0)), "")</f>
        <v>-</v>
      </c>
      <c r="G120" s="206" t="str">
        <f>IFERROR(INDEX(자격증DB!C:C, MATCH($D120, 자격증DB!A:A, 0)), "X")</f>
        <v>한국세무사회</v>
      </c>
      <c r="H120" s="260" t="str">
        <f>IFERROR(INDEX(자격증DB!F:F, MATCH($D120, 자격증DB!A:A, 0)), "X")</f>
        <v>자격증</v>
      </c>
      <c r="I120" s="207" t="s">
        <v>684</v>
      </c>
      <c r="J120" s="207"/>
      <c r="K120" s="208" t="s">
        <v>689</v>
      </c>
      <c r="L120" s="209" t="str">
        <f t="shared" ref="L120:L126" si="8">HYPERLINK("학력, 자격증-excel 연동 파일\" &amp; A120 &amp; "\자격증\" &amp; D120 &amp; "_" &amp; A120 &amp; ".pdf", "PDF")</f>
        <v>PDF</v>
      </c>
      <c r="M120" s="277" t="str">
        <f t="shared" ref="M120:M126" si="9">D120&amp;"_"&amp;A120</f>
        <v>전산세무 2급_김나경</v>
      </c>
      <c r="N120" s="372" t="str">
        <f>IFERROR(IF(INDEX(자격증DB!G:G, MATCH($D120, 자격증DB!$A:$A, 0))=0, "", INDEX(자격증DB!G:G, MATCH($D120, 자격증DB!$A:$A, 0))), "")</f>
        <v>기타</v>
      </c>
      <c r="O120" s="264" t="str">
        <f>IFERROR(IF(INDEX(자격증DB!H:H, MATCH($D120, 자격증DB!$A:$A, 0))=0, "", INDEX(자격증DB!H:H, MATCH($D120, 자격증DB!$A:$A, 0))), "")</f>
        <v/>
      </c>
      <c r="P120" s="108" t="str">
        <f>IFERROR(IF(INDEX(자격증DB!I:I, MATCH($D120, 자격증DB!$A:$A, 0))=0, "", INDEX(자격증DB!I:I, MATCH($D120, 자격증DB!$A:$A, 0))), "")</f>
        <v/>
      </c>
      <c r="Q120" s="108" t="str">
        <f>IFERROR(IF(INDEX(자격증DB!J:J, MATCH($D120, 자격증DB!$A:$A, 0))=0, "", INDEX(자격증DB!J:J, MATCH($D120, 자격증DB!$A:$A, 0))), "")</f>
        <v/>
      </c>
      <c r="R120" s="108" t="str">
        <f>IFERROR(IF(INDEX(자격증DB!K:K, MATCH($D120, 자격증DB!$A:$A, 0))=0, "", INDEX(자격증DB!K:K, MATCH($D120, 자격증DB!$A:$A, 0))), "")</f>
        <v/>
      </c>
      <c r="S120" s="108" t="str">
        <f>IFERROR(IF(INDEX(자격증DB!L:L, MATCH($D120, 자격증DB!$A:$A, 0))=0, "", INDEX(자격증DB!L:L, MATCH($D120, 자격증DB!$A:$A, 0))), "")</f>
        <v>사후정산(CE)</v>
      </c>
      <c r="T120" s="108" t="str">
        <f>IFERROR(IF(INDEX(자격증DB!M:M, MATCH($D120, 자격증DB!$A:$A, 0))=0, "", INDEX(자격증DB!M:M, MATCH($D120, 자격증DB!$A:$A, 0))), "")</f>
        <v/>
      </c>
      <c r="U120" s="108" t="str">
        <f>IFERROR(IF(INDEX(자격증DB!N:N, MATCH($D120, 자격증DB!$A:$A, 0))=0, "", INDEX(자격증DB!N:N, MATCH($D120, 자격증DB!$A:$A, 0))), "")</f>
        <v/>
      </c>
      <c r="V120" s="108" t="str">
        <f>IFERROR(IF(INDEX(자격증DB!O:O, MATCH($D120, 자격증DB!$A:$A, 0))=0, "", INDEX(자격증DB!O:O, MATCH($D120, 자격증DB!$A:$A, 0))), "")</f>
        <v/>
      </c>
      <c r="W120" s="114" t="str">
        <f>IFERROR(IF(INDEX(자격증DB!P:P, MATCH($D120, 자격증DB!$A:$A, 0))=0, "", INDEX(자격증DB!P:P, MATCH($D120, 자격증DB!$A:$A, 0))), "")</f>
        <v/>
      </c>
      <c r="X120" s="1" t="str">
        <f>IFERROR(IF(INDEX(자격증DB!P:P, MATCH($D130, 자격증DB!$A:$A, 0))=0, "", INDEX(자격증DB!P:P, MATCH($D130, 자격증DB!$A:$A, 0))), "")</f>
        <v/>
      </c>
      <c r="Y120" s="370" t="str">
        <f>A120 &amp; "_" &amp; "자격증_" &amp; COUNTIFS($A$2:A120, A120)</f>
        <v>김나경_자격증_1</v>
      </c>
      <c r="Z120" s="370" t="str">
        <f>D120 &amp; "_" &amp;"자격증_" &amp;  COUNTIFS($D$2:D130, D120)</f>
        <v>전산세무 2급_자격증_1</v>
      </c>
    </row>
    <row r="121" spans="1:26">
      <c r="A121" s="265" t="s">
        <v>680</v>
      </c>
      <c r="B121" s="160" t="str">
        <f>IFERROR(INDEX(개인DB!C:C, MATCH($A121, 개인DB!B:B, 0)), "")</f>
        <v>경영기획</v>
      </c>
      <c r="C121" s="160" t="str">
        <f>IFERROR(INDEX(개인DB!D:D, MATCH($A121, 개인DB!B:B, 0)), "")</f>
        <v>사원</v>
      </c>
      <c r="D121" s="371" t="s">
        <v>681</v>
      </c>
      <c r="E121" s="160" t="str">
        <f>IFERROR(INDEX(자격증DB!E:E, MATCH($D121, 자격증DB!A:A, 0)), "X")</f>
        <v>민간(국가)</v>
      </c>
      <c r="F121" s="132" t="str">
        <f>IFERROR(INDEX(자격증DB!B:B, MATCH($D121, 자격증DB!A:A, 0)), "")</f>
        <v>-</v>
      </c>
      <c r="G121" s="206" t="str">
        <f>IFERROR(INDEX(자격증DB!C:C, MATCH($D121, 자격증DB!A:A, 0)), "X")</f>
        <v>한국세무사회</v>
      </c>
      <c r="H121" s="260" t="str">
        <f>IFERROR(INDEX(자격증DB!F:F, MATCH($D121, 자격증DB!A:A, 0)), "X")</f>
        <v>자격증</v>
      </c>
      <c r="I121" s="207" t="s">
        <v>685</v>
      </c>
      <c r="J121" s="207"/>
      <c r="K121" s="208" t="s">
        <v>690</v>
      </c>
      <c r="L121" s="209" t="str">
        <f t="shared" si="8"/>
        <v>PDF</v>
      </c>
      <c r="M121" s="277" t="str">
        <f t="shared" si="9"/>
        <v>전산회계 1급_김나경</v>
      </c>
      <c r="N121" s="372" t="str">
        <f>IFERROR(IF(INDEX(자격증DB!G:G, MATCH($D121, 자격증DB!$A:$A, 0))=0, "", INDEX(자격증DB!G:G, MATCH($D121, 자격증DB!$A:$A, 0))), "")</f>
        <v>학술(CC)</v>
      </c>
      <c r="O121" s="264" t="str">
        <f>IFERROR(IF(INDEX(자격증DB!H:H, MATCH($D121, 자격증DB!$A:$A, 0))=0, "", INDEX(자격증DB!H:H, MATCH($D121, 자격증DB!$A:$A, 0))), "")</f>
        <v>제조(CA)</v>
      </c>
      <c r="P121" s="108" t="str">
        <f>IFERROR(IF(INDEX(자격증DB!I:I, MATCH($D121, 자격증DB!$A:$A, 0))=0, "", INDEX(자격증DB!I:I, MATCH($D121, 자격증DB!$A:$A, 0))), "")</f>
        <v>공사(CB)</v>
      </c>
      <c r="Q121" s="108" t="str">
        <f>IFERROR(IF(INDEX(자격증DB!J:J, MATCH($D121, 자격증DB!$A:$A, 0))=0, "", INDEX(자격증DB!J:J, MATCH($D121, 자격증DB!$A:$A, 0))), "")</f>
        <v/>
      </c>
      <c r="R121" s="108" t="str">
        <f>IFERROR(IF(INDEX(자격증DB!K:K, MATCH($D121, 자격증DB!$A:$A, 0))=0, "", INDEX(자격증DB!K:K, MATCH($D121, 자격증DB!$A:$A, 0))), "")</f>
        <v/>
      </c>
      <c r="S121" s="108" t="str">
        <f>IFERROR(IF(INDEX(자격증DB!L:L, MATCH($D121, 자격증DB!$A:$A, 0))=0, "", INDEX(자격증DB!L:L, MATCH($D121, 자격증DB!$A:$A, 0))), "")</f>
        <v>사후정산(CE)</v>
      </c>
      <c r="T121" s="108" t="str">
        <f>IFERROR(IF(INDEX(자격증DB!M:M, MATCH($D121, 자격증DB!$A:$A, 0))=0, "", INDEX(자격증DB!M:M, MATCH($D121, 자격증DB!$A:$A, 0))), "")</f>
        <v/>
      </c>
      <c r="U121" s="108" t="str">
        <f>IFERROR(IF(INDEX(자격증DB!N:N, MATCH($D121, 자격증DB!$A:$A, 0))=0, "", INDEX(자격증DB!N:N, MATCH($D121, 자격증DB!$A:$A, 0))), "")</f>
        <v/>
      </c>
      <c r="V121" s="108" t="str">
        <f>IFERROR(IF(INDEX(자격증DB!O:O, MATCH($D121, 자격증DB!$A:$A, 0))=0, "", INDEX(자격증DB!O:O, MATCH($D121, 자격증DB!$A:$A, 0))), "")</f>
        <v/>
      </c>
      <c r="W121" s="114" t="str">
        <f>IFERROR(IF(INDEX(자격증DB!P:P, MATCH($D121, 자격증DB!$A:$A, 0))=0, "", INDEX(자격증DB!P:P, MATCH($D121, 자격증DB!$A:$A, 0))), "")</f>
        <v/>
      </c>
      <c r="X121" s="1" t="str">
        <f>IFERROR(IF(INDEX(자격증DB!P:P, MATCH($D131, 자격증DB!$A:$A, 0))=0, "", INDEX(자격증DB!P:P, MATCH($D131, 자격증DB!$A:$A, 0))), "")</f>
        <v/>
      </c>
      <c r="Y121" s="370" t="str">
        <f>A121 &amp; "_" &amp; "자격증_" &amp; COUNTIFS($A$2:A121, A121)</f>
        <v>김나경_자격증_2</v>
      </c>
      <c r="Z121" s="370" t="str">
        <f>D121 &amp; "_" &amp;"자격증_" &amp;  COUNTIFS($D$2:D131, D121)</f>
        <v>전산회계 1급_자격증_1</v>
      </c>
    </row>
    <row r="122" spans="1:26">
      <c r="A122" s="265" t="s">
        <v>680</v>
      </c>
      <c r="B122" s="160" t="str">
        <f>IFERROR(INDEX(개인DB!C:C, MATCH($A122, 개인DB!B:B, 0)), "")</f>
        <v>경영기획</v>
      </c>
      <c r="C122" s="160" t="str">
        <f>IFERROR(INDEX(개인DB!D:D, MATCH($A122, 개인DB!B:B, 0)), "")</f>
        <v>사원</v>
      </c>
      <c r="D122" s="371" t="s">
        <v>517</v>
      </c>
      <c r="E122" s="160" t="str">
        <f>IFERROR(INDEX(자격증DB!E:E, MATCH($D122, 자격증DB!A:A, 0)), "X")</f>
        <v>민간(국가)</v>
      </c>
      <c r="F122" s="132" t="str">
        <f>IFERROR(INDEX(자격증DB!B:B, MATCH($D122, 자격증DB!A:A, 0)), "")</f>
        <v>고용노동부</v>
      </c>
      <c r="G122" s="206" t="str">
        <f>IFERROR(INDEX(자격증DB!C:C, MATCH($D122, 자격증DB!A:A, 0)), "X")</f>
        <v>한국세무사회</v>
      </c>
      <c r="H122" s="260" t="str">
        <f>IFERROR(INDEX(자격증DB!F:F, MATCH($D122, 자격증DB!A:A, 0)), "X")</f>
        <v>자격증</v>
      </c>
      <c r="I122" s="207" t="s">
        <v>686</v>
      </c>
      <c r="J122" s="207"/>
      <c r="K122" s="208" t="s">
        <v>691</v>
      </c>
      <c r="L122" s="209" t="str">
        <f t="shared" si="8"/>
        <v>PDF</v>
      </c>
      <c r="M122" s="277" t="str">
        <f t="shared" si="9"/>
        <v>전산회계 2급_김나경</v>
      </c>
      <c r="N122" s="372" t="str">
        <f>IFERROR(IF(INDEX(자격증DB!G:G, MATCH($D122, 자격증DB!$A:$A, 0))=0, "", INDEX(자격증DB!G:G, MATCH($D122, 자격증DB!$A:$A, 0))), "")</f>
        <v>기타</v>
      </c>
      <c r="O122" s="264" t="str">
        <f>IFERROR(IF(INDEX(자격증DB!H:H, MATCH($D122, 자격증DB!$A:$A, 0))=0, "", INDEX(자격증DB!H:H, MATCH($D122, 자격증DB!$A:$A, 0))), "")</f>
        <v/>
      </c>
      <c r="P122" s="108" t="str">
        <f>IFERROR(IF(INDEX(자격증DB!I:I, MATCH($D122, 자격증DB!$A:$A, 0))=0, "", INDEX(자격증DB!I:I, MATCH($D122, 자격증DB!$A:$A, 0))), "")</f>
        <v/>
      </c>
      <c r="Q122" s="108" t="str">
        <f>IFERROR(IF(INDEX(자격증DB!J:J, MATCH($D122, 자격증DB!$A:$A, 0))=0, "", INDEX(자격증DB!J:J, MATCH($D122, 자격증DB!$A:$A, 0))), "")</f>
        <v/>
      </c>
      <c r="R122" s="108" t="str">
        <f>IFERROR(IF(INDEX(자격증DB!K:K, MATCH($D122, 자격증DB!$A:$A, 0))=0, "", INDEX(자격증DB!K:K, MATCH($D122, 자격증DB!$A:$A, 0))), "")</f>
        <v/>
      </c>
      <c r="S122" s="108" t="str">
        <f>IFERROR(IF(INDEX(자격증DB!L:L, MATCH($D122, 자격증DB!$A:$A, 0))=0, "", INDEX(자격증DB!L:L, MATCH($D122, 자격증DB!$A:$A, 0))), "")</f>
        <v>사후정산(CE)</v>
      </c>
      <c r="T122" s="108" t="str">
        <f>IFERROR(IF(INDEX(자격증DB!M:M, MATCH($D122, 자격증DB!$A:$A, 0))=0, "", INDEX(자격증DB!M:M, MATCH($D122, 자격증DB!$A:$A, 0))), "")</f>
        <v/>
      </c>
      <c r="U122" s="108" t="str">
        <f>IFERROR(IF(INDEX(자격증DB!N:N, MATCH($D122, 자격증DB!$A:$A, 0))=0, "", INDEX(자격증DB!N:N, MATCH($D122, 자격증DB!$A:$A, 0))), "")</f>
        <v/>
      </c>
      <c r="V122" s="108" t="str">
        <f>IFERROR(IF(INDEX(자격증DB!O:O, MATCH($D122, 자격증DB!$A:$A, 0))=0, "", INDEX(자격증DB!O:O, MATCH($D122, 자격증DB!$A:$A, 0))), "")</f>
        <v/>
      </c>
      <c r="W122" s="114" t="str">
        <f>IFERROR(IF(INDEX(자격증DB!P:P, MATCH($D122, 자격증DB!$A:$A, 0))=0, "", INDEX(자격증DB!P:P, MATCH($D122, 자격증DB!$A:$A, 0))), "")</f>
        <v/>
      </c>
      <c r="X122" s="1" t="str">
        <f>IFERROR(IF(INDEX(자격증DB!P:P, MATCH($D132, 자격증DB!$A:$A, 0))=0, "", INDEX(자격증DB!P:P, MATCH($D132, 자격증DB!$A:$A, 0))), "")</f>
        <v/>
      </c>
      <c r="Y122" s="370" t="str">
        <f>A122 &amp; "_" &amp; "자격증_" &amp; COUNTIFS($A$2:A122, A122)</f>
        <v>김나경_자격증_3</v>
      </c>
      <c r="Z122" s="370" t="str">
        <f>D122 &amp; "_" &amp;"자격증_" &amp;  COUNTIFS($D$2:D132, D122)</f>
        <v>전산회계 2급_자격증_2</v>
      </c>
    </row>
    <row r="123" spans="1:26">
      <c r="A123" s="265" t="s">
        <v>680</v>
      </c>
      <c r="B123" s="160" t="str">
        <f>IFERROR(INDEX(개인DB!C:C, MATCH($A123, 개인DB!B:B, 0)), "")</f>
        <v>경영기획</v>
      </c>
      <c r="C123" s="160" t="str">
        <f>IFERROR(INDEX(개인DB!D:D, MATCH($A123, 개인DB!B:B, 0)), "")</f>
        <v>사원</v>
      </c>
      <c r="D123" s="371" t="s">
        <v>683</v>
      </c>
      <c r="E123" s="160" t="str">
        <f>IFERROR(INDEX(자격증DB!E:E, MATCH($D123, 자격증DB!A:A, 0)), "X")</f>
        <v>민간(국가)</v>
      </c>
      <c r="F123" s="132" t="str">
        <f>IFERROR(INDEX(자격증DB!B:B, MATCH($D123, 자격증DB!A:A, 0)), "")</f>
        <v>과학기술정보통신부</v>
      </c>
      <c r="G123" s="206" t="str">
        <f>IFERROR(INDEX(자격증DB!C:C, MATCH($D123, 자격증DB!A:A, 0)), "X")</f>
        <v>한국생산성본부</v>
      </c>
      <c r="H123" s="260" t="str">
        <f>IFERROR(INDEX(자격증DB!F:F, MATCH($D123, 자격증DB!A:A, 0)), "X")</f>
        <v>자격증</v>
      </c>
      <c r="I123" s="207" t="s">
        <v>687</v>
      </c>
      <c r="J123" s="207"/>
      <c r="K123" s="208"/>
      <c r="L123" s="209" t="str">
        <f t="shared" si="8"/>
        <v>PDF</v>
      </c>
      <c r="M123" s="277" t="str">
        <f t="shared" si="9"/>
        <v>ERP 회계 정보관리사 2급_김나경</v>
      </c>
      <c r="N123" s="372" t="str">
        <f>IFERROR(IF(INDEX(자격증DB!G:G, MATCH($D123, 자격증DB!$A:$A, 0))=0, "", INDEX(자격증DB!G:G, MATCH($D123, 자격증DB!$A:$A, 0))), "")</f>
        <v>기타</v>
      </c>
      <c r="O123" s="264" t="str">
        <f>IFERROR(IF(INDEX(자격증DB!H:H, MATCH($D123, 자격증DB!$A:$A, 0))=0, "", INDEX(자격증DB!H:H, MATCH($D123, 자격증DB!$A:$A, 0))), "")</f>
        <v/>
      </c>
      <c r="P123" s="108" t="str">
        <f>IFERROR(IF(INDEX(자격증DB!I:I, MATCH($D123, 자격증DB!$A:$A, 0))=0, "", INDEX(자격증DB!I:I, MATCH($D123, 자격증DB!$A:$A, 0))), "")</f>
        <v/>
      </c>
      <c r="Q123" s="108" t="str">
        <f>IFERROR(IF(INDEX(자격증DB!J:J, MATCH($D123, 자격증DB!$A:$A, 0))=0, "", INDEX(자격증DB!J:J, MATCH($D123, 자격증DB!$A:$A, 0))), "")</f>
        <v/>
      </c>
      <c r="R123" s="108" t="str">
        <f>IFERROR(IF(INDEX(자격증DB!K:K, MATCH($D123, 자격증DB!$A:$A, 0))=0, "", INDEX(자격증DB!K:K, MATCH($D123, 자격증DB!$A:$A, 0))), "")</f>
        <v/>
      </c>
      <c r="S123" s="108" t="str">
        <f>IFERROR(IF(INDEX(자격증DB!L:L, MATCH($D123, 자격증DB!$A:$A, 0))=0, "", INDEX(자격증DB!L:L, MATCH($D123, 자격증DB!$A:$A, 0))), "")</f>
        <v>사후정산(CE)</v>
      </c>
      <c r="T123" s="108" t="str">
        <f>IFERROR(IF(INDEX(자격증DB!M:M, MATCH($D123, 자격증DB!$A:$A, 0))=0, "", INDEX(자격증DB!M:M, MATCH($D123, 자격증DB!$A:$A, 0))), "")</f>
        <v/>
      </c>
      <c r="U123" s="108" t="str">
        <f>IFERROR(IF(INDEX(자격증DB!N:N, MATCH($D123, 자격증DB!$A:$A, 0))=0, "", INDEX(자격증DB!N:N, MATCH($D123, 자격증DB!$A:$A, 0))), "")</f>
        <v/>
      </c>
      <c r="V123" s="108" t="str">
        <f>IFERROR(IF(INDEX(자격증DB!O:O, MATCH($D123, 자격증DB!$A:$A, 0))=0, "", INDEX(자격증DB!O:O, MATCH($D123, 자격증DB!$A:$A, 0))), "")</f>
        <v/>
      </c>
      <c r="W123" s="114" t="str">
        <f>IFERROR(IF(INDEX(자격증DB!P:P, MATCH($D123, 자격증DB!$A:$A, 0))=0, "", INDEX(자격증DB!P:P, MATCH($D123, 자격증DB!$A:$A, 0))), "")</f>
        <v/>
      </c>
      <c r="X123" s="1" t="str">
        <f>IFERROR(IF(INDEX(자격증DB!P:P, MATCH($D133, 자격증DB!$A:$A, 0))=0, "", INDEX(자격증DB!P:P, MATCH($D133, 자격증DB!$A:$A, 0))), "")</f>
        <v/>
      </c>
      <c r="Y123" s="370" t="str">
        <f>A123 &amp; "_" &amp; "자격증_" &amp; COUNTIFS($A$2:A123, A123)</f>
        <v>김나경_자격증_4</v>
      </c>
      <c r="Z123" s="370" t="str">
        <f>D123 &amp; "_" &amp;"자격증_" &amp;  COUNTIFS($D$2:D133, D123)</f>
        <v>ERP 회계 정보관리사 2급_자격증_2</v>
      </c>
    </row>
    <row r="124" spans="1:26">
      <c r="A124" s="265" t="s">
        <v>680</v>
      </c>
      <c r="B124" s="160" t="str">
        <f>IFERROR(INDEX(개인DB!C:C, MATCH($A124, 개인DB!B:B, 0)), "")</f>
        <v>경영기획</v>
      </c>
      <c r="C124" s="160" t="str">
        <f>IFERROR(INDEX(개인DB!D:D, MATCH($A124, 개인DB!B:B, 0)), "")</f>
        <v>사원</v>
      </c>
      <c r="D124" s="371" t="s">
        <v>143</v>
      </c>
      <c r="E124" s="160" t="str">
        <f>IFERROR(INDEX(자격증DB!E:E, MATCH($D124, 자격증DB!A:A, 0)), "X")</f>
        <v>민간(국가)</v>
      </c>
      <c r="F124" s="132" t="str">
        <f>IFERROR(INDEX(자격증DB!B:B, MATCH($D124, 자격증DB!A:A, 0)), "")</f>
        <v>과학기술정보통신부</v>
      </c>
      <c r="G124" s="206" t="str">
        <f>IFERROR(INDEX(자격증DB!C:C, MATCH($D124, 자격증DB!A:A, 0)), "X")</f>
        <v>한국생산성본부</v>
      </c>
      <c r="H124" s="260" t="str">
        <f>IFERROR(INDEX(자격증DB!F:F, MATCH($D124, 자격증DB!A:A, 0)), "X")</f>
        <v>자격증</v>
      </c>
      <c r="I124" s="207" t="s">
        <v>688</v>
      </c>
      <c r="J124" s="207"/>
      <c r="K124" s="208"/>
      <c r="L124" s="209" t="str">
        <f t="shared" si="8"/>
        <v>PDF</v>
      </c>
      <c r="M124" s="277" t="str">
        <f t="shared" si="9"/>
        <v>ERP 인사 정보관리사 2급_김나경</v>
      </c>
      <c r="N124" s="372" t="str">
        <f>IFERROR(IF(INDEX(자격증DB!G:G, MATCH($D124, 자격증DB!$A:$A, 0))=0, "", INDEX(자격증DB!G:G, MATCH($D124, 자격증DB!$A:$A, 0))), "")</f>
        <v>기타</v>
      </c>
      <c r="O124" s="264" t="str">
        <f>IFERROR(IF(INDEX(자격증DB!H:H, MATCH($D124, 자격증DB!$A:$A, 0))=0, "", INDEX(자격증DB!H:H, MATCH($D124, 자격증DB!$A:$A, 0))), "")</f>
        <v/>
      </c>
      <c r="P124" s="108" t="str">
        <f>IFERROR(IF(INDEX(자격증DB!I:I, MATCH($D124, 자격증DB!$A:$A, 0))=0, "", INDEX(자격증DB!I:I, MATCH($D124, 자격증DB!$A:$A, 0))), "")</f>
        <v/>
      </c>
      <c r="Q124" s="108" t="str">
        <f>IFERROR(IF(INDEX(자격증DB!J:J, MATCH($D124, 자격증DB!$A:$A, 0))=0, "", INDEX(자격증DB!J:J, MATCH($D124, 자격증DB!$A:$A, 0))), "")</f>
        <v>학술(CC)</v>
      </c>
      <c r="R124" s="108" t="str">
        <f>IFERROR(IF(INDEX(자격증DB!K:K, MATCH($D124, 자격증DB!$A:$A, 0))=0, "", INDEX(자격증DB!K:K, MATCH($D124, 자격증DB!$A:$A, 0))), "")</f>
        <v/>
      </c>
      <c r="S124" s="108" t="str">
        <f>IFERROR(IF(INDEX(자격증DB!L:L, MATCH($D124, 자격증DB!$A:$A, 0))=0, "", INDEX(자격증DB!L:L, MATCH($D124, 자격증DB!$A:$A, 0))), "")</f>
        <v/>
      </c>
      <c r="T124" s="108" t="str">
        <f>IFERROR(IF(INDEX(자격증DB!M:M, MATCH($D124, 자격증DB!$A:$A, 0))=0, "", INDEX(자격증DB!M:M, MATCH($D124, 자격증DB!$A:$A, 0))), "")</f>
        <v>각종 수수료(CF)</v>
      </c>
      <c r="U124" s="108" t="str">
        <f>IFERROR(IF(INDEX(자격증DB!N:N, MATCH($D124, 자격증DB!$A:$A, 0))=0, "", INDEX(자격증DB!N:N, MATCH($D124, 자격증DB!$A:$A, 0))), "")</f>
        <v/>
      </c>
      <c r="V124" s="108" t="str">
        <f>IFERROR(IF(INDEX(자격증DB!O:O, MATCH($D124, 자격증DB!$A:$A, 0))=0, "", INDEX(자격증DB!O:O, MATCH($D124, 자격증DB!$A:$A, 0))), "")</f>
        <v xml:space="preserve"> </v>
      </c>
      <c r="W124" s="114" t="str">
        <f>IFERROR(IF(INDEX(자격증DB!P:P, MATCH($D124, 자격증DB!$A:$A, 0))=0, "", INDEX(자격증DB!P:P, MATCH($D124, 자격증DB!$A:$A, 0))), "")</f>
        <v/>
      </c>
      <c r="X124" s="1" t="str">
        <f>IFERROR(IF(INDEX(자격증DB!P:P, MATCH($D134, 자격증DB!$A:$A, 0))=0, "", INDEX(자격증DB!P:P, MATCH($D134, 자격증DB!$A:$A, 0))), "")</f>
        <v/>
      </c>
      <c r="Y124" s="370" t="str">
        <f>A124 &amp; "_" &amp; "자격증_" &amp; COUNTIFS($A$2:A124, A124)</f>
        <v>김나경_자격증_5</v>
      </c>
      <c r="Z124" s="370" t="str">
        <f>D124 &amp; "_" &amp;"자격증_" &amp;  COUNTIFS($D$2:D134, D124)</f>
        <v>ERP 인사 정보관리사 2급_자격증_2</v>
      </c>
    </row>
    <row r="125" spans="1:26">
      <c r="A125" s="265" t="s">
        <v>680</v>
      </c>
      <c r="B125" s="160" t="str">
        <f>IFERROR(INDEX(개인DB!C:C, MATCH($A125, 개인DB!B:B, 0)), "")</f>
        <v>경영기획</v>
      </c>
      <c r="C125" s="160" t="str">
        <f>IFERROR(INDEX(개인DB!D:D, MATCH($A125, 개인DB!B:B, 0)), "")</f>
        <v>사원</v>
      </c>
      <c r="D125" s="371" t="s">
        <v>692</v>
      </c>
      <c r="E125" s="160" t="str">
        <f>IFERROR(INDEX(자격증DB!E:E, MATCH($D125, 자격증DB!A:A, 0)), "X")</f>
        <v>민간(국가)</v>
      </c>
      <c r="F125" s="132" t="str">
        <f>IFERROR(INDEX(자격증DB!B:B, MATCH($D125, 자격증DB!A:A, 0)), "")</f>
        <v>과학기술정보통신부</v>
      </c>
      <c r="G125" s="206" t="str">
        <f>IFERROR(INDEX(자격증DB!C:C, MATCH($D125, 자격증DB!A:A, 0)), "X")</f>
        <v>한국생산성본부</v>
      </c>
      <c r="H125" s="260" t="str">
        <f>IFERROR(INDEX(자격증DB!F:F, MATCH($D125, 자격증DB!A:A, 0)), "X")</f>
        <v>자격증</v>
      </c>
      <c r="I125" s="207" t="s">
        <v>688</v>
      </c>
      <c r="J125" s="207"/>
      <c r="K125" s="208"/>
      <c r="L125" s="209" t="str">
        <f t="shared" si="8"/>
        <v>PDF</v>
      </c>
      <c r="M125" s="277" t="str">
        <f t="shared" si="9"/>
        <v>ERP 생산 정보관리사 2급_김나경</v>
      </c>
      <c r="N125" s="372" t="str">
        <f>IFERROR(IF(INDEX(자격증DB!G:G, MATCH($D125, 자격증DB!$A:$A, 0))=0, "", INDEX(자격증DB!G:G, MATCH($D125, 자격증DB!$A:$A, 0))), "")</f>
        <v>기타</v>
      </c>
      <c r="O125" s="264" t="str">
        <f>IFERROR(IF(INDEX(자격증DB!H:H, MATCH($D125, 자격증DB!$A:$A, 0))=0, "", INDEX(자격증DB!H:H, MATCH($D125, 자격증DB!$A:$A, 0))), "")</f>
        <v>제조(CA)</v>
      </c>
      <c r="P125" s="108" t="str">
        <f>IFERROR(IF(INDEX(자격증DB!I:I, MATCH($D125, 자격증DB!$A:$A, 0))=0, "", INDEX(자격증DB!I:I, MATCH($D125, 자격증DB!$A:$A, 0))), "")</f>
        <v/>
      </c>
      <c r="Q125" s="108" t="str">
        <f>IFERROR(IF(INDEX(자격증DB!J:J, MATCH($D125, 자격증DB!$A:$A, 0))=0, "", INDEX(자격증DB!J:J, MATCH($D125, 자격증DB!$A:$A, 0))), "")</f>
        <v/>
      </c>
      <c r="R125" s="108" t="str">
        <f>IFERROR(IF(INDEX(자격증DB!K:K, MATCH($D125, 자격증DB!$A:$A, 0))=0, "", INDEX(자격증DB!K:K, MATCH($D125, 자격증DB!$A:$A, 0))), "")</f>
        <v/>
      </c>
      <c r="S125" s="108" t="str">
        <f>IFERROR(IF(INDEX(자격증DB!L:L, MATCH($D125, 자격증DB!$A:$A, 0))=0, "", INDEX(자격증DB!L:L, MATCH($D125, 자격증DB!$A:$A, 0))), "")</f>
        <v/>
      </c>
      <c r="T125" s="108" t="str">
        <f>IFERROR(IF(INDEX(자격증DB!M:M, MATCH($D125, 자격증DB!$A:$A, 0))=0, "", INDEX(자격증DB!M:M, MATCH($D125, 자격증DB!$A:$A, 0))), "")</f>
        <v/>
      </c>
      <c r="U125" s="108" t="str">
        <f>IFERROR(IF(INDEX(자격증DB!N:N, MATCH($D125, 자격증DB!$A:$A, 0))=0, "", INDEX(자격증DB!N:N, MATCH($D125, 자격증DB!$A:$A, 0))), "")</f>
        <v/>
      </c>
      <c r="V125" s="108" t="str">
        <f>IFERROR(IF(INDEX(자격증DB!O:O, MATCH($D125, 자격증DB!$A:$A, 0))=0, "", INDEX(자격증DB!O:O, MATCH($D125, 자격증DB!$A:$A, 0))), "")</f>
        <v/>
      </c>
      <c r="W125" s="114" t="str">
        <f>IFERROR(IF(INDEX(자격증DB!P:P, MATCH($D125, 자격증DB!$A:$A, 0))=0, "", INDEX(자격증DB!P:P, MATCH($D125, 자격증DB!$A:$A, 0))), "")</f>
        <v/>
      </c>
      <c r="X125" s="1" t="str">
        <f>IFERROR(IF(INDEX(자격증DB!P:P, MATCH($D135, 자격증DB!$A:$A, 0))=0, "", INDEX(자격증DB!P:P, MATCH($D135, 자격증DB!$A:$A, 0))), "")</f>
        <v/>
      </c>
      <c r="Y125" s="370" t="str">
        <f>A125 &amp; "_" &amp; "자격증_" &amp; COUNTIFS($A$2:A125, A125)</f>
        <v>김나경_자격증_6</v>
      </c>
      <c r="Z125" s="370" t="str">
        <f>D125 &amp; "_" &amp;"자격증_" &amp;  COUNTIFS($D$2:D135, D125)</f>
        <v>ERP 생산 정보관리사 2급_자격증_1</v>
      </c>
    </row>
    <row r="126" spans="1:26">
      <c r="A126" s="265" t="s">
        <v>680</v>
      </c>
      <c r="B126" s="160" t="str">
        <f>IFERROR(INDEX(개인DB!C:C, MATCH($A126, 개인DB!B:B, 0)), "")</f>
        <v>경영기획</v>
      </c>
      <c r="C126" s="160" t="str">
        <f>IFERROR(INDEX(개인DB!D:D, MATCH($A126, 개인DB!B:B, 0)), "")</f>
        <v>사원</v>
      </c>
      <c r="D126" s="371" t="s">
        <v>693</v>
      </c>
      <c r="E126" s="160" t="str">
        <f>IFERROR(INDEX(자격증DB!E:E, MATCH($D126, 자격증DB!A:A, 0)), "X")</f>
        <v>민간(국가)</v>
      </c>
      <c r="F126" s="132" t="str">
        <f>IFERROR(INDEX(자격증DB!B:B, MATCH($D126, 자격증DB!A:A, 0)), "")</f>
        <v>고용노동부</v>
      </c>
      <c r="G126" s="206" t="str">
        <f>IFERROR(INDEX(자격증DB!C:C, MATCH($D126, 자격증DB!A:A, 0)), "X")</f>
        <v>대한상공회의소</v>
      </c>
      <c r="H126" s="260" t="str">
        <f>IFERROR(INDEX(자격증DB!F:F, MATCH($D126, 자격증DB!A:A, 0)), "X")</f>
        <v>자격증</v>
      </c>
      <c r="I126" s="207" t="s">
        <v>694</v>
      </c>
      <c r="J126" s="207"/>
      <c r="K126" s="208"/>
      <c r="L126" s="209" t="str">
        <f t="shared" si="8"/>
        <v>PDF</v>
      </c>
      <c r="M126" s="277" t="str">
        <f t="shared" si="9"/>
        <v>워드프로세서_김나경</v>
      </c>
      <c r="N126" s="372" t="str">
        <f>IFERROR(IF(INDEX(자격증DB!G:G, MATCH($D126, 자격증DB!$A:$A, 0))=0, "", INDEX(자격증DB!G:G, MATCH($D126, 자격증DB!$A:$A, 0))), "")</f>
        <v>SW(CD)</v>
      </c>
      <c r="O126" s="264" t="str">
        <f>IFERROR(IF(INDEX(자격증DB!H:H, MATCH($D126, 자격증DB!$A:$A, 0))=0, "", INDEX(자격증DB!H:H, MATCH($D126, 자격증DB!$A:$A, 0))), "")</f>
        <v/>
      </c>
      <c r="P126" s="108" t="str">
        <f>IFERROR(IF(INDEX(자격증DB!I:I, MATCH($D126, 자격증DB!$A:$A, 0))=0, "", INDEX(자격증DB!I:I, MATCH($D126, 자격증DB!$A:$A, 0))), "")</f>
        <v/>
      </c>
      <c r="Q126" s="108" t="str">
        <f>IFERROR(IF(INDEX(자격증DB!J:J, MATCH($D126, 자격증DB!$A:$A, 0))=0, "", INDEX(자격증DB!J:J, MATCH($D126, 자격증DB!$A:$A, 0))), "")</f>
        <v/>
      </c>
      <c r="R126" s="108" t="str">
        <f>IFERROR(IF(INDEX(자격증DB!K:K, MATCH($D126, 자격증DB!$A:$A, 0))=0, "", INDEX(자격증DB!K:K, MATCH($D126, 자격증DB!$A:$A, 0))), "")</f>
        <v/>
      </c>
      <c r="S126" s="108" t="str">
        <f>IFERROR(IF(INDEX(자격증DB!L:L, MATCH($D126, 자격증DB!$A:$A, 0))=0, "", INDEX(자격증DB!L:L, MATCH($D126, 자격증DB!$A:$A, 0))), "")</f>
        <v/>
      </c>
      <c r="T126" s="108" t="str">
        <f>IFERROR(IF(INDEX(자격증DB!M:M, MATCH($D126, 자격증DB!$A:$A, 0))=0, "", INDEX(자격증DB!M:M, MATCH($D126, 자격증DB!$A:$A, 0))), "")</f>
        <v/>
      </c>
      <c r="U126" s="108" t="str">
        <f>IFERROR(IF(INDEX(자격증DB!N:N, MATCH($D126, 자격증DB!$A:$A, 0))=0, "", INDEX(자격증DB!N:N, MATCH($D126, 자격증DB!$A:$A, 0))), "")</f>
        <v/>
      </c>
      <c r="V126" s="108" t="str">
        <f>IFERROR(IF(INDEX(자격증DB!O:O, MATCH($D126, 자격증DB!$A:$A, 0))=0, "", INDEX(자격증DB!O:O, MATCH($D126, 자격증DB!$A:$A, 0))), "")</f>
        <v/>
      </c>
      <c r="W126" s="114" t="str">
        <f>IFERROR(IF(INDEX(자격증DB!P:P, MATCH($D126, 자격증DB!$A:$A, 0))=0, "", INDEX(자격증DB!P:P, MATCH($D126, 자격증DB!$A:$A, 0))), "")</f>
        <v/>
      </c>
      <c r="X126" s="1" t="str">
        <f>IFERROR(IF(INDEX(자격증DB!P:P, MATCH($D136, 자격증DB!$A:$A, 0))=0, "", INDEX(자격증DB!P:P, MATCH($D136, 자격증DB!$A:$A, 0))), "")</f>
        <v/>
      </c>
      <c r="Y126" s="370" t="str">
        <f>A126 &amp; "_" &amp; "자격증_" &amp; COUNTIFS($A$2:A126, A126)</f>
        <v>김나경_자격증_7</v>
      </c>
      <c r="Z126" s="370" t="str">
        <f>D126 &amp; "_" &amp;"자격증_" &amp;  COUNTIFS($D$2:D136, D126)</f>
        <v>워드프로세서_자격증_1</v>
      </c>
    </row>
    <row r="127" spans="1:26">
      <c r="A127" s="265" t="s">
        <v>680</v>
      </c>
      <c r="B127" s="160" t="str">
        <f>IFERROR(INDEX(개인DB!C:C, MATCH($A127, 개인DB!B:B, 0)), "")</f>
        <v>경영기획</v>
      </c>
      <c r="C127" s="160" t="str">
        <f>IFERROR(INDEX(개인DB!D:D, MATCH($A127, 개인DB!B:B, 0)), "")</f>
        <v>사원</v>
      </c>
      <c r="D127" s="371" t="s">
        <v>152</v>
      </c>
      <c r="E127" s="160" t="str">
        <f>IFERROR(INDEX(자격증DB!E:E, MATCH($D127, 자격증DB!A:A, 0)), "X")</f>
        <v>민간(국가)</v>
      </c>
      <c r="F127" s="132" t="str">
        <f>IFERROR(INDEX(자격증DB!B:B, MATCH($D127, 자격증DB!A:A, 0)), "")</f>
        <v>고용노동부</v>
      </c>
      <c r="G127" s="206" t="str">
        <f>IFERROR(INDEX(자격증DB!C:C, MATCH($D127, 자격증DB!A:A, 0)), "X")</f>
        <v>대한상공회의소</v>
      </c>
      <c r="H127" s="260" t="str">
        <f>IFERROR(INDEX(자격증DB!F:F, MATCH($D127, 자격증DB!A:A, 0)), "X")</f>
        <v>자격증</v>
      </c>
      <c r="I127" s="207" t="s">
        <v>695</v>
      </c>
      <c r="J127" s="207"/>
      <c r="K127" s="208"/>
      <c r="L127" s="209" t="str">
        <f t="shared" ref="L127:L128" si="10">HYPERLINK("학력, 자격증-excel 연동 파일\" &amp; A127 &amp; "\자격증\" &amp; D127 &amp; "_" &amp; A127 &amp; ".pdf", "PDF")</f>
        <v>PDF</v>
      </c>
      <c r="M127" s="277" t="str">
        <f t="shared" ref="M127:M128" si="11">D127&amp;"_"&amp;A127</f>
        <v>컴퓨터활용능력 2급_김나경</v>
      </c>
      <c r="N127" s="372" t="str">
        <f>IFERROR(IF(INDEX(자격증DB!G:G, MATCH($D127, 자격증DB!$A:$A, 0))=0, "", INDEX(자격증DB!G:G, MATCH($D127, 자격증DB!$A:$A, 0))), "")</f>
        <v>SW(CD)</v>
      </c>
      <c r="O127" s="264" t="str">
        <f>IFERROR(IF(INDEX(자격증DB!H:H, MATCH($D127, 자격증DB!$A:$A, 0))=0, "", INDEX(자격증DB!H:H, MATCH($D127, 자격증DB!$A:$A, 0))), "")</f>
        <v/>
      </c>
      <c r="P127" s="108" t="str">
        <f>IFERROR(IF(INDEX(자격증DB!I:I, MATCH($D127, 자격증DB!$A:$A, 0))=0, "", INDEX(자격증DB!I:I, MATCH($D127, 자격증DB!$A:$A, 0))), "")</f>
        <v/>
      </c>
      <c r="Q127" s="108" t="str">
        <f>IFERROR(IF(INDEX(자격증DB!J:J, MATCH($D127, 자격증DB!$A:$A, 0))=0, "", INDEX(자격증DB!J:J, MATCH($D127, 자격증DB!$A:$A, 0))), "")</f>
        <v/>
      </c>
      <c r="R127" s="108" t="str">
        <f>IFERROR(IF(INDEX(자격증DB!K:K, MATCH($D127, 자격증DB!$A:$A, 0))=0, "", INDEX(자격증DB!K:K, MATCH($D127, 자격증DB!$A:$A, 0))), "")</f>
        <v/>
      </c>
      <c r="S127" s="108" t="str">
        <f>IFERROR(IF(INDEX(자격증DB!L:L, MATCH($D127, 자격증DB!$A:$A, 0))=0, "", INDEX(자격증DB!L:L, MATCH($D127, 자격증DB!$A:$A, 0))), "")</f>
        <v/>
      </c>
      <c r="T127" s="108" t="str">
        <f>IFERROR(IF(INDEX(자격증DB!M:M, MATCH($D127, 자격증DB!$A:$A, 0))=0, "", INDEX(자격증DB!M:M, MATCH($D127, 자격증DB!$A:$A, 0))), "")</f>
        <v>각종 수수료(CF)</v>
      </c>
      <c r="U127" s="108" t="str">
        <f>IFERROR(IF(INDEX(자격증DB!N:N, MATCH($D127, 자격증DB!$A:$A, 0))=0, "", INDEX(자격증DB!N:N, MATCH($D127, 자격증DB!$A:$A, 0))), "")</f>
        <v/>
      </c>
      <c r="V127" s="108" t="str">
        <f>IFERROR(IF(INDEX(자격증DB!O:O, MATCH($D127, 자격증DB!$A:$A, 0))=0, "", INDEX(자격증DB!O:O, MATCH($D127, 자격증DB!$A:$A, 0))), "")</f>
        <v/>
      </c>
      <c r="W127" s="114" t="str">
        <f>IFERROR(IF(INDEX(자격증DB!P:P, MATCH($D127, 자격증DB!$A:$A, 0))=0, "", INDEX(자격증DB!P:P, MATCH($D127, 자격증DB!$A:$A, 0))), "")</f>
        <v/>
      </c>
      <c r="X127" s="1" t="str">
        <f>IFERROR(IF(INDEX(자격증DB!P:P, MATCH($D137, 자격증DB!$A:$A, 0))=0, "", INDEX(자격증DB!P:P, MATCH($D137, 자격증DB!$A:$A, 0))), "")</f>
        <v/>
      </c>
      <c r="Y127" s="370" t="str">
        <f>A127 &amp; "_" &amp; "자격증_" &amp; COUNTIFS($A$2:A127, A127)</f>
        <v>김나경_자격증_8</v>
      </c>
      <c r="Z127" s="370" t="str">
        <f>D127 &amp; "_" &amp;"자격증_" &amp;  COUNTIFS($D$2:D137, D127)</f>
        <v>컴퓨터활용능력 2급_자격증_3</v>
      </c>
    </row>
    <row r="128" spans="1:26">
      <c r="A128" s="265" t="s">
        <v>680</v>
      </c>
      <c r="B128" s="160" t="str">
        <f>IFERROR(INDEX(개인DB!C:C, MATCH($A128, 개인DB!B:B, 0)), "")</f>
        <v>경영기획</v>
      </c>
      <c r="C128" s="160" t="str">
        <f>IFERROR(INDEX(개인DB!D:D, MATCH($A128, 개인DB!B:B, 0)), "")</f>
        <v>사원</v>
      </c>
      <c r="D128" s="371" t="s">
        <v>148</v>
      </c>
      <c r="E128" s="160" t="str">
        <f>IFERROR(INDEX(자격증DB!E:E, MATCH($D128, 자격증DB!A:A, 0)), "X")</f>
        <v>민간(국가)</v>
      </c>
      <c r="F128" s="132" t="str">
        <f>IFERROR(INDEX(자격증DB!B:B, MATCH($D128, 자격증DB!A:A, 0)), "")</f>
        <v>금융위원회</v>
      </c>
      <c r="G128" s="206" t="str">
        <f>IFERROR(INDEX(자격증DB!C:C, MATCH($D128, 자격증DB!A:A, 0)), "X")</f>
        <v>한국공인회계사회</v>
      </c>
      <c r="H128" s="260" t="str">
        <f>IFERROR(INDEX(자격증DB!F:F, MATCH($D128, 자격증DB!A:A, 0)), "X")</f>
        <v>자격증</v>
      </c>
      <c r="I128" s="207" t="s">
        <v>696</v>
      </c>
      <c r="J128" s="207"/>
      <c r="K128" s="208" t="s">
        <v>697</v>
      </c>
      <c r="L128" s="209" t="str">
        <f t="shared" si="10"/>
        <v>PDF</v>
      </c>
      <c r="M128" s="277" t="str">
        <f t="shared" si="11"/>
        <v>FAT 2급_김나경</v>
      </c>
      <c r="N128" s="372" t="str">
        <f>IFERROR(IF(INDEX(자격증DB!G:G, MATCH($D128, 자격증DB!$A:$A, 0))=0, "", INDEX(자격증DB!G:G, MATCH($D128, 자격증DB!$A:$A, 0))), "")</f>
        <v>기타</v>
      </c>
      <c r="O128" s="264" t="str">
        <f>IFERROR(IF(INDEX(자격증DB!H:H, MATCH($D128, 자격증DB!$A:$A, 0))=0, "", INDEX(자격증DB!H:H, MATCH($D128, 자격증DB!$A:$A, 0))), "")</f>
        <v>제조(CA)</v>
      </c>
      <c r="P128" s="108" t="str">
        <f>IFERROR(IF(INDEX(자격증DB!I:I, MATCH($D128, 자격증DB!$A:$A, 0))=0, "", INDEX(자격증DB!I:I, MATCH($D128, 자격증DB!$A:$A, 0))), "")</f>
        <v/>
      </c>
      <c r="Q128" s="108" t="str">
        <f>IFERROR(IF(INDEX(자격증DB!J:J, MATCH($D128, 자격증DB!$A:$A, 0))=0, "", INDEX(자격증DB!J:J, MATCH($D128, 자격증DB!$A:$A, 0))), "")</f>
        <v/>
      </c>
      <c r="R128" s="108" t="str">
        <f>IFERROR(IF(INDEX(자격증DB!K:K, MATCH($D128, 자격증DB!$A:$A, 0))=0, "", INDEX(자격증DB!K:K, MATCH($D128, 자격증DB!$A:$A, 0))), "")</f>
        <v/>
      </c>
      <c r="S128" s="108" t="str">
        <f>IFERROR(IF(INDEX(자격증DB!L:L, MATCH($D128, 자격증DB!$A:$A, 0))=0, "", INDEX(자격증DB!L:L, MATCH($D128, 자격증DB!$A:$A, 0))), "")</f>
        <v/>
      </c>
      <c r="T128" s="108" t="str">
        <f>IFERROR(IF(INDEX(자격증DB!M:M, MATCH($D128, 자격증DB!$A:$A, 0))=0, "", INDEX(자격증DB!M:M, MATCH($D128, 자격증DB!$A:$A, 0))), "")</f>
        <v/>
      </c>
      <c r="U128" s="108" t="str">
        <f>IFERROR(IF(INDEX(자격증DB!N:N, MATCH($D128, 자격증DB!$A:$A, 0))=0, "", INDEX(자격증DB!N:N, MATCH($D128, 자격증DB!$A:$A, 0))), "")</f>
        <v/>
      </c>
      <c r="V128" s="108" t="str">
        <f>IFERROR(IF(INDEX(자격증DB!O:O, MATCH($D128, 자격증DB!$A:$A, 0))=0, "", INDEX(자격증DB!O:O, MATCH($D128, 자격증DB!$A:$A, 0))), "")</f>
        <v/>
      </c>
      <c r="W128" s="114" t="str">
        <f>IFERROR(IF(INDEX(자격증DB!P:P, MATCH($D128, 자격증DB!$A:$A, 0))=0, "", INDEX(자격증DB!P:P, MATCH($D128, 자격증DB!$A:$A, 0))), "")</f>
        <v/>
      </c>
      <c r="X128" s="1" t="str">
        <f>IFERROR(IF(INDEX(자격증DB!P:P, MATCH($D138, 자격증DB!$A:$A, 0))=0, "", INDEX(자격증DB!P:P, MATCH($D138, 자격증DB!$A:$A, 0))), "")</f>
        <v/>
      </c>
      <c r="Y128" s="370" t="str">
        <f>A128 &amp; "_" &amp; "자격증_" &amp; COUNTIFS($A$2:A128, A128)</f>
        <v>김나경_자격증_9</v>
      </c>
      <c r="Z128" s="370" t="str">
        <f>D128 &amp; "_" &amp;"자격증_" &amp;  COUNTIFS($D$2:D138, D128)</f>
        <v>FAT 2급_자격증_2</v>
      </c>
    </row>
    <row r="129" spans="1:26">
      <c r="A129" s="265" t="s">
        <v>680</v>
      </c>
      <c r="B129" s="160" t="str">
        <f>IFERROR(INDEX(개인DB!C:C, MATCH($A129, 개인DB!B:B, 0)), "")</f>
        <v>경영기획</v>
      </c>
      <c r="C129" s="160" t="str">
        <f>IFERROR(INDEX(개인DB!D:D, MATCH($A129, 개인DB!B:B, 0)), "")</f>
        <v>사원</v>
      </c>
      <c r="D129" s="371" t="s">
        <v>699</v>
      </c>
      <c r="E129" s="160" t="str">
        <f>IFERROR(INDEX(자격증DB!E:E, MATCH($D129, 자격증DB!A:A, 0)), "X")</f>
        <v>민간(국가)</v>
      </c>
      <c r="F129" s="132" t="str">
        <f>IFERROR(INDEX(자격증DB!B:B, MATCH($D129, 자격증DB!A:A, 0)), "")</f>
        <v>고용노동부</v>
      </c>
      <c r="G129" s="206" t="str">
        <f>IFERROR(INDEX(자격증DB!C:C, MATCH($D129, 자격증DB!A:A, 0)), "X")</f>
        <v>대한상공회의소</v>
      </c>
      <c r="H129" s="260" t="str">
        <f>IFERROR(INDEX(자격증DB!F:F, MATCH($D129, 자격증DB!A:A, 0)), "X")</f>
        <v>자격증</v>
      </c>
      <c r="I129" s="207" t="s">
        <v>700</v>
      </c>
      <c r="J129" s="207"/>
      <c r="K129" s="208"/>
      <c r="L129" s="209" t="str">
        <f>HYPERLINK("학력, 자격증-excel 연동 파일\" &amp; A129 &amp; "\자격증\" &amp; D129 &amp; "_" &amp; A129 &amp; ".pdf", "PDF")</f>
        <v>PDF</v>
      </c>
      <c r="M129" s="277" t="str">
        <f>D129&amp;"_"&amp;A129</f>
        <v>전산회계운용사 3급_김나경</v>
      </c>
      <c r="N129" s="372" t="str">
        <f>IFERROR(IF(INDEX(자격증DB!G:G, MATCH($D129, 자격증DB!$A:$A, 0))=0, "", INDEX(자격증DB!G:G, MATCH($D129, 자격증DB!$A:$A, 0))), "")</f>
        <v>기타</v>
      </c>
      <c r="O129" s="264" t="str">
        <f>IFERROR(IF(INDEX(자격증DB!H:H, MATCH($D129, 자격증DB!$A:$A, 0))=0, "", INDEX(자격증DB!H:H, MATCH($D129, 자격증DB!$A:$A, 0))), "")</f>
        <v/>
      </c>
      <c r="P129" s="108" t="str">
        <f>IFERROR(IF(INDEX(자격증DB!I:I, MATCH($D129, 자격증DB!$A:$A, 0))=0, "", INDEX(자격증DB!I:I, MATCH($D129, 자격증DB!$A:$A, 0))), "")</f>
        <v/>
      </c>
      <c r="Q129" s="108" t="str">
        <f>IFERROR(IF(INDEX(자격증DB!J:J, MATCH($D129, 자격증DB!$A:$A, 0))=0, "", INDEX(자격증DB!J:J, MATCH($D129, 자격증DB!$A:$A, 0))), "")</f>
        <v/>
      </c>
      <c r="R129" s="108" t="str">
        <f>IFERROR(IF(INDEX(자격증DB!K:K, MATCH($D129, 자격증DB!$A:$A, 0))=0, "", INDEX(자격증DB!K:K, MATCH($D129, 자격증DB!$A:$A, 0))), "")</f>
        <v/>
      </c>
      <c r="S129" s="108" t="str">
        <f>IFERROR(IF(INDEX(자격증DB!L:L, MATCH($D129, 자격증DB!$A:$A, 0))=0, "", INDEX(자격증DB!L:L, MATCH($D129, 자격증DB!$A:$A, 0))), "")</f>
        <v/>
      </c>
      <c r="T129" s="108" t="str">
        <f>IFERROR(IF(INDEX(자격증DB!M:M, MATCH($D129, 자격증DB!$A:$A, 0))=0, "", INDEX(자격증DB!M:M, MATCH($D129, 자격증DB!$A:$A, 0))), "")</f>
        <v/>
      </c>
      <c r="U129" s="108" t="str">
        <f>IFERROR(IF(INDEX(자격증DB!N:N, MATCH($D129, 자격증DB!$A:$A, 0))=0, "", INDEX(자격증DB!N:N, MATCH($D129, 자격증DB!$A:$A, 0))), "")</f>
        <v/>
      </c>
      <c r="V129" s="108" t="str">
        <f>IFERROR(IF(INDEX(자격증DB!O:O, MATCH($D129, 자격증DB!$A:$A, 0))=0, "", INDEX(자격증DB!O:O, MATCH($D129, 자격증DB!$A:$A, 0))), "")</f>
        <v/>
      </c>
      <c r="W129" s="114" t="str">
        <f>IFERROR(IF(INDEX(자격증DB!P:P, MATCH($D129, 자격증DB!$A:$A, 0))=0, "", INDEX(자격증DB!P:P, MATCH($D129, 자격증DB!$A:$A, 0))), "")</f>
        <v/>
      </c>
      <c r="X129" s="1" t="str">
        <f>IFERROR(IF(INDEX(자격증DB!P:P, MATCH($D139, 자격증DB!$A:$A, 0))=0, "", INDEX(자격증DB!P:P, MATCH($D139, 자격증DB!$A:$A, 0))), "")</f>
        <v/>
      </c>
      <c r="Y129" s="370" t="str">
        <f>A129 &amp; "_" &amp; "자격증_" &amp; COUNTIFS($A$2:A129, A129)</f>
        <v>김나경_자격증_10</v>
      </c>
      <c r="Z129" s="370" t="str">
        <f>D129 &amp; "_" &amp;"자격증_" &amp;  COUNTIFS($D$2:D139, D129)</f>
        <v>전산회계운용사 3급_자격증_1</v>
      </c>
    </row>
    <row r="130" spans="1:26">
      <c r="A130" s="265" t="s">
        <v>810</v>
      </c>
      <c r="B130" s="160" t="str">
        <f>IFERROR(INDEX([1]개인DB!C:C, MATCH($A130, [1]개인DB!B:B, 0)), "")</f>
        <v>경영기획</v>
      </c>
      <c r="C130" s="160" t="str">
        <f>IFERROR(INDEX([1]개인DB!D:D, MATCH($A130, [1]개인DB!B:B, 0)), "")</f>
        <v>사원</v>
      </c>
      <c r="D130" s="371" t="s">
        <v>818</v>
      </c>
      <c r="E130" s="160" t="s">
        <v>819</v>
      </c>
      <c r="F130" s="132" t="s">
        <v>820</v>
      </c>
      <c r="G130" s="206" t="str">
        <f>IFERROR(INDEX([1]자격증DB!C:C, MATCH($D130, [1]자격증DB!A:A, 0)), "X")</f>
        <v>한국생산성본부(KPC)</v>
      </c>
      <c r="H130" s="260" t="str">
        <f>IFERROR(INDEX([1]자격증DB!F:F, MATCH($D130, [1]자격증DB!A:A, 0)), "X")</f>
        <v>자격증</v>
      </c>
      <c r="I130" s="207" t="s">
        <v>821</v>
      </c>
      <c r="J130" s="207"/>
      <c r="K130" s="208"/>
      <c r="L130" s="209" t="str">
        <f t="shared" ref="L130:L133" si="12">HYPERLINK("학력, 자격증-excel 연동 파일\" &amp; A130 &amp; "\자격증\" &amp; D130 &amp; "_" &amp; A130 &amp; ".pdf", "PDF")</f>
        <v>PDF</v>
      </c>
      <c r="M130" s="277" t="str">
        <f t="shared" ref="M130:M156" si="13">D130&amp;"_"&amp;A130</f>
        <v>ITQ(정보기술자격)_구 TIQ인터넷 실무능력 자격증_강종균</v>
      </c>
      <c r="N130" s="372" t="str">
        <f>IFERROR(IF(INDEX([1]자격증DB!G:G, MATCH($D130, [1]자격증DB!$A:$A, 0))=0, "", INDEX([1]자격증DB!G:G, MATCH($D130, [1]자격증DB!$A:$A, 0))), "")</f>
        <v>CD-410</v>
      </c>
      <c r="O130" s="264" t="str">
        <f>IFERROR(IF(INDEX([1]자격증DB!H:H, MATCH($D130, [1]자격증DB!$A:$A, 0))=0, "", INDEX([1]자격증DB!H:H, MATCH($D130, [1]자격증DB!$A:$A, 0))), "")</f>
        <v/>
      </c>
      <c r="P130" s="108" t="str">
        <f>IFERROR(IF(INDEX([1]자격증DB!I:I, MATCH($D130, [1]자격증DB!$A:$A, 0))=0, "", INDEX([1]자격증DB!I:I, MATCH($D130, [1]자격증DB!$A:$A, 0))), "")</f>
        <v/>
      </c>
      <c r="Q130" s="108" t="str">
        <f>IFERROR(IF(INDEX([1]자격증DB!J:J, MATCH($D130, [1]자격증DB!$A:$A, 0))=0, "", INDEX([1]자격증DB!J:J, MATCH($D130, [1]자격증DB!$A:$A, 0))), "")</f>
        <v/>
      </c>
      <c r="R130" s="108" t="str">
        <f>IFERROR(IF(INDEX([1]자격증DB!K:K, MATCH($D130, [1]자격증DB!$A:$A, 0))=0, "", INDEX([1]자격증DB!K:K, MATCH($D130, [1]자격증DB!$A:$A, 0))), "")</f>
        <v>CD-410</v>
      </c>
      <c r="S130" s="108" t="str">
        <f>IFERROR(IF(INDEX([1]자격증DB!L:L, MATCH($D130, [1]자격증DB!$A:$A, 0))=0, "", INDEX([1]자격증DB!L:L, MATCH($D130, [1]자격증DB!$A:$A, 0))), "")</f>
        <v/>
      </c>
      <c r="T130" s="108" t="str">
        <f>IFERROR(IF(INDEX([1]자격증DB!M:M, MATCH($D130, [1]자격증DB!$A:$A, 0))=0, "", INDEX([1]자격증DB!M:M, MATCH($D130, [1]자격증DB!$A:$A, 0))), "")</f>
        <v/>
      </c>
      <c r="U130" s="108" t="str">
        <f>IFERROR(IF(INDEX([1]자격증DB!N:N, MATCH($D130, [1]자격증DB!$A:$A, 0))=0, "", INDEX([1]자격증DB!N:N, MATCH($D130, [1]자격증DB!$A:$A, 0))), "")</f>
        <v/>
      </c>
      <c r="V130" s="108" t="str">
        <f>IFERROR(IF(INDEX([1]자격증DB!O:O, MATCH($D130, [1]자격증DB!$A:$A, 0))=0, "", INDEX([1]자격증DB!O:O, MATCH($D130, [1]자격증DB!$A:$A, 0))), "")</f>
        <v/>
      </c>
      <c r="W130" s="114" t="str">
        <f>IFERROR(IF(INDEX([1]자격증DB!P:P, MATCH($D130, [1]자격증DB!$A:$A, 0))=0, "", INDEX([1]자격증DB!P:P, MATCH($D130, [1]자격증DB!$A:$A, 0))), "")</f>
        <v/>
      </c>
      <c r="X130" s="1" t="str">
        <f>IFERROR(IF(INDEX([1]자격증DB!P:P, MATCH($D157, [1]자격증DB!$A:$A, 0))=0, "", INDEX([1]자격증DB!P:P, MATCH($D157, [1]자격증DB!$A:$A, 0))), "")</f>
        <v/>
      </c>
      <c r="Y130" s="370" t="str">
        <f>A130 &amp; "_" &amp; "자격증_" &amp; COUNTIFS($A$2:A135, A130)</f>
        <v>강종균_자격증_1</v>
      </c>
      <c r="Z130" s="370" t="str">
        <f>D130 &amp; "_" &amp;"자격증_" &amp;  COUNTIFS($D$2:D157, D130)</f>
        <v>ITQ(정보기술자격)_구 TIQ인터넷 실무능력 자격증_자격증_2</v>
      </c>
    </row>
    <row r="131" spans="1:26">
      <c r="A131" s="413" t="s">
        <v>806</v>
      </c>
      <c r="B131" s="414" t="str">
        <f>IFERROR(INDEX([1]개인DB!C:C, MATCH($A131, [1]개인DB!B:B, 0)), "")</f>
        <v>경영기획</v>
      </c>
      <c r="C131" s="414" t="str">
        <f>IFERROR(INDEX([1]개인DB!D:D, MATCH($A131, [1]개인DB!B:B, 0)), "")</f>
        <v>사원</v>
      </c>
      <c r="D131" s="415" t="s">
        <v>822</v>
      </c>
      <c r="E131" s="414" t="s">
        <v>823</v>
      </c>
      <c r="F131" s="416" t="str">
        <f>IFERROR(INDEX([1]자격증DB!B:B, MATCH($D131, [1]자격증DB!A:A, 0)), "")</f>
        <v>보건복지부</v>
      </c>
      <c r="G131" s="417" t="str">
        <f>IFERROR(INDEX([1]자격증DB!C:C, MATCH($D131, [1]자격증DB!A:A, 0)), "X")</f>
        <v>보건복지부</v>
      </c>
      <c r="H131" s="418" t="str">
        <f>IFERROR(INDEX([1]자격증DB!F:F, MATCH($D131, [1]자격증DB!A:A, 0)), "X")</f>
        <v>자격증</v>
      </c>
      <c r="I131" s="419" t="s">
        <v>824</v>
      </c>
      <c r="J131" s="419"/>
      <c r="K131" s="420"/>
      <c r="L131" s="421" t="str">
        <f t="shared" si="12"/>
        <v>PDF</v>
      </c>
      <c r="M131" s="422" t="str">
        <f t="shared" si="13"/>
        <v>간호조무사_김현진</v>
      </c>
      <c r="N131" s="423" t="str">
        <f>IFERROR(IF(INDEX([1]자격증DB!G:G, MATCH($D131, [1]자격증DB!$A:$A, 0))=0, "", INDEX([1]자격증DB!G:G, MATCH($D131, [1]자격증DB!$A:$A, 0))), "")</f>
        <v>기타</v>
      </c>
      <c r="O131" s="424" t="str">
        <f>IFERROR(IF(INDEX([1]자격증DB!H:H, MATCH($D131, [1]자격증DB!$A:$A, 0))=0, "", INDEX([1]자격증DB!H:H, MATCH($D131, [1]자격증DB!$A:$A, 0))), "")</f>
        <v/>
      </c>
      <c r="P131" s="425" t="str">
        <f>IFERROR(IF(INDEX([1]자격증DB!I:I, MATCH($D131, [1]자격증DB!$A:$A, 0))=0, "", INDEX([1]자격증DB!I:I, MATCH($D131, [1]자격증DB!$A:$A, 0))), "")</f>
        <v/>
      </c>
      <c r="Q131" s="425" t="str">
        <f>IFERROR(IF(INDEX([1]자격증DB!J:J, MATCH($D131, [1]자격증DB!$A:$A, 0))=0, "", INDEX([1]자격증DB!J:J, MATCH($D131, [1]자격증DB!$A:$A, 0))), "")</f>
        <v/>
      </c>
      <c r="R131" s="425" t="str">
        <f>IFERROR(IF(INDEX([1]자격증DB!K:K, MATCH($D131, [1]자격증DB!$A:$A, 0))=0, "", INDEX([1]자격증DB!K:K, MATCH($D131, [1]자격증DB!$A:$A, 0))), "")</f>
        <v/>
      </c>
      <c r="S131" s="425" t="str">
        <f>IFERROR(IF(INDEX([1]자격증DB!L:L, MATCH($D131, [1]자격증DB!$A:$A, 0))=0, "", INDEX([1]자격증DB!L:L, MATCH($D131, [1]자격증DB!$A:$A, 0))), "")</f>
        <v/>
      </c>
      <c r="T131" s="425" t="str">
        <f>IFERROR(IF(INDEX([1]자격증DB!M:M, MATCH($D131, [1]자격증DB!$A:$A, 0))=0, "", INDEX([1]자격증DB!M:M, MATCH($D131, [1]자격증DB!$A:$A, 0))), "")</f>
        <v/>
      </c>
      <c r="U131" s="425" t="str">
        <f>IFERROR(IF(INDEX([1]자격증DB!N:N, MATCH($D131, [1]자격증DB!$A:$A, 0))=0, "", INDEX([1]자격증DB!N:N, MATCH($D131, [1]자격증DB!$A:$A, 0))), "")</f>
        <v/>
      </c>
      <c r="V131" s="425" t="str">
        <f>IFERROR(IF(INDEX([1]자격증DB!O:O, MATCH($D131, [1]자격증DB!$A:$A, 0))=0, "", INDEX([1]자격증DB!O:O, MATCH($D131, [1]자격증DB!$A:$A, 0))), "")</f>
        <v/>
      </c>
      <c r="W131" s="426" t="str">
        <f>IFERROR(IF(INDEX([1]자격증DB!P:P, MATCH($D131, [1]자격증DB!$A:$A, 0))=0, "", INDEX([1]자격증DB!P:P, MATCH($D131, [1]자격증DB!$A:$A, 0))), "")</f>
        <v/>
      </c>
      <c r="X131" s="1" t="str">
        <f>IFERROR(IF(INDEX([1]자격증DB!P:P, MATCH($D155, [1]자격증DB!$A:$A, 0))=0, "", INDEX([1]자격증DB!P:P, MATCH($D155, [1]자격증DB!$A:$A, 0))), "")</f>
        <v/>
      </c>
      <c r="Y131" s="427" t="str">
        <f>A131 &amp; "_" &amp; "자격증_" &amp; COUNTIFS($A$2:A131, A131)</f>
        <v>김현진_자격증_1</v>
      </c>
      <c r="Z131" s="427" t="str">
        <f>D131 &amp; "_" &amp;"자격증_" &amp;  COUNTIFS($D$2:D155, D131)</f>
        <v>간호조무사_자격증_1</v>
      </c>
    </row>
    <row r="132" spans="1:26">
      <c r="A132" s="265" t="s">
        <v>806</v>
      </c>
      <c r="B132" s="160" t="str">
        <f>IFERROR(INDEX([1]개인DB!C:C, MATCH($A132, [1]개인DB!B:B, 0)), "")</f>
        <v>경영기획</v>
      </c>
      <c r="C132" s="160" t="str">
        <f>IFERROR(INDEX([1]개인DB!D:D, MATCH($A132, [1]개인DB!B:B, 0)), "")</f>
        <v>사원</v>
      </c>
      <c r="D132" s="371" t="s">
        <v>825</v>
      </c>
      <c r="E132" s="160" t="s">
        <v>823</v>
      </c>
      <c r="F132" s="132" t="str">
        <f>IFERROR(INDEX([1]자격증DB!B:B, MATCH($D132, [1]자격증DB!A:A, 0)), "")</f>
        <v>보건복지부</v>
      </c>
      <c r="G132" s="206" t="str">
        <f>IFERROR(INDEX([1]자격증DB!C:C, MATCH($D132, [1]자격증DB!A:A, 0)), "X")</f>
        <v>보건복지부</v>
      </c>
      <c r="H132" s="260" t="str">
        <f>IFERROR(INDEX([1]자격증DB!F:F, MATCH($D132, [1]자격증DB!A:A, 0)), "X")</f>
        <v>자격증</v>
      </c>
      <c r="I132" s="207" t="s">
        <v>826</v>
      </c>
      <c r="J132" s="207"/>
      <c r="K132" s="208"/>
      <c r="L132" s="209" t="str">
        <f t="shared" si="12"/>
        <v>PDF</v>
      </c>
      <c r="M132" s="277" t="str">
        <f t="shared" si="13"/>
        <v>요양보호사_김현진</v>
      </c>
      <c r="N132" s="372" t="str">
        <f>IFERROR(IF(INDEX([1]자격증DB!G:G, MATCH($D132, [1]자격증DB!$A:$A, 0))=0, "", INDEX([1]자격증DB!G:G, MATCH($D132, [1]자격증DB!$A:$A, 0))), "")</f>
        <v>기타</v>
      </c>
      <c r="O132" s="264" t="str">
        <f>IFERROR(IF(INDEX([1]자격증DB!H:H, MATCH($D132, [1]자격증DB!$A:$A, 0))=0, "", INDEX([1]자격증DB!H:H, MATCH($D132, [1]자격증DB!$A:$A, 0))), "")</f>
        <v/>
      </c>
      <c r="P132" s="108" t="str">
        <f>IFERROR(IF(INDEX([1]자격증DB!I:I, MATCH($D132, [1]자격증DB!$A:$A, 0))=0, "", INDEX([1]자격증DB!I:I, MATCH($D132, [1]자격증DB!$A:$A, 0))), "")</f>
        <v/>
      </c>
      <c r="Q132" s="108" t="str">
        <f>IFERROR(IF(INDEX([1]자격증DB!J:J, MATCH($D132, [1]자격증DB!$A:$A, 0))=0, "", INDEX([1]자격증DB!J:J, MATCH($D132, [1]자격증DB!$A:$A, 0))), "")</f>
        <v/>
      </c>
      <c r="R132" s="108" t="str">
        <f>IFERROR(IF(INDEX([1]자격증DB!K:K, MATCH($D132, [1]자격증DB!$A:$A, 0))=0, "", INDEX([1]자격증DB!K:K, MATCH($D132, [1]자격증DB!$A:$A, 0))), "")</f>
        <v/>
      </c>
      <c r="S132" s="108" t="str">
        <f>IFERROR(IF(INDEX([1]자격증DB!L:L, MATCH($D132, [1]자격증DB!$A:$A, 0))=0, "", INDEX([1]자격증DB!L:L, MATCH($D132, [1]자격증DB!$A:$A, 0))), "")</f>
        <v/>
      </c>
      <c r="T132" s="108" t="str">
        <f>IFERROR(IF(INDEX([1]자격증DB!M:M, MATCH($D132, [1]자격증DB!$A:$A, 0))=0, "", INDEX([1]자격증DB!M:M, MATCH($D132, [1]자격증DB!$A:$A, 0))), "")</f>
        <v/>
      </c>
      <c r="U132" s="108" t="str">
        <f>IFERROR(IF(INDEX([1]자격증DB!N:N, MATCH($D132, [1]자격증DB!$A:$A, 0))=0, "", INDEX([1]자격증DB!N:N, MATCH($D132, [1]자격증DB!$A:$A, 0))), "")</f>
        <v/>
      </c>
      <c r="V132" s="108" t="str">
        <f>IFERROR(IF(INDEX([1]자격증DB!O:O, MATCH($D132, [1]자격증DB!$A:$A, 0))=0, "", INDEX([1]자격증DB!O:O, MATCH($D132, [1]자격증DB!$A:$A, 0))), "")</f>
        <v/>
      </c>
      <c r="W132" s="114" t="str">
        <f>IFERROR(IF(INDEX([1]자격증DB!P:P, MATCH($D132, [1]자격증DB!$A:$A, 0))=0, "", INDEX([1]자격증DB!P:P, MATCH($D132, [1]자격증DB!$A:$A, 0))), "")</f>
        <v/>
      </c>
      <c r="X132" s="1" t="str">
        <f>IFERROR(IF(INDEX([1]자격증DB!P:P, MATCH(#REF!, [1]자격증DB!$A:$A, 0))=0, "", INDEX([1]자격증DB!P:P, MATCH(#REF!, [1]자격증DB!$A:$A, 0))), "")</f>
        <v/>
      </c>
      <c r="Y132" s="427" t="str">
        <f>A132 &amp; "_" &amp; "자격증_" &amp; COUNTIFS($A$2:A132, A132)</f>
        <v>김현진_자격증_2</v>
      </c>
      <c r="Z132" s="427" t="str">
        <f>D132 &amp; "_" &amp;"자격증_" &amp;  COUNTIFS($D$2:D155, D132)</f>
        <v>요양보호사_자격증_1</v>
      </c>
    </row>
    <row r="133" spans="1:26">
      <c r="A133" s="413" t="s">
        <v>811</v>
      </c>
      <c r="B133" s="414" t="str">
        <f>IFERROR(INDEX([1]개인DB!C:C, MATCH($A133, [1]개인DB!B:B, 0)), "")</f>
        <v>원가분석</v>
      </c>
      <c r="C133" s="414" t="str">
        <f>IFERROR(INDEX([1]개인DB!D:D, MATCH($A133, [1]개인DB!B:B, 0)), "")</f>
        <v>사원</v>
      </c>
      <c r="D133" s="415" t="s">
        <v>417</v>
      </c>
      <c r="E133" s="414" t="str">
        <f>IFERROR(INDEX([1]자격증DB!E:E, MATCH($D133, [1]자격증DB!A:A, 0)), "X")</f>
        <v>민간(국가)</v>
      </c>
      <c r="F133" s="416" t="str">
        <f>IFERROR(INDEX([1]자격증DB!B:B, MATCH($D133, [1]자격증DB!A:A, 0)), "")</f>
        <v>고용노동부</v>
      </c>
      <c r="G133" s="417" t="str">
        <f>IFERROR(INDEX([1]자격증DB!C:C, MATCH($D133, [1]자격증DB!A:A, 0)), "X")</f>
        <v>대한상공회의소</v>
      </c>
      <c r="H133" s="418" t="str">
        <f>IFERROR(INDEX([1]자격증DB!F:F, MATCH($D133, [1]자격증DB!A:A, 0)), "X")</f>
        <v>자격증</v>
      </c>
      <c r="I133" s="419" t="s">
        <v>827</v>
      </c>
      <c r="J133" s="419"/>
      <c r="K133" s="420"/>
      <c r="L133" s="421" t="str">
        <f t="shared" si="12"/>
        <v>PDF</v>
      </c>
      <c r="M133" s="422" t="str">
        <f t="shared" si="13"/>
        <v>컴퓨터활용능력 2급_배다현</v>
      </c>
      <c r="N133" s="423" t="str">
        <f>IFERROR(IF(INDEX([1]자격증DB!G:G, MATCH($D133, [1]자격증DB!$A:$A, 0))=0, "", INDEX([1]자격증DB!G:G, MATCH($D133, [1]자격증DB!$A:$A, 0))), "")</f>
        <v>CD-410</v>
      </c>
      <c r="O133" s="424" t="str">
        <f>IFERROR(IF(INDEX([1]자격증DB!H:H, MATCH($D133, [1]자격증DB!$A:$A, 0))=0, "", INDEX([1]자격증DB!H:H, MATCH($D133, [1]자격증DB!$A:$A, 0))), "")</f>
        <v/>
      </c>
      <c r="P133" s="425" t="str">
        <f>IFERROR(IF(INDEX([1]자격증DB!I:I, MATCH($D133, [1]자격증DB!$A:$A, 0))=0, "", INDEX([1]자격증DB!I:I, MATCH($D133, [1]자격증DB!$A:$A, 0))), "")</f>
        <v/>
      </c>
      <c r="Q133" s="425" t="str">
        <f>IFERROR(IF(INDEX([1]자격증DB!J:J, MATCH($D133, [1]자격증DB!$A:$A, 0))=0, "", INDEX([1]자격증DB!J:J, MATCH($D133, [1]자격증DB!$A:$A, 0))), "")</f>
        <v/>
      </c>
      <c r="R133" s="425" t="str">
        <f>IFERROR(IF(INDEX([1]자격증DB!K:K, MATCH($D133, [1]자격증DB!$A:$A, 0))=0, "", INDEX([1]자격증DB!K:K, MATCH($D133, [1]자격증DB!$A:$A, 0))), "")</f>
        <v/>
      </c>
      <c r="S133" s="425" t="str">
        <f>IFERROR(IF(INDEX([1]자격증DB!L:L, MATCH($D133, [1]자격증DB!$A:$A, 0))=0, "", INDEX([1]자격증DB!L:L, MATCH($D133, [1]자격증DB!$A:$A, 0))), "")</f>
        <v/>
      </c>
      <c r="T133" s="425" t="str">
        <f>IFERROR(IF(INDEX([1]자격증DB!M:M, MATCH($D133, [1]자격증DB!$A:$A, 0))=0, "", INDEX([1]자격증DB!M:M, MATCH($D133, [1]자격증DB!$A:$A, 0))), "")</f>
        <v>CF-600</v>
      </c>
      <c r="U133" s="425" t="str">
        <f>IFERROR(IF(INDEX([1]자격증DB!N:N, MATCH($D133, [1]자격증DB!$A:$A, 0))=0, "", INDEX([1]자격증DB!N:N, MATCH($D133, [1]자격증DB!$A:$A, 0))), "")</f>
        <v/>
      </c>
      <c r="V133" s="425" t="str">
        <f>IFERROR(IF(INDEX([1]자격증DB!O:O, MATCH($D133, [1]자격증DB!$A:$A, 0))=0, "", INDEX([1]자격증DB!O:O, MATCH($D133, [1]자격증DB!$A:$A, 0))), "")</f>
        <v/>
      </c>
      <c r="W133" s="426" t="str">
        <f>IFERROR(IF(INDEX([1]자격증DB!P:P, MATCH($D133, [1]자격증DB!$A:$A, 0))=0, "", INDEX([1]자격증DB!P:P, MATCH($D133, [1]자격증DB!$A:$A, 0))), "")</f>
        <v/>
      </c>
      <c r="X133" s="1" t="str">
        <f>IFERROR(IF(INDEX([1]자격증DB!P:P, MATCH(#REF!, [1]자격증DB!$A:$A, 0))=0, "", INDEX([1]자격증DB!P:P, MATCH(#REF!, [1]자격증DB!$A:$A, 0))), "")</f>
        <v/>
      </c>
      <c r="Y133" s="427" t="str">
        <f>A133 &amp; "_" &amp; "자격증_" &amp; COUNTIFS($A$2:A133, A133)</f>
        <v>배다현_자격증_1</v>
      </c>
      <c r="Z133" s="427" t="str">
        <f>D133 &amp; "_" &amp;"자격증_" &amp;  COUNTIFS($D$2:D155, D133)</f>
        <v>컴퓨터활용능력 2급_자격증_3</v>
      </c>
    </row>
    <row r="134" spans="1:26">
      <c r="A134" s="265" t="s">
        <v>811</v>
      </c>
      <c r="B134" s="160" t="str">
        <f>IFERROR(INDEX([1]개인DB!C:C, MATCH($A134, [1]개인DB!B:B, 0)), "")</f>
        <v>원가분석</v>
      </c>
      <c r="C134" s="160" t="str">
        <f>IFERROR(INDEX([1]개인DB!D:D, MATCH($A134, [1]개인DB!B:B, 0)), "")</f>
        <v>사원</v>
      </c>
      <c r="D134" s="371" t="s">
        <v>818</v>
      </c>
      <c r="E134" s="160" t="s">
        <v>819</v>
      </c>
      <c r="F134" s="132" t="str">
        <f>IFERROR(INDEX([1]자격증DB!B:B, MATCH($D134, [1]자격증DB!A:A, 0)), "")</f>
        <v>동아일보</v>
      </c>
      <c r="G134" s="206" t="str">
        <f>IFERROR(INDEX([1]자격증DB!C:C, MATCH($D134, [1]자격증DB!A:A, 0)), "X")</f>
        <v>한국생산성본부(KPC)</v>
      </c>
      <c r="H134" s="260" t="str">
        <f>IFERROR(INDEX([1]자격증DB!F:F, MATCH($D134, [1]자격증DB!A:A, 0)), "X")</f>
        <v>자격증</v>
      </c>
      <c r="I134" s="207" t="s">
        <v>828</v>
      </c>
      <c r="J134" s="207"/>
      <c r="K134" s="208"/>
      <c r="L134" s="209" t="str">
        <f t="shared" ref="L134:L142" si="14">HYPERLINK("학력, 자격증-excel 연동 파일\" &amp; A134 &amp; "\자격증\" &amp; D135 &amp; "_" &amp; A134 &amp; ".pdf", "PDF")</f>
        <v>PDF</v>
      </c>
      <c r="M134" s="277" t="str">
        <f t="shared" si="13"/>
        <v>ITQ(정보기술자격)_구 TIQ인터넷 실무능력 자격증_배다현</v>
      </c>
      <c r="N134" s="372" t="str">
        <f>IFERROR(IF(INDEX([1]자격증DB!G:G, MATCH($D134, [1]자격증DB!$A:$A, 0))=0, "", INDEX([1]자격증DB!G:G, MATCH($D134, [1]자격증DB!$A:$A, 0))), "")</f>
        <v>CD-410</v>
      </c>
      <c r="O134" s="264" t="str">
        <f>IFERROR(IF(INDEX([1]자격증DB!H:H, MATCH($D135, [1]자격증DB!$A:$A, 0))=0, "", INDEX([1]자격증DB!H:H, MATCH($D135, [1]자격증DB!$A:$A, 0))), "")</f>
        <v/>
      </c>
      <c r="P134" s="108" t="str">
        <f>IFERROR(IF(INDEX([1]자격증DB!I:I, MATCH($D135, [1]자격증DB!$A:$A, 0))=0, "", INDEX([1]자격증DB!I:I, MATCH($D135, [1]자격증DB!$A:$A, 0))), "")</f>
        <v/>
      </c>
      <c r="Q134" s="108" t="str">
        <f>IFERROR(IF(INDEX([1]자격증DB!J:J, MATCH($D135, [1]자격증DB!$A:$A, 0))=0, "", INDEX([1]자격증DB!J:J, MATCH($D135, [1]자격증DB!$A:$A, 0))), "")</f>
        <v/>
      </c>
      <c r="R134" s="108" t="str">
        <f>IFERROR(IF(INDEX([1]자격증DB!K:K, MATCH($D135, [1]자격증DB!$A:$A, 0))=0, "", INDEX([1]자격증DB!K:K, MATCH($D135, [1]자격증DB!$A:$A, 0))), "")</f>
        <v/>
      </c>
      <c r="S134" s="108" t="str">
        <f>IFERROR(IF(INDEX([1]자격증DB!L:L, MATCH($D135, [1]자격증DB!$A:$A, 0))=0, "", INDEX([1]자격증DB!L:L, MATCH($D135, [1]자격증DB!$A:$A, 0))), "")</f>
        <v/>
      </c>
      <c r="T134" s="108" t="str">
        <f>IFERROR(IF(INDEX([1]자격증DB!M:M, MATCH($D135, [1]자격증DB!$A:$A, 0))=0, "", INDEX([1]자격증DB!M:M, MATCH($D135, [1]자격증DB!$A:$A, 0))), "")</f>
        <v/>
      </c>
      <c r="U134" s="108" t="str">
        <f>IFERROR(IF(INDEX([1]자격증DB!N:N, MATCH($D135, [1]자격증DB!$A:$A, 0))=0, "", INDEX([1]자격증DB!N:N, MATCH($D135, [1]자격증DB!$A:$A, 0))), "")</f>
        <v/>
      </c>
      <c r="V134" s="108" t="str">
        <f>IFERROR(IF(INDEX([1]자격증DB!O:O, MATCH($D135, [1]자격증DB!$A:$A, 0))=0, "", INDEX([1]자격증DB!O:O, MATCH($D135, [1]자격증DB!$A:$A, 0))), "")</f>
        <v/>
      </c>
      <c r="W134" s="114" t="str">
        <f>IFERROR(IF(INDEX([1]자격증DB!P:P, MATCH($D135, [1]자격증DB!$A:$A, 0))=0, "", INDEX([1]자격증DB!P:P, MATCH($D135, [1]자격증DB!$A:$A, 0))), "")</f>
        <v/>
      </c>
      <c r="X134" s="1" t="str">
        <f>IFERROR(IF(INDEX([1]자격증DB!P:P, MATCH(#REF!, [1]자격증DB!$A:$A, 0))=0, "", INDEX([1]자격증DB!P:P, MATCH(#REF!, [1]자격증DB!$A:$A, 0))), "")</f>
        <v/>
      </c>
      <c r="Y134" s="427" t="str">
        <f>A134 &amp; "_" &amp; "자격증_" &amp; COUNTIFS($A$2:A134, A134)</f>
        <v>배다현_자격증_2</v>
      </c>
      <c r="Z134" s="427" t="str">
        <f>D135 &amp; "_" &amp;"자격증_" &amp;  COUNTIFS($D$2:D155, D135)</f>
        <v>회계관리2급_자격증_1</v>
      </c>
    </row>
    <row r="135" spans="1:26">
      <c r="A135" s="413" t="s">
        <v>813</v>
      </c>
      <c r="B135" s="414" t="str">
        <f>IFERROR(INDEX([1]개인DB!C:C, MATCH($A135, [1]개인DB!B:B, 0)), "")</f>
        <v>원가분석</v>
      </c>
      <c r="C135" s="414" t="str">
        <f>IFERROR(INDEX([1]개인DB!D:D, MATCH($A135, [1]개인DB!B:B, 0)), "")</f>
        <v>수석</v>
      </c>
      <c r="D135" s="415" t="s">
        <v>829</v>
      </c>
      <c r="E135" s="414" t="s">
        <v>830</v>
      </c>
      <c r="F135" s="416" t="str">
        <f>IFERROR(INDEX([1]자격증DB!B:B, MATCH($D135, [1]자격증DB!A:A, 0)), "")</f>
        <v>삼일회계법인</v>
      </c>
      <c r="G135" s="417" t="str">
        <f>IFERROR(INDEX([1]자격증DB!C:C, MATCH($D135, [1]자격증DB!A:A, 0)), "X")</f>
        <v>삼일회계법인</v>
      </c>
      <c r="H135" s="418" t="str">
        <f>IFERROR(INDEX([1]자격증DB!F:F, MATCH($D135, [1]자격증DB!A:A, 0)), "X")</f>
        <v>자격증</v>
      </c>
      <c r="I135" s="419" t="s">
        <v>831</v>
      </c>
      <c r="J135" s="419"/>
      <c r="K135" s="420"/>
      <c r="L135" s="421" t="str">
        <f t="shared" si="14"/>
        <v>PDF</v>
      </c>
      <c r="M135" s="422" t="str">
        <f t="shared" si="13"/>
        <v>회계관리2급_배병권</v>
      </c>
      <c r="N135" s="423" t="str">
        <f>IFERROR(IF(INDEX([1]자격증DB!G:G, MATCH($D135, [1]자격증DB!$A:$A, 0))=0, "", INDEX([1]자격증DB!G:G, MATCH($D135, [1]자격증DB!$A:$A, 0))), "")</f>
        <v>기타</v>
      </c>
      <c r="O135" s="424" t="str">
        <f>IFERROR(IF(INDEX([1]자격증DB!H:H, MATCH(#REF!, [1]자격증DB!$A:$A, 0))=0, "", INDEX([1]자격증DB!H:H, MATCH(#REF!, [1]자격증DB!$A:$A, 0))), "")</f>
        <v/>
      </c>
      <c r="P135" s="425" t="str">
        <f>IFERROR(IF(INDEX([1]자격증DB!I:I, MATCH(#REF!, [1]자격증DB!$A:$A, 0))=0, "", INDEX([1]자격증DB!I:I, MATCH(#REF!, [1]자격증DB!$A:$A, 0))), "")</f>
        <v/>
      </c>
      <c r="Q135" s="425" t="str">
        <f>IFERROR(IF(INDEX([1]자격증DB!J:J, MATCH(#REF!, [1]자격증DB!$A:$A, 0))=0, "", INDEX([1]자격증DB!J:J, MATCH(#REF!, [1]자격증DB!$A:$A, 0))), "")</f>
        <v/>
      </c>
      <c r="R135" s="425" t="str">
        <f>IFERROR(IF(INDEX([1]자격증DB!K:K, MATCH(#REF!, [1]자격증DB!$A:$A, 0))=0, "", INDEX([1]자격증DB!K:K, MATCH(#REF!, [1]자격증DB!$A:$A, 0))), "")</f>
        <v/>
      </c>
      <c r="S135" s="425" t="str">
        <f>IFERROR(IF(INDEX([1]자격증DB!L:L, MATCH(#REF!, [1]자격증DB!$A:$A, 0))=0, "", INDEX([1]자격증DB!L:L, MATCH(#REF!, [1]자격증DB!$A:$A, 0))), "")</f>
        <v/>
      </c>
      <c r="T135" s="425" t="str">
        <f>IFERROR(IF(INDEX([1]자격증DB!M:M, MATCH(#REF!, [1]자격증DB!$A:$A, 0))=0, "", INDEX([1]자격증DB!M:M, MATCH(#REF!, [1]자격증DB!$A:$A, 0))), "")</f>
        <v/>
      </c>
      <c r="U135" s="425" t="str">
        <f>IFERROR(IF(INDEX([1]자격증DB!N:N, MATCH(#REF!, [1]자격증DB!$A:$A, 0))=0, "", INDEX([1]자격증DB!N:N, MATCH(#REF!, [1]자격증DB!$A:$A, 0))), "")</f>
        <v/>
      </c>
      <c r="V135" s="425" t="str">
        <f>IFERROR(IF(INDEX([1]자격증DB!O:O, MATCH(#REF!, [1]자격증DB!$A:$A, 0))=0, "", INDEX([1]자격증DB!O:O, MATCH(#REF!, [1]자격증DB!$A:$A, 0))), "")</f>
        <v/>
      </c>
      <c r="W135" s="426" t="str">
        <f>IFERROR(IF(INDEX([1]자격증DB!P:P, MATCH(#REF!, [1]자격증DB!$A:$A, 0))=0, "", INDEX([1]자격증DB!P:P, MATCH(#REF!, [1]자격증DB!$A:$A, 0))), "")</f>
        <v/>
      </c>
      <c r="X135" s="1" t="str">
        <f>IFERROR(IF(INDEX([1]자격증DB!P:P, MATCH($D156, [1]자격증DB!$A:$A, 0))=0, "", INDEX([1]자격증DB!P:P, MATCH($D156, [1]자격증DB!$A:$A, 0))), "")</f>
        <v/>
      </c>
      <c r="Y135" s="427" t="str">
        <f>A135 &amp; "_" &amp; "자격증_" &amp; COUNTIFS($A$2:A135, A135)</f>
        <v>배병권_자격증_1</v>
      </c>
      <c r="Z135" s="427" t="str">
        <f>D136 &amp; "_" &amp;"자격증_" &amp;  COUNTIFS($D$2:D156, D136)</f>
        <v>정보처리산업기사_자격증_2</v>
      </c>
    </row>
    <row r="136" spans="1:26">
      <c r="A136" s="265" t="s">
        <v>813</v>
      </c>
      <c r="B136" s="160" t="str">
        <f>IFERROR(INDEX([1]개인DB!C:C, MATCH($A136, [1]개인DB!B:B, 0)), "")</f>
        <v>원가분석</v>
      </c>
      <c r="C136" s="160" t="str">
        <f>IFERROR(INDEX([1]개인DB!D:D, MATCH($A136, [1]개인DB!B:B, 0)), "")</f>
        <v>수석</v>
      </c>
      <c r="D136" s="371" t="s">
        <v>415</v>
      </c>
      <c r="E136" s="160" t="s">
        <v>530</v>
      </c>
      <c r="F136" s="132" t="str">
        <f>IFERROR(INDEX([1]자격증DB!B:B, MATCH($D136, [1]자격증DB!A:A, 0)), "")</f>
        <v>과학기술정보통신부</v>
      </c>
      <c r="G136" s="206" t="str">
        <f>IFERROR(INDEX([1]자격증DB!C:C, MATCH($D136, [1]자격증DB!A:A, 0)), "X")</f>
        <v>한국산업인력공단</v>
      </c>
      <c r="H136" s="260" t="str">
        <f>IFERROR(INDEX([1]자격증DB!F:F, MATCH($D136, [1]자격증DB!A:A, 0)), "X")</f>
        <v>자격증</v>
      </c>
      <c r="I136" s="207" t="s">
        <v>832</v>
      </c>
      <c r="J136" s="207"/>
      <c r="K136" s="208"/>
      <c r="L136" s="209" t="str">
        <f t="shared" si="14"/>
        <v>PDF</v>
      </c>
      <c r="M136" s="277" t="str">
        <f t="shared" si="13"/>
        <v>정보처리산업기사_배병권</v>
      </c>
      <c r="N136" s="372" t="str">
        <f>IFERROR(IF(INDEX([1]자격증DB!G:G, MATCH($D136, [1]자격증DB!$A:$A, 0))=0, "", INDEX([1]자격증DB!G:G, MATCH($D136, [1]자격증DB!$A:$A, 0))), "")</f>
        <v>CD-410</v>
      </c>
      <c r="O136" s="264" t="str">
        <f>IFERROR(IF(INDEX([1]자격증DB!H:H, MATCH(#REF!, [1]자격증DB!$A:$A, 0))=0, "", INDEX([1]자격증DB!H:H, MATCH(#REF!, [1]자격증DB!$A:$A, 0))), "")</f>
        <v/>
      </c>
      <c r="P136" s="108" t="str">
        <f>IFERROR(IF(INDEX([1]자격증DB!I:I, MATCH(#REF!, [1]자격증DB!$A:$A, 0))=0, "", INDEX([1]자격증DB!I:I, MATCH(#REF!, [1]자격증DB!$A:$A, 0))), "")</f>
        <v/>
      </c>
      <c r="Q136" s="108" t="str">
        <f>IFERROR(IF(INDEX([1]자격증DB!J:J, MATCH(#REF!, [1]자격증DB!$A:$A, 0))=0, "", INDEX([1]자격증DB!J:J, MATCH(#REF!, [1]자격증DB!$A:$A, 0))), "")</f>
        <v/>
      </c>
      <c r="R136" s="108" t="str">
        <f>IFERROR(IF(INDEX([1]자격증DB!K:K, MATCH(#REF!, [1]자격증DB!$A:$A, 0))=0, "", INDEX([1]자격증DB!K:K, MATCH(#REF!, [1]자격증DB!$A:$A, 0))), "")</f>
        <v/>
      </c>
      <c r="S136" s="108" t="str">
        <f>IFERROR(IF(INDEX([1]자격증DB!L:L, MATCH(#REF!, [1]자격증DB!$A:$A, 0))=0, "", INDEX([1]자격증DB!L:L, MATCH(#REF!, [1]자격증DB!$A:$A, 0))), "")</f>
        <v/>
      </c>
      <c r="T136" s="108" t="str">
        <f>IFERROR(IF(INDEX([1]자격증DB!M:M, MATCH(#REF!, [1]자격증DB!$A:$A, 0))=0, "", INDEX([1]자격증DB!M:M, MATCH(#REF!, [1]자격증DB!$A:$A, 0))), "")</f>
        <v/>
      </c>
      <c r="U136" s="108" t="str">
        <f>IFERROR(IF(INDEX([1]자격증DB!N:N, MATCH(#REF!, [1]자격증DB!$A:$A, 0))=0, "", INDEX([1]자격증DB!N:N, MATCH(#REF!, [1]자격증DB!$A:$A, 0))), "")</f>
        <v/>
      </c>
      <c r="V136" s="108" t="str">
        <f>IFERROR(IF(INDEX([1]자격증DB!O:O, MATCH(#REF!, [1]자격증DB!$A:$A, 0))=0, "", INDEX([1]자격증DB!O:O, MATCH(#REF!, [1]자격증DB!$A:$A, 0))), "")</f>
        <v/>
      </c>
      <c r="W136" s="114" t="str">
        <f>IFERROR(IF(INDEX([1]자격증DB!P:P, MATCH(#REF!, [1]자격증DB!$A:$A, 0))=0, "", INDEX([1]자격증DB!P:P, MATCH(#REF!, [1]자격증DB!$A:$A, 0))), "")</f>
        <v/>
      </c>
      <c r="X136" s="1" t="str">
        <f>IFERROR(IF(INDEX([1]자격증DB!P:P, MATCH($D157, [1]자격증DB!$A:$A, 0))=0, "", INDEX([1]자격증DB!P:P, MATCH($D157, [1]자격증DB!$A:$A, 0))), "")</f>
        <v/>
      </c>
      <c r="Y136" s="427" t="str">
        <f>A136 &amp; "_" &amp; "자격증_" &amp; COUNTIFS($A$2:A136, A136)</f>
        <v>배병권_자격증_2</v>
      </c>
      <c r="Z136" s="427" t="str">
        <f>D137 &amp; "_" &amp;"자격증_" &amp;  COUNTIFS($D$2:D157, D137)</f>
        <v>시설원예기사_자격증_1</v>
      </c>
    </row>
    <row r="137" spans="1:26">
      <c r="A137" s="413" t="s">
        <v>813</v>
      </c>
      <c r="B137" s="414" t="str">
        <f>IFERROR(INDEX([1]개인DB!C:C, MATCH($A137, [1]개인DB!B:B, 0)), "")</f>
        <v>원가분석</v>
      </c>
      <c r="C137" s="414" t="str">
        <f>IFERROR(INDEX([1]개인DB!D:D, MATCH($A137, [1]개인DB!B:B, 0)), "")</f>
        <v>수석</v>
      </c>
      <c r="D137" s="415" t="s">
        <v>833</v>
      </c>
      <c r="E137" s="414" t="str">
        <f>IFERROR(INDEX([1]자격증DB!E:E, MATCH($D137, [1]자격증DB!A:A, 0)), "X")</f>
        <v>국가기술자격</v>
      </c>
      <c r="F137" s="416" t="str">
        <f>IFERROR(INDEX([1]자격증DB!B:B, MATCH($D137, [1]자격증DB!A:A, 0)), "")</f>
        <v>농촌진흥청</v>
      </c>
      <c r="G137" s="417" t="str">
        <f>IFERROR(INDEX([1]자격증DB!C:C, MATCH($D137, [1]자격증DB!A:A, 0)), "X")</f>
        <v>한국산업인력공단</v>
      </c>
      <c r="H137" s="418" t="str">
        <f>IFERROR(INDEX([1]자격증DB!F:F, MATCH($D137, [1]자격증DB!A:A, 0)), "X")</f>
        <v>자격증</v>
      </c>
      <c r="I137" s="419" t="s">
        <v>834</v>
      </c>
      <c r="J137" s="419"/>
      <c r="K137" s="420"/>
      <c r="L137" s="421" t="str">
        <f t="shared" si="14"/>
        <v>PDF</v>
      </c>
      <c r="M137" s="422" t="str">
        <f t="shared" si="13"/>
        <v>시설원예기사_배병권</v>
      </c>
      <c r="N137" s="423" t="str">
        <f>IFERROR(IF(INDEX([1]자격증DB!G:G, MATCH($D137, [1]자격증DB!$A:$A, 0))=0, "", INDEX([1]자격증DB!G:G, MATCH($D137, [1]자격증DB!$A:$A, 0))), "")</f>
        <v>기타</v>
      </c>
      <c r="O137" s="424" t="str">
        <f>IFERROR(IF(INDEX([1]자격증DB!H:H, MATCH(#REF!, [1]자격증DB!$A:$A, 0))=0, "", INDEX([1]자격증DB!H:H, MATCH(#REF!, [1]자격증DB!$A:$A, 0))), "")</f>
        <v/>
      </c>
      <c r="P137" s="425" t="str">
        <f>IFERROR(IF(INDEX([1]자격증DB!I:I, MATCH(#REF!, [1]자격증DB!$A:$A, 0))=0, "", INDEX([1]자격증DB!I:I, MATCH(#REF!, [1]자격증DB!$A:$A, 0))), "")</f>
        <v/>
      </c>
      <c r="Q137" s="425" t="str">
        <f>IFERROR(IF(INDEX([1]자격증DB!J:J, MATCH(#REF!, [1]자격증DB!$A:$A, 0))=0, "", INDEX([1]자격증DB!J:J, MATCH(#REF!, [1]자격증DB!$A:$A, 0))), "")</f>
        <v/>
      </c>
      <c r="R137" s="425" t="str">
        <f>IFERROR(IF(INDEX([1]자격증DB!K:K, MATCH(#REF!, [1]자격증DB!$A:$A, 0))=0, "", INDEX([1]자격증DB!K:K, MATCH(#REF!, [1]자격증DB!$A:$A, 0))), "")</f>
        <v/>
      </c>
      <c r="S137" s="425" t="str">
        <f>IFERROR(IF(INDEX([1]자격증DB!L:L, MATCH(#REF!, [1]자격증DB!$A:$A, 0))=0, "", INDEX([1]자격증DB!L:L, MATCH(#REF!, [1]자격증DB!$A:$A, 0))), "")</f>
        <v/>
      </c>
      <c r="T137" s="425" t="str">
        <f>IFERROR(IF(INDEX([1]자격증DB!M:M, MATCH(#REF!, [1]자격증DB!$A:$A, 0))=0, "", INDEX([1]자격증DB!M:M, MATCH(#REF!, [1]자격증DB!$A:$A, 0))), "")</f>
        <v/>
      </c>
      <c r="U137" s="425" t="str">
        <f>IFERROR(IF(INDEX([1]자격증DB!N:N, MATCH(#REF!, [1]자격증DB!$A:$A, 0))=0, "", INDEX([1]자격증DB!N:N, MATCH(#REF!, [1]자격증DB!$A:$A, 0))), "")</f>
        <v/>
      </c>
      <c r="V137" s="425" t="str">
        <f>IFERROR(IF(INDEX([1]자격증DB!O:O, MATCH(#REF!, [1]자격증DB!$A:$A, 0))=0, "", INDEX([1]자격증DB!O:O, MATCH(#REF!, [1]자격증DB!$A:$A, 0))), "")</f>
        <v/>
      </c>
      <c r="W137" s="426" t="str">
        <f>IFERROR(IF(INDEX([1]자격증DB!P:P, MATCH(#REF!, [1]자격증DB!$A:$A, 0))=0, "", INDEX([1]자격증DB!P:P, MATCH(#REF!, [1]자격증DB!$A:$A, 0))), "")</f>
        <v/>
      </c>
      <c r="X137" s="1" t="str">
        <f>IFERROR(IF(INDEX([1]자격증DB!P:P, MATCH($D158, [1]자격증DB!$A:$A, 0))=0, "", INDEX([1]자격증DB!P:P, MATCH($D158, [1]자격증DB!$A:$A, 0))), "")</f>
        <v/>
      </c>
      <c r="Y137" s="427" t="str">
        <f>A137 &amp; "_" &amp; "자격증_" &amp; COUNTIFS($A$2:A137, A137)</f>
        <v>배병권_자격증_3</v>
      </c>
      <c r="Z137" s="427" t="str">
        <f>D138 &amp; "_" &amp;"자격증_" &amp;  COUNTIFS($D$2:D158, D138)</f>
        <v>스마트농업관리사_자격증_1</v>
      </c>
    </row>
    <row r="138" spans="1:26">
      <c r="A138" s="265" t="s">
        <v>813</v>
      </c>
      <c r="B138" s="160" t="str">
        <f>IFERROR(INDEX([1]개인DB!C:C, MATCH($A138, [1]개인DB!B:B, 0)), "")</f>
        <v>원가분석</v>
      </c>
      <c r="C138" s="160" t="str">
        <f>IFERROR(INDEX([1]개인DB!D:D, MATCH($A138, [1]개인DB!B:B, 0)), "")</f>
        <v>수석</v>
      </c>
      <c r="D138" s="371" t="s">
        <v>835</v>
      </c>
      <c r="E138" s="160" t="str">
        <f>IFERROR(INDEX([1]자격증DB!E:E, MATCH($D138, [1]자격증DB!A:A, 0)), "X")</f>
        <v>전문자격</v>
      </c>
      <c r="F138" s="132" t="str">
        <f>IFERROR(INDEX([1]자격증DB!B:B, MATCH($D138, [1]자격증DB!A:A, 0)), "")</f>
        <v>한국농업기술진흥원</v>
      </c>
      <c r="G138" s="206" t="str">
        <f>IFERROR(INDEX([1]자격증DB!C:C, MATCH($D138, [1]자격증DB!A:A, 0)), "X")</f>
        <v>농림축산식품부</v>
      </c>
      <c r="H138" s="260" t="str">
        <f>IFERROR(INDEX([1]자격증DB!F:F, MATCH($D138, [1]자격증DB!A:A, 0)), "X")</f>
        <v>자격증</v>
      </c>
      <c r="I138" s="207" t="s">
        <v>836</v>
      </c>
      <c r="J138" s="207"/>
      <c r="K138" s="208"/>
      <c r="L138" s="209" t="str">
        <f t="shared" si="14"/>
        <v>PDF</v>
      </c>
      <c r="M138" s="277" t="str">
        <f t="shared" si="13"/>
        <v>스마트농업관리사_배병권</v>
      </c>
      <c r="N138" s="372" t="str">
        <f>IFERROR(IF(INDEX([1]자격증DB!G:G, MATCH($D138, [1]자격증DB!$A:$A, 0))=0, "", INDEX([1]자격증DB!G:G, MATCH($D138, [1]자격증DB!$A:$A, 0))), "")</f>
        <v>기타</v>
      </c>
      <c r="O138" s="264" t="str">
        <f>IFERROR(IF(INDEX([1]자격증DB!H:H, MATCH(#REF!, [1]자격증DB!$A:$A, 0))=0, "", INDEX([1]자격증DB!H:H, MATCH(#REF!, [1]자격증DB!$A:$A, 0))), "")</f>
        <v/>
      </c>
      <c r="P138" s="108" t="str">
        <f>IFERROR(IF(INDEX([1]자격증DB!I:I, MATCH(#REF!, [1]자격증DB!$A:$A, 0))=0, "", INDEX([1]자격증DB!I:I, MATCH(#REF!, [1]자격증DB!$A:$A, 0))), "")</f>
        <v/>
      </c>
      <c r="Q138" s="108" t="str">
        <f>IFERROR(IF(INDEX([1]자격증DB!J:J, MATCH(#REF!, [1]자격증DB!$A:$A, 0))=0, "", INDEX([1]자격증DB!J:J, MATCH(#REF!, [1]자격증DB!$A:$A, 0))), "")</f>
        <v/>
      </c>
      <c r="R138" s="108" t="str">
        <f>IFERROR(IF(INDEX([1]자격증DB!K:K, MATCH(#REF!, [1]자격증DB!$A:$A, 0))=0, "", INDEX([1]자격증DB!K:K, MATCH(#REF!, [1]자격증DB!$A:$A, 0))), "")</f>
        <v/>
      </c>
      <c r="S138" s="108" t="str">
        <f>IFERROR(IF(INDEX([1]자격증DB!L:L, MATCH(#REF!, [1]자격증DB!$A:$A, 0))=0, "", INDEX([1]자격증DB!L:L, MATCH(#REF!, [1]자격증DB!$A:$A, 0))), "")</f>
        <v/>
      </c>
      <c r="T138" s="108" t="str">
        <f>IFERROR(IF(INDEX([1]자격증DB!M:M, MATCH(#REF!, [1]자격증DB!$A:$A, 0))=0, "", INDEX([1]자격증DB!M:M, MATCH(#REF!, [1]자격증DB!$A:$A, 0))), "")</f>
        <v/>
      </c>
      <c r="U138" s="108" t="str">
        <f>IFERROR(IF(INDEX([1]자격증DB!N:N, MATCH(#REF!, [1]자격증DB!$A:$A, 0))=0, "", INDEX([1]자격증DB!N:N, MATCH(#REF!, [1]자격증DB!$A:$A, 0))), "")</f>
        <v/>
      </c>
      <c r="V138" s="108" t="str">
        <f>IFERROR(IF(INDEX([1]자격증DB!O:O, MATCH(#REF!, [1]자격증DB!$A:$A, 0))=0, "", INDEX([1]자격증DB!O:O, MATCH(#REF!, [1]자격증DB!$A:$A, 0))), "")</f>
        <v/>
      </c>
      <c r="W138" s="114" t="str">
        <f>IFERROR(IF(INDEX([1]자격증DB!P:P, MATCH(#REF!, [1]자격증DB!$A:$A, 0))=0, "", INDEX([1]자격증DB!P:P, MATCH(#REF!, [1]자격증DB!$A:$A, 0))), "")</f>
        <v/>
      </c>
      <c r="X138" s="1" t="str">
        <f>IFERROR(IF(INDEX([1]자격증DB!P:P, MATCH($D159, [1]자격증DB!$A:$A, 0))=0, "", INDEX([1]자격증DB!P:P, MATCH($D159, [1]자격증DB!$A:$A, 0))), "")</f>
        <v/>
      </c>
      <c r="Y138" s="427" t="str">
        <f>A138 &amp; "_" &amp; "자격증_" &amp; COUNTIFS($A$2:A138, A138)</f>
        <v>배병권_자격증_4</v>
      </c>
      <c r="Z138" s="427" t="str">
        <f>D139 &amp; "_" &amp;"자격증_" &amp;  COUNTIFS($D$2:D159, D139)</f>
        <v>물류관리사_자격증_3</v>
      </c>
    </row>
    <row r="139" spans="1:26">
      <c r="A139" s="413" t="s">
        <v>813</v>
      </c>
      <c r="B139" s="414" t="str">
        <f>IFERROR(INDEX([1]개인DB!C:C, MATCH($A139, [1]개인DB!B:B, 0)), "")</f>
        <v>원가분석</v>
      </c>
      <c r="C139" s="414" t="str">
        <f>IFERROR(INDEX([1]개인DB!D:D, MATCH($A139, [1]개인DB!B:B, 0)), "")</f>
        <v>수석</v>
      </c>
      <c r="D139" s="415" t="s">
        <v>236</v>
      </c>
      <c r="E139" s="414" t="str">
        <f>IFERROR(INDEX([1]자격증DB!E:E, MATCH($D139, [1]자격증DB!A:A, 0)), "X")</f>
        <v>전문자격</v>
      </c>
      <c r="F139" s="416" t="str">
        <f>IFERROR(INDEX([1]자격증DB!B:B, MATCH($D139, [1]자격증DB!A:A, 0)), "")</f>
        <v>국토교통부</v>
      </c>
      <c r="G139" s="417" t="str">
        <f>IFERROR(INDEX([1]자격증DB!C:C, MATCH($D139, [1]자격증DB!A:A, 0)), "X")</f>
        <v>한국산업인력공단</v>
      </c>
      <c r="H139" s="418" t="str">
        <f>IFERROR(INDEX([1]자격증DB!F:F, MATCH($D139, [1]자격증DB!A:A, 0)), "X")</f>
        <v>자격증</v>
      </c>
      <c r="I139" s="419" t="s">
        <v>837</v>
      </c>
      <c r="J139" s="419"/>
      <c r="K139" s="420"/>
      <c r="L139" s="421" t="str">
        <f t="shared" si="14"/>
        <v>PDF</v>
      </c>
      <c r="M139" s="422" t="str">
        <f t="shared" si="13"/>
        <v>물류관리사_배병권</v>
      </c>
      <c r="N139" s="423" t="str">
        <f>IFERROR(IF(INDEX([1]자격증DB!G:G, MATCH($D139, [1]자격증DB!$A:$A, 0))=0, "", INDEX([1]자격증DB!G:G, MATCH($D139, [1]자격증DB!$A:$A, 0))), "")</f>
        <v>CA-110</v>
      </c>
      <c r="O139" s="424" t="str">
        <f>IFERROR(IF(INDEX([1]자격증DB!H:H, MATCH(#REF!, [1]자격증DB!$A:$A, 0))=0, "", INDEX([1]자격증DB!H:H, MATCH(#REF!, [1]자격증DB!$A:$A, 0))), "")</f>
        <v/>
      </c>
      <c r="P139" s="425" t="str">
        <f>IFERROR(IF(INDEX([1]자격증DB!I:I, MATCH(#REF!, [1]자격증DB!$A:$A, 0))=0, "", INDEX([1]자격증DB!I:I, MATCH(#REF!, [1]자격증DB!$A:$A, 0))), "")</f>
        <v/>
      </c>
      <c r="Q139" s="425" t="str">
        <f>IFERROR(IF(INDEX([1]자격증DB!J:J, MATCH(#REF!, [1]자격증DB!$A:$A, 0))=0, "", INDEX([1]자격증DB!J:J, MATCH(#REF!, [1]자격증DB!$A:$A, 0))), "")</f>
        <v/>
      </c>
      <c r="R139" s="425" t="str">
        <f>IFERROR(IF(INDEX([1]자격증DB!K:K, MATCH(#REF!, [1]자격증DB!$A:$A, 0))=0, "", INDEX([1]자격증DB!K:K, MATCH(#REF!, [1]자격증DB!$A:$A, 0))), "")</f>
        <v/>
      </c>
      <c r="S139" s="425" t="str">
        <f>IFERROR(IF(INDEX([1]자격증DB!L:L, MATCH(#REF!, [1]자격증DB!$A:$A, 0))=0, "", INDEX([1]자격증DB!L:L, MATCH(#REF!, [1]자격증DB!$A:$A, 0))), "")</f>
        <v/>
      </c>
      <c r="T139" s="425" t="str">
        <f>IFERROR(IF(INDEX([1]자격증DB!M:M, MATCH(#REF!, [1]자격증DB!$A:$A, 0))=0, "", INDEX([1]자격증DB!M:M, MATCH(#REF!, [1]자격증DB!$A:$A, 0))), "")</f>
        <v/>
      </c>
      <c r="U139" s="425" t="str">
        <f>IFERROR(IF(INDEX([1]자격증DB!N:N, MATCH(#REF!, [1]자격증DB!$A:$A, 0))=0, "", INDEX([1]자격증DB!N:N, MATCH(#REF!, [1]자격증DB!$A:$A, 0))), "")</f>
        <v/>
      </c>
      <c r="V139" s="425" t="str">
        <f>IFERROR(IF(INDEX([1]자격증DB!O:O, MATCH(#REF!, [1]자격증DB!$A:$A, 0))=0, "", INDEX([1]자격증DB!O:O, MATCH(#REF!, [1]자격증DB!$A:$A, 0))), "")</f>
        <v/>
      </c>
      <c r="W139" s="426" t="str">
        <f>IFERROR(IF(INDEX([1]자격증DB!P:P, MATCH(#REF!, [1]자격증DB!$A:$A, 0))=0, "", INDEX([1]자격증DB!P:P, MATCH(#REF!, [1]자격증DB!$A:$A, 0))), "")</f>
        <v/>
      </c>
      <c r="X139" s="1" t="str">
        <f>IFERROR(IF(INDEX([1]자격증DB!P:P, MATCH($D160, [1]자격증DB!$A:$A, 0))=0, "", INDEX([1]자격증DB!P:P, MATCH($D160, [1]자격증DB!$A:$A, 0))), "")</f>
        <v/>
      </c>
      <c r="Y139" s="427" t="str">
        <f>A139 &amp; "_" &amp; "자격증_" &amp; COUNTIFS($A$2:A139, A139)</f>
        <v>배병권_자격증_5</v>
      </c>
      <c r="Z139" s="427" t="str">
        <f>D140 &amp; "_" &amp;"자격증_" &amp;  COUNTIFS($D$2:D160, D140)</f>
        <v>무역영어1급_자격증_1</v>
      </c>
    </row>
    <row r="140" spans="1:26">
      <c r="A140" s="265" t="s">
        <v>813</v>
      </c>
      <c r="B140" s="160" t="str">
        <f>IFERROR(INDEX([1]개인DB!C:C, MATCH($A140, [1]개인DB!B:B, 0)), "")</f>
        <v>원가분석</v>
      </c>
      <c r="C140" s="160" t="str">
        <f>IFERROR(INDEX([1]개인DB!D:D, MATCH($A140, [1]개인DB!B:B, 0)), "")</f>
        <v>수석</v>
      </c>
      <c r="D140" s="371" t="s">
        <v>838</v>
      </c>
      <c r="E140" s="160" t="s">
        <v>830</v>
      </c>
      <c r="F140" s="132" t="str">
        <f>IFERROR(INDEX([1]자격증DB!B:B, MATCH($D140, [1]자격증DB!A:A, 0)), "")</f>
        <v>산업통상자원부</v>
      </c>
      <c r="G140" s="206" t="str">
        <f>IFERROR(INDEX([1]자격증DB!C:C, MATCH($D140, [1]자격증DB!A:A, 0)), "X")</f>
        <v>대한상공회의소</v>
      </c>
      <c r="H140" s="260" t="str">
        <f>IFERROR(INDEX([1]자격증DB!F:F, MATCH($D140, [1]자격증DB!A:A, 0)), "X")</f>
        <v>자격증</v>
      </c>
      <c r="I140" s="207" t="s">
        <v>839</v>
      </c>
      <c r="J140" s="207"/>
      <c r="K140" s="208"/>
      <c r="L140" s="209" t="str">
        <f t="shared" si="14"/>
        <v>PDF</v>
      </c>
      <c r="M140" s="277" t="str">
        <f t="shared" si="13"/>
        <v>무역영어1급_배병권</v>
      </c>
      <c r="N140" s="372" t="str">
        <f>IFERROR(IF(INDEX([1]자격증DB!G:G, MATCH($D140, [1]자격증DB!$A:$A, 0))=0, "", INDEX([1]자격증DB!G:G, MATCH($D140, [1]자격증DB!$A:$A, 0))), "")</f>
        <v/>
      </c>
      <c r="O140" s="264" t="str">
        <f>IFERROR(IF(INDEX([1]자격증DB!H:H, MATCH(#REF!, [1]자격증DB!$A:$A, 0))=0, "", INDEX([1]자격증DB!H:H, MATCH(#REF!, [1]자격증DB!$A:$A, 0))), "")</f>
        <v/>
      </c>
      <c r="P140" s="108" t="str">
        <f>IFERROR(IF(INDEX([1]자격증DB!I:I, MATCH(#REF!, [1]자격증DB!$A:$A, 0))=0, "", INDEX([1]자격증DB!I:I, MATCH(#REF!, [1]자격증DB!$A:$A, 0))), "")</f>
        <v/>
      </c>
      <c r="Q140" s="108" t="str">
        <f>IFERROR(IF(INDEX([1]자격증DB!J:J, MATCH(#REF!, [1]자격증DB!$A:$A, 0))=0, "", INDEX([1]자격증DB!J:J, MATCH(#REF!, [1]자격증DB!$A:$A, 0))), "")</f>
        <v/>
      </c>
      <c r="R140" s="108" t="str">
        <f>IFERROR(IF(INDEX([1]자격증DB!K:K, MATCH(#REF!, [1]자격증DB!$A:$A, 0))=0, "", INDEX([1]자격증DB!K:K, MATCH(#REF!, [1]자격증DB!$A:$A, 0))), "")</f>
        <v/>
      </c>
      <c r="S140" s="108" t="str">
        <f>IFERROR(IF(INDEX([1]자격증DB!L:L, MATCH(#REF!, [1]자격증DB!$A:$A, 0))=0, "", INDEX([1]자격증DB!L:L, MATCH(#REF!, [1]자격증DB!$A:$A, 0))), "")</f>
        <v/>
      </c>
      <c r="T140" s="108" t="str">
        <f>IFERROR(IF(INDEX([1]자격증DB!M:M, MATCH(#REF!, [1]자격증DB!$A:$A, 0))=0, "", INDEX([1]자격증DB!M:M, MATCH(#REF!, [1]자격증DB!$A:$A, 0))), "")</f>
        <v/>
      </c>
      <c r="U140" s="108" t="str">
        <f>IFERROR(IF(INDEX([1]자격증DB!N:N, MATCH(#REF!, [1]자격증DB!$A:$A, 0))=0, "", INDEX([1]자격증DB!N:N, MATCH(#REF!, [1]자격증DB!$A:$A, 0))), "")</f>
        <v/>
      </c>
      <c r="V140" s="108" t="str">
        <f>IFERROR(IF(INDEX([1]자격증DB!O:O, MATCH(#REF!, [1]자격증DB!$A:$A, 0))=0, "", INDEX([1]자격증DB!O:O, MATCH(#REF!, [1]자격증DB!$A:$A, 0))), "")</f>
        <v/>
      </c>
      <c r="W140" s="114" t="str">
        <f>IFERROR(IF(INDEX([1]자격증DB!P:P, MATCH(#REF!, [1]자격증DB!$A:$A, 0))=0, "", INDEX([1]자격증DB!P:P, MATCH(#REF!, [1]자격증DB!$A:$A, 0))), "")</f>
        <v/>
      </c>
      <c r="X140" s="1" t="str">
        <f>IFERROR(IF(INDEX([1]자격증DB!P:P, MATCH($D161, [1]자격증DB!$A:$A, 0))=0, "", INDEX([1]자격증DB!P:P, MATCH($D161, [1]자격증DB!$A:$A, 0))), "")</f>
        <v/>
      </c>
      <c r="Y140" s="370" t="str">
        <f>A140 &amp; "_" &amp; "자격증_" &amp; COUNTIFS($A$2:A140, A140)</f>
        <v>배병권_자격증_6</v>
      </c>
      <c r="Z140" s="370" t="str">
        <f>D141 &amp; "_" &amp;"자격증_" &amp;  COUNTIFS($D$2:D161, D141)</f>
        <v>구매 자재관리사_자격증_1</v>
      </c>
    </row>
    <row r="141" spans="1:26">
      <c r="A141" s="413" t="s">
        <v>813</v>
      </c>
      <c r="B141" s="414" t="str">
        <f>IFERROR(INDEX([1]개인DB!C:C, MATCH($A141, [1]개인DB!B:B, 0)), "")</f>
        <v>원가분석</v>
      </c>
      <c r="C141" s="414" t="str">
        <f>IFERROR(INDEX([1]개인DB!D:D, MATCH($A141, [1]개인DB!B:B, 0)), "")</f>
        <v>수석</v>
      </c>
      <c r="D141" s="415" t="s">
        <v>840</v>
      </c>
      <c r="E141" s="414" t="s">
        <v>841</v>
      </c>
      <c r="F141" s="416" t="str">
        <f>IFERROR(INDEX([1]자격증DB!B:B, MATCH($D141, [1]자격증DB!A:A, 0)), "")</f>
        <v>산업통상자원부</v>
      </c>
      <c r="G141" s="417" t="str">
        <f>IFERROR(INDEX([1]자격증DB!C:C, MATCH($D141, [1]자격증DB!A:A, 0)), "X")</f>
        <v>(사)한국구매자재관리협회</v>
      </c>
      <c r="H141" s="418" t="str">
        <f>IFERROR(INDEX([1]자격증DB!F:F, MATCH($D141, [1]자격증DB!A:A, 0)), "X")</f>
        <v>자격증</v>
      </c>
      <c r="I141" s="419" t="s">
        <v>842</v>
      </c>
      <c r="J141" s="419"/>
      <c r="K141" s="420"/>
      <c r="L141" s="421" t="str">
        <f t="shared" si="14"/>
        <v>PDF</v>
      </c>
      <c r="M141" s="422" t="str">
        <f t="shared" si="13"/>
        <v>구매 자재관리사_배병권</v>
      </c>
      <c r="N141" s="423" t="str">
        <f>IFERROR(IF(INDEX([1]자격증DB!G:G, MATCH($D141, [1]자격증DB!$A:$A, 0))=0, "", INDEX([1]자격증DB!G:G, MATCH($D141, [1]자격증DB!$A:$A, 0))), "")</f>
        <v>CA-110</v>
      </c>
      <c r="O141" s="424" t="str">
        <f>IFERROR(IF(INDEX([1]자격증DB!H:H, MATCH(#REF!, [1]자격증DB!$A:$A, 0))=0, "", INDEX([1]자격증DB!H:H, MATCH(#REF!, [1]자격증DB!$A:$A, 0))), "")</f>
        <v/>
      </c>
      <c r="P141" s="425" t="str">
        <f>IFERROR(IF(INDEX([1]자격증DB!I:I, MATCH(#REF!, [1]자격증DB!$A:$A, 0))=0, "", INDEX([1]자격증DB!I:I, MATCH(#REF!, [1]자격증DB!$A:$A, 0))), "")</f>
        <v/>
      </c>
      <c r="Q141" s="425" t="str">
        <f>IFERROR(IF(INDEX([1]자격증DB!J:J, MATCH(#REF!, [1]자격증DB!$A:$A, 0))=0, "", INDEX([1]자격증DB!J:J, MATCH(#REF!, [1]자격증DB!$A:$A, 0))), "")</f>
        <v/>
      </c>
      <c r="R141" s="425" t="str">
        <f>IFERROR(IF(INDEX([1]자격증DB!K:K, MATCH(#REF!, [1]자격증DB!$A:$A, 0))=0, "", INDEX([1]자격증DB!K:K, MATCH(#REF!, [1]자격증DB!$A:$A, 0))), "")</f>
        <v/>
      </c>
      <c r="S141" s="425" t="str">
        <f>IFERROR(IF(INDEX([1]자격증DB!L:L, MATCH(#REF!, [1]자격증DB!$A:$A, 0))=0, "", INDEX([1]자격증DB!L:L, MATCH(#REF!, [1]자격증DB!$A:$A, 0))), "")</f>
        <v/>
      </c>
      <c r="T141" s="425" t="str">
        <f>IFERROR(IF(INDEX([1]자격증DB!M:M, MATCH(#REF!, [1]자격증DB!$A:$A, 0))=0, "", INDEX([1]자격증DB!M:M, MATCH(#REF!, [1]자격증DB!$A:$A, 0))), "")</f>
        <v/>
      </c>
      <c r="U141" s="425" t="str">
        <f>IFERROR(IF(INDEX([1]자격증DB!N:N, MATCH(#REF!, [1]자격증DB!$A:$A, 0))=0, "", INDEX([1]자격증DB!N:N, MATCH(#REF!, [1]자격증DB!$A:$A, 0))), "")</f>
        <v/>
      </c>
      <c r="V141" s="425" t="str">
        <f>IFERROR(IF(INDEX([1]자격증DB!O:O, MATCH(#REF!, [1]자격증DB!$A:$A, 0))=0, "", INDEX([1]자격증DB!O:O, MATCH(#REF!, [1]자격증DB!$A:$A, 0))), "")</f>
        <v/>
      </c>
      <c r="W141" s="426" t="str">
        <f>IFERROR(IF(INDEX([1]자격증DB!P:P, MATCH(#REF!, [1]자격증DB!$A:$A, 0))=0, "", INDEX([1]자격증DB!P:P, MATCH(#REF!, [1]자격증DB!$A:$A, 0))), "")</f>
        <v/>
      </c>
      <c r="X141" s="1" t="str">
        <f>IFERROR(IF(INDEX([1]자격증DB!P:P, MATCH($D162, [1]자격증DB!$A:$A, 0))=0, "", INDEX([1]자격증DB!P:P, MATCH($D162, [1]자격증DB!$A:$A, 0))), "")</f>
        <v/>
      </c>
      <c r="Y141" s="370" t="str">
        <f>A141 &amp; "_" &amp; "자격증_" &amp; COUNTIFS($A$2:A141, A141)</f>
        <v>배병권_자격증_7</v>
      </c>
      <c r="Z141" s="370" t="str">
        <f>D142 &amp; "_" &amp;"자격증_" &amp;  COUNTIFS($D$2:D162, D142)</f>
        <v>구매공급전문가_자격증_1</v>
      </c>
    </row>
    <row r="142" spans="1:26">
      <c r="A142" s="265" t="s">
        <v>813</v>
      </c>
      <c r="B142" s="160" t="str">
        <f>IFERROR(INDEX([1]개인DB!C:C, MATCH($A142, [1]개인DB!B:B, 0)), "")</f>
        <v>원가분석</v>
      </c>
      <c r="C142" s="160" t="str">
        <f>IFERROR(INDEX([1]개인DB!D:D, MATCH($A142, [1]개인DB!B:B, 0)), "")</f>
        <v>수석</v>
      </c>
      <c r="D142" s="371" t="s">
        <v>843</v>
      </c>
      <c r="E142" s="160" t="s">
        <v>844</v>
      </c>
      <c r="F142" s="132" t="str">
        <f>IFERROR(INDEX([1]자격증DB!B:B, MATCH($D142, [1]자격증DB!A:A, 0)), "")</f>
        <v>산업통상자원부</v>
      </c>
      <c r="G142" s="206" t="str">
        <f>IFERROR(INDEX([1]자격증DB!C:C, MATCH($D142, [1]자격증DB!A:A, 0)), "X")</f>
        <v>미국 공급관리협회인</v>
      </c>
      <c r="H142" s="260" t="str">
        <f>IFERROR(INDEX([1]자격증DB!F:F, MATCH($D142, [1]자격증DB!A:A, 0)), "X")</f>
        <v>자격증</v>
      </c>
      <c r="I142" s="207" t="s">
        <v>845</v>
      </c>
      <c r="J142" s="207"/>
      <c r="K142" s="208"/>
      <c r="L142" s="209" t="str">
        <f t="shared" si="14"/>
        <v>PDF</v>
      </c>
      <c r="M142" s="277" t="str">
        <f t="shared" si="13"/>
        <v>구매공급전문가_배병권</v>
      </c>
      <c r="N142" s="372" t="str">
        <f>IFERROR(IF(INDEX([1]자격증DB!G:G, MATCH($D142, [1]자격증DB!$A:$A, 0))=0, "", INDEX([1]자격증DB!G:G, MATCH($D142, [1]자격증DB!$A:$A, 0))), "")</f>
        <v>CA-110</v>
      </c>
      <c r="O142" s="264" t="str">
        <f>IFERROR(IF(INDEX([1]자격증DB!H:H, MATCH(#REF!, [1]자격증DB!$A:$A, 0))=0, "", INDEX([1]자격증DB!H:H, MATCH(#REF!, [1]자격증DB!$A:$A, 0))), "")</f>
        <v/>
      </c>
      <c r="P142" s="108" t="str">
        <f>IFERROR(IF(INDEX([1]자격증DB!I:I, MATCH(#REF!, [1]자격증DB!$A:$A, 0))=0, "", INDEX([1]자격증DB!I:I, MATCH(#REF!, [1]자격증DB!$A:$A, 0))), "")</f>
        <v/>
      </c>
      <c r="Q142" s="108" t="str">
        <f>IFERROR(IF(INDEX([1]자격증DB!J:J, MATCH(#REF!, [1]자격증DB!$A:$A, 0))=0, "", INDEX([1]자격증DB!J:J, MATCH(#REF!, [1]자격증DB!$A:$A, 0))), "")</f>
        <v/>
      </c>
      <c r="R142" s="108" t="str">
        <f>IFERROR(IF(INDEX([1]자격증DB!K:K, MATCH(#REF!, [1]자격증DB!$A:$A, 0))=0, "", INDEX([1]자격증DB!K:K, MATCH(#REF!, [1]자격증DB!$A:$A, 0))), "")</f>
        <v/>
      </c>
      <c r="S142" s="108" t="str">
        <f>IFERROR(IF(INDEX([1]자격증DB!L:L, MATCH(#REF!, [1]자격증DB!$A:$A, 0))=0, "", INDEX([1]자격증DB!L:L, MATCH(#REF!, [1]자격증DB!$A:$A, 0))), "")</f>
        <v/>
      </c>
      <c r="T142" s="108" t="str">
        <f>IFERROR(IF(INDEX([1]자격증DB!M:M, MATCH(#REF!, [1]자격증DB!$A:$A, 0))=0, "", INDEX([1]자격증DB!M:M, MATCH(#REF!, [1]자격증DB!$A:$A, 0))), "")</f>
        <v/>
      </c>
      <c r="U142" s="108" t="str">
        <f>IFERROR(IF(INDEX([1]자격증DB!N:N, MATCH(#REF!, [1]자격증DB!$A:$A, 0))=0, "", INDEX([1]자격증DB!N:N, MATCH(#REF!, [1]자격증DB!$A:$A, 0))), "")</f>
        <v/>
      </c>
      <c r="V142" s="108" t="str">
        <f>IFERROR(IF(INDEX([1]자격증DB!O:O, MATCH(#REF!, [1]자격증DB!$A:$A, 0))=0, "", INDEX([1]자격증DB!O:O, MATCH(#REF!, [1]자격증DB!$A:$A, 0))), "")</f>
        <v/>
      </c>
      <c r="W142" s="114" t="str">
        <f>IFERROR(IF(INDEX([1]자격증DB!P:P, MATCH(#REF!, [1]자격증DB!$A:$A, 0))=0, "", INDEX([1]자격증DB!P:P, MATCH(#REF!, [1]자격증DB!$A:$A, 0))), "")</f>
        <v/>
      </c>
      <c r="X142" s="1" t="str">
        <f>IFERROR(IF(INDEX([1]자격증DB!P:P, MATCH($D163, [1]자격증DB!$A:$A, 0))=0, "", INDEX([1]자격증DB!P:P, MATCH($D163, [1]자격증DB!$A:$A, 0))), "")</f>
        <v/>
      </c>
      <c r="Y142" s="370" t="str">
        <f>A142 &amp; "_" &amp; "자격증_" &amp; COUNTIFS($A$2:A142, A142)</f>
        <v>배병권_자격증_8</v>
      </c>
      <c r="Z142" s="370" t="str">
        <f>D143 &amp; "_" &amp;"자격증_" &amp;  COUNTIFS($D$2:D163, D143)</f>
        <v>6시그마 블랙밸트_자격증_1</v>
      </c>
    </row>
    <row r="143" spans="1:26">
      <c r="A143" s="413" t="s">
        <v>813</v>
      </c>
      <c r="B143" s="414" t="str">
        <f>IFERROR(INDEX([1]개인DB!C:C, MATCH($A143, [1]개인DB!B:B, 0)), "")</f>
        <v>원가분석</v>
      </c>
      <c r="C143" s="414" t="str">
        <f>IFERROR(INDEX([1]개인DB!D:D, MATCH($A143, [1]개인DB!B:B, 0)), "")</f>
        <v>수석</v>
      </c>
      <c r="D143" s="415" t="s">
        <v>846</v>
      </c>
      <c r="E143" s="414" t="s">
        <v>819</v>
      </c>
      <c r="F143" s="416" t="s">
        <v>847</v>
      </c>
      <c r="G143" s="417" t="str">
        <f>IFERROR(INDEX([1]자격증DB!C:C, MATCH($D143, [1]자격증DB!A:A, 0)), "X")</f>
        <v>동부제강주식회사</v>
      </c>
      <c r="H143" s="418" t="str">
        <f>IFERROR(INDEX([1]자격증DB!F:F, MATCH($D143, [1]자격증DB!A:A, 0)), "X")</f>
        <v>등록증</v>
      </c>
      <c r="I143" s="419" t="s">
        <v>848</v>
      </c>
      <c r="J143" s="419"/>
      <c r="K143" s="420"/>
      <c r="L143" s="421" t="str">
        <f>HYPERLINK("학력, 자격증-excel 연동 파일\" &amp; A143 &amp; "\자격증\" &amp; D151 &amp; "_" &amp; A143 &amp; ".pdf", "PDF")</f>
        <v>PDF</v>
      </c>
      <c r="M143" s="422" t="str">
        <f t="shared" si="13"/>
        <v>6시그마 블랙밸트_배병권</v>
      </c>
      <c r="N143" s="423" t="str">
        <f>IFERROR(IF(INDEX([1]자격증DB!G:G, MATCH($D143, [1]자격증DB!$A:$A, 0))=0, "", INDEX([1]자격증DB!G:G, MATCH($D143, [1]자격증DB!$A:$A, 0))), "")</f>
        <v/>
      </c>
      <c r="O143" s="424" t="str">
        <f>IFERROR(IF(INDEX([1]자격증DB!H:H, MATCH(#REF!, [1]자격증DB!$A:$A, 0))=0, "", INDEX([1]자격증DB!H:H, MATCH(#REF!, [1]자격증DB!$A:$A, 0))), "")</f>
        <v/>
      </c>
      <c r="P143" s="425" t="str">
        <f>IFERROR(IF(INDEX([1]자격증DB!I:I, MATCH(#REF!, [1]자격증DB!$A:$A, 0))=0, "", INDEX([1]자격증DB!I:I, MATCH(#REF!, [1]자격증DB!$A:$A, 0))), "")</f>
        <v/>
      </c>
      <c r="Q143" s="425" t="str">
        <f>IFERROR(IF(INDEX([1]자격증DB!J:J, MATCH(#REF!, [1]자격증DB!$A:$A, 0))=0, "", INDEX([1]자격증DB!J:J, MATCH(#REF!, [1]자격증DB!$A:$A, 0))), "")</f>
        <v/>
      </c>
      <c r="R143" s="425" t="str">
        <f>IFERROR(IF(INDEX([1]자격증DB!K:K, MATCH(#REF!, [1]자격증DB!$A:$A, 0))=0, "", INDEX([1]자격증DB!K:K, MATCH(#REF!, [1]자격증DB!$A:$A, 0))), "")</f>
        <v/>
      </c>
      <c r="S143" s="425" t="str">
        <f>IFERROR(IF(INDEX([1]자격증DB!L:L, MATCH(#REF!, [1]자격증DB!$A:$A, 0))=0, "", INDEX([1]자격증DB!L:L, MATCH(#REF!, [1]자격증DB!$A:$A, 0))), "")</f>
        <v/>
      </c>
      <c r="T143" s="425" t="str">
        <f>IFERROR(IF(INDEX([1]자격증DB!M:M, MATCH(#REF!, [1]자격증DB!$A:$A, 0))=0, "", INDEX([1]자격증DB!M:M, MATCH(#REF!, [1]자격증DB!$A:$A, 0))), "")</f>
        <v/>
      </c>
      <c r="U143" s="425" t="str">
        <f>IFERROR(IF(INDEX([1]자격증DB!N:N, MATCH(#REF!, [1]자격증DB!$A:$A, 0))=0, "", INDEX([1]자격증DB!N:N, MATCH(#REF!, [1]자격증DB!$A:$A, 0))), "")</f>
        <v/>
      </c>
      <c r="V143" s="425" t="str">
        <f>IFERROR(IF(INDEX([1]자격증DB!O:O, MATCH(#REF!, [1]자격증DB!$A:$A, 0))=0, "", INDEX([1]자격증DB!O:O, MATCH(#REF!, [1]자격증DB!$A:$A, 0))), "")</f>
        <v/>
      </c>
      <c r="W143" s="426" t="str">
        <f>IFERROR(IF(INDEX([1]자격증DB!P:P, MATCH(#REF!, [1]자격증DB!$A:$A, 0))=0, "", INDEX([1]자격증DB!P:P, MATCH(#REF!, [1]자격증DB!$A:$A, 0))), "")</f>
        <v/>
      </c>
      <c r="X143" s="1" t="str">
        <f>IFERROR(IF(INDEX([1]자격증DB!P:P, MATCH($D164, [1]자격증DB!$A:$A, 0))=0, "", INDEX([1]자격증DB!P:P, MATCH($D164, [1]자격증DB!$A:$A, 0))), "")</f>
        <v/>
      </c>
      <c r="Y143" s="370" t="str">
        <f>A143 &amp; "_" &amp; "자격증_" &amp; COUNTIFS($A$2:A143, A143)</f>
        <v>배병권_자격증_9</v>
      </c>
      <c r="Z143" s="370" t="str">
        <f>D144 &amp; "_" &amp;"자격증_" &amp;  COUNTIFS($D$2:D164, D144)</f>
        <v>OCP_오라클 데이터베이스 관리자_자격증_1</v>
      </c>
    </row>
    <row r="144" spans="1:26">
      <c r="A144" s="265" t="s">
        <v>813</v>
      </c>
      <c r="B144" s="160" t="str">
        <f>IFERROR(INDEX([1]개인DB!C:C, MATCH($A144, [1]개인DB!B:B, 0)), "")</f>
        <v>원가분석</v>
      </c>
      <c r="C144" s="160" t="str">
        <f>IFERROR(INDEX([1]개인DB!D:D, MATCH($A144, [1]개인DB!B:B, 0)), "")</f>
        <v>수석</v>
      </c>
      <c r="D144" s="371" t="s">
        <v>849</v>
      </c>
      <c r="E144" s="160" t="s">
        <v>819</v>
      </c>
      <c r="F144" s="132"/>
      <c r="G144" s="206" t="str">
        <f>IFERROR(INDEX([1]자격증DB!C:C, MATCH($D144, [1]자격증DB!A:A, 0)), "X")</f>
        <v>Oracle Corporation</v>
      </c>
      <c r="H144" s="260" t="str">
        <f>IFERROR(INDEX([1]자격증DB!F:F, MATCH($D144, [1]자격증DB!A:A, 0)), "X")</f>
        <v>자격증</v>
      </c>
      <c r="I144" s="207" t="s">
        <v>850</v>
      </c>
      <c r="J144" s="207"/>
      <c r="K144" s="208"/>
      <c r="L144" s="209" t="str">
        <f>HYPERLINK("학력, 자격증-excel 연동 파일\" &amp; A144 &amp; "\자격증\" &amp; D152 &amp; "_" &amp; A144 &amp; ".pdf", "PDF")</f>
        <v>PDF</v>
      </c>
      <c r="M144" s="277" t="str">
        <f t="shared" si="13"/>
        <v>OCP_오라클 데이터베이스 관리자_배병권</v>
      </c>
      <c r="N144" s="372" t="str">
        <f>IFERROR(IF(INDEX([1]자격증DB!G:G, MATCH($D144, [1]자격증DB!$A:$A, 0))=0, "", INDEX([1]자격증DB!G:G, MATCH($D144, [1]자격증DB!$A:$A, 0))), "")</f>
        <v>CD-410</v>
      </c>
      <c r="O144" s="264" t="str">
        <f>IFERROR(IF(INDEX([1]자격증DB!H:H, MATCH(#REF!, [1]자격증DB!$A:$A, 0))=0, "", INDEX([1]자격증DB!H:H, MATCH(#REF!, [1]자격증DB!$A:$A, 0))), "")</f>
        <v/>
      </c>
      <c r="P144" s="108" t="str">
        <f>IFERROR(IF(INDEX([1]자격증DB!I:I, MATCH(#REF!, [1]자격증DB!$A:$A, 0))=0, "", INDEX([1]자격증DB!I:I, MATCH(#REF!, [1]자격증DB!$A:$A, 0))), "")</f>
        <v/>
      </c>
      <c r="Q144" s="108" t="str">
        <f>IFERROR(IF(INDEX([1]자격증DB!J:J, MATCH(#REF!, [1]자격증DB!$A:$A, 0))=0, "", INDEX([1]자격증DB!J:J, MATCH(#REF!, [1]자격증DB!$A:$A, 0))), "")</f>
        <v/>
      </c>
      <c r="R144" s="108" t="str">
        <f>IFERROR(IF(INDEX([1]자격증DB!K:K, MATCH(#REF!, [1]자격증DB!$A:$A, 0))=0, "", INDEX([1]자격증DB!K:K, MATCH(#REF!, [1]자격증DB!$A:$A, 0))), "")</f>
        <v/>
      </c>
      <c r="S144" s="108" t="str">
        <f>IFERROR(IF(INDEX([1]자격증DB!L:L, MATCH(#REF!, [1]자격증DB!$A:$A, 0))=0, "", INDEX([1]자격증DB!L:L, MATCH(#REF!, [1]자격증DB!$A:$A, 0))), "")</f>
        <v/>
      </c>
      <c r="T144" s="108" t="str">
        <f>IFERROR(IF(INDEX([1]자격증DB!M:M, MATCH(#REF!, [1]자격증DB!$A:$A, 0))=0, "", INDEX([1]자격증DB!M:M, MATCH(#REF!, [1]자격증DB!$A:$A, 0))), "")</f>
        <v/>
      </c>
      <c r="U144" s="108" t="str">
        <f>IFERROR(IF(INDEX([1]자격증DB!N:N, MATCH(#REF!, [1]자격증DB!$A:$A, 0))=0, "", INDEX([1]자격증DB!N:N, MATCH(#REF!, [1]자격증DB!$A:$A, 0))), "")</f>
        <v/>
      </c>
      <c r="V144" s="108" t="str">
        <f>IFERROR(IF(INDEX([1]자격증DB!O:O, MATCH(#REF!, [1]자격증DB!$A:$A, 0))=0, "", INDEX([1]자격증DB!O:O, MATCH(#REF!, [1]자격증DB!$A:$A, 0))), "")</f>
        <v/>
      </c>
      <c r="W144" s="114" t="str">
        <f>IFERROR(IF(INDEX([1]자격증DB!P:P, MATCH(#REF!, [1]자격증DB!$A:$A, 0))=0, "", INDEX([1]자격증DB!P:P, MATCH(#REF!, [1]자격증DB!$A:$A, 0))), "")</f>
        <v/>
      </c>
      <c r="X144" s="1" t="str">
        <f>IFERROR(IF(INDEX([1]자격증DB!P:P, MATCH($D165, [1]자격증DB!$A:$A, 0))=0, "", INDEX([1]자격증DB!P:P, MATCH($D165, [1]자격증DB!$A:$A, 0))), "")</f>
        <v/>
      </c>
      <c r="Y144" s="370" t="str">
        <f>A144 &amp; "_" &amp; "자격증_" &amp; COUNTIFS($A$2:A144, A144)</f>
        <v>배병권_자격증_10</v>
      </c>
      <c r="Z144" s="370" t="str">
        <f>D145 &amp; "_" &amp;"자격증_" &amp;  COUNTIFS($D$2:D165, D145)</f>
        <v>MCSE_MCDBA_자격증_1</v>
      </c>
    </row>
    <row r="145" spans="1:26">
      <c r="A145" s="413" t="s">
        <v>813</v>
      </c>
      <c r="B145" s="414" t="str">
        <f>IFERROR(INDEX([1]개인DB!C:C, MATCH($A145, [1]개인DB!B:B, 0)), "")</f>
        <v>원가분석</v>
      </c>
      <c r="C145" s="414" t="str">
        <f>IFERROR(INDEX([1]개인DB!D:D, MATCH($A145, [1]개인DB!B:B, 0)), "")</f>
        <v>수석</v>
      </c>
      <c r="D145" s="415" t="s">
        <v>851</v>
      </c>
      <c r="E145" s="414" t="s">
        <v>819</v>
      </c>
      <c r="F145" s="416"/>
      <c r="G145" s="417" t="str">
        <f>IFERROR(INDEX([1]자격증DB!C:C, MATCH($D145, [1]자격증DB!A:A, 0)), "X")</f>
        <v>Microsoft Corporation</v>
      </c>
      <c r="H145" s="418" t="str">
        <f>IFERROR(INDEX([1]자격증DB!F:F, MATCH($D145, [1]자격증DB!A:A, 0)), "X")</f>
        <v>자격증</v>
      </c>
      <c r="I145" s="419" t="s">
        <v>848</v>
      </c>
      <c r="J145" s="419"/>
      <c r="K145" s="420"/>
      <c r="L145" s="421" t="str">
        <f>HYPERLINK("학력, 자격증-excel 연동 파일\" &amp; A145 &amp; "\자격증\" &amp; D153 &amp; "_" &amp; A145 &amp; ".pdf", "PDF")</f>
        <v>PDF</v>
      </c>
      <c r="M145" s="422" t="str">
        <f t="shared" si="13"/>
        <v>MCSE_MCDBA_배병권</v>
      </c>
      <c r="N145" s="423" t="str">
        <f>IFERROR(IF(INDEX([1]자격증DB!G:G, MATCH($D145, [1]자격증DB!$A:$A, 0))=0, "", INDEX([1]자격증DB!G:G, MATCH($D145, [1]자격증DB!$A:$A, 0))), "")</f>
        <v>CD-410</v>
      </c>
      <c r="O145" s="424" t="str">
        <f>IFERROR(IF(INDEX([1]자격증DB!H:H, MATCH(#REF!, [1]자격증DB!$A:$A, 0))=0, "", INDEX([1]자격증DB!H:H, MATCH(#REF!, [1]자격증DB!$A:$A, 0))), "")</f>
        <v/>
      </c>
      <c r="P145" s="425" t="str">
        <f>IFERROR(IF(INDEX([1]자격증DB!I:I, MATCH(#REF!, [1]자격증DB!$A:$A, 0))=0, "", INDEX([1]자격증DB!I:I, MATCH(#REF!, [1]자격증DB!$A:$A, 0))), "")</f>
        <v/>
      </c>
      <c r="Q145" s="425" t="str">
        <f>IFERROR(IF(INDEX([1]자격증DB!J:J, MATCH(#REF!, [1]자격증DB!$A:$A, 0))=0, "", INDEX([1]자격증DB!J:J, MATCH(#REF!, [1]자격증DB!$A:$A, 0))), "")</f>
        <v/>
      </c>
      <c r="R145" s="425" t="str">
        <f>IFERROR(IF(INDEX([1]자격증DB!K:K, MATCH(#REF!, [1]자격증DB!$A:$A, 0))=0, "", INDEX([1]자격증DB!K:K, MATCH(#REF!, [1]자격증DB!$A:$A, 0))), "")</f>
        <v/>
      </c>
      <c r="S145" s="425" t="str">
        <f>IFERROR(IF(INDEX([1]자격증DB!L:L, MATCH(#REF!, [1]자격증DB!$A:$A, 0))=0, "", INDEX([1]자격증DB!L:L, MATCH(#REF!, [1]자격증DB!$A:$A, 0))), "")</f>
        <v/>
      </c>
      <c r="T145" s="425" t="str">
        <f>IFERROR(IF(INDEX([1]자격증DB!M:M, MATCH(#REF!, [1]자격증DB!$A:$A, 0))=0, "", INDEX([1]자격증DB!M:M, MATCH(#REF!, [1]자격증DB!$A:$A, 0))), "")</f>
        <v/>
      </c>
      <c r="U145" s="425" t="str">
        <f>IFERROR(IF(INDEX([1]자격증DB!N:N, MATCH(#REF!, [1]자격증DB!$A:$A, 0))=0, "", INDEX([1]자격증DB!N:N, MATCH(#REF!, [1]자격증DB!$A:$A, 0))), "")</f>
        <v/>
      </c>
      <c r="V145" s="425" t="str">
        <f>IFERROR(IF(INDEX([1]자격증DB!O:O, MATCH(#REF!, [1]자격증DB!$A:$A, 0))=0, "", INDEX([1]자격증DB!O:O, MATCH(#REF!, [1]자격증DB!$A:$A, 0))), "")</f>
        <v/>
      </c>
      <c r="W145" s="426" t="str">
        <f>IFERROR(IF(INDEX([1]자격증DB!P:P, MATCH(#REF!, [1]자격증DB!$A:$A, 0))=0, "", INDEX([1]자격증DB!P:P, MATCH(#REF!, [1]자격증DB!$A:$A, 0))), "")</f>
        <v/>
      </c>
      <c r="X145" s="1" t="str">
        <f>IFERROR(IF(INDEX([1]자격증DB!P:P, MATCH($D166, [1]자격증DB!$A:$A, 0))=0, "", INDEX([1]자격증DB!P:P, MATCH($D166, [1]자격증DB!$A:$A, 0))), "")</f>
        <v/>
      </c>
      <c r="Y145" s="370" t="str">
        <f>A145 &amp; "_" &amp; "자격증_" &amp; COUNTIFS($A$2:A145, A145)</f>
        <v>배병권_자격증_11</v>
      </c>
      <c r="Z145" s="370" t="str">
        <f>D146 &amp; "_" &amp;"자격증_" &amp;  COUNTIFS($D$2:D166, D146)</f>
        <v>MCDBA_마이크로소프트 데이터베이스 관리자_자격증_1</v>
      </c>
    </row>
    <row r="146" spans="1:26">
      <c r="A146" s="265" t="s">
        <v>813</v>
      </c>
      <c r="B146" s="160" t="str">
        <f>IFERROR(INDEX([1]개인DB!C:C, MATCH($A146, [1]개인DB!B:B, 0)), "")</f>
        <v>원가분석</v>
      </c>
      <c r="C146" s="160" t="str">
        <f>IFERROR(INDEX([1]개인DB!D:D, MATCH($A146, [1]개인DB!B:B, 0)), "")</f>
        <v>수석</v>
      </c>
      <c r="D146" s="371" t="s">
        <v>852</v>
      </c>
      <c r="E146" s="160" t="s">
        <v>819</v>
      </c>
      <c r="F146" s="132"/>
      <c r="G146" s="206" t="str">
        <f>IFERROR(INDEX([1]자격증DB!C:C, MATCH($D146, [1]자격증DB!A:A, 0)), "X")</f>
        <v>Microsoft Corporation</v>
      </c>
      <c r="H146" s="260" t="str">
        <f>IFERROR(INDEX([1]자격증DB!F:F, MATCH($D146, [1]자격증DB!A:A, 0)), "X")</f>
        <v>자격증</v>
      </c>
      <c r="I146" s="207" t="s">
        <v>848</v>
      </c>
      <c r="J146" s="207"/>
      <c r="K146" s="208"/>
      <c r="L146" s="209" t="e">
        <f>HYPERLINK("학력, 자격증-excel 연동 파일\" &amp; A146 &amp; "\자격증\" &amp;#REF! &amp; "_" &amp; A146 &amp; ".pdf", "PDF")</f>
        <v>#REF!</v>
      </c>
      <c r="M146" s="277" t="str">
        <f t="shared" si="13"/>
        <v>MCDBA_마이크로소프트 데이터베이스 관리자_배병권</v>
      </c>
      <c r="N146" s="372" t="str">
        <f>IFERROR(IF(INDEX([1]자격증DB!G:G, MATCH($D146, [1]자격증DB!$A:$A, 0))=0, "", INDEX([1]자격증DB!G:G, MATCH($D146, [1]자격증DB!$A:$A, 0))), "")</f>
        <v>CD-410</v>
      </c>
      <c r="O146" s="264" t="str">
        <f>IFERROR(IF(INDEX([1]자격증DB!H:H, MATCH(#REF!, [1]자격증DB!$A:$A, 0))=0, "", INDEX([1]자격증DB!H:H, MATCH(#REF!, [1]자격증DB!$A:$A, 0))), "")</f>
        <v/>
      </c>
      <c r="P146" s="108" t="str">
        <f>IFERROR(IF(INDEX([1]자격증DB!I:I, MATCH(#REF!, [1]자격증DB!$A:$A, 0))=0, "", INDEX([1]자격증DB!I:I, MATCH(#REF!, [1]자격증DB!$A:$A, 0))), "")</f>
        <v/>
      </c>
      <c r="Q146" s="108" t="str">
        <f>IFERROR(IF(INDEX([1]자격증DB!J:J, MATCH(#REF!, [1]자격증DB!$A:$A, 0))=0, "", INDEX([1]자격증DB!J:J, MATCH(#REF!, [1]자격증DB!$A:$A, 0))), "")</f>
        <v/>
      </c>
      <c r="R146" s="108" t="str">
        <f>IFERROR(IF(INDEX([1]자격증DB!K:K, MATCH(#REF!, [1]자격증DB!$A:$A, 0))=0, "", INDEX([1]자격증DB!K:K, MATCH(#REF!, [1]자격증DB!$A:$A, 0))), "")</f>
        <v/>
      </c>
      <c r="S146" s="108" t="str">
        <f>IFERROR(IF(INDEX([1]자격증DB!L:L, MATCH(#REF!, [1]자격증DB!$A:$A, 0))=0, "", INDEX([1]자격증DB!L:L, MATCH(#REF!, [1]자격증DB!$A:$A, 0))), "")</f>
        <v/>
      </c>
      <c r="T146" s="108" t="str">
        <f>IFERROR(IF(INDEX([1]자격증DB!M:M, MATCH(#REF!, [1]자격증DB!$A:$A, 0))=0, "", INDEX([1]자격증DB!M:M, MATCH(#REF!, [1]자격증DB!$A:$A, 0))), "")</f>
        <v/>
      </c>
      <c r="U146" s="108" t="str">
        <f>IFERROR(IF(INDEX([1]자격증DB!N:N, MATCH(#REF!, [1]자격증DB!$A:$A, 0))=0, "", INDEX([1]자격증DB!N:N, MATCH(#REF!, [1]자격증DB!$A:$A, 0))), "")</f>
        <v/>
      </c>
      <c r="V146" s="108" t="str">
        <f>IFERROR(IF(INDEX([1]자격증DB!O:O, MATCH(#REF!, [1]자격증DB!$A:$A, 0))=0, "", INDEX([1]자격증DB!O:O, MATCH(#REF!, [1]자격증DB!$A:$A, 0))), "")</f>
        <v/>
      </c>
      <c r="W146" s="114" t="str">
        <f>IFERROR(IF(INDEX([1]자격증DB!P:P, MATCH(#REF!, [1]자격증DB!$A:$A, 0))=0, "", INDEX([1]자격증DB!P:P, MATCH(#REF!, [1]자격증DB!$A:$A, 0))), "")</f>
        <v/>
      </c>
      <c r="X146" s="1" t="str">
        <f>IFERROR(IF(INDEX([1]자격증DB!P:P, MATCH($D167, [1]자격증DB!$A:$A, 0))=0, "", INDEX([1]자격증DB!P:P, MATCH($D167, [1]자격증DB!$A:$A, 0))), "")</f>
        <v/>
      </c>
      <c r="Y146" s="370" t="str">
        <f>A146 &amp; "_" &amp; "자격증_" &amp; COUNTIFS($A$2:A146, A146)</f>
        <v>배병권_자격증_12</v>
      </c>
      <c r="Z146" s="370" t="str">
        <f>D147 &amp; "_" &amp;"자격증_" &amp;  COUNTIFS($D$2:D167, D147)</f>
        <v>경영지도사_자격증_8</v>
      </c>
    </row>
    <row r="147" spans="1:26">
      <c r="A147" s="413" t="s">
        <v>815</v>
      </c>
      <c r="B147" s="414" t="str">
        <f>IFERROR(INDEX([1]개인DB!C:C, MATCH($A147, [1]개인DB!B:B, 0)), "")</f>
        <v>원가분석</v>
      </c>
      <c r="C147" s="414" t="str">
        <f>IFERROR(INDEX([1]개인DB!D:D, MATCH($A147, [1]개인DB!B:B, 0)), "")</f>
        <v>사원</v>
      </c>
      <c r="D147" s="415" t="s">
        <v>395</v>
      </c>
      <c r="E147" s="414" t="str">
        <f>IFERROR(INDEX([1]자격증DB!E:E, MATCH($D147, [1]자격증DB!A:A, 0)), "X")</f>
        <v>-</v>
      </c>
      <c r="F147" s="416"/>
      <c r="G147" s="417" t="str">
        <f>IFERROR(INDEX([1]자격증DB!C:C, MATCH($D147, [1]자격증DB!A:A, 0)), "X")</f>
        <v>중소벤처기업부장관</v>
      </c>
      <c r="H147" s="418" t="str">
        <f>IFERROR(INDEX([1]자격증DB!F:F, MATCH($D147, [1]자격증DB!A:A, 0)), "X")</f>
        <v>등록증</v>
      </c>
      <c r="I147" s="419">
        <v>44197</v>
      </c>
      <c r="J147" s="419">
        <v>44197</v>
      </c>
      <c r="K147" s="420" t="s">
        <v>853</v>
      </c>
      <c r="L147" s="421" t="str">
        <f t="shared" ref="L147:L156" si="15">HYPERLINK("학력, 자격증-excel 연동 파일\" &amp; A147 &amp; "\자격증\" &amp; D147 &amp; "_" &amp; A147 &amp; ".pdf", "PDF")</f>
        <v>PDF</v>
      </c>
      <c r="M147" s="422" t="str">
        <f t="shared" si="13"/>
        <v>경영지도사_김태욱</v>
      </c>
      <c r="N147" s="423" t="str">
        <f>IFERROR(IF(INDEX([1]자격증DB!G:G, MATCH($D147, [1]자격증DB!$A:$A, 0))=0, "", INDEX([1]자격증DB!G:G, MATCH($D147, [1]자격증DB!$A:$A, 0))), "")</f>
        <v>공통</v>
      </c>
      <c r="O147" s="424" t="str">
        <f>IFERROR(IF(INDEX([1]자격증DB!H:H, MATCH($D147, [1]자격증DB!$A:$A, 0))=0, "", INDEX([1]자격증DB!H:H, MATCH($D147, [1]자격증DB!$A:$A, 0))), "")</f>
        <v>CA-110</v>
      </c>
      <c r="P147" s="425" t="str">
        <f>IFERROR(IF(INDEX([1]자격증DB!I:I, MATCH($D147, [1]자격증DB!$A:$A, 0))=0, "", INDEX([1]자격증DB!I:I, MATCH($D147, [1]자격증DB!$A:$A, 0))), "")</f>
        <v>CB-210</v>
      </c>
      <c r="Q147" s="425" t="str">
        <f>IFERROR(IF(INDEX([1]자격증DB!J:J, MATCH($D147, [1]자격증DB!$A:$A, 0))=0, "", INDEX([1]자격증DB!J:J, MATCH($D147, [1]자격증DB!$A:$A, 0))), "")</f>
        <v>CC-310</v>
      </c>
      <c r="R147" s="425" t="str">
        <f>IFERROR(IF(INDEX([1]자격증DB!K:K, MATCH($D147, [1]자격증DB!$A:$A, 0))=0, "", INDEX([1]자격증DB!K:K, MATCH($D147, [1]자격증DB!$A:$A, 0))), "")</f>
        <v>CD-410</v>
      </c>
      <c r="S147" s="425" t="str">
        <f>IFERROR(IF(INDEX([1]자격증DB!L:L, MATCH($D147, [1]자격증DB!$A:$A, 0))=0, "", INDEX([1]자격증DB!L:L, MATCH($D147, [1]자격증DB!$A:$A, 0))), "")</f>
        <v>CE-500</v>
      </c>
      <c r="T147" s="425" t="str">
        <f>IFERROR(IF(INDEX([1]자격증DB!M:M, MATCH($D147, [1]자격증DB!$A:$A, 0))=0, "", INDEX([1]자격증DB!M:M, MATCH($D147, [1]자격증DB!$A:$A, 0))), "")</f>
        <v>CF-600</v>
      </c>
      <c r="U147" s="425" t="str">
        <f>IFERROR(IF(INDEX([1]자격증DB!N:N, MATCH($D147, [1]자격증DB!$A:$A, 0))=0, "", INDEX([1]자격증DB!N:N, MATCH($D147, [1]자격증DB!$A:$A, 0))), "")</f>
        <v/>
      </c>
      <c r="V147" s="425" t="str">
        <f>IFERROR(IF(INDEX([1]자격증DB!O:O, MATCH($D147, [1]자격증DB!$A:$A, 0))=0, "", INDEX([1]자격증DB!O:O, MATCH($D147, [1]자격증DB!$A:$A, 0))), "")</f>
        <v/>
      </c>
      <c r="W147" s="426" t="str">
        <f>IFERROR(IF(INDEX([1]자격증DB!P:P, MATCH($D147, [1]자격증DB!$A:$A, 0))=0, "", INDEX([1]자격증DB!P:P, MATCH($D147, [1]자격증DB!$A:$A, 0))), "")</f>
        <v/>
      </c>
      <c r="X147" s="1" t="str">
        <f>IFERROR(IF(INDEX([1]자격증DB!P:P, MATCH($D155, [1]자격증DB!$A:$A, 0))=0, "", INDEX([1]자격증DB!P:P, MATCH($D155, [1]자격증DB!$A:$A, 0))), "")</f>
        <v/>
      </c>
      <c r="Y147" s="370" t="str">
        <f>A147 &amp; "_" &amp; "자격증_" &amp; COUNTIFS($A$2:A147, A147)</f>
        <v>김태욱_자격증_1</v>
      </c>
      <c r="Z147" s="370" t="str">
        <f>D147 &amp; "_" &amp;"자격증_" &amp;  COUNTIFS($D$2:D155, D147)</f>
        <v>경영지도사_자격증_8</v>
      </c>
    </row>
    <row r="148" spans="1:26">
      <c r="A148" s="265" t="s">
        <v>815</v>
      </c>
      <c r="B148" s="160" t="str">
        <f>IFERROR(INDEX([1]개인DB!C:C, MATCH($A148, [1]개인DB!B:B, 0)), "")</f>
        <v>원가분석</v>
      </c>
      <c r="C148" s="160" t="str">
        <f>IFERROR(INDEX([1]개인DB!D:D, MATCH($A148, [1]개인DB!B:B, 0)), "")</f>
        <v>사원</v>
      </c>
      <c r="D148" s="371" t="s">
        <v>83</v>
      </c>
      <c r="E148" s="160" t="str">
        <f>IFERROR(INDEX([1]자격증DB!E:E, MATCH($D148, [1]자격증DB!A:A, 0)), "X")</f>
        <v>민간</v>
      </c>
      <c r="F148" s="132"/>
      <c r="G148" s="206" t="str">
        <f>IFERROR(INDEX([1]자격증DB!C:C, MATCH($D148, [1]자격증DB!A:A, 0)), "X")</f>
        <v>(사)기술거래사회</v>
      </c>
      <c r="H148" s="260" t="str">
        <f>IFERROR(INDEX([1]자격증DB!F:F, MATCH($D148, [1]자격증DB!A:A, 0)), "X")</f>
        <v>등록증</v>
      </c>
      <c r="I148" s="207" t="s">
        <v>854</v>
      </c>
      <c r="J148" s="207"/>
      <c r="K148" s="208"/>
      <c r="L148" s="209" t="str">
        <f t="shared" si="15"/>
        <v>PDF</v>
      </c>
      <c r="M148" s="277" t="str">
        <f t="shared" si="13"/>
        <v>기술거래사_김태욱</v>
      </c>
      <c r="N148" s="372" t="str">
        <f>IFERROR(IF(INDEX([1]자격증DB!G:G, MATCH($D148, [1]자격증DB!$A:$A, 0))=0, "", INDEX([1]자격증DB!G:G, MATCH($D148, [1]자격증DB!$A:$A, 0))), "")</f>
        <v>CC-310</v>
      </c>
      <c r="O148" s="264" t="str">
        <f>IFERROR(IF(INDEX([1]자격증DB!H:H, MATCH($D148, [1]자격증DB!$A:$A, 0))=0, "", INDEX([1]자격증DB!H:H, MATCH($D148, [1]자격증DB!$A:$A, 0))), "")</f>
        <v/>
      </c>
      <c r="P148" s="108" t="str">
        <f>IFERROR(IF(INDEX([1]자격증DB!I:I, MATCH($D148, [1]자격증DB!$A:$A, 0))=0, "", INDEX([1]자격증DB!I:I, MATCH($D148, [1]자격증DB!$A:$A, 0))), "")</f>
        <v/>
      </c>
      <c r="Q148" s="108" t="str">
        <f>IFERROR(IF(INDEX([1]자격증DB!J:J, MATCH($D148, [1]자격증DB!$A:$A, 0))=0, "", INDEX([1]자격증DB!J:J, MATCH($D148, [1]자격증DB!$A:$A, 0))), "")</f>
        <v>CC-310</v>
      </c>
      <c r="R148" s="108" t="str">
        <f>IFERROR(IF(INDEX([1]자격증DB!K:K, MATCH($D148, [1]자격증DB!$A:$A, 0))=0, "", INDEX([1]자격증DB!K:K, MATCH($D148, [1]자격증DB!$A:$A, 0))), "")</f>
        <v/>
      </c>
      <c r="S148" s="108" t="str">
        <f>IFERROR(IF(INDEX([1]자격증DB!L:L, MATCH($D148, [1]자격증DB!$A:$A, 0))=0, "", INDEX([1]자격증DB!L:L, MATCH($D148, [1]자격증DB!$A:$A, 0))), "")</f>
        <v/>
      </c>
      <c r="T148" s="108" t="str">
        <f>IFERROR(IF(INDEX([1]자격증DB!M:M, MATCH($D148, [1]자격증DB!$A:$A, 0))=0, "", INDEX([1]자격증DB!M:M, MATCH($D148, [1]자격증DB!$A:$A, 0))), "")</f>
        <v>CF-600</v>
      </c>
      <c r="U148" s="108" t="str">
        <f>IFERROR(IF(INDEX([1]자격증DB!N:N, MATCH($D148, [1]자격증DB!$A:$A, 0))=0, "", INDEX([1]자격증DB!N:N, MATCH($D148, [1]자격증DB!$A:$A, 0))), "")</f>
        <v/>
      </c>
      <c r="V148" s="108" t="str">
        <f>IFERROR(IF(INDEX([1]자격증DB!O:O, MATCH($D148, [1]자격증DB!$A:$A, 0))=0, "", INDEX([1]자격증DB!O:O, MATCH($D148, [1]자격증DB!$A:$A, 0))), "")</f>
        <v/>
      </c>
      <c r="W148" s="114" t="str">
        <f>IFERROR(IF(INDEX([1]자격증DB!P:P, MATCH($D148, [1]자격증DB!$A:$A, 0))=0, "", INDEX([1]자격증DB!P:P, MATCH($D148, [1]자격증DB!$A:$A, 0))), "")</f>
        <v/>
      </c>
      <c r="X148" s="1" t="str">
        <f>IFERROR(IF(INDEX([1]자격증DB!P:P, MATCH(#REF!, [1]자격증DB!$A:$A, 0))=0, "", INDEX([1]자격증DB!P:P, MATCH(#REF!, [1]자격증DB!$A:$A, 0))), "")</f>
        <v/>
      </c>
      <c r="Y148" s="370" t="str">
        <f>A148 &amp; "_" &amp; "자격증_" &amp; COUNTIFS($A$2:A148, A148)</f>
        <v>김태욱_자격증_2</v>
      </c>
      <c r="Z148" s="370" t="str">
        <f>D148 &amp; "_" &amp;"자격증_" &amp;  COUNTIFS($D$2:D155, D148)</f>
        <v>기술거래사_자격증_3</v>
      </c>
    </row>
    <row r="149" spans="1:26">
      <c r="A149" s="413" t="s">
        <v>815</v>
      </c>
      <c r="B149" s="414" t="str">
        <f>IFERROR(INDEX([1]개인DB!C:C, MATCH($A149, [1]개인DB!B:B, 0)), "")</f>
        <v>원가분석</v>
      </c>
      <c r="C149" s="414" t="str">
        <f>IFERROR(INDEX([1]개인DB!D:D, MATCH($A149, [1]개인DB!B:B, 0)), "")</f>
        <v>사원</v>
      </c>
      <c r="D149" s="415" t="s">
        <v>855</v>
      </c>
      <c r="E149" s="414" t="str">
        <f>IFERROR(INDEX([1]자격증DB!E:E, MATCH($D149, [1]자격증DB!A:A, 0)), "X")</f>
        <v>민간</v>
      </c>
      <c r="F149" s="416" t="s">
        <v>119</v>
      </c>
      <c r="G149" s="417" t="str">
        <f>IFERROR(INDEX([1]자격증DB!C:C, MATCH($D149, [1]자격증DB!A:A, 0)), "X")</f>
        <v>(사)한국기업·기술가치평가협회</v>
      </c>
      <c r="H149" s="418" t="str">
        <f>IFERROR(INDEX([1]자격증DB!F:F, MATCH($D149, [1]자격증DB!A:A, 0)), "X")</f>
        <v>자격증</v>
      </c>
      <c r="I149" s="419" t="s">
        <v>856</v>
      </c>
      <c r="J149" s="419"/>
      <c r="K149" s="420"/>
      <c r="L149" s="421" t="str">
        <f t="shared" si="15"/>
        <v>PDF</v>
      </c>
      <c r="M149" s="422" t="str">
        <f t="shared" si="13"/>
        <v>기업·기술가치평가사_김태욱</v>
      </c>
      <c r="N149" s="423" t="str">
        <f>IFERROR(IF(INDEX([1]자격증DB!G:G, MATCH($D149, [1]자격증DB!$A:$A, 0))=0, "", INDEX([1]자격증DB!G:G, MATCH($D149, [1]자격증DB!$A:$A, 0))), "")</f>
        <v/>
      </c>
      <c r="O149" s="424" t="str">
        <f>IFERROR(IF(INDEX([1]자격증DB!H:H, MATCH($D149, [1]자격증DB!$A:$A, 0))=0, "", INDEX([1]자격증DB!H:H, MATCH($D149, [1]자격증DB!$A:$A, 0))), "")</f>
        <v/>
      </c>
      <c r="P149" s="425" t="str">
        <f>IFERROR(IF(INDEX([1]자격증DB!I:I, MATCH($D149, [1]자격증DB!$A:$A, 0))=0, "", INDEX([1]자격증DB!I:I, MATCH($D149, [1]자격증DB!$A:$A, 0))), "")</f>
        <v/>
      </c>
      <c r="Q149" s="425" t="str">
        <f>IFERROR(IF(INDEX([1]자격증DB!J:J, MATCH($D149, [1]자격증DB!$A:$A, 0))=0, "", INDEX([1]자격증DB!J:J, MATCH($D149, [1]자격증DB!$A:$A, 0))), "")</f>
        <v/>
      </c>
      <c r="R149" s="425" t="str">
        <f>IFERROR(IF(INDEX([1]자격증DB!K:K, MATCH($D149, [1]자격증DB!$A:$A, 0))=0, "", INDEX([1]자격증DB!K:K, MATCH($D149, [1]자격증DB!$A:$A, 0))), "")</f>
        <v/>
      </c>
      <c r="S149" s="425" t="str">
        <f>IFERROR(IF(INDEX([1]자격증DB!L:L, MATCH($D149, [1]자격증DB!$A:$A, 0))=0, "", INDEX([1]자격증DB!L:L, MATCH($D149, [1]자격증DB!$A:$A, 0))), "")</f>
        <v/>
      </c>
      <c r="T149" s="425" t="str">
        <f>IFERROR(IF(INDEX([1]자격증DB!M:M, MATCH($D149, [1]자격증DB!$A:$A, 0))=0, "", INDEX([1]자격증DB!M:M, MATCH($D149, [1]자격증DB!$A:$A, 0))), "")</f>
        <v/>
      </c>
      <c r="U149" s="425" t="str">
        <f>IFERROR(IF(INDEX([1]자격증DB!N:N, MATCH($D149, [1]자격증DB!$A:$A, 0))=0, "", INDEX([1]자격증DB!N:N, MATCH($D149, [1]자격증DB!$A:$A, 0))), "")</f>
        <v/>
      </c>
      <c r="V149" s="425" t="str">
        <f>IFERROR(IF(INDEX([1]자격증DB!O:O, MATCH($D149, [1]자격증DB!$A:$A, 0))=0, "", INDEX([1]자격증DB!O:O, MATCH($D149, [1]자격증DB!$A:$A, 0))), "")</f>
        <v/>
      </c>
      <c r="W149" s="426" t="str">
        <f>IFERROR(IF(INDEX([1]자격증DB!P:P, MATCH($D149, [1]자격증DB!$A:$A, 0))=0, "", INDEX([1]자격증DB!P:P, MATCH($D149, [1]자격증DB!$A:$A, 0))), "")</f>
        <v/>
      </c>
      <c r="X149" s="1" t="str">
        <f>IFERROR(IF(INDEX([1]자격증DB!P:P, MATCH(#REF!, [1]자격증DB!$A:$A, 0))=0, "", INDEX([1]자격증DB!P:P, MATCH(#REF!, [1]자격증DB!$A:$A, 0))), "")</f>
        <v/>
      </c>
      <c r="Y149" s="370" t="str">
        <f>A149 &amp; "_" &amp; "자격증_" &amp; COUNTIFS($A$2:A149, A149)</f>
        <v>김태욱_자격증_3</v>
      </c>
      <c r="Z149" s="370" t="str">
        <f>D149 &amp; "_" &amp;"자격증_" &amp;  COUNTIFS($D$2:D155, D149)</f>
        <v>기업·기술가치평가사_자격증_1</v>
      </c>
    </row>
    <row r="150" spans="1:26">
      <c r="A150" s="265" t="s">
        <v>815</v>
      </c>
      <c r="B150" s="160" t="str">
        <f>IFERROR(INDEX([1]개인DB!C:C, MATCH($A150, [1]개인DB!B:B, 0)), "")</f>
        <v>원가분석</v>
      </c>
      <c r="C150" s="160" t="str">
        <f>IFERROR(INDEX([1]개인DB!D:D, MATCH($A150, [1]개인DB!B:B, 0)), "")</f>
        <v>사원</v>
      </c>
      <c r="D150" s="371" t="s">
        <v>857</v>
      </c>
      <c r="E150" s="160" t="str">
        <f>IFERROR(INDEX([1]자격증DB!E:E, MATCH($D150, [1]자격증DB!A:A, 0)), "X")</f>
        <v>국가기술자격</v>
      </c>
      <c r="F150" s="132" t="s">
        <v>858</v>
      </c>
      <c r="G150" s="206" t="str">
        <f>IFERROR(INDEX([1]자격증DB!C:C, MATCH($D150, [1]자격증DB!A:A, 0)), "X")</f>
        <v>한국산업인력공단</v>
      </c>
      <c r="H150" s="260" t="str">
        <f>IFERROR(INDEX([1]자격증DB!F:F, MATCH($D150, [1]자격증DB!A:A, 0)), "X")</f>
        <v>자격증</v>
      </c>
      <c r="I150" s="207" t="s">
        <v>856</v>
      </c>
      <c r="J150" s="207"/>
      <c r="K150" s="208"/>
      <c r="L150" s="209" t="str">
        <f t="shared" si="15"/>
        <v>PDF</v>
      </c>
      <c r="M150" s="277" t="str">
        <f t="shared" si="13"/>
        <v>사회조사분석사 2급_김태욱</v>
      </c>
      <c r="N150" s="372" t="str">
        <f>IFERROR(IF(INDEX([1]자격증DB!G:G, MATCH($D150, [1]자격증DB!$A:$A, 0))=0, "", INDEX([1]자격증DB!G:G, MATCH($D150, [1]자격증DB!$A:$A, 0))), "")</f>
        <v/>
      </c>
      <c r="O150" s="264" t="str">
        <f>IFERROR(IF(INDEX([1]자격증DB!H:H, MATCH($D150, [1]자격증DB!$A:$A, 0))=0, "", INDEX([1]자격증DB!H:H, MATCH($D150, [1]자격증DB!$A:$A, 0))), "")</f>
        <v/>
      </c>
      <c r="P150" s="108" t="str">
        <f>IFERROR(IF(INDEX([1]자격증DB!I:I, MATCH($D150, [1]자격증DB!$A:$A, 0))=0, "", INDEX([1]자격증DB!I:I, MATCH($D150, [1]자격증DB!$A:$A, 0))), "")</f>
        <v/>
      </c>
      <c r="Q150" s="108" t="str">
        <f>IFERROR(IF(INDEX([1]자격증DB!J:J, MATCH($D150, [1]자격증DB!$A:$A, 0))=0, "", INDEX([1]자격증DB!J:J, MATCH($D150, [1]자격증DB!$A:$A, 0))), "")</f>
        <v/>
      </c>
      <c r="R150" s="108" t="str">
        <f>IFERROR(IF(INDEX([1]자격증DB!K:K, MATCH($D150, [1]자격증DB!$A:$A, 0))=0, "", INDEX([1]자격증DB!K:K, MATCH($D150, [1]자격증DB!$A:$A, 0))), "")</f>
        <v/>
      </c>
      <c r="S150" s="108" t="str">
        <f>IFERROR(IF(INDEX([1]자격증DB!L:L, MATCH($D150, [1]자격증DB!$A:$A, 0))=0, "", INDEX([1]자격증DB!L:L, MATCH($D150, [1]자격증DB!$A:$A, 0))), "")</f>
        <v/>
      </c>
      <c r="T150" s="108" t="str">
        <f>IFERROR(IF(INDEX([1]자격증DB!M:M, MATCH($D150, [1]자격증DB!$A:$A, 0))=0, "", INDEX([1]자격증DB!M:M, MATCH($D150, [1]자격증DB!$A:$A, 0))), "")</f>
        <v/>
      </c>
      <c r="U150" s="108" t="str">
        <f>IFERROR(IF(INDEX([1]자격증DB!N:N, MATCH($D150, [1]자격증DB!$A:$A, 0))=0, "", INDEX([1]자격증DB!N:N, MATCH($D150, [1]자격증DB!$A:$A, 0))), "")</f>
        <v/>
      </c>
      <c r="V150" s="108" t="str">
        <f>IFERROR(IF(INDEX([1]자격증DB!O:O, MATCH($D150, [1]자격증DB!$A:$A, 0))=0, "", INDEX([1]자격증DB!O:O, MATCH($D150, [1]자격증DB!$A:$A, 0))), "")</f>
        <v/>
      </c>
      <c r="W150" s="114" t="str">
        <f>IFERROR(IF(INDEX([1]자격증DB!P:P, MATCH($D150, [1]자격증DB!$A:$A, 0))=0, "", INDEX([1]자격증DB!P:P, MATCH($D150, [1]자격증DB!$A:$A, 0))), "")</f>
        <v/>
      </c>
      <c r="X150" s="1" t="str">
        <f>IFERROR(IF(INDEX([1]자격증DB!P:P, MATCH($D156, [1]자격증DB!$A:$A, 0))=0, "", INDEX([1]자격증DB!P:P, MATCH($D156, [1]자격증DB!$A:$A, 0))), "")</f>
        <v/>
      </c>
      <c r="Y150" s="370" t="str">
        <f>A150 &amp; "_" &amp; "자격증_" &amp; COUNTIFS($A$2:A150, A150)</f>
        <v>김태욱_자격증_4</v>
      </c>
      <c r="Z150" s="370" t="str">
        <f>D150 &amp; "_" &amp;"자격증_" &amp;  COUNTIFS($D$2:D156, D150)</f>
        <v>사회조사분석사 2급_자격증_1</v>
      </c>
    </row>
    <row r="151" spans="1:26">
      <c r="A151" s="413" t="s">
        <v>817</v>
      </c>
      <c r="B151" s="414" t="str">
        <f>IFERROR(INDEX([1]개인DB!C:C, MATCH($A151, [1]개인DB!B:B, 0)), "")</f>
        <v>원가분석</v>
      </c>
      <c r="C151" s="414" t="str">
        <f>IFERROR(INDEX([1]개인DB!D:D, MATCH($A151, [1]개인DB!B:B, 0)), "")</f>
        <v>사원</v>
      </c>
      <c r="D151" s="415" t="s">
        <v>859</v>
      </c>
      <c r="E151" s="414" t="str">
        <f>IFERROR(INDEX([1]자격증DB!E:E, MATCH($D151, [1]자격증DB!A:A, 0)), "X")</f>
        <v>국가기술자격</v>
      </c>
      <c r="F151" s="416"/>
      <c r="G151" s="417" t="str">
        <f>IFERROR(INDEX([1]자격증DB!C:C, MATCH($D151, [1]자격증DB!A:A, 0)), "X")</f>
        <v>한국직업훈련관리공단</v>
      </c>
      <c r="H151" s="418" t="str">
        <f>IFERROR(INDEX([1]자격증DB!F:F, MATCH($D151, [1]자격증DB!A:A, 0)), "X")</f>
        <v>자격증</v>
      </c>
      <c r="I151" s="419" t="s">
        <v>860</v>
      </c>
      <c r="J151" s="419"/>
      <c r="K151" s="420"/>
      <c r="L151" s="421" t="str">
        <f t="shared" si="15"/>
        <v>PDF</v>
      </c>
      <c r="M151" s="422" t="str">
        <f t="shared" si="13"/>
        <v>수질환경기사 1급(수질)_최한영</v>
      </c>
      <c r="N151" s="423" t="str">
        <f>IFERROR(IF(INDEX([1]자격증DB!G:G, MATCH($D151, [1]자격증DB!$A:$A, 0))=0, "", INDEX([1]자격증DB!G:G, MATCH($D151, [1]자격증DB!$A:$A, 0))), "")</f>
        <v/>
      </c>
      <c r="O151" s="424" t="str">
        <f>IFERROR(IF(INDEX([1]자격증DB!H:H, MATCH($D151, [1]자격증DB!$A:$A, 0))=0, "", INDEX([1]자격증DB!H:H, MATCH($D151, [1]자격증DB!$A:$A, 0))), "")</f>
        <v/>
      </c>
      <c r="P151" s="425" t="str">
        <f>IFERROR(IF(INDEX([1]자격증DB!I:I, MATCH($D151, [1]자격증DB!$A:$A, 0))=0, "", INDEX([1]자격증DB!I:I, MATCH($D151, [1]자격증DB!$A:$A, 0))), "")</f>
        <v/>
      </c>
      <c r="Q151" s="425" t="str">
        <f>IFERROR(IF(INDEX([1]자격증DB!J:J, MATCH($D151, [1]자격증DB!$A:$A, 0))=0, "", INDEX([1]자격증DB!J:J, MATCH($D151, [1]자격증DB!$A:$A, 0))), "")</f>
        <v/>
      </c>
      <c r="R151" s="425" t="str">
        <f>IFERROR(IF(INDEX([1]자격증DB!K:K, MATCH($D151, [1]자격증DB!$A:$A, 0))=0, "", INDEX([1]자격증DB!K:K, MATCH($D151, [1]자격증DB!$A:$A, 0))), "")</f>
        <v/>
      </c>
      <c r="S151" s="425" t="str">
        <f>IFERROR(IF(INDEX([1]자격증DB!L:L, MATCH($D151, [1]자격증DB!$A:$A, 0))=0, "", INDEX([1]자격증DB!L:L, MATCH($D151, [1]자격증DB!$A:$A, 0))), "")</f>
        <v/>
      </c>
      <c r="T151" s="425" t="str">
        <f>IFERROR(IF(INDEX([1]자격증DB!M:M, MATCH($D151, [1]자격증DB!$A:$A, 0))=0, "", INDEX([1]자격증DB!M:M, MATCH($D151, [1]자격증DB!$A:$A, 0))), "")</f>
        <v/>
      </c>
      <c r="U151" s="425" t="str">
        <f>IFERROR(IF(INDEX([1]자격증DB!N:N, MATCH($D151, [1]자격증DB!$A:$A, 0))=0, "", INDEX([1]자격증DB!N:N, MATCH($D151, [1]자격증DB!$A:$A, 0))), "")</f>
        <v/>
      </c>
      <c r="V151" s="425" t="str">
        <f>IFERROR(IF(INDEX([1]자격증DB!O:O, MATCH($D151, [1]자격증DB!$A:$A, 0))=0, "", INDEX([1]자격증DB!O:O, MATCH($D151, [1]자격증DB!$A:$A, 0))), "")</f>
        <v/>
      </c>
      <c r="W151" s="426" t="str">
        <f>IFERROR(IF(INDEX([1]자격증DB!P:P, MATCH($D151, [1]자격증DB!$A:$A, 0))=0, "", INDEX([1]자격증DB!P:P, MATCH($D151, [1]자격증DB!$A:$A, 0))), "")</f>
        <v/>
      </c>
      <c r="X151" s="1" t="str">
        <f>IFERROR(IF(INDEX([1]자격증DB!P:P, MATCH($D158, [1]자격증DB!$A:$A, 0))=0, "", INDEX([1]자격증DB!P:P, MATCH($D158, [1]자격증DB!$A:$A, 0))), "")</f>
        <v/>
      </c>
      <c r="Y151" s="370" t="str">
        <f>A151 &amp; "_" &amp; "자격증_" &amp; COUNTIFS($A$2:A151, A151)</f>
        <v>최한영_자격증_1</v>
      </c>
      <c r="Z151" s="370" t="str">
        <f>D151 &amp; "_" &amp;"자격증_" &amp;  COUNTIFS($D$2:D158, D151)</f>
        <v>수질환경기사 1급(수질)_자격증_1</v>
      </c>
    </row>
    <row r="152" spans="1:26">
      <c r="A152" s="265" t="s">
        <v>817</v>
      </c>
      <c r="B152" s="160" t="str">
        <f>IFERROR(INDEX([1]개인DB!C:C, MATCH($A152, [1]개인DB!B:B, 0)), "")</f>
        <v>원가분석</v>
      </c>
      <c r="C152" s="160" t="str">
        <f>IFERROR(INDEX([1]개인DB!D:D, MATCH($A152, [1]개인DB!B:B, 0)), "")</f>
        <v>사원</v>
      </c>
      <c r="D152" s="371" t="s">
        <v>861</v>
      </c>
      <c r="E152" s="160" t="str">
        <f>IFERROR(INDEX([1]자격증DB!E:E, MATCH($D152, [1]자격증DB!A:A, 0)), "X")</f>
        <v>국가기술자격</v>
      </c>
      <c r="F152" s="132"/>
      <c r="G152" s="206" t="str">
        <f>IFERROR(INDEX([1]자격증DB!C:C, MATCH($D152, [1]자격증DB!A:A, 0)), "X")</f>
        <v>한국직업훈련관리공단</v>
      </c>
      <c r="H152" s="260" t="str">
        <f>IFERROR(INDEX([1]자격증DB!F:F, MATCH($D152, [1]자격증DB!A:A, 0)), "X")</f>
        <v>자격증</v>
      </c>
      <c r="I152" s="207" t="s">
        <v>862</v>
      </c>
      <c r="J152" s="207"/>
      <c r="K152" s="208"/>
      <c r="L152" s="209" t="str">
        <f t="shared" si="15"/>
        <v>PDF</v>
      </c>
      <c r="M152" s="277" t="str">
        <f t="shared" si="13"/>
        <v>대기환경기사 2급(수질 대기)_최한영</v>
      </c>
      <c r="N152" s="372" t="str">
        <f>IFERROR(IF(INDEX([1]자격증DB!G:G, MATCH($D152, [1]자격증DB!$A:$A, 0))=0, "", INDEX([1]자격증DB!G:G, MATCH($D152, [1]자격증DB!$A:$A, 0))), "")</f>
        <v/>
      </c>
      <c r="O152" s="264" t="str">
        <f>IFERROR(IF(INDEX([1]자격증DB!H:H, MATCH($D152, [1]자격증DB!$A:$A, 0))=0, "", INDEX([1]자격증DB!H:H, MATCH($D152, [1]자격증DB!$A:$A, 0))), "")</f>
        <v/>
      </c>
      <c r="P152" s="108" t="str">
        <f>IFERROR(IF(INDEX([1]자격증DB!I:I, MATCH($D152, [1]자격증DB!$A:$A, 0))=0, "", INDEX([1]자격증DB!I:I, MATCH($D152, [1]자격증DB!$A:$A, 0))), "")</f>
        <v/>
      </c>
      <c r="Q152" s="108" t="str">
        <f>IFERROR(IF(INDEX([1]자격증DB!J:J, MATCH($D152, [1]자격증DB!$A:$A, 0))=0, "", INDEX([1]자격증DB!J:J, MATCH($D152, [1]자격증DB!$A:$A, 0))), "")</f>
        <v/>
      </c>
      <c r="R152" s="108" t="str">
        <f>IFERROR(IF(INDEX([1]자격증DB!K:K, MATCH($D152, [1]자격증DB!$A:$A, 0))=0, "", INDEX([1]자격증DB!K:K, MATCH($D152, [1]자격증DB!$A:$A, 0))), "")</f>
        <v/>
      </c>
      <c r="S152" s="108" t="str">
        <f>IFERROR(IF(INDEX([1]자격증DB!L:L, MATCH($D152, [1]자격증DB!$A:$A, 0))=0, "", INDEX([1]자격증DB!L:L, MATCH($D152, [1]자격증DB!$A:$A, 0))), "")</f>
        <v/>
      </c>
      <c r="T152" s="108" t="str">
        <f>IFERROR(IF(INDEX([1]자격증DB!M:M, MATCH($D152, [1]자격증DB!$A:$A, 0))=0, "", INDEX([1]자격증DB!M:M, MATCH($D152, [1]자격증DB!$A:$A, 0))), "")</f>
        <v/>
      </c>
      <c r="U152" s="108" t="str">
        <f>IFERROR(IF(INDEX([1]자격증DB!N:N, MATCH($D152, [1]자격증DB!$A:$A, 0))=0, "", INDEX([1]자격증DB!N:N, MATCH($D152, [1]자격증DB!$A:$A, 0))), "")</f>
        <v/>
      </c>
      <c r="V152" s="108" t="str">
        <f>IFERROR(IF(INDEX([1]자격증DB!O:O, MATCH($D152, [1]자격증DB!$A:$A, 0))=0, "", INDEX([1]자격증DB!O:O, MATCH($D152, [1]자격증DB!$A:$A, 0))), "")</f>
        <v/>
      </c>
      <c r="W152" s="114" t="str">
        <f>IFERROR(IF(INDEX([1]자격증DB!P:P, MATCH($D152, [1]자격증DB!$A:$A, 0))=0, "", INDEX([1]자격증DB!P:P, MATCH($D152, [1]자격증DB!$A:$A, 0))), "")</f>
        <v/>
      </c>
      <c r="X152" s="1" t="str">
        <f>IFERROR(IF(INDEX([1]자격증DB!P:P, MATCH($D159, [1]자격증DB!$A:$A, 0))=0, "", INDEX([1]자격증DB!P:P, MATCH($D159, [1]자격증DB!$A:$A, 0))), "")</f>
        <v/>
      </c>
      <c r="Y152" s="370" t="str">
        <f>A152 &amp; "_" &amp; "자격증_" &amp; COUNTIFS($A$2:A152, A152)</f>
        <v>최한영_자격증_2</v>
      </c>
      <c r="Z152" s="370" t="str">
        <f>D152 &amp; "_" &amp;"자격증_" &amp;  COUNTIFS($D$2:D159, D152)</f>
        <v>대기환경기사 2급(수질 대기)_자격증_1</v>
      </c>
    </row>
    <row r="153" spans="1:26">
      <c r="A153" s="413" t="s">
        <v>817</v>
      </c>
      <c r="B153" s="414" t="str">
        <f>IFERROR(INDEX([1]개인DB!C:C, MATCH($A153, [1]개인DB!B:B, 0)), "")</f>
        <v>원가분석</v>
      </c>
      <c r="C153" s="414" t="str">
        <f>IFERROR(INDEX([1]개인DB!D:D, MATCH($A153, [1]개인DB!B:B, 0)), "")</f>
        <v>사원</v>
      </c>
      <c r="D153" s="415" t="s">
        <v>863</v>
      </c>
      <c r="E153" s="414">
        <f>IFERROR(INDEX([1]자격증DB!E:E, MATCH($D153, [1]자격증DB!A:A, 0)), "X")</f>
        <v>0</v>
      </c>
      <c r="F153" s="416" t="s">
        <v>864</v>
      </c>
      <c r="G153" s="417" t="str">
        <f>IFERROR(INDEX([1]자격증DB!C:C, MATCH($D153, [1]자격증DB!A:A, 0)), "X")</f>
        <v>보건복지부</v>
      </c>
      <c r="H153" s="418" t="str">
        <f>IFERROR(INDEX([1]자격증DB!F:F, MATCH($D153, [1]자격증DB!A:A, 0)), "X")</f>
        <v>면허증</v>
      </c>
      <c r="I153" s="419" t="s">
        <v>865</v>
      </c>
      <c r="J153" s="419"/>
      <c r="K153" s="420"/>
      <c r="L153" s="421" t="str">
        <f t="shared" si="15"/>
        <v>PDF</v>
      </c>
      <c r="M153" s="422" t="str">
        <f t="shared" si="13"/>
        <v>위생사(2급)_최한영</v>
      </c>
      <c r="N153" s="423" t="str">
        <f>IFERROR(IF(INDEX([1]자격증DB!G:G, MATCH($D153, [1]자격증DB!$A:$A, 0))=0, "", INDEX([1]자격증DB!G:G, MATCH($D153, [1]자격증DB!$A:$A, 0))), "")</f>
        <v/>
      </c>
      <c r="O153" s="424" t="str">
        <f>IFERROR(IF(INDEX([1]자격증DB!H:H, MATCH($D153, [1]자격증DB!$A:$A, 0))=0, "", INDEX([1]자격증DB!H:H, MATCH($D153, [1]자격증DB!$A:$A, 0))), "")</f>
        <v/>
      </c>
      <c r="P153" s="425" t="str">
        <f>IFERROR(IF(INDEX([1]자격증DB!I:I, MATCH($D153, [1]자격증DB!$A:$A, 0))=0, "", INDEX([1]자격증DB!I:I, MATCH($D153, [1]자격증DB!$A:$A, 0))), "")</f>
        <v/>
      </c>
      <c r="Q153" s="425" t="str">
        <f>IFERROR(IF(INDEX([1]자격증DB!J:J, MATCH($D153, [1]자격증DB!$A:$A, 0))=0, "", INDEX([1]자격증DB!J:J, MATCH($D153, [1]자격증DB!$A:$A, 0))), "")</f>
        <v/>
      </c>
      <c r="R153" s="425" t="str">
        <f>IFERROR(IF(INDEX([1]자격증DB!K:K, MATCH($D153, [1]자격증DB!$A:$A, 0))=0, "", INDEX([1]자격증DB!K:K, MATCH($D153, [1]자격증DB!$A:$A, 0))), "")</f>
        <v/>
      </c>
      <c r="S153" s="425" t="str">
        <f>IFERROR(IF(INDEX([1]자격증DB!L:L, MATCH($D153, [1]자격증DB!$A:$A, 0))=0, "", INDEX([1]자격증DB!L:L, MATCH($D153, [1]자격증DB!$A:$A, 0))), "")</f>
        <v/>
      </c>
      <c r="T153" s="425" t="str">
        <f>IFERROR(IF(INDEX([1]자격증DB!M:M, MATCH($D153, [1]자격증DB!$A:$A, 0))=0, "", INDEX([1]자격증DB!M:M, MATCH($D153, [1]자격증DB!$A:$A, 0))), "")</f>
        <v/>
      </c>
      <c r="U153" s="425" t="str">
        <f>IFERROR(IF(INDEX([1]자격증DB!N:N, MATCH($D153, [1]자격증DB!$A:$A, 0))=0, "", INDEX([1]자격증DB!N:N, MATCH($D153, [1]자격증DB!$A:$A, 0))), "")</f>
        <v/>
      </c>
      <c r="V153" s="425" t="str">
        <f>IFERROR(IF(INDEX([1]자격증DB!O:O, MATCH($D153, [1]자격증DB!$A:$A, 0))=0, "", INDEX([1]자격증DB!O:O, MATCH($D153, [1]자격증DB!$A:$A, 0))), "")</f>
        <v/>
      </c>
      <c r="W153" s="426" t="str">
        <f>IFERROR(IF(INDEX([1]자격증DB!P:P, MATCH($D153, [1]자격증DB!$A:$A, 0))=0, "", INDEX([1]자격증DB!P:P, MATCH($D153, [1]자격증DB!$A:$A, 0))), "")</f>
        <v/>
      </c>
      <c r="X153" s="1" t="str">
        <f>IFERROR(IF(INDEX([1]자격증DB!P:P, MATCH($D160, [1]자격증DB!$A:$A, 0))=0, "", INDEX([1]자격증DB!P:P, MATCH($D160, [1]자격증DB!$A:$A, 0))), "")</f>
        <v/>
      </c>
      <c r="Y153" s="370" t="str">
        <f>A153 &amp; "_" &amp; "자격증_" &amp; COUNTIFS($A$2:A153, A153)</f>
        <v>최한영_자격증_3</v>
      </c>
      <c r="Z153" s="370" t="str">
        <f>D153 &amp; "_" &amp;"자격증_" &amp;  COUNTIFS($D$2:D160, D153)</f>
        <v>위생사(2급)_자격증_1</v>
      </c>
    </row>
    <row r="154" spans="1:26">
      <c r="A154" s="265" t="s">
        <v>817</v>
      </c>
      <c r="B154" s="160" t="str">
        <f>IFERROR(INDEX([1]개인DB!C:C, MATCH($A154, [1]개인DB!B:B, 0)), "")</f>
        <v>원가분석</v>
      </c>
      <c r="C154" s="160" t="str">
        <f>IFERROR(INDEX([1]개인DB!D:D, MATCH($A154, [1]개인DB!B:B, 0)), "")</f>
        <v>사원</v>
      </c>
      <c r="D154" s="371" t="s">
        <v>866</v>
      </c>
      <c r="E154" s="160" t="str">
        <f>IFERROR(INDEX([1]자격증DB!E:E, MATCH($D154, [1]자격증DB!A:A, 0)), "X")</f>
        <v>국가기술자격</v>
      </c>
      <c r="F154" s="132" t="s">
        <v>867</v>
      </c>
      <c r="G154" s="206" t="str">
        <f>IFERROR(INDEX([1]자격증DB!C:C, MATCH($D154, [1]자격증DB!A:A, 0)), "X")</f>
        <v>한국산업인력공단</v>
      </c>
      <c r="H154" s="260" t="str">
        <f>IFERROR(INDEX([1]자격증DB!F:F, MATCH($D154, [1]자격증DB!A:A, 0)), "X")</f>
        <v>자격증</v>
      </c>
      <c r="I154" s="207" t="s">
        <v>862</v>
      </c>
      <c r="J154" s="207"/>
      <c r="K154" s="208"/>
      <c r="L154" s="209" t="str">
        <f t="shared" si="15"/>
        <v>PDF</v>
      </c>
      <c r="M154" s="277" t="str">
        <f t="shared" si="13"/>
        <v>대기환경산업기사_최한영</v>
      </c>
      <c r="N154" s="372" t="str">
        <f>IFERROR(IF(INDEX([1]자격증DB!G:G, MATCH($D154, [1]자격증DB!$A:$A, 0))=0, "", INDEX([1]자격증DB!G:G, MATCH($D154, [1]자격증DB!$A:$A, 0))), "")</f>
        <v/>
      </c>
      <c r="O154" s="264" t="str">
        <f>IFERROR(IF(INDEX([1]자격증DB!H:H, MATCH($D154, [1]자격증DB!$A:$A, 0))=0, "", INDEX([1]자격증DB!H:H, MATCH($D154, [1]자격증DB!$A:$A, 0))), "")</f>
        <v/>
      </c>
      <c r="P154" s="108" t="str">
        <f>IFERROR(IF(INDEX([1]자격증DB!I:I, MATCH($D154, [1]자격증DB!$A:$A, 0))=0, "", INDEX([1]자격증DB!I:I, MATCH($D154, [1]자격증DB!$A:$A, 0))), "")</f>
        <v/>
      </c>
      <c r="Q154" s="108" t="str">
        <f>IFERROR(IF(INDEX([1]자격증DB!J:J, MATCH($D154, [1]자격증DB!$A:$A, 0))=0, "", INDEX([1]자격증DB!J:J, MATCH($D154, [1]자격증DB!$A:$A, 0))), "")</f>
        <v/>
      </c>
      <c r="R154" s="108" t="str">
        <f>IFERROR(IF(INDEX([1]자격증DB!K:K, MATCH($D154, [1]자격증DB!$A:$A, 0))=0, "", INDEX([1]자격증DB!K:K, MATCH($D154, [1]자격증DB!$A:$A, 0))), "")</f>
        <v/>
      </c>
      <c r="S154" s="108" t="str">
        <f>IFERROR(IF(INDEX([1]자격증DB!L:L, MATCH($D154, [1]자격증DB!$A:$A, 0))=0, "", INDEX([1]자격증DB!L:L, MATCH($D154, [1]자격증DB!$A:$A, 0))), "")</f>
        <v/>
      </c>
      <c r="T154" s="108" t="str">
        <f>IFERROR(IF(INDEX([1]자격증DB!M:M, MATCH($D154, [1]자격증DB!$A:$A, 0))=0, "", INDEX([1]자격증DB!M:M, MATCH($D154, [1]자격증DB!$A:$A, 0))), "")</f>
        <v/>
      </c>
      <c r="U154" s="108" t="str">
        <f>IFERROR(IF(INDEX([1]자격증DB!N:N, MATCH($D154, [1]자격증DB!$A:$A, 0))=0, "", INDEX([1]자격증DB!N:N, MATCH($D154, [1]자격증DB!$A:$A, 0))), "")</f>
        <v/>
      </c>
      <c r="V154" s="108" t="str">
        <f>IFERROR(IF(INDEX([1]자격증DB!O:O, MATCH($D154, [1]자격증DB!$A:$A, 0))=0, "", INDEX([1]자격증DB!O:O, MATCH($D154, [1]자격증DB!$A:$A, 0))), "")</f>
        <v/>
      </c>
      <c r="W154" s="114" t="str">
        <f>IFERROR(IF(INDEX([1]자격증DB!P:P, MATCH($D154, [1]자격증DB!$A:$A, 0))=0, "", INDEX([1]자격증DB!P:P, MATCH($D154, [1]자격증DB!$A:$A, 0))), "")</f>
        <v/>
      </c>
      <c r="X154" s="1" t="str">
        <f>IFERROR(IF(INDEX([1]자격증DB!P:P, MATCH($D162, [1]자격증DB!$A:$A, 0))=0, "", INDEX([1]자격증DB!P:P, MATCH($D162, [1]자격증DB!$A:$A, 0))), "")</f>
        <v/>
      </c>
      <c r="Y154" s="370" t="str">
        <f>A154 &amp; "_" &amp; "자격증_" &amp; COUNTIFS($A$2:A154, A154)</f>
        <v>최한영_자격증_4</v>
      </c>
      <c r="Z154" s="370" t="str">
        <f>D154 &amp; "_" &amp;"자격증_" &amp;  COUNTIFS($D$2:D162, D154)</f>
        <v>대기환경산업기사_자격증_1</v>
      </c>
    </row>
    <row r="155" spans="1:26">
      <c r="A155" s="413" t="s">
        <v>817</v>
      </c>
      <c r="B155" s="414" t="str">
        <f>IFERROR(INDEX([1]개인DB!C:C, MATCH($A155, [1]개인DB!B:B, 0)), "")</f>
        <v>원가분석</v>
      </c>
      <c r="C155" s="414" t="str">
        <f>IFERROR(INDEX([1]개인DB!D:D, MATCH($A155, [1]개인DB!B:B, 0)), "")</f>
        <v>사원</v>
      </c>
      <c r="D155" s="415" t="s">
        <v>868</v>
      </c>
      <c r="E155" s="414" t="str">
        <f>IFERROR(INDEX([1]자격증DB!E:E, MATCH($D155, [1]자격증DB!A:A, 0)), "X")</f>
        <v>국가기술자격</v>
      </c>
      <c r="F155" s="416" t="s">
        <v>867</v>
      </c>
      <c r="G155" s="417" t="str">
        <f>IFERROR(INDEX([1]자격증DB!C:C, MATCH($D155, [1]자격증DB!A:A, 0)), "X")</f>
        <v>한국산업인력공단</v>
      </c>
      <c r="H155" s="418" t="str">
        <f>IFERROR(INDEX([1]자격증DB!F:F, MATCH($D155, [1]자격증DB!A:A, 0)), "X")</f>
        <v>자격증</v>
      </c>
      <c r="I155" s="419" t="s">
        <v>869</v>
      </c>
      <c r="J155" s="419"/>
      <c r="K155" s="420"/>
      <c r="L155" s="421" t="str">
        <f t="shared" si="15"/>
        <v>PDF</v>
      </c>
      <c r="M155" s="422" t="str">
        <f t="shared" si="13"/>
        <v>수질환경기사_최한영</v>
      </c>
      <c r="N155" s="423" t="str">
        <f>IFERROR(IF(INDEX([1]자격증DB!G:G, MATCH($D155, [1]자격증DB!$A:$A, 0))=0, "", INDEX([1]자격증DB!G:G, MATCH($D155, [1]자격증DB!$A:$A, 0))), "")</f>
        <v/>
      </c>
      <c r="O155" s="424" t="str">
        <f>IFERROR(IF(INDEX([1]자격증DB!H:H, MATCH($D155, [1]자격증DB!$A:$A, 0))=0, "", INDEX([1]자격증DB!H:H, MATCH($D155, [1]자격증DB!$A:$A, 0))), "")</f>
        <v/>
      </c>
      <c r="P155" s="425" t="str">
        <f>IFERROR(IF(INDEX([1]자격증DB!I:I, MATCH($D155, [1]자격증DB!$A:$A, 0))=0, "", INDEX([1]자격증DB!I:I, MATCH($D155, [1]자격증DB!$A:$A, 0))), "")</f>
        <v/>
      </c>
      <c r="Q155" s="425" t="str">
        <f>IFERROR(IF(INDEX([1]자격증DB!J:J, MATCH($D155, [1]자격증DB!$A:$A, 0))=0, "", INDEX([1]자격증DB!J:J, MATCH($D155, [1]자격증DB!$A:$A, 0))), "")</f>
        <v/>
      </c>
      <c r="R155" s="425" t="str">
        <f>IFERROR(IF(INDEX([1]자격증DB!K:K, MATCH($D155, [1]자격증DB!$A:$A, 0))=0, "", INDEX([1]자격증DB!K:K, MATCH($D155, [1]자격증DB!$A:$A, 0))), "")</f>
        <v/>
      </c>
      <c r="S155" s="425" t="str">
        <f>IFERROR(IF(INDEX([1]자격증DB!L:L, MATCH($D155, [1]자격증DB!$A:$A, 0))=0, "", INDEX([1]자격증DB!L:L, MATCH($D155, [1]자격증DB!$A:$A, 0))), "")</f>
        <v/>
      </c>
      <c r="T155" s="425" t="str">
        <f>IFERROR(IF(INDEX([1]자격증DB!M:M, MATCH($D155, [1]자격증DB!$A:$A, 0))=0, "", INDEX([1]자격증DB!M:M, MATCH($D155, [1]자격증DB!$A:$A, 0))), "")</f>
        <v/>
      </c>
      <c r="U155" s="425" t="str">
        <f>IFERROR(IF(INDEX([1]자격증DB!N:N, MATCH($D155, [1]자격증DB!$A:$A, 0))=0, "", INDEX([1]자격증DB!N:N, MATCH($D155, [1]자격증DB!$A:$A, 0))), "")</f>
        <v/>
      </c>
      <c r="V155" s="425" t="str">
        <f>IFERROR(IF(INDEX([1]자격증DB!O:O, MATCH($D155, [1]자격증DB!$A:$A, 0))=0, "", INDEX([1]자격증DB!O:O, MATCH($D155, [1]자격증DB!$A:$A, 0))), "")</f>
        <v/>
      </c>
      <c r="W155" s="426" t="str">
        <f>IFERROR(IF(INDEX([1]자격증DB!P:P, MATCH($D155, [1]자격증DB!$A:$A, 0))=0, "", INDEX([1]자격증DB!P:P, MATCH($D155, [1]자격증DB!$A:$A, 0))), "")</f>
        <v/>
      </c>
      <c r="X155" s="1" t="str">
        <f>IFERROR(IF(INDEX([1]자격증DB!P:P, MATCH($D163, [1]자격증DB!$A:$A, 0))=0, "", INDEX([1]자격증DB!P:P, MATCH($D163, [1]자격증DB!$A:$A, 0))), "")</f>
        <v/>
      </c>
      <c r="Y155" s="370" t="str">
        <f>A155 &amp; "_" &amp; "자격증_" &amp; COUNTIFS($A$2:A155, A155)</f>
        <v>최한영_자격증_5</v>
      </c>
      <c r="Z155" s="370" t="str">
        <f>D155 &amp; "_" &amp;"자격증_" &amp;  COUNTIFS($D$2:D163, D155)</f>
        <v>수질환경기사_자격증_1</v>
      </c>
    </row>
    <row r="156" spans="1:26">
      <c r="A156" s="265" t="s">
        <v>20</v>
      </c>
      <c r="B156" s="160" t="s">
        <v>49</v>
      </c>
      <c r="C156" s="160" t="s">
        <v>38</v>
      </c>
      <c r="D156" s="371" t="s">
        <v>82</v>
      </c>
      <c r="E156" s="160" t="str">
        <f>IFERROR(INDEX(자격증DB!E:E, MATCH($D156, 자격증DB!A:A, 0)), "")</f>
        <v>민간(국가)</v>
      </c>
      <c r="F156" s="132" t="str">
        <f>IFERROR(INDEX(자격증DB!B:B, MATCH($D156, 자격증DB!A:A, 0)), "")</f>
        <v>기획재정부</v>
      </c>
      <c r="G156" s="206" t="str">
        <f>IFERROR(INDEX(자격증DB!C:C, MATCH($D156, 자격증DB!A:A, 0)), "")</f>
        <v>한국원가관리협회</v>
      </c>
      <c r="H156" s="260" t="str">
        <f>IFERROR(INDEX(자격증DB!F:F, MATCH($D156, 자격증DB!A:A, 0)), "")</f>
        <v>등록증</v>
      </c>
      <c r="I156" s="207" t="s">
        <v>870</v>
      </c>
      <c r="J156" s="207" t="s">
        <v>870</v>
      </c>
      <c r="K156" s="208" t="s">
        <v>871</v>
      </c>
      <c r="L156" s="209" t="str">
        <f t="shared" si="15"/>
        <v>PDF</v>
      </c>
      <c r="M156" s="277" t="str">
        <f t="shared" si="13"/>
        <v>공인원가분석사_신광수</v>
      </c>
      <c r="N156" s="372"/>
      <c r="O156" s="264"/>
      <c r="P156" s="108" t="str">
        <f>IFERROR(IF(INDEX(자격증DB!H:H, MATCH($D156, 자격증DB!$A:$A, 0))=0, "", INDEX(자격증DB!H:H, MATCH($D156, 자격증DB!$A:$A, 0))), "")</f>
        <v>제조(CA)</v>
      </c>
      <c r="Q156" s="108" t="str">
        <f>IFERROR(IF(INDEX(자격증DB!I:I, MATCH($D156, 자격증DB!$A:$A, 0))=0, "", INDEX(자격증DB!I:I, MATCH($D156, 자격증DB!$A:$A, 0))), "")</f>
        <v>공사(CB)</v>
      </c>
      <c r="R156" s="108" t="str">
        <f>IFERROR(IF(INDEX(자격증DB!J:J, MATCH($D156, 자격증DB!$A:$A, 0))=0, "", INDEX(자격증DB!J:J, MATCH($D156, 자격증DB!$A:$A, 0))), "")</f>
        <v>학술(CC)</v>
      </c>
      <c r="S156" s="108" t="str">
        <f>IFERROR(IF(INDEX(자격증DB!K:K, MATCH($D156, 자격증DB!$A:$A, 0))=0, "", INDEX(자격증DB!K:K, MATCH($D156, 자격증DB!$A:$A, 0))), "")</f>
        <v>SW(CD)</v>
      </c>
      <c r="T156" s="108" t="str">
        <f>IFERROR(IF(INDEX(자격증DB!L:L, MATCH($D156, 자격증DB!$A:$A, 0))=0, "", INDEX(자격증DB!L:L, MATCH($D156, 자격증DB!$A:$A, 0))), "")</f>
        <v>사후정산(CE)</v>
      </c>
      <c r="U156" s="108" t="str">
        <f>IFERROR(IF(INDEX(자격증DB!M:M, MATCH($D156, 자격증DB!$A:$A, 0))=0, "", INDEX(자격증DB!M:M, MATCH($D156, 자격증DB!$A:$A, 0))), "")</f>
        <v>각종 수수료(CF)</v>
      </c>
      <c r="V156" s="108" t="str">
        <f>IFERROR(IF(INDEX(자격증DB!N:N, MATCH($D156, 자격증DB!$A:$A, 0))=0, "", INDEX(자격증DB!N:N, MATCH($D156, 자격증DB!$A:$A, 0))), "")</f>
        <v>법원감정(CG)</v>
      </c>
      <c r="W156" s="114" t="str">
        <f>IFERROR(IF(INDEX(자격증DB!O:O, MATCH($D156, 자격증DB!$A:$A, 0))=0, "", INDEX(자격증DB!O:O, MATCH($D156, 자격증DB!$A:$A, 0))), "")</f>
        <v>개발부담금</v>
      </c>
      <c r="X156" s="1" t="str">
        <f>IFERROR(IF(INDEX(자격증DB!P:P, MATCH($D166, 자격증DB!$A:$A, 0))=0, "", INDEX(자격증DB!P:P, MATCH($D166, 자격증DB!$A:$A, 0))), "")</f>
        <v/>
      </c>
      <c r="Y156" s="370" t="str">
        <f>A156 &amp; "_" &amp; "자격증_" &amp; COUNTIFS($A$2:A156, A156)</f>
        <v>신광수_자격증_6</v>
      </c>
      <c r="Z156" s="370" t="str">
        <f>D156 &amp; "_" &amp;"자격증_" &amp;  COUNTIFS($D$2:D164, D156)</f>
        <v>공인원가분석사_자격증_12</v>
      </c>
    </row>
    <row r="157" spans="1:26">
      <c r="B157" s="32" t="str">
        <f>IFERROR(INDEX(개인DB!C:C, MATCH($A158, 개인DB!B:B, 0)), "")</f>
        <v/>
      </c>
      <c r="C157" s="32" t="str">
        <f>IFERROR(INDEX(개인DB!D:D, MATCH($A158, 개인DB!B:B, 0)), "")</f>
        <v/>
      </c>
      <c r="P157" s="1" t="str">
        <f>IFERROR(IF(INDEX(자격증DB!H:H, MATCH($D157, 자격증DB!$A:$A, 0))=0, "", INDEX(자격증DB!H:H, MATCH($D157, 자격증DB!$A:$A, 0))), "")</f>
        <v/>
      </c>
      <c r="Q157" s="1" t="str">
        <f>IFERROR(IF(INDEX(자격증DB!I:I, MATCH($D157, 자격증DB!$A:$A, 0))=0, "", INDEX(자격증DB!I:I, MATCH($D157, 자격증DB!$A:$A, 0))), "")</f>
        <v/>
      </c>
      <c r="R157" s="1" t="str">
        <f>IFERROR(IF(INDEX(자격증DB!J:J, MATCH($D157, 자격증DB!$A:$A, 0))=0, "", INDEX(자격증DB!J:J, MATCH($D157, 자격증DB!$A:$A, 0))), "")</f>
        <v/>
      </c>
      <c r="S157" s="1" t="str">
        <f>IFERROR(IF(INDEX(자격증DB!K:K, MATCH($D157, 자격증DB!$A:$A, 0))=0, "", INDEX(자격증DB!K:K, MATCH($D157, 자격증DB!$A:$A, 0))), "")</f>
        <v/>
      </c>
      <c r="T157" s="1" t="str">
        <f>IFERROR(IF(INDEX(자격증DB!L:L, MATCH($D157, 자격증DB!$A:$A, 0))=0, "", INDEX(자격증DB!L:L, MATCH($D157, 자격증DB!$A:$A, 0))), "")</f>
        <v/>
      </c>
      <c r="U157" s="1" t="str">
        <f>IFERROR(IF(INDEX(자격증DB!M:M, MATCH($D157, 자격증DB!$A:$A, 0))=0, "", INDEX(자격증DB!M:M, MATCH($D157, 자격증DB!$A:$A, 0))), "")</f>
        <v/>
      </c>
      <c r="V157" s="1" t="str">
        <f>IFERROR(IF(INDEX(자격증DB!N:N, MATCH($D157, 자격증DB!$A:$A, 0))=0, "", INDEX(자격증DB!N:N, MATCH($D157, 자격증DB!$A:$A, 0))), "")</f>
        <v/>
      </c>
      <c r="W157" s="1" t="str">
        <f>IFERROR(IF(INDEX(자격증DB!O:O, MATCH($D157, 자격증DB!$A:$A, 0))=0, "", INDEX(자격증DB!O:O, MATCH($D157, 자격증DB!$A:$A, 0))), "")</f>
        <v/>
      </c>
      <c r="X157" s="1" t="str">
        <f>IFERROR(IF(INDEX(자격증DB!P:P, MATCH($D167, 자격증DB!$A:$A, 0))=0, "", INDEX(자격증DB!P:P, MATCH($D167, 자격증DB!$A:$A, 0))), "")</f>
        <v/>
      </c>
    </row>
    <row r="158" spans="1:26">
      <c r="B158" s="32" t="str">
        <f>IFERROR(INDEX(개인DB!C:C, MATCH($A159, 개인DB!B:B, 0)), "")</f>
        <v/>
      </c>
      <c r="C158" s="32" t="str">
        <f>IFERROR(INDEX(개인DB!D:D, MATCH($A159, 개인DB!B:B, 0)), "")</f>
        <v/>
      </c>
      <c r="P158" s="1" t="str">
        <f>IFERROR(IF(INDEX(자격증DB!H:H, MATCH($D158, 자격증DB!$A:$A, 0))=0, "", INDEX(자격증DB!H:H, MATCH($D158, 자격증DB!$A:$A, 0))), "")</f>
        <v/>
      </c>
      <c r="Q158" s="1" t="str">
        <f>IFERROR(IF(INDEX(자격증DB!I:I, MATCH($D158, 자격증DB!$A:$A, 0))=0, "", INDEX(자격증DB!I:I, MATCH($D158, 자격증DB!$A:$A, 0))), "")</f>
        <v/>
      </c>
      <c r="R158" s="1" t="str">
        <f>IFERROR(IF(INDEX(자격증DB!J:J, MATCH($D158, 자격증DB!$A:$A, 0))=0, "", INDEX(자격증DB!J:J, MATCH($D158, 자격증DB!$A:$A, 0))), "")</f>
        <v/>
      </c>
      <c r="S158" s="1" t="str">
        <f>IFERROR(IF(INDEX(자격증DB!K:K, MATCH($D158, 자격증DB!$A:$A, 0))=0, "", INDEX(자격증DB!K:K, MATCH($D158, 자격증DB!$A:$A, 0))), "")</f>
        <v/>
      </c>
      <c r="T158" s="1" t="str">
        <f>IFERROR(IF(INDEX(자격증DB!L:L, MATCH($D158, 자격증DB!$A:$A, 0))=0, "", INDEX(자격증DB!L:L, MATCH($D158, 자격증DB!$A:$A, 0))), "")</f>
        <v/>
      </c>
      <c r="U158" s="1" t="str">
        <f>IFERROR(IF(INDEX(자격증DB!M:M, MATCH($D158, 자격증DB!$A:$A, 0))=0, "", INDEX(자격증DB!M:M, MATCH($D158, 자격증DB!$A:$A, 0))), "")</f>
        <v/>
      </c>
      <c r="V158" s="1" t="str">
        <f>IFERROR(IF(INDEX(자격증DB!N:N, MATCH($D158, 자격증DB!$A:$A, 0))=0, "", INDEX(자격증DB!N:N, MATCH($D158, 자격증DB!$A:$A, 0))), "")</f>
        <v/>
      </c>
      <c r="W158" s="1" t="str">
        <f>IFERROR(IF(INDEX(자격증DB!O:O, MATCH($D158, 자격증DB!$A:$A, 0))=0, "", INDEX(자격증DB!O:O, MATCH($D158, 자격증DB!$A:$A, 0))), "")</f>
        <v/>
      </c>
      <c r="X158" s="1" t="str">
        <f>IFERROR(IF(INDEX(자격증DB!P:P, MATCH($D168, 자격증DB!$A:$A, 0))=0, "", INDEX(자격증DB!P:P, MATCH($D168, 자격증DB!$A:$A, 0))), "")</f>
        <v/>
      </c>
    </row>
    <row r="159" spans="1:26">
      <c r="B159" s="32" t="str">
        <f>IFERROR(INDEX(개인DB!C:C, MATCH($A160, 개인DB!B:B, 0)), "")</f>
        <v/>
      </c>
      <c r="C159" s="32" t="str">
        <f>IFERROR(INDEX(개인DB!D:D, MATCH($A160, 개인DB!B:B, 0)), "")</f>
        <v/>
      </c>
      <c r="P159" s="1" t="str">
        <f>IFERROR(IF(INDEX(자격증DB!H:H, MATCH($D159, 자격증DB!$A:$A, 0))=0, "", INDEX(자격증DB!H:H, MATCH($D159, 자격증DB!$A:$A, 0))), "")</f>
        <v/>
      </c>
      <c r="Q159" s="1" t="str">
        <f>IFERROR(IF(INDEX(자격증DB!I:I, MATCH($D159, 자격증DB!$A:$A, 0))=0, "", INDEX(자격증DB!I:I, MATCH($D159, 자격증DB!$A:$A, 0))), "")</f>
        <v/>
      </c>
      <c r="R159" s="1" t="str">
        <f>IFERROR(IF(INDEX(자격증DB!J:J, MATCH($D159, 자격증DB!$A:$A, 0))=0, "", INDEX(자격증DB!J:J, MATCH($D159, 자격증DB!$A:$A, 0))), "")</f>
        <v/>
      </c>
      <c r="S159" s="1" t="str">
        <f>IFERROR(IF(INDEX(자격증DB!K:K, MATCH($D159, 자격증DB!$A:$A, 0))=0, "", INDEX(자격증DB!K:K, MATCH($D159, 자격증DB!$A:$A, 0))), "")</f>
        <v/>
      </c>
      <c r="T159" s="1" t="str">
        <f>IFERROR(IF(INDEX(자격증DB!L:L, MATCH($D159, 자격증DB!$A:$A, 0))=0, "", INDEX(자격증DB!L:L, MATCH($D159, 자격증DB!$A:$A, 0))), "")</f>
        <v/>
      </c>
      <c r="U159" s="1" t="str">
        <f>IFERROR(IF(INDEX(자격증DB!M:M, MATCH($D159, 자격증DB!$A:$A, 0))=0, "", INDEX(자격증DB!M:M, MATCH($D159, 자격증DB!$A:$A, 0))), "")</f>
        <v/>
      </c>
      <c r="V159" s="1" t="str">
        <f>IFERROR(IF(INDEX(자격증DB!N:N, MATCH($D159, 자격증DB!$A:$A, 0))=0, "", INDEX(자격증DB!N:N, MATCH($D159, 자격증DB!$A:$A, 0))), "")</f>
        <v/>
      </c>
      <c r="W159" s="1" t="str">
        <f>IFERROR(IF(INDEX(자격증DB!O:O, MATCH($D159, 자격증DB!$A:$A, 0))=0, "", INDEX(자격증DB!O:O, MATCH($D159, 자격증DB!$A:$A, 0))), "")</f>
        <v/>
      </c>
      <c r="X159" s="1" t="str">
        <f>IFERROR(IF(INDEX(자격증DB!P:P, MATCH($D169, 자격증DB!$A:$A, 0))=0, "", INDEX(자격증DB!P:P, MATCH($D169, 자격증DB!$A:$A, 0))), "")</f>
        <v/>
      </c>
    </row>
    <row r="160" spans="1:26">
      <c r="B160" s="32" t="str">
        <f>IFERROR(INDEX(개인DB!C:C, MATCH($A161, 개인DB!B:B, 0)), "")</f>
        <v/>
      </c>
      <c r="C160" s="32" t="str">
        <f>IFERROR(INDEX(개인DB!D:D, MATCH($A161, 개인DB!B:B, 0)), "")</f>
        <v/>
      </c>
      <c r="P160" s="1" t="str">
        <f>IFERROR(IF(INDEX(자격증DB!H:H, MATCH($D160, 자격증DB!$A:$A, 0))=0, "", INDEX(자격증DB!H:H, MATCH($D160, 자격증DB!$A:$A, 0))), "")</f>
        <v/>
      </c>
      <c r="Q160" s="1" t="str">
        <f>IFERROR(IF(INDEX(자격증DB!I:I, MATCH($D160, 자격증DB!$A:$A, 0))=0, "", INDEX(자격증DB!I:I, MATCH($D160, 자격증DB!$A:$A, 0))), "")</f>
        <v/>
      </c>
      <c r="R160" s="1" t="str">
        <f>IFERROR(IF(INDEX(자격증DB!J:J, MATCH($D160, 자격증DB!$A:$A, 0))=0, "", INDEX(자격증DB!J:J, MATCH($D160, 자격증DB!$A:$A, 0))), "")</f>
        <v/>
      </c>
      <c r="S160" s="1" t="str">
        <f>IFERROR(IF(INDEX(자격증DB!K:K, MATCH($D160, 자격증DB!$A:$A, 0))=0, "", INDEX(자격증DB!K:K, MATCH($D160, 자격증DB!$A:$A, 0))), "")</f>
        <v/>
      </c>
      <c r="T160" s="1" t="str">
        <f>IFERROR(IF(INDEX(자격증DB!L:L, MATCH($D160, 자격증DB!$A:$A, 0))=0, "", INDEX(자격증DB!L:L, MATCH($D160, 자격증DB!$A:$A, 0))), "")</f>
        <v/>
      </c>
      <c r="U160" s="1" t="str">
        <f>IFERROR(IF(INDEX(자격증DB!M:M, MATCH($D160, 자격증DB!$A:$A, 0))=0, "", INDEX(자격증DB!M:M, MATCH($D160, 자격증DB!$A:$A, 0))), "")</f>
        <v/>
      </c>
      <c r="V160" s="1" t="str">
        <f>IFERROR(IF(INDEX(자격증DB!N:N, MATCH($D160, 자격증DB!$A:$A, 0))=0, "", INDEX(자격증DB!N:N, MATCH($D160, 자격증DB!$A:$A, 0))), "")</f>
        <v/>
      </c>
      <c r="W160" s="1" t="str">
        <f>IFERROR(IF(INDEX(자격증DB!O:O, MATCH($D160, 자격증DB!$A:$A, 0))=0, "", INDEX(자격증DB!O:O, MATCH($D160, 자격증DB!$A:$A, 0))), "")</f>
        <v/>
      </c>
      <c r="X160" s="1" t="str">
        <f>IFERROR(IF(INDEX(자격증DB!P:P, MATCH($D170, 자격증DB!$A:$A, 0))=0, "", INDEX(자격증DB!P:P, MATCH($D170, 자격증DB!$A:$A, 0))), "")</f>
        <v/>
      </c>
    </row>
    <row r="161" spans="2:24">
      <c r="B161" s="32" t="str">
        <f>IFERROR(INDEX(개인DB!C:C, MATCH($A162, 개인DB!B:B, 0)), "")</f>
        <v/>
      </c>
      <c r="C161" s="32" t="str">
        <f>IFERROR(INDEX(개인DB!D:D, MATCH($A162, 개인DB!B:B, 0)), "")</f>
        <v/>
      </c>
      <c r="P161" s="1" t="str">
        <f>IFERROR(IF(INDEX(자격증DB!H:H, MATCH($D161, 자격증DB!$A:$A, 0))=0, "", INDEX(자격증DB!H:H, MATCH($D161, 자격증DB!$A:$A, 0))), "")</f>
        <v/>
      </c>
      <c r="Q161" s="1" t="str">
        <f>IFERROR(IF(INDEX(자격증DB!I:I, MATCH($D161, 자격증DB!$A:$A, 0))=0, "", INDEX(자격증DB!I:I, MATCH($D161, 자격증DB!$A:$A, 0))), "")</f>
        <v/>
      </c>
      <c r="R161" s="1" t="str">
        <f>IFERROR(IF(INDEX(자격증DB!J:J, MATCH($D161, 자격증DB!$A:$A, 0))=0, "", INDEX(자격증DB!J:J, MATCH($D161, 자격증DB!$A:$A, 0))), "")</f>
        <v/>
      </c>
      <c r="S161" s="1" t="str">
        <f>IFERROR(IF(INDEX(자격증DB!K:K, MATCH($D161, 자격증DB!$A:$A, 0))=0, "", INDEX(자격증DB!K:K, MATCH($D161, 자격증DB!$A:$A, 0))), "")</f>
        <v/>
      </c>
      <c r="T161" s="1" t="str">
        <f>IFERROR(IF(INDEX(자격증DB!L:L, MATCH($D161, 자격증DB!$A:$A, 0))=0, "", INDEX(자격증DB!L:L, MATCH($D161, 자격증DB!$A:$A, 0))), "")</f>
        <v/>
      </c>
      <c r="U161" s="1" t="str">
        <f>IFERROR(IF(INDEX(자격증DB!M:M, MATCH($D161, 자격증DB!$A:$A, 0))=0, "", INDEX(자격증DB!M:M, MATCH($D161, 자격증DB!$A:$A, 0))), "")</f>
        <v/>
      </c>
      <c r="V161" s="1" t="str">
        <f>IFERROR(IF(INDEX(자격증DB!N:N, MATCH($D161, 자격증DB!$A:$A, 0))=0, "", INDEX(자격증DB!N:N, MATCH($D161, 자격증DB!$A:$A, 0))), "")</f>
        <v/>
      </c>
      <c r="W161" s="1" t="str">
        <f>IFERROR(IF(INDEX(자격증DB!O:O, MATCH($D161, 자격증DB!$A:$A, 0))=0, "", INDEX(자격증DB!O:O, MATCH($D161, 자격증DB!$A:$A, 0))), "")</f>
        <v/>
      </c>
      <c r="X161" s="1" t="str">
        <f>IFERROR(IF(INDEX(자격증DB!P:P, MATCH($D171, 자격증DB!$A:$A, 0))=0, "", INDEX(자격증DB!P:P, MATCH($D171, 자격증DB!$A:$A, 0))), "")</f>
        <v/>
      </c>
    </row>
    <row r="162" spans="2:24">
      <c r="B162" s="32" t="str">
        <f>IFERROR(INDEX(개인DB!C:C, MATCH($A163, 개인DB!B:B, 0)), "")</f>
        <v/>
      </c>
      <c r="C162" s="32" t="str">
        <f>IFERROR(INDEX(개인DB!D:D, MATCH($A163, 개인DB!B:B, 0)), "")</f>
        <v/>
      </c>
      <c r="P162" s="1" t="str">
        <f>IFERROR(IF(INDEX(자격증DB!H:H, MATCH($D162, 자격증DB!$A:$A, 0))=0, "", INDEX(자격증DB!H:H, MATCH($D162, 자격증DB!$A:$A, 0))), "")</f>
        <v/>
      </c>
      <c r="Q162" s="1" t="str">
        <f>IFERROR(IF(INDEX(자격증DB!I:I, MATCH($D162, 자격증DB!$A:$A, 0))=0, "", INDEX(자격증DB!I:I, MATCH($D162, 자격증DB!$A:$A, 0))), "")</f>
        <v/>
      </c>
      <c r="R162" s="1" t="str">
        <f>IFERROR(IF(INDEX(자격증DB!J:J, MATCH($D162, 자격증DB!$A:$A, 0))=0, "", INDEX(자격증DB!J:J, MATCH($D162, 자격증DB!$A:$A, 0))), "")</f>
        <v/>
      </c>
      <c r="S162" s="1" t="str">
        <f>IFERROR(IF(INDEX(자격증DB!K:K, MATCH($D162, 자격증DB!$A:$A, 0))=0, "", INDEX(자격증DB!K:K, MATCH($D162, 자격증DB!$A:$A, 0))), "")</f>
        <v/>
      </c>
      <c r="T162" s="1" t="str">
        <f>IFERROR(IF(INDEX(자격증DB!L:L, MATCH($D162, 자격증DB!$A:$A, 0))=0, "", INDEX(자격증DB!L:L, MATCH($D162, 자격증DB!$A:$A, 0))), "")</f>
        <v/>
      </c>
      <c r="U162" s="1" t="str">
        <f>IFERROR(IF(INDEX(자격증DB!M:M, MATCH($D162, 자격증DB!$A:$A, 0))=0, "", INDEX(자격증DB!M:M, MATCH($D162, 자격증DB!$A:$A, 0))), "")</f>
        <v/>
      </c>
      <c r="V162" s="1" t="str">
        <f>IFERROR(IF(INDEX(자격증DB!N:N, MATCH($D162, 자격증DB!$A:$A, 0))=0, "", INDEX(자격증DB!N:N, MATCH($D162, 자격증DB!$A:$A, 0))), "")</f>
        <v/>
      </c>
      <c r="W162" s="1" t="str">
        <f>IFERROR(IF(INDEX(자격증DB!O:O, MATCH($D162, 자격증DB!$A:$A, 0))=0, "", INDEX(자격증DB!O:O, MATCH($D162, 자격증DB!$A:$A, 0))), "")</f>
        <v/>
      </c>
      <c r="X162" s="1" t="str">
        <f>IFERROR(IF(INDEX(자격증DB!P:P, MATCH($D172, 자격증DB!$A:$A, 0))=0, "", INDEX(자격증DB!P:P, MATCH($D172, 자격증DB!$A:$A, 0))), "")</f>
        <v/>
      </c>
    </row>
    <row r="163" spans="2:24">
      <c r="B163" s="32" t="str">
        <f>IFERROR(INDEX(개인DB!C:C, MATCH($A164, 개인DB!B:B, 0)), "")</f>
        <v/>
      </c>
      <c r="C163" s="32" t="str">
        <f>IFERROR(INDEX(개인DB!D:D, MATCH($A164, 개인DB!B:B, 0)), "")</f>
        <v/>
      </c>
      <c r="P163" s="1" t="str">
        <f>IFERROR(IF(INDEX(자격증DB!H:H, MATCH($D163, 자격증DB!$A:$A, 0))=0, "", INDEX(자격증DB!H:H, MATCH($D163, 자격증DB!$A:$A, 0))), "")</f>
        <v/>
      </c>
      <c r="Q163" s="1" t="str">
        <f>IFERROR(IF(INDEX(자격증DB!I:I, MATCH($D163, 자격증DB!$A:$A, 0))=0, "", INDEX(자격증DB!I:I, MATCH($D163, 자격증DB!$A:$A, 0))), "")</f>
        <v/>
      </c>
      <c r="R163" s="1" t="str">
        <f>IFERROR(IF(INDEX(자격증DB!J:J, MATCH($D163, 자격증DB!$A:$A, 0))=0, "", INDEX(자격증DB!J:J, MATCH($D163, 자격증DB!$A:$A, 0))), "")</f>
        <v/>
      </c>
      <c r="S163" s="1" t="str">
        <f>IFERROR(IF(INDEX(자격증DB!K:K, MATCH($D163, 자격증DB!$A:$A, 0))=0, "", INDEX(자격증DB!K:K, MATCH($D163, 자격증DB!$A:$A, 0))), "")</f>
        <v/>
      </c>
      <c r="T163" s="1" t="str">
        <f>IFERROR(IF(INDEX(자격증DB!L:L, MATCH($D163, 자격증DB!$A:$A, 0))=0, "", INDEX(자격증DB!L:L, MATCH($D163, 자격증DB!$A:$A, 0))), "")</f>
        <v/>
      </c>
      <c r="U163" s="1" t="str">
        <f>IFERROR(IF(INDEX(자격증DB!M:M, MATCH($D163, 자격증DB!$A:$A, 0))=0, "", INDEX(자격증DB!M:M, MATCH($D163, 자격증DB!$A:$A, 0))), "")</f>
        <v/>
      </c>
      <c r="V163" s="1" t="str">
        <f>IFERROR(IF(INDEX(자격증DB!N:N, MATCH($D163, 자격증DB!$A:$A, 0))=0, "", INDEX(자격증DB!N:N, MATCH($D163, 자격증DB!$A:$A, 0))), "")</f>
        <v/>
      </c>
      <c r="W163" s="1" t="str">
        <f>IFERROR(IF(INDEX(자격증DB!O:O, MATCH($D163, 자격증DB!$A:$A, 0))=0, "", INDEX(자격증DB!O:O, MATCH($D163, 자격증DB!$A:$A, 0))), "")</f>
        <v/>
      </c>
      <c r="X163" s="1" t="str">
        <f>IFERROR(IF(INDEX(자격증DB!P:P, MATCH($D173, 자격증DB!$A:$A, 0))=0, "", INDEX(자격증DB!P:P, MATCH($D173, 자격증DB!$A:$A, 0))), "")</f>
        <v/>
      </c>
    </row>
    <row r="164" spans="2:24">
      <c r="B164" s="32" t="str">
        <f>IFERROR(INDEX(개인DB!C:C, MATCH($A165, 개인DB!B:B, 0)), "")</f>
        <v/>
      </c>
      <c r="C164" s="32" t="str">
        <f>IFERROR(INDEX(개인DB!D:D, MATCH($A165, 개인DB!B:B, 0)), "")</f>
        <v/>
      </c>
      <c r="P164" s="1" t="str">
        <f>IFERROR(IF(INDEX(자격증DB!H:H, MATCH($D164, 자격증DB!$A:$A, 0))=0, "", INDEX(자격증DB!H:H, MATCH($D164, 자격증DB!$A:$A, 0))), "")</f>
        <v/>
      </c>
      <c r="Q164" s="1" t="str">
        <f>IFERROR(IF(INDEX(자격증DB!I:I, MATCH($D164, 자격증DB!$A:$A, 0))=0, "", INDEX(자격증DB!I:I, MATCH($D164, 자격증DB!$A:$A, 0))), "")</f>
        <v/>
      </c>
      <c r="R164" s="1" t="str">
        <f>IFERROR(IF(INDEX(자격증DB!J:J, MATCH($D164, 자격증DB!$A:$A, 0))=0, "", INDEX(자격증DB!J:J, MATCH($D164, 자격증DB!$A:$A, 0))), "")</f>
        <v/>
      </c>
      <c r="S164" s="1" t="str">
        <f>IFERROR(IF(INDEX(자격증DB!K:K, MATCH($D164, 자격증DB!$A:$A, 0))=0, "", INDEX(자격증DB!K:K, MATCH($D164, 자격증DB!$A:$A, 0))), "")</f>
        <v/>
      </c>
      <c r="T164" s="1" t="str">
        <f>IFERROR(IF(INDEX(자격증DB!L:L, MATCH($D164, 자격증DB!$A:$A, 0))=0, "", INDEX(자격증DB!L:L, MATCH($D164, 자격증DB!$A:$A, 0))), "")</f>
        <v/>
      </c>
      <c r="U164" s="1" t="str">
        <f>IFERROR(IF(INDEX(자격증DB!M:M, MATCH($D164, 자격증DB!$A:$A, 0))=0, "", INDEX(자격증DB!M:M, MATCH($D164, 자격증DB!$A:$A, 0))), "")</f>
        <v/>
      </c>
      <c r="V164" s="1" t="str">
        <f>IFERROR(IF(INDEX(자격증DB!N:N, MATCH($D164, 자격증DB!$A:$A, 0))=0, "", INDEX(자격증DB!N:N, MATCH($D164, 자격증DB!$A:$A, 0))), "")</f>
        <v/>
      </c>
      <c r="W164" s="1" t="str">
        <f>IFERROR(IF(INDEX(자격증DB!O:O, MATCH($D164, 자격증DB!$A:$A, 0))=0, "", INDEX(자격증DB!O:O, MATCH($D164, 자격증DB!$A:$A, 0))), "")</f>
        <v/>
      </c>
      <c r="X164" s="1" t="str">
        <f>IFERROR(IF(INDEX(자격증DB!P:P, MATCH($D174, 자격증DB!$A:$A, 0))=0, "", INDEX(자격증DB!P:P, MATCH($D174, 자격증DB!$A:$A, 0))), "")</f>
        <v/>
      </c>
    </row>
    <row r="165" spans="2:24">
      <c r="B165" s="32" t="str">
        <f>IFERROR(INDEX(개인DB!C:C, MATCH($A166, 개인DB!B:B, 0)), "")</f>
        <v/>
      </c>
      <c r="C165" s="32" t="str">
        <f>IFERROR(INDEX(개인DB!D:D, MATCH($A166, 개인DB!B:B, 0)), "")</f>
        <v/>
      </c>
      <c r="P165" s="1" t="str">
        <f>IFERROR(IF(INDEX(자격증DB!H:H, MATCH($D165, 자격증DB!$A:$A, 0))=0, "", INDEX(자격증DB!H:H, MATCH($D165, 자격증DB!$A:$A, 0))), "")</f>
        <v/>
      </c>
      <c r="Q165" s="1" t="str">
        <f>IFERROR(IF(INDEX(자격증DB!I:I, MATCH($D165, 자격증DB!$A:$A, 0))=0, "", INDEX(자격증DB!I:I, MATCH($D165, 자격증DB!$A:$A, 0))), "")</f>
        <v/>
      </c>
      <c r="R165" s="1" t="str">
        <f>IFERROR(IF(INDEX(자격증DB!J:J, MATCH($D165, 자격증DB!$A:$A, 0))=0, "", INDEX(자격증DB!J:J, MATCH($D165, 자격증DB!$A:$A, 0))), "")</f>
        <v/>
      </c>
      <c r="S165" s="1" t="str">
        <f>IFERROR(IF(INDEX(자격증DB!K:K, MATCH($D165, 자격증DB!$A:$A, 0))=0, "", INDEX(자격증DB!K:K, MATCH($D165, 자격증DB!$A:$A, 0))), "")</f>
        <v/>
      </c>
      <c r="T165" s="1" t="str">
        <f>IFERROR(IF(INDEX(자격증DB!L:L, MATCH($D165, 자격증DB!$A:$A, 0))=0, "", INDEX(자격증DB!L:L, MATCH($D165, 자격증DB!$A:$A, 0))), "")</f>
        <v/>
      </c>
      <c r="U165" s="1" t="str">
        <f>IFERROR(IF(INDEX(자격증DB!M:M, MATCH($D165, 자격증DB!$A:$A, 0))=0, "", INDEX(자격증DB!M:M, MATCH($D165, 자격증DB!$A:$A, 0))), "")</f>
        <v/>
      </c>
      <c r="V165" s="1" t="str">
        <f>IFERROR(IF(INDEX(자격증DB!N:N, MATCH($D165, 자격증DB!$A:$A, 0))=0, "", INDEX(자격증DB!N:N, MATCH($D165, 자격증DB!$A:$A, 0))), "")</f>
        <v/>
      </c>
      <c r="W165" s="1" t="str">
        <f>IFERROR(IF(INDEX(자격증DB!O:O, MATCH($D165, 자격증DB!$A:$A, 0))=0, "", INDEX(자격증DB!O:O, MATCH($D165, 자격증DB!$A:$A, 0))), "")</f>
        <v/>
      </c>
      <c r="X165" s="1" t="str">
        <f>IFERROR(IF(INDEX(자격증DB!P:P, MATCH($D175, 자격증DB!$A:$A, 0))=0, "", INDEX(자격증DB!P:P, MATCH($D175, 자격증DB!$A:$A, 0))), "")</f>
        <v/>
      </c>
    </row>
    <row r="166" spans="2:24">
      <c r="B166" s="32" t="str">
        <f>IFERROR(INDEX(개인DB!C:C, MATCH($A167, 개인DB!B:B, 0)), "")</f>
        <v/>
      </c>
      <c r="C166" s="32" t="str">
        <f>IFERROR(INDEX(개인DB!D:D, MATCH($A167, 개인DB!B:B, 0)), "")</f>
        <v/>
      </c>
      <c r="P166" s="1" t="str">
        <f>IFERROR(IF(INDEX(자격증DB!H:H, MATCH($D166, 자격증DB!$A:$A, 0))=0, "", INDEX(자격증DB!H:H, MATCH($D166, 자격증DB!$A:$A, 0))), "")</f>
        <v/>
      </c>
      <c r="Q166" s="1" t="str">
        <f>IFERROR(IF(INDEX(자격증DB!I:I, MATCH($D166, 자격증DB!$A:$A, 0))=0, "", INDEX(자격증DB!I:I, MATCH($D166, 자격증DB!$A:$A, 0))), "")</f>
        <v/>
      </c>
      <c r="R166" s="1" t="str">
        <f>IFERROR(IF(INDEX(자격증DB!J:J, MATCH($D166, 자격증DB!$A:$A, 0))=0, "", INDEX(자격증DB!J:J, MATCH($D166, 자격증DB!$A:$A, 0))), "")</f>
        <v/>
      </c>
      <c r="S166" s="1" t="str">
        <f>IFERROR(IF(INDEX(자격증DB!K:K, MATCH($D166, 자격증DB!$A:$A, 0))=0, "", INDEX(자격증DB!K:K, MATCH($D166, 자격증DB!$A:$A, 0))), "")</f>
        <v/>
      </c>
      <c r="T166" s="1" t="str">
        <f>IFERROR(IF(INDEX(자격증DB!L:L, MATCH($D166, 자격증DB!$A:$A, 0))=0, "", INDEX(자격증DB!L:L, MATCH($D166, 자격증DB!$A:$A, 0))), "")</f>
        <v/>
      </c>
      <c r="U166" s="1" t="str">
        <f>IFERROR(IF(INDEX(자격증DB!M:M, MATCH($D166, 자격증DB!$A:$A, 0))=0, "", INDEX(자격증DB!M:M, MATCH($D166, 자격증DB!$A:$A, 0))), "")</f>
        <v/>
      </c>
      <c r="V166" s="1" t="str">
        <f>IFERROR(IF(INDEX(자격증DB!N:N, MATCH($D166, 자격증DB!$A:$A, 0))=0, "", INDEX(자격증DB!N:N, MATCH($D166, 자격증DB!$A:$A, 0))), "")</f>
        <v/>
      </c>
      <c r="W166" s="1" t="str">
        <f>IFERROR(IF(INDEX(자격증DB!O:O, MATCH($D166, 자격증DB!$A:$A, 0))=0, "", INDEX(자격증DB!O:O, MATCH($D166, 자격증DB!$A:$A, 0))), "")</f>
        <v/>
      </c>
      <c r="X166" s="1" t="str">
        <f>IFERROR(IF(INDEX(자격증DB!P:P, MATCH($D176, 자격증DB!$A:$A, 0))=0, "", INDEX(자격증DB!P:P, MATCH($D176, 자격증DB!$A:$A, 0))), "")</f>
        <v/>
      </c>
    </row>
    <row r="167" spans="2:24">
      <c r="B167" s="32" t="str">
        <f>IFERROR(INDEX(개인DB!C:C, MATCH($A168, 개인DB!B:B, 0)), "")</f>
        <v/>
      </c>
      <c r="C167" s="32" t="str">
        <f>IFERROR(INDEX(개인DB!D:D, MATCH($A168, 개인DB!B:B, 0)), "")</f>
        <v/>
      </c>
      <c r="P167" s="1" t="str">
        <f>IFERROR(IF(INDEX(자격증DB!H:H, MATCH($D167, 자격증DB!$A:$A, 0))=0, "", INDEX(자격증DB!H:H, MATCH($D167, 자격증DB!$A:$A, 0))), "")</f>
        <v/>
      </c>
      <c r="Q167" s="1" t="str">
        <f>IFERROR(IF(INDEX(자격증DB!I:I, MATCH($D167, 자격증DB!$A:$A, 0))=0, "", INDEX(자격증DB!I:I, MATCH($D167, 자격증DB!$A:$A, 0))), "")</f>
        <v/>
      </c>
      <c r="R167" s="1" t="str">
        <f>IFERROR(IF(INDEX(자격증DB!J:J, MATCH($D167, 자격증DB!$A:$A, 0))=0, "", INDEX(자격증DB!J:J, MATCH($D167, 자격증DB!$A:$A, 0))), "")</f>
        <v/>
      </c>
      <c r="S167" s="1" t="str">
        <f>IFERROR(IF(INDEX(자격증DB!K:K, MATCH($D167, 자격증DB!$A:$A, 0))=0, "", INDEX(자격증DB!K:K, MATCH($D167, 자격증DB!$A:$A, 0))), "")</f>
        <v/>
      </c>
      <c r="T167" s="1" t="str">
        <f>IFERROR(IF(INDEX(자격증DB!L:L, MATCH($D167, 자격증DB!$A:$A, 0))=0, "", INDEX(자격증DB!L:L, MATCH($D167, 자격증DB!$A:$A, 0))), "")</f>
        <v/>
      </c>
      <c r="U167" s="1" t="str">
        <f>IFERROR(IF(INDEX(자격증DB!M:M, MATCH($D167, 자격증DB!$A:$A, 0))=0, "", INDEX(자격증DB!M:M, MATCH($D167, 자격증DB!$A:$A, 0))), "")</f>
        <v/>
      </c>
      <c r="V167" s="1" t="str">
        <f>IFERROR(IF(INDEX(자격증DB!N:N, MATCH($D167, 자격증DB!$A:$A, 0))=0, "", INDEX(자격증DB!N:N, MATCH($D167, 자격증DB!$A:$A, 0))), "")</f>
        <v/>
      </c>
      <c r="W167" s="1" t="str">
        <f>IFERROR(IF(INDEX(자격증DB!O:O, MATCH($D167, 자격증DB!$A:$A, 0))=0, "", INDEX(자격증DB!O:O, MATCH($D167, 자격증DB!$A:$A, 0))), "")</f>
        <v/>
      </c>
      <c r="X167" s="1" t="str">
        <f>IFERROR(IF(INDEX(자격증DB!P:P, MATCH($D177, 자격증DB!$A:$A, 0))=0, "", INDEX(자격증DB!P:P, MATCH($D177, 자격증DB!$A:$A, 0))), "")</f>
        <v/>
      </c>
    </row>
    <row r="168" spans="2:24">
      <c r="B168" s="32" t="str">
        <f>IFERROR(INDEX(개인DB!C:C, MATCH($A169, 개인DB!B:B, 0)), "")</f>
        <v/>
      </c>
      <c r="C168" s="32" t="str">
        <f>IFERROR(INDEX(개인DB!D:D, MATCH($A169, 개인DB!B:B, 0)), "")</f>
        <v/>
      </c>
      <c r="P168" s="1" t="str">
        <f>IFERROR(IF(INDEX(자격증DB!H:H, MATCH($D168, 자격증DB!$A:$A, 0))=0, "", INDEX(자격증DB!H:H, MATCH($D168, 자격증DB!$A:$A, 0))), "")</f>
        <v/>
      </c>
      <c r="Q168" s="1" t="str">
        <f>IFERROR(IF(INDEX(자격증DB!I:I, MATCH($D168, 자격증DB!$A:$A, 0))=0, "", INDEX(자격증DB!I:I, MATCH($D168, 자격증DB!$A:$A, 0))), "")</f>
        <v/>
      </c>
      <c r="R168" s="1" t="str">
        <f>IFERROR(IF(INDEX(자격증DB!J:J, MATCH($D168, 자격증DB!$A:$A, 0))=0, "", INDEX(자격증DB!J:J, MATCH($D168, 자격증DB!$A:$A, 0))), "")</f>
        <v/>
      </c>
      <c r="S168" s="1" t="str">
        <f>IFERROR(IF(INDEX(자격증DB!K:K, MATCH($D168, 자격증DB!$A:$A, 0))=0, "", INDEX(자격증DB!K:K, MATCH($D168, 자격증DB!$A:$A, 0))), "")</f>
        <v/>
      </c>
      <c r="T168" s="1" t="str">
        <f>IFERROR(IF(INDEX(자격증DB!L:L, MATCH($D168, 자격증DB!$A:$A, 0))=0, "", INDEX(자격증DB!L:L, MATCH($D168, 자격증DB!$A:$A, 0))), "")</f>
        <v/>
      </c>
      <c r="U168" s="1" t="str">
        <f>IFERROR(IF(INDEX(자격증DB!M:M, MATCH($D168, 자격증DB!$A:$A, 0))=0, "", INDEX(자격증DB!M:M, MATCH($D168, 자격증DB!$A:$A, 0))), "")</f>
        <v/>
      </c>
      <c r="V168" s="1" t="str">
        <f>IFERROR(IF(INDEX(자격증DB!N:N, MATCH($D168, 자격증DB!$A:$A, 0))=0, "", INDEX(자격증DB!N:N, MATCH($D168, 자격증DB!$A:$A, 0))), "")</f>
        <v/>
      </c>
      <c r="W168" s="1" t="str">
        <f>IFERROR(IF(INDEX(자격증DB!O:O, MATCH($D168, 자격증DB!$A:$A, 0))=0, "", INDEX(자격증DB!O:O, MATCH($D168, 자격증DB!$A:$A, 0))), "")</f>
        <v/>
      </c>
      <c r="X168" s="1" t="str">
        <f>IFERROR(IF(INDEX(자격증DB!P:P, MATCH($D178, 자격증DB!$A:$A, 0))=0, "", INDEX(자격증DB!P:P, MATCH($D178, 자격증DB!$A:$A, 0))), "")</f>
        <v/>
      </c>
    </row>
    <row r="169" spans="2:24">
      <c r="B169" s="32" t="str">
        <f>IFERROR(INDEX(개인DB!C:C, MATCH($A170, 개인DB!B:B, 0)), "")</f>
        <v/>
      </c>
      <c r="C169" s="32" t="str">
        <f>IFERROR(INDEX(개인DB!D:D, MATCH($A170, 개인DB!B:B, 0)), "")</f>
        <v/>
      </c>
      <c r="P169" s="1" t="str">
        <f>IFERROR(IF(INDEX(자격증DB!H:H, MATCH($D169, 자격증DB!$A:$A, 0))=0, "", INDEX(자격증DB!H:H, MATCH($D169, 자격증DB!$A:$A, 0))), "")</f>
        <v/>
      </c>
      <c r="Q169" s="1" t="str">
        <f>IFERROR(IF(INDEX(자격증DB!I:I, MATCH($D169, 자격증DB!$A:$A, 0))=0, "", INDEX(자격증DB!I:I, MATCH($D169, 자격증DB!$A:$A, 0))), "")</f>
        <v/>
      </c>
      <c r="R169" s="1" t="str">
        <f>IFERROR(IF(INDEX(자격증DB!J:J, MATCH($D169, 자격증DB!$A:$A, 0))=0, "", INDEX(자격증DB!J:J, MATCH($D169, 자격증DB!$A:$A, 0))), "")</f>
        <v/>
      </c>
      <c r="S169" s="1" t="str">
        <f>IFERROR(IF(INDEX(자격증DB!K:K, MATCH($D169, 자격증DB!$A:$A, 0))=0, "", INDEX(자격증DB!K:K, MATCH($D169, 자격증DB!$A:$A, 0))), "")</f>
        <v/>
      </c>
      <c r="T169" s="1" t="str">
        <f>IFERROR(IF(INDEX(자격증DB!L:L, MATCH($D169, 자격증DB!$A:$A, 0))=0, "", INDEX(자격증DB!L:L, MATCH($D169, 자격증DB!$A:$A, 0))), "")</f>
        <v/>
      </c>
      <c r="U169" s="1" t="str">
        <f>IFERROR(IF(INDEX(자격증DB!M:M, MATCH($D169, 자격증DB!$A:$A, 0))=0, "", INDEX(자격증DB!M:M, MATCH($D169, 자격증DB!$A:$A, 0))), "")</f>
        <v/>
      </c>
      <c r="V169" s="1" t="str">
        <f>IFERROR(IF(INDEX(자격증DB!N:N, MATCH($D169, 자격증DB!$A:$A, 0))=0, "", INDEX(자격증DB!N:N, MATCH($D169, 자격증DB!$A:$A, 0))), "")</f>
        <v/>
      </c>
      <c r="W169" s="1" t="str">
        <f>IFERROR(IF(INDEX(자격증DB!O:O, MATCH($D169, 자격증DB!$A:$A, 0))=0, "", INDEX(자격증DB!O:O, MATCH($D169, 자격증DB!$A:$A, 0))), "")</f>
        <v/>
      </c>
      <c r="X169" s="1" t="str">
        <f>IFERROR(IF(INDEX(자격증DB!P:P, MATCH($D179, 자격증DB!$A:$A, 0))=0, "", INDEX(자격증DB!P:P, MATCH($D179, 자격증DB!$A:$A, 0))), "")</f>
        <v/>
      </c>
    </row>
    <row r="170" spans="2:24">
      <c r="B170" s="32" t="str">
        <f>IFERROR(INDEX(개인DB!C:C, MATCH($A171, 개인DB!B:B, 0)), "")</f>
        <v/>
      </c>
      <c r="C170" s="32" t="str">
        <f>IFERROR(INDEX(개인DB!D:D, MATCH($A171, 개인DB!B:B, 0)), "")</f>
        <v/>
      </c>
      <c r="P170" s="1" t="str">
        <f>IFERROR(IF(INDEX(자격증DB!H:H, MATCH($D170, 자격증DB!$A:$A, 0))=0, "", INDEX(자격증DB!H:H, MATCH($D170, 자격증DB!$A:$A, 0))), "")</f>
        <v/>
      </c>
      <c r="Q170" s="1" t="str">
        <f>IFERROR(IF(INDEX(자격증DB!I:I, MATCH($D170, 자격증DB!$A:$A, 0))=0, "", INDEX(자격증DB!I:I, MATCH($D170, 자격증DB!$A:$A, 0))), "")</f>
        <v/>
      </c>
      <c r="R170" s="1" t="str">
        <f>IFERROR(IF(INDEX(자격증DB!J:J, MATCH($D170, 자격증DB!$A:$A, 0))=0, "", INDEX(자격증DB!J:J, MATCH($D170, 자격증DB!$A:$A, 0))), "")</f>
        <v/>
      </c>
      <c r="S170" s="1" t="str">
        <f>IFERROR(IF(INDEX(자격증DB!K:K, MATCH($D170, 자격증DB!$A:$A, 0))=0, "", INDEX(자격증DB!K:K, MATCH($D170, 자격증DB!$A:$A, 0))), "")</f>
        <v/>
      </c>
      <c r="T170" s="1" t="str">
        <f>IFERROR(IF(INDEX(자격증DB!L:L, MATCH($D170, 자격증DB!$A:$A, 0))=0, "", INDEX(자격증DB!L:L, MATCH($D170, 자격증DB!$A:$A, 0))), "")</f>
        <v/>
      </c>
      <c r="U170" s="1" t="str">
        <f>IFERROR(IF(INDEX(자격증DB!M:M, MATCH($D170, 자격증DB!$A:$A, 0))=0, "", INDEX(자격증DB!M:M, MATCH($D170, 자격증DB!$A:$A, 0))), "")</f>
        <v/>
      </c>
      <c r="V170" s="1" t="str">
        <f>IFERROR(IF(INDEX(자격증DB!N:N, MATCH($D170, 자격증DB!$A:$A, 0))=0, "", INDEX(자격증DB!N:N, MATCH($D170, 자격증DB!$A:$A, 0))), "")</f>
        <v/>
      </c>
      <c r="W170" s="1" t="str">
        <f>IFERROR(IF(INDEX(자격증DB!O:O, MATCH($D170, 자격증DB!$A:$A, 0))=0, "", INDEX(자격증DB!O:O, MATCH($D170, 자격증DB!$A:$A, 0))), "")</f>
        <v/>
      </c>
      <c r="X170" s="1" t="str">
        <f>IFERROR(IF(INDEX(자격증DB!P:P, MATCH($D180, 자격증DB!$A:$A, 0))=0, "", INDEX(자격증DB!P:P, MATCH($D180, 자격증DB!$A:$A, 0))), "")</f>
        <v/>
      </c>
    </row>
    <row r="171" spans="2:24">
      <c r="B171" s="32" t="str">
        <f>IFERROR(INDEX(개인DB!C:C, MATCH($A172, 개인DB!B:B, 0)), "")</f>
        <v/>
      </c>
      <c r="C171" s="32" t="str">
        <f>IFERROR(INDEX(개인DB!D:D, MATCH($A172, 개인DB!B:B, 0)), "")</f>
        <v/>
      </c>
      <c r="P171" s="1" t="str">
        <f>IFERROR(IF(INDEX(자격증DB!H:H, MATCH($D171, 자격증DB!$A:$A, 0))=0, "", INDEX(자격증DB!H:H, MATCH($D171, 자격증DB!$A:$A, 0))), "")</f>
        <v/>
      </c>
      <c r="Q171" s="1" t="str">
        <f>IFERROR(IF(INDEX(자격증DB!I:I, MATCH($D171, 자격증DB!$A:$A, 0))=0, "", INDEX(자격증DB!I:I, MATCH($D171, 자격증DB!$A:$A, 0))), "")</f>
        <v/>
      </c>
      <c r="R171" s="1" t="str">
        <f>IFERROR(IF(INDEX(자격증DB!J:J, MATCH($D171, 자격증DB!$A:$A, 0))=0, "", INDEX(자격증DB!J:J, MATCH($D171, 자격증DB!$A:$A, 0))), "")</f>
        <v/>
      </c>
      <c r="S171" s="1" t="str">
        <f>IFERROR(IF(INDEX(자격증DB!K:K, MATCH($D171, 자격증DB!$A:$A, 0))=0, "", INDEX(자격증DB!K:K, MATCH($D171, 자격증DB!$A:$A, 0))), "")</f>
        <v/>
      </c>
      <c r="T171" s="1" t="str">
        <f>IFERROR(IF(INDEX(자격증DB!L:L, MATCH($D171, 자격증DB!$A:$A, 0))=0, "", INDEX(자격증DB!L:L, MATCH($D171, 자격증DB!$A:$A, 0))), "")</f>
        <v/>
      </c>
      <c r="U171" s="1" t="str">
        <f>IFERROR(IF(INDEX(자격증DB!M:M, MATCH($D171, 자격증DB!$A:$A, 0))=0, "", INDEX(자격증DB!M:M, MATCH($D171, 자격증DB!$A:$A, 0))), "")</f>
        <v/>
      </c>
      <c r="V171" s="1" t="str">
        <f>IFERROR(IF(INDEX(자격증DB!N:N, MATCH($D171, 자격증DB!$A:$A, 0))=0, "", INDEX(자격증DB!N:N, MATCH($D171, 자격증DB!$A:$A, 0))), "")</f>
        <v/>
      </c>
      <c r="W171" s="1" t="str">
        <f>IFERROR(IF(INDEX(자격증DB!O:O, MATCH($D171, 자격증DB!$A:$A, 0))=0, "", INDEX(자격증DB!O:O, MATCH($D171, 자격증DB!$A:$A, 0))), "")</f>
        <v/>
      </c>
      <c r="X171" s="1" t="str">
        <f>IFERROR(IF(INDEX(자격증DB!P:P, MATCH($D181, 자격증DB!$A:$A, 0))=0, "", INDEX(자격증DB!P:P, MATCH($D181, 자격증DB!$A:$A, 0))), "")</f>
        <v/>
      </c>
    </row>
    <row r="172" spans="2:24">
      <c r="B172" s="32" t="str">
        <f>IFERROR(INDEX(개인DB!C:C, MATCH($A173, 개인DB!B:B, 0)), "")</f>
        <v/>
      </c>
      <c r="C172" s="32" t="str">
        <f>IFERROR(INDEX(개인DB!D:D, MATCH($A173, 개인DB!B:B, 0)), "")</f>
        <v/>
      </c>
      <c r="P172" s="1" t="str">
        <f>IFERROR(IF(INDEX(자격증DB!H:H, MATCH($D172, 자격증DB!$A:$A, 0))=0, "", INDEX(자격증DB!H:H, MATCH($D172, 자격증DB!$A:$A, 0))), "")</f>
        <v/>
      </c>
      <c r="Q172" s="1" t="str">
        <f>IFERROR(IF(INDEX(자격증DB!I:I, MATCH($D172, 자격증DB!$A:$A, 0))=0, "", INDEX(자격증DB!I:I, MATCH($D172, 자격증DB!$A:$A, 0))), "")</f>
        <v/>
      </c>
      <c r="R172" s="1" t="str">
        <f>IFERROR(IF(INDEX(자격증DB!J:J, MATCH($D172, 자격증DB!$A:$A, 0))=0, "", INDEX(자격증DB!J:J, MATCH($D172, 자격증DB!$A:$A, 0))), "")</f>
        <v/>
      </c>
      <c r="S172" s="1" t="str">
        <f>IFERROR(IF(INDEX(자격증DB!K:K, MATCH($D172, 자격증DB!$A:$A, 0))=0, "", INDEX(자격증DB!K:K, MATCH($D172, 자격증DB!$A:$A, 0))), "")</f>
        <v/>
      </c>
      <c r="T172" s="1" t="str">
        <f>IFERROR(IF(INDEX(자격증DB!L:L, MATCH($D172, 자격증DB!$A:$A, 0))=0, "", INDEX(자격증DB!L:L, MATCH($D172, 자격증DB!$A:$A, 0))), "")</f>
        <v/>
      </c>
      <c r="U172" s="1" t="str">
        <f>IFERROR(IF(INDEX(자격증DB!M:M, MATCH($D172, 자격증DB!$A:$A, 0))=0, "", INDEX(자격증DB!M:M, MATCH($D172, 자격증DB!$A:$A, 0))), "")</f>
        <v/>
      </c>
      <c r="V172" s="1" t="str">
        <f>IFERROR(IF(INDEX(자격증DB!N:N, MATCH($D172, 자격증DB!$A:$A, 0))=0, "", INDEX(자격증DB!N:N, MATCH($D172, 자격증DB!$A:$A, 0))), "")</f>
        <v/>
      </c>
      <c r="W172" s="1" t="str">
        <f>IFERROR(IF(INDEX(자격증DB!O:O, MATCH($D172, 자격증DB!$A:$A, 0))=0, "", INDEX(자격증DB!O:O, MATCH($D172, 자격증DB!$A:$A, 0))), "")</f>
        <v/>
      </c>
      <c r="X172" s="1" t="str">
        <f>IFERROR(IF(INDEX(자격증DB!P:P, MATCH($D182, 자격증DB!$A:$A, 0))=0, "", INDEX(자격증DB!P:P, MATCH($D182, 자격증DB!$A:$A, 0))), "")</f>
        <v/>
      </c>
    </row>
    <row r="173" spans="2:24">
      <c r="B173" s="32" t="str">
        <f>IFERROR(INDEX(개인DB!C:C, MATCH($A174, 개인DB!B:B, 0)), "")</f>
        <v/>
      </c>
      <c r="C173" s="32" t="str">
        <f>IFERROR(INDEX(개인DB!D:D, MATCH($A174, 개인DB!B:B, 0)), "")</f>
        <v/>
      </c>
      <c r="P173" s="1" t="str">
        <f>IFERROR(IF(INDEX(자격증DB!H:H, MATCH($D173, 자격증DB!$A:$A, 0))=0, "", INDEX(자격증DB!H:H, MATCH($D173, 자격증DB!$A:$A, 0))), "")</f>
        <v/>
      </c>
      <c r="Q173" s="1" t="str">
        <f>IFERROR(IF(INDEX(자격증DB!I:I, MATCH($D173, 자격증DB!$A:$A, 0))=0, "", INDEX(자격증DB!I:I, MATCH($D173, 자격증DB!$A:$A, 0))), "")</f>
        <v/>
      </c>
      <c r="R173" s="1" t="str">
        <f>IFERROR(IF(INDEX(자격증DB!J:J, MATCH($D173, 자격증DB!$A:$A, 0))=0, "", INDEX(자격증DB!J:J, MATCH($D173, 자격증DB!$A:$A, 0))), "")</f>
        <v/>
      </c>
      <c r="S173" s="1" t="str">
        <f>IFERROR(IF(INDEX(자격증DB!K:K, MATCH($D173, 자격증DB!$A:$A, 0))=0, "", INDEX(자격증DB!K:K, MATCH($D173, 자격증DB!$A:$A, 0))), "")</f>
        <v/>
      </c>
      <c r="T173" s="1" t="str">
        <f>IFERROR(IF(INDEX(자격증DB!L:L, MATCH($D173, 자격증DB!$A:$A, 0))=0, "", INDEX(자격증DB!L:L, MATCH($D173, 자격증DB!$A:$A, 0))), "")</f>
        <v/>
      </c>
      <c r="U173" s="1" t="str">
        <f>IFERROR(IF(INDEX(자격증DB!M:M, MATCH($D173, 자격증DB!$A:$A, 0))=0, "", INDEX(자격증DB!M:M, MATCH($D173, 자격증DB!$A:$A, 0))), "")</f>
        <v/>
      </c>
      <c r="V173" s="1" t="str">
        <f>IFERROR(IF(INDEX(자격증DB!N:N, MATCH($D173, 자격증DB!$A:$A, 0))=0, "", INDEX(자격증DB!N:N, MATCH($D173, 자격증DB!$A:$A, 0))), "")</f>
        <v/>
      </c>
      <c r="W173" s="1" t="str">
        <f>IFERROR(IF(INDEX(자격증DB!O:O, MATCH($D173, 자격증DB!$A:$A, 0))=0, "", INDEX(자격증DB!O:O, MATCH($D173, 자격증DB!$A:$A, 0))), "")</f>
        <v/>
      </c>
      <c r="X173" s="1" t="str">
        <f>IFERROR(IF(INDEX(자격증DB!P:P, MATCH($D183, 자격증DB!$A:$A, 0))=0, "", INDEX(자격증DB!P:P, MATCH($D183, 자격증DB!$A:$A, 0))), "")</f>
        <v/>
      </c>
    </row>
    <row r="174" spans="2:24">
      <c r="B174" s="32" t="str">
        <f>IFERROR(INDEX(개인DB!C:C, MATCH($A175, 개인DB!B:B, 0)), "")</f>
        <v/>
      </c>
      <c r="C174" s="32" t="str">
        <f>IFERROR(INDEX(개인DB!D:D, MATCH($A175, 개인DB!B:B, 0)), "")</f>
        <v/>
      </c>
      <c r="P174" s="1" t="str">
        <f>IFERROR(IF(INDEX(자격증DB!H:H, MATCH($D174, 자격증DB!$A:$A, 0))=0, "", INDEX(자격증DB!H:H, MATCH($D174, 자격증DB!$A:$A, 0))), "")</f>
        <v/>
      </c>
      <c r="Q174" s="1" t="str">
        <f>IFERROR(IF(INDEX(자격증DB!I:I, MATCH($D174, 자격증DB!$A:$A, 0))=0, "", INDEX(자격증DB!I:I, MATCH($D174, 자격증DB!$A:$A, 0))), "")</f>
        <v/>
      </c>
      <c r="R174" s="1" t="str">
        <f>IFERROR(IF(INDEX(자격증DB!J:J, MATCH($D174, 자격증DB!$A:$A, 0))=0, "", INDEX(자격증DB!J:J, MATCH($D174, 자격증DB!$A:$A, 0))), "")</f>
        <v/>
      </c>
      <c r="S174" s="1" t="str">
        <f>IFERROR(IF(INDEX(자격증DB!K:K, MATCH($D174, 자격증DB!$A:$A, 0))=0, "", INDEX(자격증DB!K:K, MATCH($D174, 자격증DB!$A:$A, 0))), "")</f>
        <v/>
      </c>
      <c r="T174" s="1" t="str">
        <f>IFERROR(IF(INDEX(자격증DB!L:L, MATCH($D174, 자격증DB!$A:$A, 0))=0, "", INDEX(자격증DB!L:L, MATCH($D174, 자격증DB!$A:$A, 0))), "")</f>
        <v/>
      </c>
      <c r="U174" s="1" t="str">
        <f>IFERROR(IF(INDEX(자격증DB!M:M, MATCH($D174, 자격증DB!$A:$A, 0))=0, "", INDEX(자격증DB!M:M, MATCH($D174, 자격증DB!$A:$A, 0))), "")</f>
        <v/>
      </c>
      <c r="V174" s="1" t="str">
        <f>IFERROR(IF(INDEX(자격증DB!N:N, MATCH($D174, 자격증DB!$A:$A, 0))=0, "", INDEX(자격증DB!N:N, MATCH($D174, 자격증DB!$A:$A, 0))), "")</f>
        <v/>
      </c>
      <c r="W174" s="1" t="str">
        <f>IFERROR(IF(INDEX(자격증DB!O:O, MATCH($D174, 자격증DB!$A:$A, 0))=0, "", INDEX(자격증DB!O:O, MATCH($D174, 자격증DB!$A:$A, 0))), "")</f>
        <v/>
      </c>
      <c r="X174" s="1" t="str">
        <f>IFERROR(IF(INDEX(자격증DB!P:P, MATCH($D184, 자격증DB!$A:$A, 0))=0, "", INDEX(자격증DB!P:P, MATCH($D184, 자격증DB!$A:$A, 0))), "")</f>
        <v/>
      </c>
    </row>
    <row r="175" spans="2:24">
      <c r="B175" s="32" t="str">
        <f>IFERROR(INDEX(개인DB!C:C, MATCH($A176, 개인DB!B:B, 0)), "")</f>
        <v/>
      </c>
      <c r="C175" s="32" t="str">
        <f>IFERROR(INDEX(개인DB!D:D, MATCH($A176, 개인DB!B:B, 0)), "")</f>
        <v/>
      </c>
      <c r="P175" s="1" t="str">
        <f>IFERROR(IF(INDEX(자격증DB!H:H, MATCH($D175, 자격증DB!$A:$A, 0))=0, "", INDEX(자격증DB!H:H, MATCH($D175, 자격증DB!$A:$A, 0))), "")</f>
        <v/>
      </c>
      <c r="Q175" s="1" t="str">
        <f>IFERROR(IF(INDEX(자격증DB!I:I, MATCH($D175, 자격증DB!$A:$A, 0))=0, "", INDEX(자격증DB!I:I, MATCH($D175, 자격증DB!$A:$A, 0))), "")</f>
        <v/>
      </c>
      <c r="R175" s="1" t="str">
        <f>IFERROR(IF(INDEX(자격증DB!J:J, MATCH($D175, 자격증DB!$A:$A, 0))=0, "", INDEX(자격증DB!J:J, MATCH($D175, 자격증DB!$A:$A, 0))), "")</f>
        <v/>
      </c>
      <c r="S175" s="1" t="str">
        <f>IFERROR(IF(INDEX(자격증DB!K:K, MATCH($D175, 자격증DB!$A:$A, 0))=0, "", INDEX(자격증DB!K:K, MATCH($D175, 자격증DB!$A:$A, 0))), "")</f>
        <v/>
      </c>
      <c r="T175" s="1" t="str">
        <f>IFERROR(IF(INDEX(자격증DB!L:L, MATCH($D175, 자격증DB!$A:$A, 0))=0, "", INDEX(자격증DB!L:L, MATCH($D175, 자격증DB!$A:$A, 0))), "")</f>
        <v/>
      </c>
      <c r="U175" s="1" t="str">
        <f>IFERROR(IF(INDEX(자격증DB!M:M, MATCH($D175, 자격증DB!$A:$A, 0))=0, "", INDEX(자격증DB!M:M, MATCH($D175, 자격증DB!$A:$A, 0))), "")</f>
        <v/>
      </c>
      <c r="V175" s="1" t="str">
        <f>IFERROR(IF(INDEX(자격증DB!N:N, MATCH($D175, 자격증DB!$A:$A, 0))=0, "", INDEX(자격증DB!N:N, MATCH($D175, 자격증DB!$A:$A, 0))), "")</f>
        <v/>
      </c>
      <c r="W175" s="1" t="str">
        <f>IFERROR(IF(INDEX(자격증DB!O:O, MATCH($D175, 자격증DB!$A:$A, 0))=0, "", INDEX(자격증DB!O:O, MATCH($D175, 자격증DB!$A:$A, 0))), "")</f>
        <v/>
      </c>
      <c r="X175" s="1" t="str">
        <f>IFERROR(IF(INDEX(자격증DB!P:P, MATCH($D185, 자격증DB!$A:$A, 0))=0, "", INDEX(자격증DB!P:P, MATCH($D185, 자격증DB!$A:$A, 0))), "")</f>
        <v/>
      </c>
    </row>
    <row r="176" spans="2:24">
      <c r="B176" s="32" t="str">
        <f>IFERROR(INDEX(개인DB!C:C, MATCH($A177, 개인DB!B:B, 0)), "")</f>
        <v/>
      </c>
      <c r="C176" s="32" t="str">
        <f>IFERROR(INDEX(개인DB!D:D, MATCH($A177, 개인DB!B:B, 0)), "")</f>
        <v/>
      </c>
      <c r="P176" s="1" t="str">
        <f>IFERROR(IF(INDEX(자격증DB!H:H, MATCH($D176, 자격증DB!$A:$A, 0))=0, "", INDEX(자격증DB!H:H, MATCH($D176, 자격증DB!$A:$A, 0))), "")</f>
        <v/>
      </c>
      <c r="Q176" s="1" t="str">
        <f>IFERROR(IF(INDEX(자격증DB!I:I, MATCH($D176, 자격증DB!$A:$A, 0))=0, "", INDEX(자격증DB!I:I, MATCH($D176, 자격증DB!$A:$A, 0))), "")</f>
        <v/>
      </c>
      <c r="R176" s="1" t="str">
        <f>IFERROR(IF(INDEX(자격증DB!J:J, MATCH($D176, 자격증DB!$A:$A, 0))=0, "", INDEX(자격증DB!J:J, MATCH($D176, 자격증DB!$A:$A, 0))), "")</f>
        <v/>
      </c>
      <c r="S176" s="1" t="str">
        <f>IFERROR(IF(INDEX(자격증DB!K:K, MATCH($D176, 자격증DB!$A:$A, 0))=0, "", INDEX(자격증DB!K:K, MATCH($D176, 자격증DB!$A:$A, 0))), "")</f>
        <v/>
      </c>
      <c r="T176" s="1" t="str">
        <f>IFERROR(IF(INDEX(자격증DB!L:L, MATCH($D176, 자격증DB!$A:$A, 0))=0, "", INDEX(자격증DB!L:L, MATCH($D176, 자격증DB!$A:$A, 0))), "")</f>
        <v/>
      </c>
      <c r="U176" s="1" t="str">
        <f>IFERROR(IF(INDEX(자격증DB!M:M, MATCH($D176, 자격증DB!$A:$A, 0))=0, "", INDEX(자격증DB!M:M, MATCH($D176, 자격증DB!$A:$A, 0))), "")</f>
        <v/>
      </c>
      <c r="V176" s="1" t="str">
        <f>IFERROR(IF(INDEX(자격증DB!N:N, MATCH($D176, 자격증DB!$A:$A, 0))=0, "", INDEX(자격증DB!N:N, MATCH($D176, 자격증DB!$A:$A, 0))), "")</f>
        <v/>
      </c>
      <c r="W176" s="1" t="str">
        <f>IFERROR(IF(INDEX(자격증DB!O:O, MATCH($D176, 자격증DB!$A:$A, 0))=0, "", INDEX(자격증DB!O:O, MATCH($D176, 자격증DB!$A:$A, 0))), "")</f>
        <v/>
      </c>
      <c r="X176" s="1" t="str">
        <f>IFERROR(IF(INDEX(자격증DB!P:P, MATCH($D186, 자격증DB!$A:$A, 0))=0, "", INDEX(자격증DB!P:P, MATCH($D186, 자격증DB!$A:$A, 0))), "")</f>
        <v/>
      </c>
    </row>
    <row r="177" spans="2:24">
      <c r="B177" s="32" t="str">
        <f>IFERROR(INDEX(개인DB!C:C, MATCH($A178, 개인DB!B:B, 0)), "")</f>
        <v/>
      </c>
      <c r="C177" s="32" t="str">
        <f>IFERROR(INDEX(개인DB!D:D, MATCH($A178, 개인DB!B:B, 0)), "")</f>
        <v/>
      </c>
      <c r="P177" s="1" t="str">
        <f>IFERROR(IF(INDEX(자격증DB!H:H, MATCH($D177, 자격증DB!$A:$A, 0))=0, "", INDEX(자격증DB!H:H, MATCH($D177, 자격증DB!$A:$A, 0))), "")</f>
        <v/>
      </c>
      <c r="Q177" s="1" t="str">
        <f>IFERROR(IF(INDEX(자격증DB!I:I, MATCH($D177, 자격증DB!$A:$A, 0))=0, "", INDEX(자격증DB!I:I, MATCH($D177, 자격증DB!$A:$A, 0))), "")</f>
        <v/>
      </c>
      <c r="R177" s="1" t="str">
        <f>IFERROR(IF(INDEX(자격증DB!J:J, MATCH($D177, 자격증DB!$A:$A, 0))=0, "", INDEX(자격증DB!J:J, MATCH($D177, 자격증DB!$A:$A, 0))), "")</f>
        <v/>
      </c>
      <c r="S177" s="1" t="str">
        <f>IFERROR(IF(INDEX(자격증DB!K:K, MATCH($D177, 자격증DB!$A:$A, 0))=0, "", INDEX(자격증DB!K:K, MATCH($D177, 자격증DB!$A:$A, 0))), "")</f>
        <v/>
      </c>
      <c r="T177" s="1" t="str">
        <f>IFERROR(IF(INDEX(자격증DB!L:L, MATCH($D177, 자격증DB!$A:$A, 0))=0, "", INDEX(자격증DB!L:L, MATCH($D177, 자격증DB!$A:$A, 0))), "")</f>
        <v/>
      </c>
      <c r="U177" s="1" t="str">
        <f>IFERROR(IF(INDEX(자격증DB!M:M, MATCH($D177, 자격증DB!$A:$A, 0))=0, "", INDEX(자격증DB!M:M, MATCH($D177, 자격증DB!$A:$A, 0))), "")</f>
        <v/>
      </c>
      <c r="V177" s="1" t="str">
        <f>IFERROR(IF(INDEX(자격증DB!N:N, MATCH($D177, 자격증DB!$A:$A, 0))=0, "", INDEX(자격증DB!N:N, MATCH($D177, 자격증DB!$A:$A, 0))), "")</f>
        <v/>
      </c>
      <c r="W177" s="1" t="str">
        <f>IFERROR(IF(INDEX(자격증DB!O:O, MATCH($D177, 자격증DB!$A:$A, 0))=0, "", INDEX(자격증DB!O:O, MATCH($D177, 자격증DB!$A:$A, 0))), "")</f>
        <v/>
      </c>
      <c r="X177" s="1" t="str">
        <f>IFERROR(IF(INDEX(자격증DB!P:P, MATCH($D187, 자격증DB!$A:$A, 0))=0, "", INDEX(자격증DB!P:P, MATCH($D187, 자격증DB!$A:$A, 0))), "")</f>
        <v/>
      </c>
    </row>
    <row r="178" spans="2:24">
      <c r="B178" s="32" t="str">
        <f>IFERROR(INDEX(개인DB!C:C, MATCH($A179, 개인DB!B:B, 0)), "")</f>
        <v/>
      </c>
      <c r="C178" s="32" t="str">
        <f>IFERROR(INDEX(개인DB!D:D, MATCH($A179, 개인DB!B:B, 0)), "")</f>
        <v/>
      </c>
      <c r="P178" s="1" t="str">
        <f>IFERROR(IF(INDEX(자격증DB!H:H, MATCH($D178, 자격증DB!$A:$A, 0))=0, "", INDEX(자격증DB!H:H, MATCH($D178, 자격증DB!$A:$A, 0))), "")</f>
        <v/>
      </c>
      <c r="Q178" s="1" t="str">
        <f>IFERROR(IF(INDEX(자격증DB!I:I, MATCH($D178, 자격증DB!$A:$A, 0))=0, "", INDEX(자격증DB!I:I, MATCH($D178, 자격증DB!$A:$A, 0))), "")</f>
        <v/>
      </c>
      <c r="R178" s="1" t="str">
        <f>IFERROR(IF(INDEX(자격증DB!J:J, MATCH($D178, 자격증DB!$A:$A, 0))=0, "", INDEX(자격증DB!J:J, MATCH($D178, 자격증DB!$A:$A, 0))), "")</f>
        <v/>
      </c>
      <c r="S178" s="1" t="str">
        <f>IFERROR(IF(INDEX(자격증DB!K:K, MATCH($D178, 자격증DB!$A:$A, 0))=0, "", INDEX(자격증DB!K:K, MATCH($D178, 자격증DB!$A:$A, 0))), "")</f>
        <v/>
      </c>
      <c r="T178" s="1" t="str">
        <f>IFERROR(IF(INDEX(자격증DB!L:L, MATCH($D178, 자격증DB!$A:$A, 0))=0, "", INDEX(자격증DB!L:L, MATCH($D178, 자격증DB!$A:$A, 0))), "")</f>
        <v/>
      </c>
      <c r="U178" s="1" t="str">
        <f>IFERROR(IF(INDEX(자격증DB!M:M, MATCH($D178, 자격증DB!$A:$A, 0))=0, "", INDEX(자격증DB!M:M, MATCH($D178, 자격증DB!$A:$A, 0))), "")</f>
        <v/>
      </c>
      <c r="V178" s="1" t="str">
        <f>IFERROR(IF(INDEX(자격증DB!N:N, MATCH($D178, 자격증DB!$A:$A, 0))=0, "", INDEX(자격증DB!N:N, MATCH($D178, 자격증DB!$A:$A, 0))), "")</f>
        <v/>
      </c>
      <c r="W178" s="1" t="str">
        <f>IFERROR(IF(INDEX(자격증DB!O:O, MATCH($D178, 자격증DB!$A:$A, 0))=0, "", INDEX(자격증DB!O:O, MATCH($D178, 자격증DB!$A:$A, 0))), "")</f>
        <v/>
      </c>
      <c r="X178" s="1" t="str">
        <f>IFERROR(IF(INDEX(자격증DB!P:P, MATCH($D188, 자격증DB!$A:$A, 0))=0, "", INDEX(자격증DB!P:P, MATCH($D188, 자격증DB!$A:$A, 0))), "")</f>
        <v/>
      </c>
    </row>
    <row r="179" spans="2:24">
      <c r="B179" s="32" t="str">
        <f>IFERROR(INDEX(개인DB!C:C, MATCH($A180, 개인DB!B:B, 0)), "")</f>
        <v/>
      </c>
      <c r="C179" s="32" t="str">
        <f>IFERROR(INDEX(개인DB!D:D, MATCH($A180, 개인DB!B:B, 0)), "")</f>
        <v/>
      </c>
      <c r="P179" s="1" t="str">
        <f>IFERROR(IF(INDEX(자격증DB!H:H, MATCH($D179, 자격증DB!$A:$A, 0))=0, "", INDEX(자격증DB!H:H, MATCH($D179, 자격증DB!$A:$A, 0))), "")</f>
        <v/>
      </c>
      <c r="Q179" s="1" t="str">
        <f>IFERROR(IF(INDEX(자격증DB!I:I, MATCH($D179, 자격증DB!$A:$A, 0))=0, "", INDEX(자격증DB!I:I, MATCH($D179, 자격증DB!$A:$A, 0))), "")</f>
        <v/>
      </c>
      <c r="R179" s="1" t="str">
        <f>IFERROR(IF(INDEX(자격증DB!J:J, MATCH($D179, 자격증DB!$A:$A, 0))=0, "", INDEX(자격증DB!J:J, MATCH($D179, 자격증DB!$A:$A, 0))), "")</f>
        <v/>
      </c>
      <c r="S179" s="1" t="str">
        <f>IFERROR(IF(INDEX(자격증DB!K:K, MATCH($D179, 자격증DB!$A:$A, 0))=0, "", INDEX(자격증DB!K:K, MATCH($D179, 자격증DB!$A:$A, 0))), "")</f>
        <v/>
      </c>
      <c r="T179" s="1" t="str">
        <f>IFERROR(IF(INDEX(자격증DB!L:L, MATCH($D179, 자격증DB!$A:$A, 0))=0, "", INDEX(자격증DB!L:L, MATCH($D179, 자격증DB!$A:$A, 0))), "")</f>
        <v/>
      </c>
      <c r="U179" s="1" t="str">
        <f>IFERROR(IF(INDEX(자격증DB!M:M, MATCH($D179, 자격증DB!$A:$A, 0))=0, "", INDEX(자격증DB!M:M, MATCH($D179, 자격증DB!$A:$A, 0))), "")</f>
        <v/>
      </c>
      <c r="V179" s="1" t="str">
        <f>IFERROR(IF(INDEX(자격증DB!N:N, MATCH($D179, 자격증DB!$A:$A, 0))=0, "", INDEX(자격증DB!N:N, MATCH($D179, 자격증DB!$A:$A, 0))), "")</f>
        <v/>
      </c>
      <c r="W179" s="1" t="str">
        <f>IFERROR(IF(INDEX(자격증DB!O:O, MATCH($D179, 자격증DB!$A:$A, 0))=0, "", INDEX(자격증DB!O:O, MATCH($D179, 자격증DB!$A:$A, 0))), "")</f>
        <v/>
      </c>
      <c r="X179" s="1" t="str">
        <f>IFERROR(IF(INDEX(자격증DB!P:P, MATCH($D189, 자격증DB!$A:$A, 0))=0, "", INDEX(자격증DB!P:P, MATCH($D189, 자격증DB!$A:$A, 0))), "")</f>
        <v/>
      </c>
    </row>
    <row r="180" spans="2:24">
      <c r="B180" s="32" t="str">
        <f>IFERROR(INDEX(개인DB!C:C, MATCH($A181, 개인DB!B:B, 0)), "")</f>
        <v/>
      </c>
      <c r="C180" s="32" t="str">
        <f>IFERROR(INDEX(개인DB!D:D, MATCH($A181, 개인DB!B:B, 0)), "")</f>
        <v/>
      </c>
      <c r="P180" s="1" t="str">
        <f>IFERROR(IF(INDEX(자격증DB!H:H, MATCH($D180, 자격증DB!$A:$A, 0))=0, "", INDEX(자격증DB!H:H, MATCH($D180, 자격증DB!$A:$A, 0))), "")</f>
        <v/>
      </c>
      <c r="Q180" s="1" t="str">
        <f>IFERROR(IF(INDEX(자격증DB!I:I, MATCH($D180, 자격증DB!$A:$A, 0))=0, "", INDEX(자격증DB!I:I, MATCH($D180, 자격증DB!$A:$A, 0))), "")</f>
        <v/>
      </c>
      <c r="R180" s="1" t="str">
        <f>IFERROR(IF(INDEX(자격증DB!J:J, MATCH($D180, 자격증DB!$A:$A, 0))=0, "", INDEX(자격증DB!J:J, MATCH($D180, 자격증DB!$A:$A, 0))), "")</f>
        <v/>
      </c>
      <c r="S180" s="1" t="str">
        <f>IFERROR(IF(INDEX(자격증DB!K:K, MATCH($D180, 자격증DB!$A:$A, 0))=0, "", INDEX(자격증DB!K:K, MATCH($D180, 자격증DB!$A:$A, 0))), "")</f>
        <v/>
      </c>
      <c r="T180" s="1" t="str">
        <f>IFERROR(IF(INDEX(자격증DB!L:L, MATCH($D180, 자격증DB!$A:$A, 0))=0, "", INDEX(자격증DB!L:L, MATCH($D180, 자격증DB!$A:$A, 0))), "")</f>
        <v/>
      </c>
      <c r="U180" s="1" t="str">
        <f>IFERROR(IF(INDEX(자격증DB!M:M, MATCH($D180, 자격증DB!$A:$A, 0))=0, "", INDEX(자격증DB!M:M, MATCH($D180, 자격증DB!$A:$A, 0))), "")</f>
        <v/>
      </c>
      <c r="V180" s="1" t="str">
        <f>IFERROR(IF(INDEX(자격증DB!N:N, MATCH($D180, 자격증DB!$A:$A, 0))=0, "", INDEX(자격증DB!N:N, MATCH($D180, 자격증DB!$A:$A, 0))), "")</f>
        <v/>
      </c>
      <c r="W180" s="1" t="str">
        <f>IFERROR(IF(INDEX(자격증DB!O:O, MATCH($D180, 자격증DB!$A:$A, 0))=0, "", INDEX(자격증DB!O:O, MATCH($D180, 자격증DB!$A:$A, 0))), "")</f>
        <v/>
      </c>
      <c r="X180" s="1" t="str">
        <f>IFERROR(IF(INDEX(자격증DB!P:P, MATCH($D190, 자격증DB!$A:$A, 0))=0, "", INDEX(자격증DB!P:P, MATCH($D190, 자격증DB!$A:$A, 0))), "")</f>
        <v/>
      </c>
    </row>
    <row r="181" spans="2:24">
      <c r="B181" s="32" t="str">
        <f>IFERROR(INDEX(개인DB!C:C, MATCH($A182, 개인DB!B:B, 0)), "")</f>
        <v/>
      </c>
      <c r="C181" s="32" t="str">
        <f>IFERROR(INDEX(개인DB!D:D, MATCH($A182, 개인DB!B:B, 0)), "")</f>
        <v/>
      </c>
      <c r="P181" s="1" t="str">
        <f>IFERROR(IF(INDEX(자격증DB!H:H, MATCH($D181, 자격증DB!$A:$A, 0))=0, "", INDEX(자격증DB!H:H, MATCH($D181, 자격증DB!$A:$A, 0))), "")</f>
        <v/>
      </c>
      <c r="Q181" s="1" t="str">
        <f>IFERROR(IF(INDEX(자격증DB!I:I, MATCH($D181, 자격증DB!$A:$A, 0))=0, "", INDEX(자격증DB!I:I, MATCH($D181, 자격증DB!$A:$A, 0))), "")</f>
        <v/>
      </c>
      <c r="R181" s="1" t="str">
        <f>IFERROR(IF(INDEX(자격증DB!J:J, MATCH($D181, 자격증DB!$A:$A, 0))=0, "", INDEX(자격증DB!J:J, MATCH($D181, 자격증DB!$A:$A, 0))), "")</f>
        <v/>
      </c>
      <c r="S181" s="1" t="str">
        <f>IFERROR(IF(INDEX(자격증DB!K:K, MATCH($D181, 자격증DB!$A:$A, 0))=0, "", INDEX(자격증DB!K:K, MATCH($D181, 자격증DB!$A:$A, 0))), "")</f>
        <v/>
      </c>
      <c r="T181" s="1" t="str">
        <f>IFERROR(IF(INDEX(자격증DB!L:L, MATCH($D181, 자격증DB!$A:$A, 0))=0, "", INDEX(자격증DB!L:L, MATCH($D181, 자격증DB!$A:$A, 0))), "")</f>
        <v/>
      </c>
      <c r="U181" s="1" t="str">
        <f>IFERROR(IF(INDEX(자격증DB!M:M, MATCH($D181, 자격증DB!$A:$A, 0))=0, "", INDEX(자격증DB!M:M, MATCH($D181, 자격증DB!$A:$A, 0))), "")</f>
        <v/>
      </c>
      <c r="V181" s="1" t="str">
        <f>IFERROR(IF(INDEX(자격증DB!N:N, MATCH($D181, 자격증DB!$A:$A, 0))=0, "", INDEX(자격증DB!N:N, MATCH($D181, 자격증DB!$A:$A, 0))), "")</f>
        <v/>
      </c>
      <c r="W181" s="1" t="str">
        <f>IFERROR(IF(INDEX(자격증DB!O:O, MATCH($D181, 자격증DB!$A:$A, 0))=0, "", INDEX(자격증DB!O:O, MATCH($D181, 자격증DB!$A:$A, 0))), "")</f>
        <v/>
      </c>
      <c r="X181" s="1" t="str">
        <f>IFERROR(IF(INDEX(자격증DB!P:P, MATCH($D191, 자격증DB!$A:$A, 0))=0, "", INDEX(자격증DB!P:P, MATCH($D191, 자격증DB!$A:$A, 0))), "")</f>
        <v/>
      </c>
    </row>
    <row r="182" spans="2:24">
      <c r="B182" s="32" t="str">
        <f>IFERROR(INDEX(개인DB!C:C, MATCH($A183, 개인DB!B:B, 0)), "")</f>
        <v/>
      </c>
      <c r="C182" s="32" t="str">
        <f>IFERROR(INDEX(개인DB!D:D, MATCH($A183, 개인DB!B:B, 0)), "")</f>
        <v/>
      </c>
      <c r="P182" s="1" t="str">
        <f>IFERROR(IF(INDEX(자격증DB!H:H, MATCH($D182, 자격증DB!$A:$A, 0))=0, "", INDEX(자격증DB!H:H, MATCH($D182, 자격증DB!$A:$A, 0))), "")</f>
        <v/>
      </c>
      <c r="Q182" s="1" t="str">
        <f>IFERROR(IF(INDEX(자격증DB!I:I, MATCH($D182, 자격증DB!$A:$A, 0))=0, "", INDEX(자격증DB!I:I, MATCH($D182, 자격증DB!$A:$A, 0))), "")</f>
        <v/>
      </c>
      <c r="R182" s="1" t="str">
        <f>IFERROR(IF(INDEX(자격증DB!J:J, MATCH($D182, 자격증DB!$A:$A, 0))=0, "", INDEX(자격증DB!J:J, MATCH($D182, 자격증DB!$A:$A, 0))), "")</f>
        <v/>
      </c>
      <c r="S182" s="1" t="str">
        <f>IFERROR(IF(INDEX(자격증DB!K:K, MATCH($D182, 자격증DB!$A:$A, 0))=0, "", INDEX(자격증DB!K:K, MATCH($D182, 자격증DB!$A:$A, 0))), "")</f>
        <v/>
      </c>
      <c r="T182" s="1" t="str">
        <f>IFERROR(IF(INDEX(자격증DB!L:L, MATCH($D182, 자격증DB!$A:$A, 0))=0, "", INDEX(자격증DB!L:L, MATCH($D182, 자격증DB!$A:$A, 0))), "")</f>
        <v/>
      </c>
      <c r="U182" s="1" t="str">
        <f>IFERROR(IF(INDEX(자격증DB!M:M, MATCH($D182, 자격증DB!$A:$A, 0))=0, "", INDEX(자격증DB!M:M, MATCH($D182, 자격증DB!$A:$A, 0))), "")</f>
        <v/>
      </c>
      <c r="V182" s="1" t="str">
        <f>IFERROR(IF(INDEX(자격증DB!N:N, MATCH($D182, 자격증DB!$A:$A, 0))=0, "", INDEX(자격증DB!N:N, MATCH($D182, 자격증DB!$A:$A, 0))), "")</f>
        <v/>
      </c>
      <c r="W182" s="1" t="str">
        <f>IFERROR(IF(INDEX(자격증DB!O:O, MATCH($D182, 자격증DB!$A:$A, 0))=0, "", INDEX(자격증DB!O:O, MATCH($D182, 자격증DB!$A:$A, 0))), "")</f>
        <v/>
      </c>
      <c r="X182" s="1" t="str">
        <f>IFERROR(IF(INDEX(자격증DB!P:P, MATCH($D192, 자격증DB!$A:$A, 0))=0, "", INDEX(자격증DB!P:P, MATCH($D192, 자격증DB!$A:$A, 0))), "")</f>
        <v/>
      </c>
    </row>
    <row r="183" spans="2:24">
      <c r="B183" s="32" t="str">
        <f>IFERROR(INDEX(개인DB!C:C, MATCH($A184, 개인DB!B:B, 0)), "")</f>
        <v/>
      </c>
      <c r="C183" s="32" t="str">
        <f>IFERROR(INDEX(개인DB!D:D, MATCH($A184, 개인DB!B:B, 0)), "")</f>
        <v/>
      </c>
      <c r="P183" s="1" t="str">
        <f>IFERROR(IF(INDEX(자격증DB!H:H, MATCH($D183, 자격증DB!$A:$A, 0))=0, "", INDEX(자격증DB!H:H, MATCH($D183, 자격증DB!$A:$A, 0))), "")</f>
        <v/>
      </c>
      <c r="Q183" s="1" t="str">
        <f>IFERROR(IF(INDEX(자격증DB!I:I, MATCH($D183, 자격증DB!$A:$A, 0))=0, "", INDEX(자격증DB!I:I, MATCH($D183, 자격증DB!$A:$A, 0))), "")</f>
        <v/>
      </c>
      <c r="R183" s="1" t="str">
        <f>IFERROR(IF(INDEX(자격증DB!J:J, MATCH($D183, 자격증DB!$A:$A, 0))=0, "", INDEX(자격증DB!J:J, MATCH($D183, 자격증DB!$A:$A, 0))), "")</f>
        <v/>
      </c>
      <c r="S183" s="1" t="str">
        <f>IFERROR(IF(INDEX(자격증DB!K:K, MATCH($D183, 자격증DB!$A:$A, 0))=0, "", INDEX(자격증DB!K:K, MATCH($D183, 자격증DB!$A:$A, 0))), "")</f>
        <v/>
      </c>
      <c r="T183" s="1" t="str">
        <f>IFERROR(IF(INDEX(자격증DB!L:L, MATCH($D183, 자격증DB!$A:$A, 0))=0, "", INDEX(자격증DB!L:L, MATCH($D183, 자격증DB!$A:$A, 0))), "")</f>
        <v/>
      </c>
      <c r="U183" s="1" t="str">
        <f>IFERROR(IF(INDEX(자격증DB!M:M, MATCH($D183, 자격증DB!$A:$A, 0))=0, "", INDEX(자격증DB!M:M, MATCH($D183, 자격증DB!$A:$A, 0))), "")</f>
        <v/>
      </c>
      <c r="V183" s="1" t="str">
        <f>IFERROR(IF(INDEX(자격증DB!N:N, MATCH($D183, 자격증DB!$A:$A, 0))=0, "", INDEX(자격증DB!N:N, MATCH($D183, 자격증DB!$A:$A, 0))), "")</f>
        <v/>
      </c>
      <c r="W183" s="1" t="str">
        <f>IFERROR(IF(INDEX(자격증DB!O:O, MATCH($D183, 자격증DB!$A:$A, 0))=0, "", INDEX(자격증DB!O:O, MATCH($D183, 자격증DB!$A:$A, 0))), "")</f>
        <v/>
      </c>
      <c r="X183" s="1" t="str">
        <f>IFERROR(IF(INDEX(자격증DB!P:P, MATCH($D193, 자격증DB!$A:$A, 0))=0, "", INDEX(자격증DB!P:P, MATCH($D193, 자격증DB!$A:$A, 0))), "")</f>
        <v/>
      </c>
    </row>
    <row r="184" spans="2:24">
      <c r="B184" s="32" t="str">
        <f>IFERROR(INDEX(개인DB!C:C, MATCH($A185, 개인DB!B:B, 0)), "")</f>
        <v/>
      </c>
      <c r="C184" s="32" t="str">
        <f>IFERROR(INDEX(개인DB!D:D, MATCH($A185, 개인DB!B:B, 0)), "")</f>
        <v/>
      </c>
      <c r="P184" s="1" t="str">
        <f>IFERROR(IF(INDEX(자격증DB!H:H, MATCH($D184, 자격증DB!$A:$A, 0))=0, "", INDEX(자격증DB!H:H, MATCH($D184, 자격증DB!$A:$A, 0))), "")</f>
        <v/>
      </c>
      <c r="Q184" s="1" t="str">
        <f>IFERROR(IF(INDEX(자격증DB!I:I, MATCH($D184, 자격증DB!$A:$A, 0))=0, "", INDEX(자격증DB!I:I, MATCH($D184, 자격증DB!$A:$A, 0))), "")</f>
        <v/>
      </c>
      <c r="R184" s="1" t="str">
        <f>IFERROR(IF(INDEX(자격증DB!J:J, MATCH($D184, 자격증DB!$A:$A, 0))=0, "", INDEX(자격증DB!J:J, MATCH($D184, 자격증DB!$A:$A, 0))), "")</f>
        <v/>
      </c>
      <c r="S184" s="1" t="str">
        <f>IFERROR(IF(INDEX(자격증DB!K:K, MATCH($D184, 자격증DB!$A:$A, 0))=0, "", INDEX(자격증DB!K:K, MATCH($D184, 자격증DB!$A:$A, 0))), "")</f>
        <v/>
      </c>
      <c r="T184" s="1" t="str">
        <f>IFERROR(IF(INDEX(자격증DB!L:L, MATCH($D184, 자격증DB!$A:$A, 0))=0, "", INDEX(자격증DB!L:L, MATCH($D184, 자격증DB!$A:$A, 0))), "")</f>
        <v/>
      </c>
      <c r="U184" s="1" t="str">
        <f>IFERROR(IF(INDEX(자격증DB!M:M, MATCH($D184, 자격증DB!$A:$A, 0))=0, "", INDEX(자격증DB!M:M, MATCH($D184, 자격증DB!$A:$A, 0))), "")</f>
        <v/>
      </c>
      <c r="V184" s="1" t="str">
        <f>IFERROR(IF(INDEX(자격증DB!N:N, MATCH($D184, 자격증DB!$A:$A, 0))=0, "", INDEX(자격증DB!N:N, MATCH($D184, 자격증DB!$A:$A, 0))), "")</f>
        <v/>
      </c>
      <c r="W184" s="1" t="str">
        <f>IFERROR(IF(INDEX(자격증DB!O:O, MATCH($D184, 자격증DB!$A:$A, 0))=0, "", INDEX(자격증DB!O:O, MATCH($D184, 자격증DB!$A:$A, 0))), "")</f>
        <v/>
      </c>
      <c r="X184" s="1" t="str">
        <f>IFERROR(IF(INDEX(자격증DB!P:P, MATCH($D194, 자격증DB!$A:$A, 0))=0, "", INDEX(자격증DB!P:P, MATCH($D194, 자격증DB!$A:$A, 0))), "")</f>
        <v/>
      </c>
    </row>
    <row r="185" spans="2:24">
      <c r="B185" s="32" t="str">
        <f>IFERROR(INDEX(개인DB!C:C, MATCH($A186, 개인DB!B:B, 0)), "")</f>
        <v/>
      </c>
      <c r="C185" s="32" t="str">
        <f>IFERROR(INDEX(개인DB!D:D, MATCH($A186, 개인DB!B:B, 0)), "")</f>
        <v/>
      </c>
      <c r="P185" s="1" t="str">
        <f>IFERROR(IF(INDEX(자격증DB!H:H, MATCH($D185, 자격증DB!$A:$A, 0))=0, "", INDEX(자격증DB!H:H, MATCH($D185, 자격증DB!$A:$A, 0))), "")</f>
        <v/>
      </c>
      <c r="Q185" s="1" t="str">
        <f>IFERROR(IF(INDEX(자격증DB!I:I, MATCH($D185, 자격증DB!$A:$A, 0))=0, "", INDEX(자격증DB!I:I, MATCH($D185, 자격증DB!$A:$A, 0))), "")</f>
        <v/>
      </c>
      <c r="R185" s="1" t="str">
        <f>IFERROR(IF(INDEX(자격증DB!J:J, MATCH($D185, 자격증DB!$A:$A, 0))=0, "", INDEX(자격증DB!J:J, MATCH($D185, 자격증DB!$A:$A, 0))), "")</f>
        <v/>
      </c>
      <c r="S185" s="1" t="str">
        <f>IFERROR(IF(INDEX(자격증DB!K:K, MATCH($D185, 자격증DB!$A:$A, 0))=0, "", INDEX(자격증DB!K:K, MATCH($D185, 자격증DB!$A:$A, 0))), "")</f>
        <v/>
      </c>
      <c r="T185" s="1" t="str">
        <f>IFERROR(IF(INDEX(자격증DB!L:L, MATCH($D185, 자격증DB!$A:$A, 0))=0, "", INDEX(자격증DB!L:L, MATCH($D185, 자격증DB!$A:$A, 0))), "")</f>
        <v/>
      </c>
      <c r="U185" s="1" t="str">
        <f>IFERROR(IF(INDEX(자격증DB!M:M, MATCH($D185, 자격증DB!$A:$A, 0))=0, "", INDEX(자격증DB!M:M, MATCH($D185, 자격증DB!$A:$A, 0))), "")</f>
        <v/>
      </c>
      <c r="V185" s="1" t="str">
        <f>IFERROR(IF(INDEX(자격증DB!N:N, MATCH($D185, 자격증DB!$A:$A, 0))=0, "", INDEX(자격증DB!N:N, MATCH($D185, 자격증DB!$A:$A, 0))), "")</f>
        <v/>
      </c>
      <c r="W185" s="1" t="str">
        <f>IFERROR(IF(INDEX(자격증DB!O:O, MATCH($D185, 자격증DB!$A:$A, 0))=0, "", INDEX(자격증DB!O:O, MATCH($D185, 자격증DB!$A:$A, 0))), "")</f>
        <v/>
      </c>
      <c r="X185" s="1" t="str">
        <f>IFERROR(IF(INDEX(자격증DB!P:P, MATCH($D195, 자격증DB!$A:$A, 0))=0, "", INDEX(자격증DB!P:P, MATCH($D195, 자격증DB!$A:$A, 0))), "")</f>
        <v/>
      </c>
    </row>
    <row r="186" spans="2:24">
      <c r="B186" s="32" t="str">
        <f>IFERROR(INDEX(개인DB!C:C, MATCH($A187, 개인DB!B:B, 0)), "")</f>
        <v/>
      </c>
      <c r="C186" s="32" t="str">
        <f>IFERROR(INDEX(개인DB!D:D, MATCH($A187, 개인DB!B:B, 0)), "")</f>
        <v/>
      </c>
      <c r="P186" s="1" t="str">
        <f>IFERROR(IF(INDEX(자격증DB!H:H, MATCH($D186, 자격증DB!$A:$A, 0))=0, "", INDEX(자격증DB!H:H, MATCH($D186, 자격증DB!$A:$A, 0))), "")</f>
        <v/>
      </c>
      <c r="Q186" s="1" t="str">
        <f>IFERROR(IF(INDEX(자격증DB!I:I, MATCH($D186, 자격증DB!$A:$A, 0))=0, "", INDEX(자격증DB!I:I, MATCH($D186, 자격증DB!$A:$A, 0))), "")</f>
        <v/>
      </c>
      <c r="R186" s="1" t="str">
        <f>IFERROR(IF(INDEX(자격증DB!J:J, MATCH($D186, 자격증DB!$A:$A, 0))=0, "", INDEX(자격증DB!J:J, MATCH($D186, 자격증DB!$A:$A, 0))), "")</f>
        <v/>
      </c>
      <c r="S186" s="1" t="str">
        <f>IFERROR(IF(INDEX(자격증DB!K:K, MATCH($D186, 자격증DB!$A:$A, 0))=0, "", INDEX(자격증DB!K:K, MATCH($D186, 자격증DB!$A:$A, 0))), "")</f>
        <v/>
      </c>
      <c r="T186" s="1" t="str">
        <f>IFERROR(IF(INDEX(자격증DB!L:L, MATCH($D186, 자격증DB!$A:$A, 0))=0, "", INDEX(자격증DB!L:L, MATCH($D186, 자격증DB!$A:$A, 0))), "")</f>
        <v/>
      </c>
      <c r="U186" s="1" t="str">
        <f>IFERROR(IF(INDEX(자격증DB!M:M, MATCH($D186, 자격증DB!$A:$A, 0))=0, "", INDEX(자격증DB!M:M, MATCH($D186, 자격증DB!$A:$A, 0))), "")</f>
        <v/>
      </c>
      <c r="V186" s="1" t="str">
        <f>IFERROR(IF(INDEX(자격증DB!N:N, MATCH($D186, 자격증DB!$A:$A, 0))=0, "", INDEX(자격증DB!N:N, MATCH($D186, 자격증DB!$A:$A, 0))), "")</f>
        <v/>
      </c>
      <c r="W186" s="1" t="str">
        <f>IFERROR(IF(INDEX(자격증DB!O:O, MATCH($D186, 자격증DB!$A:$A, 0))=0, "", INDEX(자격증DB!O:O, MATCH($D186, 자격증DB!$A:$A, 0))), "")</f>
        <v/>
      </c>
      <c r="X186" s="1" t="str">
        <f>IFERROR(IF(INDEX(자격증DB!P:P, MATCH($D196, 자격증DB!$A:$A, 0))=0, "", INDEX(자격증DB!P:P, MATCH($D196, 자격증DB!$A:$A, 0))), "")</f>
        <v/>
      </c>
    </row>
    <row r="187" spans="2:24">
      <c r="B187" s="32" t="str">
        <f>IFERROR(INDEX(개인DB!C:C, MATCH($A188, 개인DB!B:B, 0)), "")</f>
        <v/>
      </c>
      <c r="C187" s="32" t="str">
        <f>IFERROR(INDEX(개인DB!D:D, MATCH($A188, 개인DB!B:B, 0)), "")</f>
        <v/>
      </c>
      <c r="P187" s="1" t="str">
        <f>IFERROR(IF(INDEX(자격증DB!H:H, MATCH($D187, 자격증DB!$A:$A, 0))=0, "", INDEX(자격증DB!H:H, MATCH($D187, 자격증DB!$A:$A, 0))), "")</f>
        <v/>
      </c>
      <c r="Q187" s="1" t="str">
        <f>IFERROR(IF(INDEX(자격증DB!I:I, MATCH($D187, 자격증DB!$A:$A, 0))=0, "", INDEX(자격증DB!I:I, MATCH($D187, 자격증DB!$A:$A, 0))), "")</f>
        <v/>
      </c>
      <c r="R187" s="1" t="str">
        <f>IFERROR(IF(INDEX(자격증DB!J:J, MATCH($D187, 자격증DB!$A:$A, 0))=0, "", INDEX(자격증DB!J:J, MATCH($D187, 자격증DB!$A:$A, 0))), "")</f>
        <v/>
      </c>
      <c r="S187" s="1" t="str">
        <f>IFERROR(IF(INDEX(자격증DB!K:K, MATCH($D187, 자격증DB!$A:$A, 0))=0, "", INDEX(자격증DB!K:K, MATCH($D187, 자격증DB!$A:$A, 0))), "")</f>
        <v/>
      </c>
      <c r="T187" s="1" t="str">
        <f>IFERROR(IF(INDEX(자격증DB!L:L, MATCH($D187, 자격증DB!$A:$A, 0))=0, "", INDEX(자격증DB!L:L, MATCH($D187, 자격증DB!$A:$A, 0))), "")</f>
        <v/>
      </c>
      <c r="U187" s="1" t="str">
        <f>IFERROR(IF(INDEX(자격증DB!M:M, MATCH($D187, 자격증DB!$A:$A, 0))=0, "", INDEX(자격증DB!M:M, MATCH($D187, 자격증DB!$A:$A, 0))), "")</f>
        <v/>
      </c>
      <c r="V187" s="1" t="str">
        <f>IFERROR(IF(INDEX(자격증DB!N:N, MATCH($D187, 자격증DB!$A:$A, 0))=0, "", INDEX(자격증DB!N:N, MATCH($D187, 자격증DB!$A:$A, 0))), "")</f>
        <v/>
      </c>
      <c r="W187" s="1" t="str">
        <f>IFERROR(IF(INDEX(자격증DB!O:O, MATCH($D187, 자격증DB!$A:$A, 0))=0, "", INDEX(자격증DB!O:O, MATCH($D187, 자격증DB!$A:$A, 0))), "")</f>
        <v/>
      </c>
      <c r="X187" s="1" t="str">
        <f>IFERROR(IF(INDEX(자격증DB!P:P, MATCH($D197, 자격증DB!$A:$A, 0))=0, "", INDEX(자격증DB!P:P, MATCH($D197, 자격증DB!$A:$A, 0))), "")</f>
        <v/>
      </c>
    </row>
    <row r="188" spans="2:24">
      <c r="B188" s="32" t="str">
        <f>IFERROR(INDEX(개인DB!C:C, MATCH($A189, 개인DB!B:B, 0)), "")</f>
        <v/>
      </c>
      <c r="C188" s="32" t="str">
        <f>IFERROR(INDEX(개인DB!D:D, MATCH($A189, 개인DB!B:B, 0)), "")</f>
        <v/>
      </c>
      <c r="P188" s="1" t="str">
        <f>IFERROR(IF(INDEX(자격증DB!H:H, MATCH($D188, 자격증DB!$A:$A, 0))=0, "", INDEX(자격증DB!H:H, MATCH($D188, 자격증DB!$A:$A, 0))), "")</f>
        <v/>
      </c>
      <c r="Q188" s="1" t="str">
        <f>IFERROR(IF(INDEX(자격증DB!I:I, MATCH($D188, 자격증DB!$A:$A, 0))=0, "", INDEX(자격증DB!I:I, MATCH($D188, 자격증DB!$A:$A, 0))), "")</f>
        <v/>
      </c>
      <c r="R188" s="1" t="str">
        <f>IFERROR(IF(INDEX(자격증DB!J:J, MATCH($D188, 자격증DB!$A:$A, 0))=0, "", INDEX(자격증DB!J:J, MATCH($D188, 자격증DB!$A:$A, 0))), "")</f>
        <v/>
      </c>
      <c r="S188" s="1" t="str">
        <f>IFERROR(IF(INDEX(자격증DB!K:K, MATCH($D188, 자격증DB!$A:$A, 0))=0, "", INDEX(자격증DB!K:K, MATCH($D188, 자격증DB!$A:$A, 0))), "")</f>
        <v/>
      </c>
      <c r="T188" s="1" t="str">
        <f>IFERROR(IF(INDEX(자격증DB!L:L, MATCH($D188, 자격증DB!$A:$A, 0))=0, "", INDEX(자격증DB!L:L, MATCH($D188, 자격증DB!$A:$A, 0))), "")</f>
        <v/>
      </c>
      <c r="U188" s="1" t="str">
        <f>IFERROR(IF(INDEX(자격증DB!M:M, MATCH($D188, 자격증DB!$A:$A, 0))=0, "", INDEX(자격증DB!M:M, MATCH($D188, 자격증DB!$A:$A, 0))), "")</f>
        <v/>
      </c>
      <c r="V188" s="1" t="str">
        <f>IFERROR(IF(INDEX(자격증DB!N:N, MATCH($D188, 자격증DB!$A:$A, 0))=0, "", INDEX(자격증DB!N:N, MATCH($D188, 자격증DB!$A:$A, 0))), "")</f>
        <v/>
      </c>
      <c r="W188" s="1" t="str">
        <f>IFERROR(IF(INDEX(자격증DB!O:O, MATCH($D188, 자격증DB!$A:$A, 0))=0, "", INDEX(자격증DB!O:O, MATCH($D188, 자격증DB!$A:$A, 0))), "")</f>
        <v/>
      </c>
      <c r="X188" s="1" t="str">
        <f>IFERROR(IF(INDEX(자격증DB!P:P, MATCH($D198, 자격증DB!$A:$A, 0))=0, "", INDEX(자격증DB!P:P, MATCH($D198, 자격증DB!$A:$A, 0))), "")</f>
        <v/>
      </c>
    </row>
    <row r="189" spans="2:24">
      <c r="B189" s="32" t="str">
        <f>IFERROR(INDEX(개인DB!C:C, MATCH($A190, 개인DB!B:B, 0)), "")</f>
        <v/>
      </c>
      <c r="C189" s="32" t="str">
        <f>IFERROR(INDEX(개인DB!D:D, MATCH($A190, 개인DB!B:B, 0)), "")</f>
        <v/>
      </c>
      <c r="P189" s="1" t="str">
        <f>IFERROR(IF(INDEX(자격증DB!H:H, MATCH($D189, 자격증DB!$A:$A, 0))=0, "", INDEX(자격증DB!H:H, MATCH($D189, 자격증DB!$A:$A, 0))), "")</f>
        <v/>
      </c>
      <c r="Q189" s="1" t="str">
        <f>IFERROR(IF(INDEX(자격증DB!I:I, MATCH($D189, 자격증DB!$A:$A, 0))=0, "", INDEX(자격증DB!I:I, MATCH($D189, 자격증DB!$A:$A, 0))), "")</f>
        <v/>
      </c>
      <c r="R189" s="1" t="str">
        <f>IFERROR(IF(INDEX(자격증DB!J:J, MATCH($D189, 자격증DB!$A:$A, 0))=0, "", INDEX(자격증DB!J:J, MATCH($D189, 자격증DB!$A:$A, 0))), "")</f>
        <v/>
      </c>
      <c r="S189" s="1" t="str">
        <f>IFERROR(IF(INDEX(자격증DB!K:K, MATCH($D189, 자격증DB!$A:$A, 0))=0, "", INDEX(자격증DB!K:K, MATCH($D189, 자격증DB!$A:$A, 0))), "")</f>
        <v/>
      </c>
      <c r="T189" s="1" t="str">
        <f>IFERROR(IF(INDEX(자격증DB!L:L, MATCH($D189, 자격증DB!$A:$A, 0))=0, "", INDEX(자격증DB!L:L, MATCH($D189, 자격증DB!$A:$A, 0))), "")</f>
        <v/>
      </c>
      <c r="U189" s="1" t="str">
        <f>IFERROR(IF(INDEX(자격증DB!M:M, MATCH($D189, 자격증DB!$A:$A, 0))=0, "", INDEX(자격증DB!M:M, MATCH($D189, 자격증DB!$A:$A, 0))), "")</f>
        <v/>
      </c>
      <c r="V189" s="1" t="str">
        <f>IFERROR(IF(INDEX(자격증DB!N:N, MATCH($D189, 자격증DB!$A:$A, 0))=0, "", INDEX(자격증DB!N:N, MATCH($D189, 자격증DB!$A:$A, 0))), "")</f>
        <v/>
      </c>
      <c r="W189" s="1" t="str">
        <f>IFERROR(IF(INDEX(자격증DB!O:O, MATCH($D189, 자격증DB!$A:$A, 0))=0, "", INDEX(자격증DB!O:O, MATCH($D189, 자격증DB!$A:$A, 0))), "")</f>
        <v/>
      </c>
      <c r="X189" s="1" t="str">
        <f>IFERROR(IF(INDEX(자격증DB!P:P, MATCH($D199, 자격증DB!$A:$A, 0))=0, "", INDEX(자격증DB!P:P, MATCH($D199, 자격증DB!$A:$A, 0))), "")</f>
        <v/>
      </c>
    </row>
    <row r="190" spans="2:24" ht="20.100000000000001" customHeight="1">
      <c r="B190" s="32" t="str">
        <f>IFERROR(INDEX(개인DB!C:C, MATCH($A191, 개인DB!B:B, 0)), "")</f>
        <v/>
      </c>
      <c r="C190" s="32" t="str">
        <f>IFERROR(INDEX(개인DB!D:D, MATCH($A191, 개인DB!B:B, 0)), "")</f>
        <v/>
      </c>
      <c r="P190" s="1" t="str">
        <f>IFERROR(IF(INDEX(자격증DB!H:H, MATCH($D190, 자격증DB!$A:$A, 0))=0, "", INDEX(자격증DB!H:H, MATCH($D190, 자격증DB!$A:$A, 0))), "")</f>
        <v/>
      </c>
      <c r="Q190" s="1" t="str">
        <f>IFERROR(IF(INDEX(자격증DB!I:I, MATCH($D190, 자격증DB!$A:$A, 0))=0, "", INDEX(자격증DB!I:I, MATCH($D190, 자격증DB!$A:$A, 0))), "")</f>
        <v/>
      </c>
      <c r="R190" s="1" t="str">
        <f>IFERROR(IF(INDEX(자격증DB!J:J, MATCH($D190, 자격증DB!$A:$A, 0))=0, "", INDEX(자격증DB!J:J, MATCH($D190, 자격증DB!$A:$A, 0))), "")</f>
        <v/>
      </c>
      <c r="S190" s="1" t="str">
        <f>IFERROR(IF(INDEX(자격증DB!K:K, MATCH($D190, 자격증DB!$A:$A, 0))=0, "", INDEX(자격증DB!K:K, MATCH($D190, 자격증DB!$A:$A, 0))), "")</f>
        <v/>
      </c>
      <c r="T190" s="1" t="str">
        <f>IFERROR(IF(INDEX(자격증DB!L:L, MATCH($D190, 자격증DB!$A:$A, 0))=0, "", INDEX(자격증DB!L:L, MATCH($D190, 자격증DB!$A:$A, 0))), "")</f>
        <v/>
      </c>
      <c r="U190" s="1" t="str">
        <f>IFERROR(IF(INDEX(자격증DB!M:M, MATCH($D190, 자격증DB!$A:$A, 0))=0, "", INDEX(자격증DB!M:M, MATCH($D190, 자격증DB!$A:$A, 0))), "")</f>
        <v/>
      </c>
      <c r="V190" s="1" t="str">
        <f>IFERROR(IF(INDEX(자격증DB!N:N, MATCH($D190, 자격증DB!$A:$A, 0))=0, "", INDEX(자격증DB!N:N, MATCH($D190, 자격증DB!$A:$A, 0))), "")</f>
        <v/>
      </c>
      <c r="W190" s="1" t="str">
        <f>IFERROR(IF(INDEX(자격증DB!O:O, MATCH($D190, 자격증DB!$A:$A, 0))=0, "", INDEX(자격증DB!O:O, MATCH($D190, 자격증DB!$A:$A, 0))), "")</f>
        <v/>
      </c>
      <c r="X190" s="1" t="str">
        <f>IFERROR(IF(INDEX(자격증DB!P:P, MATCH($D200, 자격증DB!$A:$A, 0))=0, "", INDEX(자격증DB!P:P, MATCH($D200, 자격증DB!$A:$A, 0))), "")</f>
        <v/>
      </c>
    </row>
    <row r="191" spans="2:24" ht="20.100000000000001" customHeight="1">
      <c r="B191" s="32" t="str">
        <f>IFERROR(INDEX(개인DB!C:C, MATCH($A192, 개인DB!B:B, 0)), "")</f>
        <v/>
      </c>
      <c r="C191" s="32" t="str">
        <f>IFERROR(INDEX(개인DB!D:D, MATCH($A192, 개인DB!B:B, 0)), "")</f>
        <v/>
      </c>
      <c r="P191" s="1" t="str">
        <f>IFERROR(IF(INDEX(자격증DB!H:H, MATCH($D191, 자격증DB!$A:$A, 0))=0, "", INDEX(자격증DB!H:H, MATCH($D191, 자격증DB!$A:$A, 0))), "")</f>
        <v/>
      </c>
      <c r="Q191" s="1" t="str">
        <f>IFERROR(IF(INDEX(자격증DB!I:I, MATCH($D191, 자격증DB!$A:$A, 0))=0, "", INDEX(자격증DB!I:I, MATCH($D191, 자격증DB!$A:$A, 0))), "")</f>
        <v/>
      </c>
      <c r="R191" s="1" t="str">
        <f>IFERROR(IF(INDEX(자격증DB!J:J, MATCH($D191, 자격증DB!$A:$A, 0))=0, "", INDEX(자격증DB!J:J, MATCH($D191, 자격증DB!$A:$A, 0))), "")</f>
        <v/>
      </c>
      <c r="S191" s="1" t="str">
        <f>IFERROR(IF(INDEX(자격증DB!K:K, MATCH($D191, 자격증DB!$A:$A, 0))=0, "", INDEX(자격증DB!K:K, MATCH($D191, 자격증DB!$A:$A, 0))), "")</f>
        <v/>
      </c>
      <c r="T191" s="1" t="str">
        <f>IFERROR(IF(INDEX(자격증DB!L:L, MATCH($D191, 자격증DB!$A:$A, 0))=0, "", INDEX(자격증DB!L:L, MATCH($D191, 자격증DB!$A:$A, 0))), "")</f>
        <v/>
      </c>
      <c r="U191" s="1" t="str">
        <f>IFERROR(IF(INDEX(자격증DB!M:M, MATCH($D191, 자격증DB!$A:$A, 0))=0, "", INDEX(자격증DB!M:M, MATCH($D191, 자격증DB!$A:$A, 0))), "")</f>
        <v/>
      </c>
      <c r="V191" s="1" t="str">
        <f>IFERROR(IF(INDEX(자격증DB!N:N, MATCH($D191, 자격증DB!$A:$A, 0))=0, "", INDEX(자격증DB!N:N, MATCH($D191, 자격증DB!$A:$A, 0))), "")</f>
        <v/>
      </c>
      <c r="W191" s="1" t="str">
        <f>IFERROR(IF(INDEX(자격증DB!O:O, MATCH($D191, 자격증DB!$A:$A, 0))=0, "", INDEX(자격증DB!O:O, MATCH($D191, 자격증DB!$A:$A, 0))), "")</f>
        <v/>
      </c>
      <c r="X191" s="1" t="str">
        <f>IFERROR(IF(INDEX(자격증DB!P:P, MATCH($D201, 자격증DB!$A:$A, 0))=0, "", INDEX(자격증DB!P:P, MATCH($D201, 자격증DB!$A:$A, 0))), "")</f>
        <v/>
      </c>
    </row>
    <row r="192" spans="2:24" ht="20.100000000000001" customHeight="1">
      <c r="B192" s="32" t="str">
        <f>IFERROR(INDEX(개인DB!C:C, MATCH($A193, 개인DB!B:B, 0)), "")</f>
        <v/>
      </c>
      <c r="C192" s="32" t="str">
        <f>IFERROR(INDEX(개인DB!D:D, MATCH($A193, 개인DB!B:B, 0)), "")</f>
        <v/>
      </c>
      <c r="P192" s="1" t="str">
        <f>IFERROR(IF(INDEX(자격증DB!H:H, MATCH($D192, 자격증DB!$A:$A, 0))=0, "", INDEX(자격증DB!H:H, MATCH($D192, 자격증DB!$A:$A, 0))), "")</f>
        <v/>
      </c>
      <c r="Q192" s="1" t="str">
        <f>IFERROR(IF(INDEX(자격증DB!I:I, MATCH($D192, 자격증DB!$A:$A, 0))=0, "", INDEX(자격증DB!I:I, MATCH($D192, 자격증DB!$A:$A, 0))), "")</f>
        <v/>
      </c>
      <c r="R192" s="1" t="str">
        <f>IFERROR(IF(INDEX(자격증DB!J:J, MATCH($D192, 자격증DB!$A:$A, 0))=0, "", INDEX(자격증DB!J:J, MATCH($D192, 자격증DB!$A:$A, 0))), "")</f>
        <v/>
      </c>
      <c r="S192" s="1" t="str">
        <f>IFERROR(IF(INDEX(자격증DB!K:K, MATCH($D192, 자격증DB!$A:$A, 0))=0, "", INDEX(자격증DB!K:K, MATCH($D192, 자격증DB!$A:$A, 0))), "")</f>
        <v/>
      </c>
      <c r="T192" s="1" t="str">
        <f>IFERROR(IF(INDEX(자격증DB!L:L, MATCH($D192, 자격증DB!$A:$A, 0))=0, "", INDEX(자격증DB!L:L, MATCH($D192, 자격증DB!$A:$A, 0))), "")</f>
        <v/>
      </c>
      <c r="U192" s="1" t="str">
        <f>IFERROR(IF(INDEX(자격증DB!M:M, MATCH($D192, 자격증DB!$A:$A, 0))=0, "", INDEX(자격증DB!M:M, MATCH($D192, 자격증DB!$A:$A, 0))), "")</f>
        <v/>
      </c>
      <c r="V192" s="1" t="str">
        <f>IFERROR(IF(INDEX(자격증DB!N:N, MATCH($D192, 자격증DB!$A:$A, 0))=0, "", INDEX(자격증DB!N:N, MATCH($D192, 자격증DB!$A:$A, 0))), "")</f>
        <v/>
      </c>
      <c r="W192" s="1" t="str">
        <f>IFERROR(IF(INDEX(자격증DB!O:O, MATCH($D192, 자격증DB!$A:$A, 0))=0, "", INDEX(자격증DB!O:O, MATCH($D192, 자격증DB!$A:$A, 0))), "")</f>
        <v/>
      </c>
      <c r="X192" s="1" t="str">
        <f>IFERROR(IF(INDEX(자격증DB!P:P, MATCH($D202, 자격증DB!$A:$A, 0))=0, "", INDEX(자격증DB!P:P, MATCH($D202, 자격증DB!$A:$A, 0))), "")</f>
        <v/>
      </c>
    </row>
    <row r="193" spans="2:24" ht="20.100000000000001" customHeight="1">
      <c r="B193" s="32" t="str">
        <f>IFERROR(INDEX(개인DB!C:C, MATCH($A194, 개인DB!B:B, 0)), "")</f>
        <v/>
      </c>
      <c r="C193" s="32" t="str">
        <f>IFERROR(INDEX(개인DB!D:D, MATCH($A194, 개인DB!B:B, 0)), "")</f>
        <v/>
      </c>
      <c r="P193" s="1" t="str">
        <f>IFERROR(IF(INDEX(자격증DB!H:H, MATCH($D193, 자격증DB!$A:$A, 0))=0, "", INDEX(자격증DB!H:H, MATCH($D193, 자격증DB!$A:$A, 0))), "")</f>
        <v/>
      </c>
      <c r="Q193" s="1" t="str">
        <f>IFERROR(IF(INDEX(자격증DB!I:I, MATCH($D193, 자격증DB!$A:$A, 0))=0, "", INDEX(자격증DB!I:I, MATCH($D193, 자격증DB!$A:$A, 0))), "")</f>
        <v/>
      </c>
      <c r="R193" s="1" t="str">
        <f>IFERROR(IF(INDEX(자격증DB!J:J, MATCH($D193, 자격증DB!$A:$A, 0))=0, "", INDEX(자격증DB!J:J, MATCH($D193, 자격증DB!$A:$A, 0))), "")</f>
        <v/>
      </c>
      <c r="S193" s="1" t="str">
        <f>IFERROR(IF(INDEX(자격증DB!K:K, MATCH($D193, 자격증DB!$A:$A, 0))=0, "", INDEX(자격증DB!K:K, MATCH($D193, 자격증DB!$A:$A, 0))), "")</f>
        <v/>
      </c>
      <c r="T193" s="1" t="str">
        <f>IFERROR(IF(INDEX(자격증DB!L:L, MATCH($D193, 자격증DB!$A:$A, 0))=0, "", INDEX(자격증DB!L:L, MATCH($D193, 자격증DB!$A:$A, 0))), "")</f>
        <v/>
      </c>
      <c r="U193" s="1" t="str">
        <f>IFERROR(IF(INDEX(자격증DB!M:M, MATCH($D193, 자격증DB!$A:$A, 0))=0, "", INDEX(자격증DB!M:M, MATCH($D193, 자격증DB!$A:$A, 0))), "")</f>
        <v/>
      </c>
      <c r="V193" s="1" t="str">
        <f>IFERROR(IF(INDEX(자격증DB!N:N, MATCH($D193, 자격증DB!$A:$A, 0))=0, "", INDEX(자격증DB!N:N, MATCH($D193, 자격증DB!$A:$A, 0))), "")</f>
        <v/>
      </c>
      <c r="W193" s="1" t="str">
        <f>IFERROR(IF(INDEX(자격증DB!O:O, MATCH($D193, 자격증DB!$A:$A, 0))=0, "", INDEX(자격증DB!O:O, MATCH($D193, 자격증DB!$A:$A, 0))), "")</f>
        <v/>
      </c>
      <c r="X193" s="1" t="str">
        <f>IFERROR(IF(INDEX(자격증DB!P:P, MATCH($D203, 자격증DB!$A:$A, 0))=0, "", INDEX(자격증DB!P:P, MATCH($D203, 자격증DB!$A:$A, 0))), "")</f>
        <v/>
      </c>
    </row>
    <row r="194" spans="2:24" ht="20.100000000000001" customHeight="1">
      <c r="B194" s="32" t="str">
        <f>IFERROR(INDEX(개인DB!C:C, MATCH($A195, 개인DB!B:B, 0)), "")</f>
        <v/>
      </c>
      <c r="C194" s="32" t="str">
        <f>IFERROR(INDEX(개인DB!D:D, MATCH($A195, 개인DB!B:B, 0)), "")</f>
        <v/>
      </c>
      <c r="P194" s="1" t="str">
        <f>IFERROR(IF(INDEX(자격증DB!H:H, MATCH($D194, 자격증DB!$A:$A, 0))=0, "", INDEX(자격증DB!H:H, MATCH($D194, 자격증DB!$A:$A, 0))), "")</f>
        <v/>
      </c>
      <c r="Q194" s="1" t="str">
        <f>IFERROR(IF(INDEX(자격증DB!I:I, MATCH($D194, 자격증DB!$A:$A, 0))=0, "", INDEX(자격증DB!I:I, MATCH($D194, 자격증DB!$A:$A, 0))), "")</f>
        <v/>
      </c>
      <c r="R194" s="1" t="str">
        <f>IFERROR(IF(INDEX(자격증DB!J:J, MATCH($D194, 자격증DB!$A:$A, 0))=0, "", INDEX(자격증DB!J:J, MATCH($D194, 자격증DB!$A:$A, 0))), "")</f>
        <v/>
      </c>
      <c r="S194" s="1" t="str">
        <f>IFERROR(IF(INDEX(자격증DB!K:K, MATCH($D194, 자격증DB!$A:$A, 0))=0, "", INDEX(자격증DB!K:K, MATCH($D194, 자격증DB!$A:$A, 0))), "")</f>
        <v/>
      </c>
      <c r="T194" s="1" t="str">
        <f>IFERROR(IF(INDEX(자격증DB!L:L, MATCH($D194, 자격증DB!$A:$A, 0))=0, "", INDEX(자격증DB!L:L, MATCH($D194, 자격증DB!$A:$A, 0))), "")</f>
        <v/>
      </c>
      <c r="U194" s="1" t="str">
        <f>IFERROR(IF(INDEX(자격증DB!M:M, MATCH($D194, 자격증DB!$A:$A, 0))=0, "", INDEX(자격증DB!M:M, MATCH($D194, 자격증DB!$A:$A, 0))), "")</f>
        <v/>
      </c>
      <c r="V194" s="1" t="str">
        <f>IFERROR(IF(INDEX(자격증DB!N:N, MATCH($D194, 자격증DB!$A:$A, 0))=0, "", INDEX(자격증DB!N:N, MATCH($D194, 자격증DB!$A:$A, 0))), "")</f>
        <v/>
      </c>
      <c r="W194" s="1" t="str">
        <f>IFERROR(IF(INDEX(자격증DB!O:O, MATCH($D194, 자격증DB!$A:$A, 0))=0, "", INDEX(자격증DB!O:O, MATCH($D194, 자격증DB!$A:$A, 0))), "")</f>
        <v/>
      </c>
      <c r="X194" s="1" t="str">
        <f>IFERROR(IF(INDEX(자격증DB!P:P, MATCH($D204, 자격증DB!$A:$A, 0))=0, "", INDEX(자격증DB!P:P, MATCH($D204, 자격증DB!$A:$A, 0))), "")</f>
        <v/>
      </c>
    </row>
    <row r="195" spans="2:24">
      <c r="B195" s="32" t="str">
        <f>IFERROR(INDEX(개인DB!C:C, MATCH($A196, 개인DB!B:B, 0)), "")</f>
        <v/>
      </c>
      <c r="C195" s="32" t="str">
        <f>IFERROR(INDEX(개인DB!D:D, MATCH($A196, 개인DB!B:B, 0)), "")</f>
        <v/>
      </c>
      <c r="P195" s="1" t="str">
        <f>IFERROR(IF(INDEX(자격증DB!H:H, MATCH($D195, 자격증DB!$A:$A, 0))=0, "", INDEX(자격증DB!H:H, MATCH($D195, 자격증DB!$A:$A, 0))), "")</f>
        <v/>
      </c>
      <c r="Q195" s="1" t="str">
        <f>IFERROR(IF(INDEX(자격증DB!I:I, MATCH($D195, 자격증DB!$A:$A, 0))=0, "", INDEX(자격증DB!I:I, MATCH($D195, 자격증DB!$A:$A, 0))), "")</f>
        <v/>
      </c>
      <c r="R195" s="1" t="str">
        <f>IFERROR(IF(INDEX(자격증DB!J:J, MATCH($D195, 자격증DB!$A:$A, 0))=0, "", INDEX(자격증DB!J:J, MATCH($D195, 자격증DB!$A:$A, 0))), "")</f>
        <v/>
      </c>
      <c r="S195" s="1" t="str">
        <f>IFERROR(IF(INDEX(자격증DB!K:K, MATCH($D195, 자격증DB!$A:$A, 0))=0, "", INDEX(자격증DB!K:K, MATCH($D195, 자격증DB!$A:$A, 0))), "")</f>
        <v/>
      </c>
      <c r="T195" s="1" t="str">
        <f>IFERROR(IF(INDEX(자격증DB!L:L, MATCH($D195, 자격증DB!$A:$A, 0))=0, "", INDEX(자격증DB!L:L, MATCH($D195, 자격증DB!$A:$A, 0))), "")</f>
        <v/>
      </c>
      <c r="U195" s="1" t="str">
        <f>IFERROR(IF(INDEX(자격증DB!M:M, MATCH($D195, 자격증DB!$A:$A, 0))=0, "", INDEX(자격증DB!M:M, MATCH($D195, 자격증DB!$A:$A, 0))), "")</f>
        <v/>
      </c>
      <c r="V195" s="1" t="str">
        <f>IFERROR(IF(INDEX(자격증DB!N:N, MATCH($D195, 자격증DB!$A:$A, 0))=0, "", INDEX(자격증DB!N:N, MATCH($D195, 자격증DB!$A:$A, 0))), "")</f>
        <v/>
      </c>
      <c r="W195" s="1" t="str">
        <f>IFERROR(IF(INDEX(자격증DB!O:O, MATCH($D195, 자격증DB!$A:$A, 0))=0, "", INDEX(자격증DB!O:O, MATCH($D195, 자격증DB!$A:$A, 0))), "")</f>
        <v/>
      </c>
    </row>
    <row r="196" spans="2:24">
      <c r="B196" s="32" t="str">
        <f>IFERROR(INDEX(개인DB!C:C, MATCH($A197, 개인DB!B:B, 0)), "")</f>
        <v/>
      </c>
      <c r="C196" s="32" t="str">
        <f>IFERROR(INDEX(개인DB!D:D, MATCH($A197, 개인DB!B:B, 0)), "")</f>
        <v/>
      </c>
      <c r="P196" s="1" t="str">
        <f>IFERROR(IF(INDEX(자격증DB!H:H, MATCH($D196, 자격증DB!$A:$A, 0))=0, "", INDEX(자격증DB!H:H, MATCH($D196, 자격증DB!$A:$A, 0))), "")</f>
        <v/>
      </c>
      <c r="Q196" s="1" t="str">
        <f>IFERROR(IF(INDEX(자격증DB!I:I, MATCH($D196, 자격증DB!$A:$A, 0))=0, "", INDEX(자격증DB!I:I, MATCH($D196, 자격증DB!$A:$A, 0))), "")</f>
        <v/>
      </c>
      <c r="R196" s="1" t="str">
        <f>IFERROR(IF(INDEX(자격증DB!J:J, MATCH($D196, 자격증DB!$A:$A, 0))=0, "", INDEX(자격증DB!J:J, MATCH($D196, 자격증DB!$A:$A, 0))), "")</f>
        <v/>
      </c>
      <c r="S196" s="1" t="str">
        <f>IFERROR(IF(INDEX(자격증DB!K:K, MATCH($D196, 자격증DB!$A:$A, 0))=0, "", INDEX(자격증DB!K:K, MATCH($D196, 자격증DB!$A:$A, 0))), "")</f>
        <v/>
      </c>
      <c r="T196" s="1" t="str">
        <f>IFERROR(IF(INDEX(자격증DB!L:L, MATCH($D196, 자격증DB!$A:$A, 0))=0, "", INDEX(자격증DB!L:L, MATCH($D196, 자격증DB!$A:$A, 0))), "")</f>
        <v/>
      </c>
      <c r="U196" s="1" t="str">
        <f>IFERROR(IF(INDEX(자격증DB!M:M, MATCH($D196, 자격증DB!$A:$A, 0))=0, "", INDEX(자격증DB!M:M, MATCH($D196, 자격증DB!$A:$A, 0))), "")</f>
        <v/>
      </c>
      <c r="V196" s="1" t="str">
        <f>IFERROR(IF(INDEX(자격증DB!N:N, MATCH($D196, 자격증DB!$A:$A, 0))=0, "", INDEX(자격증DB!N:N, MATCH($D196, 자격증DB!$A:$A, 0))), "")</f>
        <v/>
      </c>
      <c r="W196" s="1" t="str">
        <f>IFERROR(IF(INDEX(자격증DB!O:O, MATCH($D196, 자격증DB!$A:$A, 0))=0, "", INDEX(자격증DB!O:O, MATCH($D196, 자격증DB!$A:$A, 0))), "")</f>
        <v/>
      </c>
    </row>
    <row r="197" spans="2:24">
      <c r="B197" s="32" t="str">
        <f>IFERROR(INDEX(개인DB!C:C, MATCH($A198, 개인DB!B:B, 0)), "")</f>
        <v/>
      </c>
      <c r="C197" s="32" t="str">
        <f>IFERROR(INDEX(개인DB!D:D, MATCH($A198, 개인DB!B:B, 0)), "")</f>
        <v/>
      </c>
      <c r="P197" s="1" t="str">
        <f>IFERROR(IF(INDEX(자격증DB!H:H, MATCH($D197, 자격증DB!$A:$A, 0))=0, "", INDEX(자격증DB!H:H, MATCH($D197, 자격증DB!$A:$A, 0))), "")</f>
        <v/>
      </c>
      <c r="Q197" s="1" t="str">
        <f>IFERROR(IF(INDEX(자격증DB!I:I, MATCH($D197, 자격증DB!$A:$A, 0))=0, "", INDEX(자격증DB!I:I, MATCH($D197, 자격증DB!$A:$A, 0))), "")</f>
        <v/>
      </c>
      <c r="R197" s="1" t="str">
        <f>IFERROR(IF(INDEX(자격증DB!J:J, MATCH($D197, 자격증DB!$A:$A, 0))=0, "", INDEX(자격증DB!J:J, MATCH($D197, 자격증DB!$A:$A, 0))), "")</f>
        <v/>
      </c>
      <c r="S197" s="1" t="str">
        <f>IFERROR(IF(INDEX(자격증DB!K:K, MATCH($D197, 자격증DB!$A:$A, 0))=0, "", INDEX(자격증DB!K:K, MATCH($D197, 자격증DB!$A:$A, 0))), "")</f>
        <v/>
      </c>
      <c r="T197" s="1" t="str">
        <f>IFERROR(IF(INDEX(자격증DB!L:L, MATCH($D197, 자격증DB!$A:$A, 0))=0, "", INDEX(자격증DB!L:L, MATCH($D197, 자격증DB!$A:$A, 0))), "")</f>
        <v/>
      </c>
      <c r="U197" s="1" t="str">
        <f>IFERROR(IF(INDEX(자격증DB!M:M, MATCH($D197, 자격증DB!$A:$A, 0))=0, "", INDEX(자격증DB!M:M, MATCH($D197, 자격증DB!$A:$A, 0))), "")</f>
        <v/>
      </c>
      <c r="V197" s="1" t="str">
        <f>IFERROR(IF(INDEX(자격증DB!N:N, MATCH($D197, 자격증DB!$A:$A, 0))=0, "", INDEX(자격증DB!N:N, MATCH($D197, 자격증DB!$A:$A, 0))), "")</f>
        <v/>
      </c>
      <c r="W197" s="1" t="str">
        <f>IFERROR(IF(INDEX(자격증DB!O:O, MATCH($D197, 자격증DB!$A:$A, 0))=0, "", INDEX(자격증DB!O:O, MATCH($D197, 자격증DB!$A:$A, 0))), "")</f>
        <v/>
      </c>
    </row>
    <row r="198" spans="2:24">
      <c r="B198" s="32" t="str">
        <f>IFERROR(INDEX(개인DB!C:C, MATCH($A199, 개인DB!B:B, 0)), "")</f>
        <v/>
      </c>
      <c r="C198" s="32" t="str">
        <f>IFERROR(INDEX(개인DB!D:D, MATCH($A199, 개인DB!B:B, 0)), "")</f>
        <v/>
      </c>
      <c r="P198" s="1" t="str">
        <f>IFERROR(IF(INDEX(자격증DB!H:H, MATCH($D198, 자격증DB!$A:$A, 0))=0, "", INDEX(자격증DB!H:H, MATCH($D198, 자격증DB!$A:$A, 0))), "")</f>
        <v/>
      </c>
      <c r="Q198" s="1" t="str">
        <f>IFERROR(IF(INDEX(자격증DB!I:I, MATCH($D198, 자격증DB!$A:$A, 0))=0, "", INDEX(자격증DB!I:I, MATCH($D198, 자격증DB!$A:$A, 0))), "")</f>
        <v/>
      </c>
      <c r="R198" s="1" t="str">
        <f>IFERROR(IF(INDEX(자격증DB!J:J, MATCH($D198, 자격증DB!$A:$A, 0))=0, "", INDEX(자격증DB!J:J, MATCH($D198, 자격증DB!$A:$A, 0))), "")</f>
        <v/>
      </c>
      <c r="S198" s="1" t="str">
        <f>IFERROR(IF(INDEX(자격증DB!K:K, MATCH($D198, 자격증DB!$A:$A, 0))=0, "", INDEX(자격증DB!K:K, MATCH($D198, 자격증DB!$A:$A, 0))), "")</f>
        <v/>
      </c>
      <c r="T198" s="1" t="str">
        <f>IFERROR(IF(INDEX(자격증DB!L:L, MATCH($D198, 자격증DB!$A:$A, 0))=0, "", INDEX(자격증DB!L:L, MATCH($D198, 자격증DB!$A:$A, 0))), "")</f>
        <v/>
      </c>
      <c r="U198" s="1" t="str">
        <f>IFERROR(IF(INDEX(자격증DB!M:M, MATCH($D198, 자격증DB!$A:$A, 0))=0, "", INDEX(자격증DB!M:M, MATCH($D198, 자격증DB!$A:$A, 0))), "")</f>
        <v/>
      </c>
      <c r="V198" s="1" t="str">
        <f>IFERROR(IF(INDEX(자격증DB!N:N, MATCH($D198, 자격증DB!$A:$A, 0))=0, "", INDEX(자격증DB!N:N, MATCH($D198, 자격증DB!$A:$A, 0))), "")</f>
        <v/>
      </c>
      <c r="W198" s="1" t="str">
        <f>IFERROR(IF(INDEX(자격증DB!O:O, MATCH($D198, 자격증DB!$A:$A, 0))=0, "", INDEX(자격증DB!O:O, MATCH($D198, 자격증DB!$A:$A, 0))), "")</f>
        <v/>
      </c>
    </row>
    <row r="199" spans="2:24">
      <c r="B199" s="32" t="str">
        <f>IFERROR(INDEX(개인DB!C:C, MATCH($A200, 개인DB!B:B, 0)), "")</f>
        <v/>
      </c>
      <c r="C199" s="32" t="str">
        <f>IFERROR(INDEX(개인DB!D:D, MATCH($A200, 개인DB!B:B, 0)), "")</f>
        <v/>
      </c>
      <c r="P199" s="1" t="str">
        <f>IFERROR(IF(INDEX(자격증DB!H:H, MATCH($D199, 자격증DB!$A:$A, 0))=0, "", INDEX(자격증DB!H:H, MATCH($D199, 자격증DB!$A:$A, 0))), "")</f>
        <v/>
      </c>
      <c r="Q199" s="1" t="str">
        <f>IFERROR(IF(INDEX(자격증DB!I:I, MATCH($D199, 자격증DB!$A:$A, 0))=0, "", INDEX(자격증DB!I:I, MATCH($D199, 자격증DB!$A:$A, 0))), "")</f>
        <v/>
      </c>
      <c r="R199" s="1" t="str">
        <f>IFERROR(IF(INDEX(자격증DB!J:J, MATCH($D199, 자격증DB!$A:$A, 0))=0, "", INDEX(자격증DB!J:J, MATCH($D199, 자격증DB!$A:$A, 0))), "")</f>
        <v/>
      </c>
      <c r="S199" s="1" t="str">
        <f>IFERROR(IF(INDEX(자격증DB!K:K, MATCH($D199, 자격증DB!$A:$A, 0))=0, "", INDEX(자격증DB!K:K, MATCH($D199, 자격증DB!$A:$A, 0))), "")</f>
        <v/>
      </c>
      <c r="T199" s="1" t="str">
        <f>IFERROR(IF(INDEX(자격증DB!L:L, MATCH($D199, 자격증DB!$A:$A, 0))=0, "", INDEX(자격증DB!L:L, MATCH($D199, 자격증DB!$A:$A, 0))), "")</f>
        <v/>
      </c>
      <c r="U199" s="1" t="str">
        <f>IFERROR(IF(INDEX(자격증DB!M:M, MATCH($D199, 자격증DB!$A:$A, 0))=0, "", INDEX(자격증DB!M:M, MATCH($D199, 자격증DB!$A:$A, 0))), "")</f>
        <v/>
      </c>
      <c r="V199" s="1" t="str">
        <f>IFERROR(IF(INDEX(자격증DB!N:N, MATCH($D199, 자격증DB!$A:$A, 0))=0, "", INDEX(자격증DB!N:N, MATCH($D199, 자격증DB!$A:$A, 0))), "")</f>
        <v/>
      </c>
      <c r="W199" s="1" t="str">
        <f>IFERROR(IF(INDEX(자격증DB!O:O, MATCH($D199, 자격증DB!$A:$A, 0))=0, "", INDEX(자격증DB!O:O, MATCH($D199, 자격증DB!$A:$A, 0))), "")</f>
        <v/>
      </c>
    </row>
    <row r="200" spans="2:24">
      <c r="B200" s="32" t="str">
        <f>IFERROR(INDEX(개인DB!C:C, MATCH($A201, 개인DB!B:B, 0)), "")</f>
        <v/>
      </c>
      <c r="C200" s="32" t="str">
        <f>IFERROR(INDEX(개인DB!D:D, MATCH($A201, 개인DB!B:B, 0)), "")</f>
        <v/>
      </c>
      <c r="P200" s="1" t="str">
        <f>IFERROR(IF(INDEX(자격증DB!H:H, MATCH($D200, 자격증DB!$A:$A, 0))=0, "", INDEX(자격증DB!H:H, MATCH($D200, 자격증DB!$A:$A, 0))), "")</f>
        <v/>
      </c>
      <c r="Q200" s="1" t="str">
        <f>IFERROR(IF(INDEX(자격증DB!I:I, MATCH($D200, 자격증DB!$A:$A, 0))=0, "", INDEX(자격증DB!I:I, MATCH($D200, 자격증DB!$A:$A, 0))), "")</f>
        <v/>
      </c>
      <c r="R200" s="1" t="str">
        <f>IFERROR(IF(INDEX(자격증DB!J:J, MATCH($D200, 자격증DB!$A:$A, 0))=0, "", INDEX(자격증DB!J:J, MATCH($D200, 자격증DB!$A:$A, 0))), "")</f>
        <v/>
      </c>
      <c r="S200" s="1" t="str">
        <f>IFERROR(IF(INDEX(자격증DB!K:K, MATCH($D200, 자격증DB!$A:$A, 0))=0, "", INDEX(자격증DB!K:K, MATCH($D200, 자격증DB!$A:$A, 0))), "")</f>
        <v/>
      </c>
      <c r="T200" s="1" t="str">
        <f>IFERROR(IF(INDEX(자격증DB!L:L, MATCH($D200, 자격증DB!$A:$A, 0))=0, "", INDEX(자격증DB!L:L, MATCH($D200, 자격증DB!$A:$A, 0))), "")</f>
        <v/>
      </c>
      <c r="U200" s="1" t="str">
        <f>IFERROR(IF(INDEX(자격증DB!M:M, MATCH($D200, 자격증DB!$A:$A, 0))=0, "", INDEX(자격증DB!M:M, MATCH($D200, 자격증DB!$A:$A, 0))), "")</f>
        <v/>
      </c>
      <c r="V200" s="1" t="str">
        <f>IFERROR(IF(INDEX(자격증DB!N:N, MATCH($D200, 자격증DB!$A:$A, 0))=0, "", INDEX(자격증DB!N:N, MATCH($D200, 자격증DB!$A:$A, 0))), "")</f>
        <v/>
      </c>
      <c r="W200" s="1" t="str">
        <f>IFERROR(IF(INDEX(자격증DB!O:O, MATCH($D200, 자격증DB!$A:$A, 0))=0, "", INDEX(자격증DB!O:O, MATCH($D200, 자격증DB!$A:$A, 0))), "")</f>
        <v/>
      </c>
    </row>
    <row r="201" spans="2:24">
      <c r="B201" s="32" t="str">
        <f>IFERROR(INDEX(개인DB!C:C, MATCH($A202, 개인DB!B:B, 0)), "")</f>
        <v/>
      </c>
      <c r="C201" s="32" t="str">
        <f>IFERROR(INDEX(개인DB!D:D, MATCH($A202, 개인DB!B:B, 0)), "")</f>
        <v/>
      </c>
      <c r="P201" s="1" t="str">
        <f>IFERROR(IF(INDEX(자격증DB!H:H, MATCH($D201, 자격증DB!$A:$A, 0))=0, "", INDEX(자격증DB!H:H, MATCH($D201, 자격증DB!$A:$A, 0))), "")</f>
        <v/>
      </c>
      <c r="Q201" s="1" t="str">
        <f>IFERROR(IF(INDEX(자격증DB!I:I, MATCH($D201, 자격증DB!$A:$A, 0))=0, "", INDEX(자격증DB!I:I, MATCH($D201, 자격증DB!$A:$A, 0))), "")</f>
        <v/>
      </c>
      <c r="R201" s="1" t="str">
        <f>IFERROR(IF(INDEX(자격증DB!J:J, MATCH($D201, 자격증DB!$A:$A, 0))=0, "", INDEX(자격증DB!J:J, MATCH($D201, 자격증DB!$A:$A, 0))), "")</f>
        <v/>
      </c>
      <c r="S201" s="1" t="str">
        <f>IFERROR(IF(INDEX(자격증DB!K:K, MATCH($D201, 자격증DB!$A:$A, 0))=0, "", INDEX(자격증DB!K:K, MATCH($D201, 자격증DB!$A:$A, 0))), "")</f>
        <v/>
      </c>
      <c r="T201" s="1" t="str">
        <f>IFERROR(IF(INDEX(자격증DB!L:L, MATCH($D201, 자격증DB!$A:$A, 0))=0, "", INDEX(자격증DB!L:L, MATCH($D201, 자격증DB!$A:$A, 0))), "")</f>
        <v/>
      </c>
      <c r="U201" s="1" t="str">
        <f>IFERROR(IF(INDEX(자격증DB!M:M, MATCH($D201, 자격증DB!$A:$A, 0))=0, "", INDEX(자격증DB!M:M, MATCH($D201, 자격증DB!$A:$A, 0))), "")</f>
        <v/>
      </c>
      <c r="V201" s="1" t="str">
        <f>IFERROR(IF(INDEX(자격증DB!N:N, MATCH($D201, 자격증DB!$A:$A, 0))=0, "", INDEX(자격증DB!N:N, MATCH($D201, 자격증DB!$A:$A, 0))), "")</f>
        <v/>
      </c>
      <c r="W201" s="1" t="str">
        <f>IFERROR(IF(INDEX(자격증DB!O:O, MATCH($D201, 자격증DB!$A:$A, 0))=0, "", INDEX(자격증DB!O:O, MATCH($D201, 자격증DB!$A:$A, 0))), "")</f>
        <v/>
      </c>
    </row>
    <row r="202" spans="2:24">
      <c r="B202" s="32" t="str">
        <f>IFERROR(INDEX(개인DB!C:C, MATCH($A203, 개인DB!B:B, 0)), "")</f>
        <v/>
      </c>
      <c r="C202" s="32" t="str">
        <f>IFERROR(INDEX(개인DB!D:D, MATCH($A203, 개인DB!B:B, 0)), "")</f>
        <v/>
      </c>
      <c r="P202" s="1" t="str">
        <f>IFERROR(IF(INDEX(자격증DB!H:H, MATCH($D202, 자격증DB!$A:$A, 0))=0, "", INDEX(자격증DB!H:H, MATCH($D202, 자격증DB!$A:$A, 0))), "")</f>
        <v/>
      </c>
      <c r="Q202" s="1" t="str">
        <f>IFERROR(IF(INDEX(자격증DB!I:I, MATCH($D202, 자격증DB!$A:$A, 0))=0, "", INDEX(자격증DB!I:I, MATCH($D202, 자격증DB!$A:$A, 0))), "")</f>
        <v/>
      </c>
      <c r="R202" s="1" t="str">
        <f>IFERROR(IF(INDEX(자격증DB!J:J, MATCH($D202, 자격증DB!$A:$A, 0))=0, "", INDEX(자격증DB!J:J, MATCH($D202, 자격증DB!$A:$A, 0))), "")</f>
        <v/>
      </c>
      <c r="S202" s="1" t="str">
        <f>IFERROR(IF(INDEX(자격증DB!K:K, MATCH($D202, 자격증DB!$A:$A, 0))=0, "", INDEX(자격증DB!K:K, MATCH($D202, 자격증DB!$A:$A, 0))), "")</f>
        <v/>
      </c>
      <c r="T202" s="1" t="str">
        <f>IFERROR(IF(INDEX(자격증DB!L:L, MATCH($D202, 자격증DB!$A:$A, 0))=0, "", INDEX(자격증DB!L:L, MATCH($D202, 자격증DB!$A:$A, 0))), "")</f>
        <v/>
      </c>
      <c r="U202" s="1" t="str">
        <f>IFERROR(IF(INDEX(자격증DB!M:M, MATCH($D202, 자격증DB!$A:$A, 0))=0, "", INDEX(자격증DB!M:M, MATCH($D202, 자격증DB!$A:$A, 0))), "")</f>
        <v/>
      </c>
      <c r="V202" s="1" t="str">
        <f>IFERROR(IF(INDEX(자격증DB!N:N, MATCH($D202, 자격증DB!$A:$A, 0))=0, "", INDEX(자격증DB!N:N, MATCH($D202, 자격증DB!$A:$A, 0))), "")</f>
        <v/>
      </c>
      <c r="W202" s="1" t="str">
        <f>IFERROR(IF(INDEX(자격증DB!O:O, MATCH($D202, 자격증DB!$A:$A, 0))=0, "", INDEX(자격증DB!O:O, MATCH($D202, 자격증DB!$A:$A, 0))), "")</f>
        <v/>
      </c>
    </row>
    <row r="203" spans="2:24">
      <c r="B203" s="32" t="str">
        <f>IFERROR(INDEX(개인DB!C:C, MATCH($A204, 개인DB!B:B, 0)), "")</f>
        <v/>
      </c>
      <c r="C203" s="32" t="str">
        <f>IFERROR(INDEX(개인DB!D:D, MATCH($A204, 개인DB!B:B, 0)), "")</f>
        <v/>
      </c>
      <c r="P203" s="1" t="str">
        <f>IFERROR(IF(INDEX(자격증DB!H:H, MATCH($D203, 자격증DB!$A:$A, 0))=0, "", INDEX(자격증DB!H:H, MATCH($D203, 자격증DB!$A:$A, 0))), "")</f>
        <v/>
      </c>
      <c r="Q203" s="1" t="str">
        <f>IFERROR(IF(INDEX(자격증DB!I:I, MATCH($D203, 자격증DB!$A:$A, 0))=0, "", INDEX(자격증DB!I:I, MATCH($D203, 자격증DB!$A:$A, 0))), "")</f>
        <v/>
      </c>
      <c r="R203" s="1" t="str">
        <f>IFERROR(IF(INDEX(자격증DB!J:J, MATCH($D203, 자격증DB!$A:$A, 0))=0, "", INDEX(자격증DB!J:J, MATCH($D203, 자격증DB!$A:$A, 0))), "")</f>
        <v/>
      </c>
      <c r="S203" s="1" t="str">
        <f>IFERROR(IF(INDEX(자격증DB!K:K, MATCH($D203, 자격증DB!$A:$A, 0))=0, "", INDEX(자격증DB!K:K, MATCH($D203, 자격증DB!$A:$A, 0))), "")</f>
        <v/>
      </c>
      <c r="T203" s="1" t="str">
        <f>IFERROR(IF(INDEX(자격증DB!L:L, MATCH($D203, 자격증DB!$A:$A, 0))=0, "", INDEX(자격증DB!L:L, MATCH($D203, 자격증DB!$A:$A, 0))), "")</f>
        <v/>
      </c>
      <c r="U203" s="1" t="str">
        <f>IFERROR(IF(INDEX(자격증DB!M:M, MATCH($D203, 자격증DB!$A:$A, 0))=0, "", INDEX(자격증DB!M:M, MATCH($D203, 자격증DB!$A:$A, 0))), "")</f>
        <v/>
      </c>
      <c r="V203" s="1" t="str">
        <f>IFERROR(IF(INDEX(자격증DB!N:N, MATCH($D203, 자격증DB!$A:$A, 0))=0, "", INDEX(자격증DB!N:N, MATCH($D203, 자격증DB!$A:$A, 0))), "")</f>
        <v/>
      </c>
      <c r="W203" s="1" t="str">
        <f>IFERROR(IF(INDEX(자격증DB!O:O, MATCH($D203, 자격증DB!$A:$A, 0))=0, "", INDEX(자격증DB!O:O, MATCH($D203, 자격증DB!$A:$A, 0))), "")</f>
        <v/>
      </c>
    </row>
    <row r="204" spans="2:24">
      <c r="B204" s="32" t="str">
        <f>IFERROR(INDEX(개인DB!C:C, MATCH($A205, 개인DB!B:B, 0)), "")</f>
        <v/>
      </c>
      <c r="C204" s="32" t="str">
        <f>IFERROR(INDEX(개인DB!D:D, MATCH($A205, 개인DB!B:B, 0)), "")</f>
        <v/>
      </c>
      <c r="P204" s="1" t="str">
        <f>IFERROR(IF(INDEX(자격증DB!H:H, MATCH($D204, 자격증DB!$A:$A, 0))=0, "", INDEX(자격증DB!H:H, MATCH($D204, 자격증DB!$A:$A, 0))), "")</f>
        <v/>
      </c>
      <c r="Q204" s="1" t="str">
        <f>IFERROR(IF(INDEX(자격증DB!I:I, MATCH($D204, 자격증DB!$A:$A, 0))=0, "", INDEX(자격증DB!I:I, MATCH($D204, 자격증DB!$A:$A, 0))), "")</f>
        <v/>
      </c>
      <c r="R204" s="1" t="str">
        <f>IFERROR(IF(INDEX(자격증DB!J:J, MATCH($D204, 자격증DB!$A:$A, 0))=0, "", INDEX(자격증DB!J:J, MATCH($D204, 자격증DB!$A:$A, 0))), "")</f>
        <v/>
      </c>
      <c r="S204" s="1" t="str">
        <f>IFERROR(IF(INDEX(자격증DB!K:K, MATCH($D204, 자격증DB!$A:$A, 0))=0, "", INDEX(자격증DB!K:K, MATCH($D204, 자격증DB!$A:$A, 0))), "")</f>
        <v/>
      </c>
      <c r="T204" s="1" t="str">
        <f>IFERROR(IF(INDEX(자격증DB!L:L, MATCH($D204, 자격증DB!$A:$A, 0))=0, "", INDEX(자격증DB!L:L, MATCH($D204, 자격증DB!$A:$A, 0))), "")</f>
        <v/>
      </c>
      <c r="U204" s="1" t="str">
        <f>IFERROR(IF(INDEX(자격증DB!M:M, MATCH($D204, 자격증DB!$A:$A, 0))=0, "", INDEX(자격증DB!M:M, MATCH($D204, 자격증DB!$A:$A, 0))), "")</f>
        <v/>
      </c>
      <c r="V204" s="1" t="str">
        <f>IFERROR(IF(INDEX(자격증DB!N:N, MATCH($D204, 자격증DB!$A:$A, 0))=0, "", INDEX(자격증DB!N:N, MATCH($D204, 자격증DB!$A:$A, 0))), "")</f>
        <v/>
      </c>
      <c r="W204" s="1" t="str">
        <f>IFERROR(IF(INDEX(자격증DB!O:O, MATCH($D204, 자격증DB!$A:$A, 0))=0, "", INDEX(자격증DB!O:O, MATCH($D204, 자격증DB!$A:$A, 0))), "")</f>
        <v/>
      </c>
    </row>
  </sheetData>
  <sortState xmlns:xlrd2="http://schemas.microsoft.com/office/spreadsheetml/2017/richdata2" ref="A2:X194">
    <sortCondition ref="D1" customList="공인원가분석사,변호사,공인노무사,공인회계사,경영지도사,계약관리사,갈등조정전문가 1급,PMP(Project Management Institute),조달계약사,물류관리사,품질관리기술사,화공안전기술사,산업안전기사,일반기계기사,전자기사,품질경영기사,유통관리사1급,금속기사,에너지관리산업기사,전자계산기제어산업기사,품질경영시스템 인증심사원,KOLAS 평가사,자동차진단평가사2급,KOLAS 평가사,동력수상레저기구조종 일반조종1급,ISO 9000 2000(경영),ISO 14001 2015(환경),FAT 1급,건축시공기술사,정비사업전문관리사,소방기술자 (기계 : 특급,전기: 고급),건설안전기술사,건축기사,소방설비기사(기계분야),건설안전기사,BIM 운용전문가2급 건축,공인중개사,전산응용건축제도기능사,기술거래사,국제경영컨설턴트(CMC),수목치료기술자,평생교육사2급,식물보호산업기사,창업보육전문매니저,전산회계 1급,산업카운슬러1급,M&amp;A지도사,ERP 물류 컨설턴트,채용면접관 자격인증서,신용분석사,약용식물관리사,기능점수측정전문가(K-CFPS),정보처리기사,CISA(certified Information Systems Auditor),데이터 사이언티스트 능력 인증(DSAC),SW프로세스품질인증심사원,컴퓨터그래픽기능사,컴퓨터활용능력 2급,웹디자인개발기능사,정보처리산업기사,가맹거래사,사회복지사2급,재경관리사,보험심사평가사1급,ERP 회계 컨설턴트,재난관리지도사,유기농업기사,간호사,사회보험사2급,R&amp;A Level 2 Rules School,소형선박조종사(해기사),전산세무 2급,FAT 2급,초경량비행장치 조종자,ERP 회계 정보관리사 2급,ERP 인사 정보관리사 2급,전산회계 2급,보험심사평가사2급,사회보험사1급"/>
  </sortState>
  <phoneticPr fontId="1" type="noConversion"/>
  <conditionalFormatting sqref="A59">
    <cfRule type="duplicateValues" dxfId="7" priority="18"/>
  </conditionalFormatting>
  <conditionalFormatting sqref="A62">
    <cfRule type="duplicateValues" dxfId="6" priority="17"/>
  </conditionalFormatting>
  <conditionalFormatting sqref="A78">
    <cfRule type="duplicateValues" dxfId="5" priority="13"/>
  </conditionalFormatting>
  <conditionalFormatting sqref="A93">
    <cfRule type="duplicateValues" dxfId="4" priority="12"/>
  </conditionalFormatting>
  <conditionalFormatting sqref="O157:O1048576 N3:N119 K1:N1 K2:M129 K120:N129 Y2:Z129 K157:M1048576">
    <cfRule type="expression" dxfId="3" priority="5">
      <formula>AND(K1&lt; TODAY(), K1&lt;&gt;"")</formula>
    </cfRule>
  </conditionalFormatting>
  <conditionalFormatting sqref="Y1:Z129 Y157:Z1048576">
    <cfRule type="expression" dxfId="2" priority="4">
      <formula>AND(Y1&lt; TODAY(), Y1&lt;&gt;"")</formula>
    </cfRule>
  </conditionalFormatting>
  <conditionalFormatting sqref="K130:N155 Y130:Z156">
    <cfRule type="expression" dxfId="1" priority="3">
      <formula>AND(K130&lt; TODAY(), K130&lt;&gt;"")</formula>
    </cfRule>
  </conditionalFormatting>
  <conditionalFormatting sqref="K156:N156">
    <cfRule type="expression" dxfId="0" priority="1">
      <formula>AND(K156&lt; TODAY(), K156&lt;&gt;"")</formula>
    </cfRule>
  </conditionalFormatting>
  <dataValidations count="1">
    <dataValidation type="list" allowBlank="1" showInputMessage="1" showErrorMessage="1" sqref="E1:E1048576" xr:uid="{8DA19464-EEBE-4AC0-8592-7E315EB84F38}">
      <formula1>"전문자격,기술사,기능장,기사,산업기사,기능사,서비스,타기관,민간(국가),민간,외국"</formula1>
    </dataValidation>
  </dataValidations>
  <pageMargins left="0" right="0" top="0" bottom="0" header="0" footer="0"/>
  <pageSetup paperSize="9" scale="72" fitToHeight="0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79D0-18B1-4E8A-B05E-7FB2737FE4FD}">
  <sheetPr codeName="Sheet7">
    <tabColor theme="5" tint="0.59999389629810485"/>
    <pageSetUpPr fitToPage="1"/>
  </sheetPr>
  <dimension ref="A1:W91"/>
  <sheetViews>
    <sheetView zoomScale="130" zoomScaleNormal="130" zoomScaleSheetLayoutView="100" workbookViewId="0">
      <selection activeCell="A12" sqref="A12"/>
    </sheetView>
  </sheetViews>
  <sheetFormatPr defaultRowHeight="16.5"/>
  <cols>
    <col min="1" max="1" width="33" style="57" bestFit="1" customWidth="1"/>
    <col min="2" max="2" width="4.25" style="45" bestFit="1" customWidth="1"/>
    <col min="3" max="3" width="2.125" customWidth="1"/>
    <col min="4" max="4" width="5.375" style="1" customWidth="1"/>
    <col min="5" max="5" width="14.125" customWidth="1"/>
    <col min="6" max="6" width="3.625" customWidth="1"/>
    <col min="7" max="7" width="5.375" style="1" customWidth="1"/>
    <col min="8" max="8" width="14.125" customWidth="1"/>
    <col min="9" max="9" width="3.625" customWidth="1"/>
    <col min="10" max="10" width="5.375" style="1" customWidth="1"/>
    <col min="11" max="11" width="14.125" customWidth="1"/>
    <col min="12" max="12" width="3.625" customWidth="1"/>
    <col min="13" max="13" width="5.375" style="1" customWidth="1"/>
    <col min="14" max="14" width="14.125" customWidth="1"/>
    <col min="15" max="15" width="3.625" customWidth="1"/>
    <col min="16" max="16" width="5.375" style="1" customWidth="1"/>
    <col min="17" max="17" width="14.125" customWidth="1"/>
    <col min="18" max="18" width="3.625" customWidth="1"/>
    <col min="19" max="19" width="5.375" style="1" customWidth="1"/>
    <col min="20" max="20" width="14.125" customWidth="1"/>
    <col min="21" max="21" width="3.625" customWidth="1"/>
  </cols>
  <sheetData>
    <row r="1" spans="1:23">
      <c r="A1" s="56" t="s">
        <v>527</v>
      </c>
      <c r="B1" s="44"/>
      <c r="D1" s="65"/>
      <c r="E1" s="59" t="s">
        <v>198</v>
      </c>
      <c r="F1" s="60"/>
      <c r="H1" s="59" t="s">
        <v>273</v>
      </c>
      <c r="I1" s="60"/>
      <c r="K1" s="59" t="s">
        <v>272</v>
      </c>
      <c r="L1" s="60"/>
      <c r="N1" s="59" t="s">
        <v>275</v>
      </c>
      <c r="O1" s="60"/>
      <c r="Q1" s="59" t="s">
        <v>274</v>
      </c>
      <c r="R1" s="60"/>
      <c r="T1" s="59" t="s">
        <v>524</v>
      </c>
      <c r="U1" s="60"/>
    </row>
    <row r="2" spans="1:23" ht="5.25" customHeight="1" thickBot="1">
      <c r="E2" s="46"/>
      <c r="H2" s="49"/>
      <c r="K2" s="49"/>
      <c r="N2" s="49"/>
      <c r="Q2" s="49"/>
      <c r="T2" s="49"/>
    </row>
    <row r="3" spans="1:23" ht="17.25" thickBot="1">
      <c r="A3" s="58" t="s">
        <v>526</v>
      </c>
      <c r="B3" s="45" t="s">
        <v>422</v>
      </c>
      <c r="D3" s="22" t="s">
        <v>193</v>
      </c>
      <c r="E3" s="47" t="s">
        <v>52</v>
      </c>
      <c r="F3" s="22" t="s">
        <v>197</v>
      </c>
      <c r="G3" s="22" t="s">
        <v>193</v>
      </c>
      <c r="H3" s="47" t="s">
        <v>52</v>
      </c>
      <c r="I3" s="22" t="s">
        <v>197</v>
      </c>
      <c r="J3" s="22" t="s">
        <v>193</v>
      </c>
      <c r="K3" s="47" t="s">
        <v>52</v>
      </c>
      <c r="L3" s="22" t="s">
        <v>197</v>
      </c>
      <c r="M3" s="22" t="s">
        <v>193</v>
      </c>
      <c r="N3" s="47" t="s">
        <v>52</v>
      </c>
      <c r="O3" s="22" t="s">
        <v>197</v>
      </c>
      <c r="P3" s="22" t="s">
        <v>193</v>
      </c>
      <c r="Q3" s="47" t="s">
        <v>52</v>
      </c>
      <c r="R3" s="22" t="s">
        <v>197</v>
      </c>
      <c r="S3" s="22" t="s">
        <v>193</v>
      </c>
      <c r="T3" s="47" t="s">
        <v>52</v>
      </c>
      <c r="U3" s="22" t="s">
        <v>197</v>
      </c>
    </row>
    <row r="4" spans="1:23" ht="20.25" thickBot="1">
      <c r="A4" s="57" t="s">
        <v>521</v>
      </c>
      <c r="B4" s="45">
        <v>28</v>
      </c>
      <c r="D4" s="66" t="s">
        <v>616</v>
      </c>
      <c r="E4" s="374" t="s">
        <v>82</v>
      </c>
      <c r="F4" s="64">
        <v>11</v>
      </c>
      <c r="G4" s="66" t="s">
        <v>604</v>
      </c>
      <c r="H4" s="374" t="s">
        <v>65</v>
      </c>
      <c r="I4" s="64">
        <v>1</v>
      </c>
      <c r="J4" s="66" t="s">
        <v>617</v>
      </c>
      <c r="K4" s="374" t="s">
        <v>453</v>
      </c>
      <c r="L4" s="64">
        <v>1</v>
      </c>
      <c r="M4" s="66" t="s">
        <v>605</v>
      </c>
      <c r="N4" s="374" t="s">
        <v>83</v>
      </c>
      <c r="O4" s="64">
        <v>2</v>
      </c>
      <c r="P4" s="66" t="s">
        <v>606</v>
      </c>
      <c r="Q4" s="377" t="s">
        <v>78</v>
      </c>
      <c r="R4" s="376">
        <v>2</v>
      </c>
      <c r="S4" s="66" t="s">
        <v>607</v>
      </c>
      <c r="T4" s="374" t="s">
        <v>391</v>
      </c>
      <c r="U4" s="64">
        <v>3</v>
      </c>
      <c r="W4" s="191"/>
    </row>
    <row r="5" spans="1:23" ht="17.25" thickBot="1">
      <c r="A5" s="45" t="s">
        <v>579</v>
      </c>
      <c r="B5" s="45">
        <v>1</v>
      </c>
      <c r="D5" s="67"/>
      <c r="E5" s="64" t="s">
        <v>399</v>
      </c>
      <c r="F5" s="64">
        <v>1</v>
      </c>
      <c r="G5" s="67"/>
      <c r="H5" s="64" t="s">
        <v>236</v>
      </c>
      <c r="I5" s="64">
        <v>2</v>
      </c>
      <c r="J5" s="67"/>
      <c r="K5" s="64" t="s">
        <v>394</v>
      </c>
      <c r="L5" s="64">
        <v>3</v>
      </c>
      <c r="M5" s="67"/>
      <c r="N5" s="375" t="s">
        <v>71</v>
      </c>
      <c r="O5" s="376">
        <v>1</v>
      </c>
      <c r="P5" s="67"/>
      <c r="Q5" s="64" t="s">
        <v>414</v>
      </c>
      <c r="R5" s="64">
        <v>1</v>
      </c>
      <c r="S5" s="67"/>
      <c r="T5" s="53" t="s">
        <v>404</v>
      </c>
      <c r="U5" s="376">
        <v>2</v>
      </c>
      <c r="W5" s="77"/>
    </row>
    <row r="6" spans="1:23" ht="20.25" thickBot="1">
      <c r="A6" s="45" t="s">
        <v>390</v>
      </c>
      <c r="B6" s="45">
        <v>1</v>
      </c>
      <c r="D6" s="67"/>
      <c r="E6" s="64" t="s">
        <v>396</v>
      </c>
      <c r="F6" s="64">
        <v>1</v>
      </c>
      <c r="G6" s="67"/>
      <c r="H6" s="64" t="s">
        <v>449</v>
      </c>
      <c r="I6" s="64">
        <v>1</v>
      </c>
      <c r="J6" s="67"/>
      <c r="K6" s="64" t="s">
        <v>393</v>
      </c>
      <c r="L6" s="64">
        <v>1</v>
      </c>
      <c r="M6" s="67"/>
      <c r="N6" s="64" t="s">
        <v>80</v>
      </c>
      <c r="O6" s="64">
        <v>2</v>
      </c>
      <c r="P6" s="67"/>
      <c r="Q6" s="64" t="s">
        <v>382</v>
      </c>
      <c r="R6" s="64">
        <v>1</v>
      </c>
      <c r="S6" s="67"/>
      <c r="T6" s="64" t="s">
        <v>410</v>
      </c>
      <c r="U6" s="64">
        <v>2</v>
      </c>
      <c r="W6" s="77"/>
    </row>
    <row r="7" spans="1:23" ht="20.25" thickBot="1">
      <c r="A7" s="45" t="s">
        <v>595</v>
      </c>
      <c r="B7" s="45">
        <v>1</v>
      </c>
      <c r="D7" s="67"/>
      <c r="E7" s="64" t="s">
        <v>451</v>
      </c>
      <c r="F7" s="64">
        <v>1</v>
      </c>
      <c r="G7" s="67"/>
      <c r="H7" s="53" t="s">
        <v>420</v>
      </c>
      <c r="I7" s="376">
        <v>1</v>
      </c>
      <c r="J7" s="67"/>
      <c r="K7" s="64" t="s">
        <v>128</v>
      </c>
      <c r="L7" s="64">
        <v>4</v>
      </c>
      <c r="M7" s="67"/>
      <c r="N7" s="53" t="s">
        <v>418</v>
      </c>
      <c r="O7" s="376">
        <v>2</v>
      </c>
      <c r="P7" s="67"/>
      <c r="Q7" s="64" t="s">
        <v>398</v>
      </c>
      <c r="R7" s="64">
        <v>1</v>
      </c>
      <c r="S7" s="67"/>
      <c r="T7" s="64" t="s">
        <v>400</v>
      </c>
      <c r="U7" s="64">
        <v>2</v>
      </c>
      <c r="W7" s="77"/>
    </row>
    <row r="8" spans="1:23" ht="20.25" customHeight="1" thickBot="1">
      <c r="A8" s="45" t="s">
        <v>234</v>
      </c>
      <c r="B8" s="45">
        <v>4</v>
      </c>
      <c r="D8" s="67"/>
      <c r="E8" s="64" t="s">
        <v>395</v>
      </c>
      <c r="F8" s="64">
        <v>7</v>
      </c>
      <c r="G8" s="67"/>
      <c r="H8" s="64" t="s">
        <v>129</v>
      </c>
      <c r="I8" s="64">
        <v>3</v>
      </c>
      <c r="J8" s="67"/>
      <c r="K8" s="64" t="s">
        <v>407</v>
      </c>
      <c r="L8" s="64">
        <v>1</v>
      </c>
      <c r="M8" s="67"/>
      <c r="N8" s="64" t="s">
        <v>452</v>
      </c>
      <c r="O8" s="64">
        <v>2</v>
      </c>
      <c r="P8" s="67"/>
      <c r="Q8" s="64" t="s">
        <v>448</v>
      </c>
      <c r="R8" s="64">
        <v>1</v>
      </c>
      <c r="S8" s="67"/>
      <c r="T8" s="64" t="s">
        <v>385</v>
      </c>
      <c r="U8" s="64">
        <v>1</v>
      </c>
      <c r="W8" s="77"/>
    </row>
    <row r="9" spans="1:23" ht="17.25" thickBot="1">
      <c r="A9" s="45" t="s">
        <v>395</v>
      </c>
      <c r="B9" s="45">
        <v>7</v>
      </c>
      <c r="D9" s="67"/>
      <c r="E9" s="64" t="s">
        <v>234</v>
      </c>
      <c r="F9" s="64">
        <v>4</v>
      </c>
      <c r="G9" s="67"/>
      <c r="H9" s="64" t="s">
        <v>243</v>
      </c>
      <c r="I9" s="64">
        <v>1</v>
      </c>
      <c r="J9" s="67"/>
      <c r="K9" s="64" t="s">
        <v>392</v>
      </c>
      <c r="L9" s="64">
        <v>1</v>
      </c>
      <c r="M9" s="67"/>
      <c r="N9" s="64" t="s">
        <v>81</v>
      </c>
      <c r="O9" s="64">
        <v>1</v>
      </c>
      <c r="P9" s="67"/>
      <c r="Q9" s="64" t="s">
        <v>132</v>
      </c>
      <c r="R9" s="64">
        <v>1</v>
      </c>
      <c r="S9" s="67"/>
      <c r="T9" s="64" t="s">
        <v>67</v>
      </c>
      <c r="U9" s="64">
        <v>1</v>
      </c>
      <c r="W9" s="191"/>
    </row>
    <row r="10" spans="1:23" ht="20.25" thickBot="1">
      <c r="A10" s="45" t="s">
        <v>396</v>
      </c>
      <c r="B10" s="45">
        <v>1</v>
      </c>
      <c r="D10" s="67"/>
      <c r="E10" s="64" t="s">
        <v>390</v>
      </c>
      <c r="F10" s="64">
        <v>1</v>
      </c>
      <c r="G10" s="67"/>
      <c r="H10" s="64" t="s">
        <v>566</v>
      </c>
      <c r="I10" s="64">
        <v>1</v>
      </c>
      <c r="J10" s="67"/>
      <c r="K10" s="375" t="s">
        <v>381</v>
      </c>
      <c r="L10" s="376">
        <v>1</v>
      </c>
      <c r="M10" s="67"/>
      <c r="N10" s="64" t="s">
        <v>405</v>
      </c>
      <c r="O10" s="64">
        <v>1</v>
      </c>
      <c r="P10" s="67"/>
      <c r="Q10" s="64" t="s">
        <v>417</v>
      </c>
      <c r="R10" s="64">
        <v>1</v>
      </c>
      <c r="S10" s="67"/>
      <c r="T10" s="64" t="s">
        <v>246</v>
      </c>
      <c r="U10" s="64">
        <v>1</v>
      </c>
      <c r="W10" s="77"/>
    </row>
    <row r="11" spans="1:23" ht="17.25" customHeight="1" thickBot="1">
      <c r="A11" s="45" t="s">
        <v>82</v>
      </c>
      <c r="B11" s="45">
        <v>11</v>
      </c>
      <c r="D11" s="67"/>
      <c r="E11" s="64" t="s">
        <v>579</v>
      </c>
      <c r="F11" s="64">
        <v>1</v>
      </c>
      <c r="G11" s="67"/>
      <c r="H11" s="64" t="s">
        <v>419</v>
      </c>
      <c r="I11" s="64">
        <v>1</v>
      </c>
      <c r="J11" s="67"/>
      <c r="K11" s="64" t="s">
        <v>397</v>
      </c>
      <c r="L11" s="64">
        <v>1</v>
      </c>
      <c r="M11" s="67"/>
      <c r="N11" s="64" t="s">
        <v>389</v>
      </c>
      <c r="O11" s="64">
        <v>1</v>
      </c>
      <c r="P11" s="67"/>
      <c r="Q11" s="64" t="s">
        <v>130</v>
      </c>
      <c r="R11" s="64">
        <v>1</v>
      </c>
      <c r="S11" s="67"/>
      <c r="T11" s="64" t="s">
        <v>235</v>
      </c>
      <c r="U11" s="64">
        <v>1</v>
      </c>
      <c r="W11" s="191"/>
    </row>
    <row r="12" spans="1:23" ht="20.25" thickBot="1">
      <c r="A12" s="45" t="s">
        <v>451</v>
      </c>
      <c r="B12" s="45">
        <v>1</v>
      </c>
      <c r="D12" s="67"/>
      <c r="E12" s="375" t="s">
        <v>595</v>
      </c>
      <c r="F12" s="376">
        <v>1</v>
      </c>
      <c r="G12" s="67"/>
      <c r="H12" s="64" t="s">
        <v>408</v>
      </c>
      <c r="I12" s="64">
        <v>1</v>
      </c>
      <c r="J12" s="67"/>
      <c r="K12" s="64" t="s">
        <v>131</v>
      </c>
      <c r="L12" s="64">
        <v>1</v>
      </c>
      <c r="M12" s="67"/>
      <c r="N12" s="64" t="s">
        <v>64</v>
      </c>
      <c r="O12" s="64">
        <v>1</v>
      </c>
      <c r="P12" s="67"/>
      <c r="Q12" s="64" t="s">
        <v>415</v>
      </c>
      <c r="R12" s="64">
        <v>1</v>
      </c>
      <c r="S12" s="67"/>
      <c r="T12" s="64" t="s">
        <v>403</v>
      </c>
      <c r="U12" s="64">
        <v>1</v>
      </c>
      <c r="W12" s="77"/>
    </row>
    <row r="13" spans="1:23" ht="17.25" thickBot="1">
      <c r="A13" s="45" t="s">
        <v>399</v>
      </c>
      <c r="B13" s="45">
        <v>1</v>
      </c>
      <c r="D13" s="67"/>
      <c r="E13" s="48"/>
      <c r="F13" s="48"/>
      <c r="G13" s="67"/>
      <c r="H13" s="64" t="s">
        <v>564</v>
      </c>
      <c r="I13" s="64">
        <v>1</v>
      </c>
      <c r="J13" s="67"/>
      <c r="K13" s="64" t="s">
        <v>596</v>
      </c>
      <c r="L13" s="64">
        <v>1</v>
      </c>
      <c r="M13" s="67"/>
      <c r="N13" s="64" t="s">
        <v>70</v>
      </c>
      <c r="O13" s="64">
        <v>1</v>
      </c>
      <c r="P13" s="67"/>
      <c r="Q13" s="48"/>
      <c r="R13" s="48"/>
      <c r="S13" s="67"/>
      <c r="T13" s="64" t="s">
        <v>69</v>
      </c>
      <c r="U13" s="64">
        <v>1</v>
      </c>
      <c r="W13" s="77"/>
    </row>
    <row r="14" spans="1:23" ht="20.25" thickBot="1">
      <c r="A14" s="57" t="s">
        <v>502</v>
      </c>
      <c r="B14" s="45">
        <v>22</v>
      </c>
      <c r="D14" s="67"/>
      <c r="E14" s="51"/>
      <c r="F14" s="48"/>
      <c r="G14" s="67"/>
      <c r="H14" s="374" t="s">
        <v>242</v>
      </c>
      <c r="I14" s="64">
        <v>1</v>
      </c>
      <c r="J14" s="67"/>
      <c r="K14" s="374" t="s">
        <v>594</v>
      </c>
      <c r="L14" s="64">
        <v>1</v>
      </c>
      <c r="M14" s="67"/>
      <c r="N14" s="374" t="s">
        <v>261</v>
      </c>
      <c r="O14" s="64">
        <v>1</v>
      </c>
      <c r="P14" s="67"/>
      <c r="Q14" s="51"/>
      <c r="R14" s="48"/>
      <c r="S14" s="67"/>
      <c r="T14" s="374" t="s">
        <v>84</v>
      </c>
      <c r="U14" s="64">
        <v>1</v>
      </c>
    </row>
    <row r="15" spans="1:23" ht="17.25" thickBot="1">
      <c r="A15" s="45" t="s">
        <v>386</v>
      </c>
      <c r="B15" s="45">
        <v>1</v>
      </c>
      <c r="D15" s="67"/>
      <c r="E15" s="48"/>
      <c r="F15" s="48"/>
      <c r="G15" s="67"/>
      <c r="H15" s="64" t="s">
        <v>413</v>
      </c>
      <c r="I15" s="64">
        <v>1</v>
      </c>
      <c r="J15" s="67"/>
      <c r="K15" s="48"/>
      <c r="L15" s="48"/>
      <c r="M15" s="67"/>
      <c r="N15" s="64" t="s">
        <v>244</v>
      </c>
      <c r="O15" s="64">
        <v>1</v>
      </c>
      <c r="P15" s="67"/>
      <c r="Q15" s="48"/>
      <c r="R15" s="48"/>
      <c r="S15" s="67"/>
      <c r="T15" s="64" t="s">
        <v>387</v>
      </c>
      <c r="U15" s="64">
        <v>1</v>
      </c>
    </row>
    <row r="16" spans="1:23" ht="20.25" thickBot="1">
      <c r="A16" s="45" t="s">
        <v>388</v>
      </c>
      <c r="B16" s="45">
        <v>1</v>
      </c>
      <c r="D16" s="67"/>
      <c r="E16" s="48"/>
      <c r="F16" s="48"/>
      <c r="G16" s="67"/>
      <c r="H16" s="64" t="s">
        <v>522</v>
      </c>
      <c r="I16" s="64">
        <v>1</v>
      </c>
      <c r="J16" s="67"/>
      <c r="K16" s="48"/>
      <c r="L16" s="48"/>
      <c r="M16" s="67"/>
      <c r="N16" s="64" t="s">
        <v>406</v>
      </c>
      <c r="O16" s="64">
        <v>1</v>
      </c>
      <c r="P16" s="67"/>
      <c r="Q16" s="48"/>
      <c r="R16" s="48"/>
      <c r="S16" s="67"/>
      <c r="T16" s="64" t="s">
        <v>85</v>
      </c>
      <c r="U16" s="64">
        <v>1</v>
      </c>
    </row>
    <row r="17" spans="1:21" ht="17.25" thickBot="1">
      <c r="A17" s="45" t="s">
        <v>77</v>
      </c>
      <c r="B17" s="45">
        <v>1</v>
      </c>
      <c r="D17" s="67"/>
      <c r="E17" s="53"/>
      <c r="F17" s="52"/>
      <c r="G17" s="67"/>
      <c r="H17" s="64" t="s">
        <v>450</v>
      </c>
      <c r="I17" s="64">
        <v>1</v>
      </c>
      <c r="J17" s="67"/>
      <c r="K17" s="53"/>
      <c r="L17" s="52"/>
      <c r="M17" s="67"/>
      <c r="N17" s="64" t="s">
        <v>416</v>
      </c>
      <c r="O17" s="64">
        <v>2</v>
      </c>
      <c r="P17" s="67"/>
      <c r="Q17" s="53"/>
      <c r="R17" s="52"/>
      <c r="S17" s="67"/>
      <c r="T17" s="64" t="s">
        <v>384</v>
      </c>
      <c r="U17" s="64">
        <v>1</v>
      </c>
    </row>
    <row r="18" spans="1:21" ht="17.25" thickBot="1">
      <c r="A18" s="45" t="s">
        <v>450</v>
      </c>
      <c r="B18" s="45">
        <v>1</v>
      </c>
      <c r="D18" s="67"/>
      <c r="E18" s="48"/>
      <c r="F18" s="48"/>
      <c r="G18" s="67"/>
      <c r="H18" s="64" t="s">
        <v>409</v>
      </c>
      <c r="I18" s="64">
        <v>1</v>
      </c>
      <c r="J18" s="67"/>
      <c r="K18" s="48"/>
      <c r="L18" s="48"/>
      <c r="M18" s="67"/>
      <c r="N18" s="48"/>
      <c r="O18" s="48"/>
      <c r="P18" s="67"/>
      <c r="Q18" s="48"/>
      <c r="R18" s="48"/>
      <c r="S18" s="67"/>
      <c r="T18" s="375" t="s">
        <v>383</v>
      </c>
      <c r="U18" s="376">
        <v>1</v>
      </c>
    </row>
    <row r="19" spans="1:21" ht="20.25" thickBot="1">
      <c r="A19" s="45" t="s">
        <v>564</v>
      </c>
      <c r="B19" s="45">
        <v>1</v>
      </c>
      <c r="D19" s="67"/>
      <c r="E19" s="48"/>
      <c r="F19" s="48"/>
      <c r="G19" s="67"/>
      <c r="H19" s="64" t="s">
        <v>229</v>
      </c>
      <c r="I19" s="64">
        <v>1</v>
      </c>
      <c r="J19" s="67"/>
      <c r="K19" s="48"/>
      <c r="L19" s="48"/>
      <c r="M19" s="67"/>
      <c r="N19" s="48"/>
      <c r="O19" s="48"/>
      <c r="P19" s="67"/>
      <c r="Q19" s="48"/>
      <c r="R19" s="48"/>
      <c r="S19" s="67"/>
      <c r="T19" s="64" t="s">
        <v>525</v>
      </c>
      <c r="U19" s="64">
        <v>1</v>
      </c>
    </row>
    <row r="20" spans="1:21" ht="17.25" thickBot="1">
      <c r="A20" s="45" t="s">
        <v>229</v>
      </c>
      <c r="B20" s="45">
        <v>1</v>
      </c>
      <c r="D20" s="67"/>
      <c r="E20" s="48"/>
      <c r="F20" s="48"/>
      <c r="G20" s="67"/>
      <c r="H20" s="64" t="s">
        <v>77</v>
      </c>
      <c r="I20" s="64">
        <v>1</v>
      </c>
      <c r="J20" s="67"/>
      <c r="K20" s="48"/>
      <c r="L20" s="48"/>
      <c r="M20" s="67"/>
      <c r="N20" s="48"/>
      <c r="O20" s="48"/>
      <c r="P20" s="67"/>
      <c r="Q20" s="48"/>
      <c r="R20" s="48"/>
      <c r="S20" s="67"/>
      <c r="T20" s="64" t="s">
        <v>401</v>
      </c>
      <c r="U20" s="64">
        <v>1</v>
      </c>
    </row>
    <row r="21" spans="1:21" ht="17.25" thickBot="1">
      <c r="A21" s="45" t="s">
        <v>236</v>
      </c>
      <c r="B21" s="45">
        <v>2</v>
      </c>
      <c r="C21" s="46"/>
      <c r="D21" s="67"/>
      <c r="E21" s="48"/>
      <c r="F21" s="48"/>
      <c r="G21" s="67"/>
      <c r="H21" s="375" t="s">
        <v>388</v>
      </c>
      <c r="I21" s="376">
        <v>1</v>
      </c>
      <c r="J21" s="67"/>
      <c r="K21" s="48"/>
      <c r="L21" s="48"/>
      <c r="M21" s="67"/>
      <c r="N21" s="48"/>
      <c r="O21" s="48"/>
      <c r="P21" s="67"/>
      <c r="Q21" s="48"/>
      <c r="R21" s="48"/>
      <c r="S21" s="67"/>
      <c r="T21" s="64" t="s">
        <v>402</v>
      </c>
      <c r="U21" s="64">
        <v>1</v>
      </c>
    </row>
    <row r="22" spans="1:21" ht="17.25" thickBot="1">
      <c r="A22" s="45" t="s">
        <v>129</v>
      </c>
      <c r="B22" s="45">
        <v>3</v>
      </c>
      <c r="C22" s="46"/>
      <c r="D22" s="67"/>
      <c r="E22" s="48"/>
      <c r="F22" s="48"/>
      <c r="G22" s="67"/>
      <c r="H22" s="64" t="s">
        <v>386</v>
      </c>
      <c r="I22" s="64">
        <v>1</v>
      </c>
      <c r="J22" s="67"/>
      <c r="K22" s="48"/>
      <c r="L22" s="48"/>
      <c r="M22" s="67"/>
      <c r="N22" s="48"/>
      <c r="O22" s="48"/>
      <c r="P22" s="67"/>
      <c r="Q22" s="48"/>
      <c r="R22" s="48"/>
      <c r="S22" s="67"/>
      <c r="T22" s="69"/>
      <c r="U22" s="64"/>
    </row>
    <row r="23" spans="1:21" ht="17.25" thickBot="1">
      <c r="A23" s="45" t="s">
        <v>242</v>
      </c>
      <c r="B23" s="45">
        <v>1</v>
      </c>
      <c r="C23" s="46"/>
      <c r="D23" s="67"/>
      <c r="E23" s="48"/>
      <c r="F23" s="48"/>
      <c r="G23" s="67"/>
      <c r="H23" s="48"/>
      <c r="I23" s="48"/>
      <c r="J23" s="67"/>
      <c r="K23" s="48"/>
      <c r="L23" s="48"/>
      <c r="M23" s="67"/>
      <c r="N23" s="48"/>
      <c r="O23" s="48"/>
      <c r="P23" s="67"/>
      <c r="Q23" s="48"/>
      <c r="R23" s="48"/>
      <c r="S23" s="67"/>
      <c r="T23" s="69"/>
      <c r="U23" s="64"/>
    </row>
    <row r="24" spans="1:21" ht="17.25" thickBot="1">
      <c r="A24" s="45" t="s">
        <v>408</v>
      </c>
      <c r="B24" s="45">
        <v>1</v>
      </c>
      <c r="D24" s="67"/>
      <c r="E24" s="48"/>
      <c r="F24" s="48"/>
      <c r="G24" s="67"/>
      <c r="H24" s="48"/>
      <c r="I24" s="48"/>
      <c r="J24" s="67"/>
      <c r="K24" s="48"/>
      <c r="L24" s="48"/>
      <c r="M24" s="67"/>
      <c r="N24" s="48"/>
      <c r="O24" s="48"/>
      <c r="P24" s="67"/>
      <c r="Q24" s="48"/>
      <c r="R24" s="48"/>
      <c r="S24" s="67"/>
      <c r="T24" s="69"/>
      <c r="U24" s="64"/>
    </row>
    <row r="25" spans="1:21" ht="17.25" thickBot="1">
      <c r="A25" s="45" t="s">
        <v>243</v>
      </c>
      <c r="B25" s="45">
        <v>1</v>
      </c>
      <c r="D25" s="67"/>
      <c r="E25" s="48"/>
      <c r="F25" s="48"/>
      <c r="G25" s="67"/>
      <c r="H25" s="48"/>
      <c r="I25" s="48"/>
      <c r="J25" s="67"/>
      <c r="K25" s="48"/>
      <c r="L25" s="48"/>
      <c r="M25" s="67"/>
      <c r="N25" s="48"/>
      <c r="O25" s="48"/>
      <c r="P25" s="67"/>
      <c r="Q25" s="48"/>
      <c r="R25" s="48"/>
      <c r="S25" s="67"/>
      <c r="T25" s="69"/>
      <c r="U25" s="64"/>
    </row>
    <row r="26" spans="1:21" ht="17.25" thickBot="1">
      <c r="A26" s="45" t="s">
        <v>409</v>
      </c>
      <c r="B26" s="45">
        <v>1</v>
      </c>
      <c r="D26" s="67"/>
      <c r="E26" s="48"/>
      <c r="F26" s="48"/>
      <c r="G26" s="67"/>
      <c r="H26" s="48"/>
      <c r="I26" s="48"/>
      <c r="J26" s="67"/>
      <c r="K26" s="48"/>
      <c r="L26" s="48"/>
      <c r="M26" s="67"/>
      <c r="N26" s="48"/>
      <c r="O26" s="48"/>
      <c r="P26" s="67"/>
      <c r="Q26" s="48"/>
      <c r="R26" s="48"/>
      <c r="S26" s="67"/>
      <c r="T26" s="69"/>
      <c r="U26" s="48"/>
    </row>
    <row r="27" spans="1:21" ht="17.25" thickBot="1">
      <c r="A27" s="45" t="s">
        <v>413</v>
      </c>
      <c r="B27" s="45">
        <v>1</v>
      </c>
      <c r="D27" s="68"/>
      <c r="E27" s="48"/>
      <c r="F27" s="48"/>
      <c r="G27" s="68"/>
      <c r="H27" s="48"/>
      <c r="I27" s="48"/>
      <c r="J27" s="68"/>
      <c r="K27" s="48"/>
      <c r="L27" s="48"/>
      <c r="M27" s="68"/>
      <c r="N27" s="48"/>
      <c r="O27" s="48"/>
      <c r="P27" s="68"/>
      <c r="Q27" s="48"/>
      <c r="R27" s="48"/>
      <c r="S27" s="68"/>
      <c r="T27" s="48"/>
      <c r="U27" s="48"/>
    </row>
    <row r="28" spans="1:21">
      <c r="A28" s="45" t="s">
        <v>566</v>
      </c>
      <c r="B28" s="45">
        <v>1</v>
      </c>
    </row>
    <row r="29" spans="1:21">
      <c r="A29" s="45" t="s">
        <v>65</v>
      </c>
      <c r="B29" s="45">
        <v>1</v>
      </c>
    </row>
    <row r="30" spans="1:21">
      <c r="A30" s="45" t="s">
        <v>419</v>
      </c>
      <c r="B30" s="45">
        <v>1</v>
      </c>
    </row>
    <row r="31" spans="1:21">
      <c r="A31" s="45" t="s">
        <v>522</v>
      </c>
      <c r="B31" s="45">
        <v>1</v>
      </c>
    </row>
    <row r="32" spans="1:21">
      <c r="A32" s="45" t="s">
        <v>449</v>
      </c>
      <c r="B32" s="45">
        <v>1</v>
      </c>
    </row>
    <row r="33" spans="1:2">
      <c r="A33" s="45" t="s">
        <v>420</v>
      </c>
      <c r="B33" s="45">
        <v>1</v>
      </c>
    </row>
    <row r="34" spans="1:2">
      <c r="A34" s="57" t="s">
        <v>518</v>
      </c>
      <c r="B34" s="45">
        <v>16</v>
      </c>
    </row>
    <row r="35" spans="1:2">
      <c r="A35" s="45" t="s">
        <v>381</v>
      </c>
      <c r="B35" s="45">
        <v>1</v>
      </c>
    </row>
    <row r="36" spans="1:2">
      <c r="A36" s="45" t="s">
        <v>596</v>
      </c>
      <c r="B36" s="45">
        <v>1</v>
      </c>
    </row>
    <row r="37" spans="1:2">
      <c r="A37" s="45" t="s">
        <v>392</v>
      </c>
      <c r="B37" s="45">
        <v>1</v>
      </c>
    </row>
    <row r="38" spans="1:2">
      <c r="A38" s="45" t="s">
        <v>393</v>
      </c>
      <c r="B38" s="45">
        <v>1</v>
      </c>
    </row>
    <row r="39" spans="1:2">
      <c r="A39" s="45" t="s">
        <v>128</v>
      </c>
      <c r="B39" s="45">
        <v>4</v>
      </c>
    </row>
    <row r="40" spans="1:2">
      <c r="A40" s="45" t="s">
        <v>394</v>
      </c>
      <c r="B40" s="45">
        <v>3</v>
      </c>
    </row>
    <row r="41" spans="1:2">
      <c r="A41" s="45" t="s">
        <v>397</v>
      </c>
      <c r="B41" s="45">
        <v>1</v>
      </c>
    </row>
    <row r="42" spans="1:2">
      <c r="A42" s="45" t="s">
        <v>594</v>
      </c>
      <c r="B42" s="45">
        <v>1</v>
      </c>
    </row>
    <row r="43" spans="1:2">
      <c r="A43" s="45" t="s">
        <v>407</v>
      </c>
      <c r="B43" s="45">
        <v>1</v>
      </c>
    </row>
    <row r="44" spans="1:2">
      <c r="A44" s="45" t="s">
        <v>131</v>
      </c>
      <c r="B44" s="45">
        <v>1</v>
      </c>
    </row>
    <row r="45" spans="1:2">
      <c r="A45" s="45" t="s">
        <v>453</v>
      </c>
      <c r="B45" s="45">
        <v>1</v>
      </c>
    </row>
    <row r="46" spans="1:2">
      <c r="A46" s="57" t="s">
        <v>511</v>
      </c>
      <c r="B46" s="45">
        <v>19</v>
      </c>
    </row>
    <row r="47" spans="1:2">
      <c r="A47" s="45" t="s">
        <v>64</v>
      </c>
      <c r="B47" s="45">
        <v>1</v>
      </c>
    </row>
    <row r="48" spans="1:2">
      <c r="A48" s="45" t="s">
        <v>389</v>
      </c>
      <c r="B48" s="45">
        <v>1</v>
      </c>
    </row>
    <row r="49" spans="1:2">
      <c r="A49" s="45" t="s">
        <v>71</v>
      </c>
      <c r="B49" s="45">
        <v>1</v>
      </c>
    </row>
    <row r="50" spans="1:2">
      <c r="A50" s="45" t="s">
        <v>83</v>
      </c>
      <c r="B50" s="45">
        <v>2</v>
      </c>
    </row>
    <row r="51" spans="1:2">
      <c r="A51" s="45" t="s">
        <v>405</v>
      </c>
      <c r="B51" s="45">
        <v>1</v>
      </c>
    </row>
    <row r="52" spans="1:2">
      <c r="A52" s="45" t="s">
        <v>406</v>
      </c>
      <c r="B52" s="45">
        <v>1</v>
      </c>
    </row>
    <row r="53" spans="1:2">
      <c r="A53" s="45" t="s">
        <v>80</v>
      </c>
      <c r="B53" s="45">
        <v>2</v>
      </c>
    </row>
    <row r="54" spans="1:2">
      <c r="A54" s="45" t="s">
        <v>452</v>
      </c>
      <c r="B54" s="45">
        <v>2</v>
      </c>
    </row>
    <row r="55" spans="1:2">
      <c r="A55" s="45" t="s">
        <v>261</v>
      </c>
      <c r="B55" s="45">
        <v>1</v>
      </c>
    </row>
    <row r="56" spans="1:2">
      <c r="A56" s="45" t="s">
        <v>244</v>
      </c>
      <c r="B56" s="45">
        <v>1</v>
      </c>
    </row>
    <row r="57" spans="1:2">
      <c r="A57" s="45" t="s">
        <v>416</v>
      </c>
      <c r="B57" s="45">
        <v>2</v>
      </c>
    </row>
    <row r="58" spans="1:2">
      <c r="A58" s="45" t="s">
        <v>81</v>
      </c>
      <c r="B58" s="45">
        <v>1</v>
      </c>
    </row>
    <row r="59" spans="1:2">
      <c r="A59" s="45" t="s">
        <v>70</v>
      </c>
      <c r="B59" s="45">
        <v>1</v>
      </c>
    </row>
    <row r="60" spans="1:2">
      <c r="A60" s="45" t="s">
        <v>418</v>
      </c>
      <c r="B60" s="45">
        <v>2</v>
      </c>
    </row>
    <row r="61" spans="1:2">
      <c r="A61" s="57" t="s">
        <v>508</v>
      </c>
      <c r="B61" s="45">
        <v>10</v>
      </c>
    </row>
    <row r="62" spans="1:2">
      <c r="A62" s="45" t="s">
        <v>382</v>
      </c>
      <c r="B62" s="45">
        <v>1</v>
      </c>
    </row>
    <row r="63" spans="1:2">
      <c r="A63" s="45" t="s">
        <v>448</v>
      </c>
      <c r="B63" s="45">
        <v>1</v>
      </c>
    </row>
    <row r="64" spans="1:2">
      <c r="A64" s="45" t="s">
        <v>78</v>
      </c>
      <c r="B64" s="45">
        <v>2</v>
      </c>
    </row>
    <row r="65" spans="1:2">
      <c r="A65" s="45" t="s">
        <v>398</v>
      </c>
      <c r="B65" s="45">
        <v>1</v>
      </c>
    </row>
    <row r="66" spans="1:2">
      <c r="A66" s="45" t="s">
        <v>130</v>
      </c>
      <c r="B66" s="45">
        <v>1</v>
      </c>
    </row>
    <row r="67" spans="1:2">
      <c r="A67" s="45" t="s">
        <v>414</v>
      </c>
      <c r="B67" s="45">
        <v>1</v>
      </c>
    </row>
    <row r="68" spans="1:2">
      <c r="A68" s="45" t="s">
        <v>415</v>
      </c>
      <c r="B68" s="45">
        <v>1</v>
      </c>
    </row>
    <row r="69" spans="1:2">
      <c r="A69" s="45" t="s">
        <v>132</v>
      </c>
      <c r="B69" s="45">
        <v>1</v>
      </c>
    </row>
    <row r="70" spans="1:2">
      <c r="A70" s="45" t="s">
        <v>417</v>
      </c>
      <c r="B70" s="45">
        <v>1</v>
      </c>
    </row>
    <row r="71" spans="1:2">
      <c r="A71" s="57" t="s">
        <v>523</v>
      </c>
      <c r="B71" s="45">
        <v>23</v>
      </c>
    </row>
    <row r="72" spans="1:2">
      <c r="A72" s="45" t="s">
        <v>383</v>
      </c>
      <c r="B72" s="45">
        <v>1</v>
      </c>
    </row>
    <row r="73" spans="1:2">
      <c r="A73" s="45" t="s">
        <v>384</v>
      </c>
      <c r="B73" s="45">
        <v>1</v>
      </c>
    </row>
    <row r="74" spans="1:2">
      <c r="A74" s="45" t="s">
        <v>385</v>
      </c>
      <c r="B74" s="45">
        <v>1</v>
      </c>
    </row>
    <row r="75" spans="1:2">
      <c r="A75" s="45" t="s">
        <v>387</v>
      </c>
      <c r="B75" s="45">
        <v>1</v>
      </c>
    </row>
    <row r="76" spans="1:2">
      <c r="A76" s="45" t="s">
        <v>69</v>
      </c>
      <c r="B76" s="45">
        <v>1</v>
      </c>
    </row>
    <row r="77" spans="1:2">
      <c r="A77" s="45" t="s">
        <v>391</v>
      </c>
      <c r="B77" s="45">
        <v>3</v>
      </c>
    </row>
    <row r="78" spans="1:2">
      <c r="A78" s="45" t="s">
        <v>235</v>
      </c>
      <c r="B78" s="45">
        <v>1</v>
      </c>
    </row>
    <row r="79" spans="1:2">
      <c r="A79" s="45" t="s">
        <v>400</v>
      </c>
      <c r="B79" s="45">
        <v>2</v>
      </c>
    </row>
    <row r="80" spans="1:2">
      <c r="A80" s="45" t="s">
        <v>401</v>
      </c>
      <c r="B80" s="45">
        <v>1</v>
      </c>
    </row>
    <row r="81" spans="1:2">
      <c r="A81" s="45" t="s">
        <v>402</v>
      </c>
      <c r="B81" s="45">
        <v>1</v>
      </c>
    </row>
    <row r="82" spans="1:2">
      <c r="A82" s="45" t="s">
        <v>403</v>
      </c>
      <c r="B82" s="45">
        <v>1</v>
      </c>
    </row>
    <row r="83" spans="1:2">
      <c r="A83" s="45" t="s">
        <v>404</v>
      </c>
      <c r="B83" s="45">
        <v>2</v>
      </c>
    </row>
    <row r="84" spans="1:2">
      <c r="A84" s="45" t="s">
        <v>84</v>
      </c>
      <c r="B84" s="45">
        <v>1</v>
      </c>
    </row>
    <row r="85" spans="1:2">
      <c r="A85" s="45" t="s">
        <v>246</v>
      </c>
      <c r="B85" s="45">
        <v>1</v>
      </c>
    </row>
    <row r="86" spans="1:2">
      <c r="A86" s="45" t="s">
        <v>410</v>
      </c>
      <c r="B86" s="45">
        <v>2</v>
      </c>
    </row>
    <row r="87" spans="1:2">
      <c r="A87" s="45" t="s">
        <v>67</v>
      </c>
      <c r="B87" s="45">
        <v>1</v>
      </c>
    </row>
    <row r="88" spans="1:2">
      <c r="A88" s="45" t="s">
        <v>525</v>
      </c>
      <c r="B88" s="45">
        <v>1</v>
      </c>
    </row>
    <row r="89" spans="1:2">
      <c r="A89" s="45" t="s">
        <v>85</v>
      </c>
      <c r="B89" s="45">
        <v>1</v>
      </c>
    </row>
    <row r="90" spans="1:2">
      <c r="A90" s="57" t="s">
        <v>455</v>
      </c>
      <c r="B90" s="45">
        <v>118</v>
      </c>
    </row>
    <row r="91" spans="1:2">
      <c r="A91"/>
      <c r="B91"/>
    </row>
  </sheetData>
  <phoneticPr fontId="1" type="noConversion"/>
  <pageMargins left="0" right="0" top="0" bottom="0" header="0" footer="0"/>
  <pageSetup paperSize="9" scale="98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03228-E241-4EE5-9197-DB022AC7B0D8}">
  <sheetPr codeName="Sheet3">
    <tabColor theme="5" tint="0.59999389629810485"/>
    <pageSetUpPr fitToPage="1"/>
  </sheetPr>
  <dimension ref="A1:P121"/>
  <sheetViews>
    <sheetView topLeftCell="A60" zoomScale="85" zoomScaleNormal="85" zoomScaleSheetLayoutView="85" workbookViewId="0">
      <selection activeCell="A87" sqref="A87"/>
    </sheetView>
  </sheetViews>
  <sheetFormatPr defaultRowHeight="16.5"/>
  <cols>
    <col min="1" max="1" width="47.375" style="33" bestFit="1" customWidth="1"/>
    <col min="2" max="2" width="17.375" style="32" customWidth="1"/>
    <col min="3" max="3" width="28.125" style="33" customWidth="1"/>
    <col min="4" max="4" width="11.875" style="33" customWidth="1"/>
    <col min="5" max="5" width="10.875" style="32" customWidth="1"/>
    <col min="6" max="6" width="9" style="32"/>
    <col min="7" max="7" width="10.25" style="1" customWidth="1"/>
    <col min="12" max="12" width="12" customWidth="1"/>
    <col min="13" max="13" width="14.25" customWidth="1"/>
    <col min="14" max="14" width="13" customWidth="1"/>
    <col min="15" max="16" width="12.875" customWidth="1"/>
    <col min="18" max="18" width="9" customWidth="1"/>
  </cols>
  <sheetData>
    <row r="1" spans="1:16" ht="17.25" thickBot="1">
      <c r="A1" s="16"/>
      <c r="B1" s="17"/>
      <c r="C1" s="18"/>
      <c r="D1" s="50"/>
      <c r="E1" s="19"/>
      <c r="F1" s="28"/>
      <c r="G1" s="29" t="s">
        <v>507</v>
      </c>
      <c r="H1" s="30"/>
      <c r="I1" s="30"/>
      <c r="J1" s="30"/>
      <c r="K1" s="31"/>
      <c r="L1" s="14"/>
      <c r="M1" s="27"/>
      <c r="N1" s="27"/>
      <c r="O1" s="27"/>
      <c r="P1" s="27"/>
    </row>
    <row r="2" spans="1:16" ht="17.25" thickBot="1">
      <c r="A2" s="20" t="s">
        <v>271</v>
      </c>
      <c r="B2" s="9" t="s">
        <v>54</v>
      </c>
      <c r="C2" s="10" t="s">
        <v>55</v>
      </c>
      <c r="D2" s="20" t="s">
        <v>533</v>
      </c>
      <c r="E2" s="11" t="s">
        <v>53</v>
      </c>
      <c r="F2" s="13" t="s">
        <v>61</v>
      </c>
      <c r="G2" s="36" t="s">
        <v>520</v>
      </c>
      <c r="H2" s="35" t="s">
        <v>273</v>
      </c>
      <c r="I2" s="14" t="s">
        <v>272</v>
      </c>
      <c r="J2" s="14" t="s">
        <v>275</v>
      </c>
      <c r="K2" s="14" t="s">
        <v>274</v>
      </c>
      <c r="L2" s="14" t="s">
        <v>378</v>
      </c>
      <c r="M2" s="15" t="s">
        <v>379</v>
      </c>
      <c r="N2" s="15" t="s">
        <v>380</v>
      </c>
      <c r="O2" s="26" t="s">
        <v>504</v>
      </c>
      <c r="P2" s="26" t="s">
        <v>506</v>
      </c>
    </row>
    <row r="3" spans="1:16">
      <c r="A3" s="121" t="s">
        <v>79</v>
      </c>
      <c r="B3" s="122" t="s">
        <v>276</v>
      </c>
      <c r="C3" s="123" t="s">
        <v>113</v>
      </c>
      <c r="D3" s="121" t="s">
        <v>524</v>
      </c>
      <c r="E3" s="124" t="s">
        <v>154</v>
      </c>
      <c r="F3" s="125" t="s">
        <v>124</v>
      </c>
      <c r="G3" s="126" t="s">
        <v>272</v>
      </c>
      <c r="H3" s="127"/>
      <c r="I3" s="128" t="s">
        <v>272</v>
      </c>
      <c r="J3" s="106"/>
      <c r="K3" s="106"/>
      <c r="L3" s="106"/>
      <c r="M3" s="129"/>
      <c r="N3" s="130" t="s">
        <v>509</v>
      </c>
      <c r="O3" s="129"/>
      <c r="P3" s="129"/>
    </row>
    <row r="4" spans="1:16">
      <c r="A4" s="131" t="s">
        <v>238</v>
      </c>
      <c r="B4" s="132" t="s">
        <v>276</v>
      </c>
      <c r="C4" s="133" t="s">
        <v>239</v>
      </c>
      <c r="D4" s="121" t="s">
        <v>524</v>
      </c>
      <c r="E4" s="134" t="s">
        <v>270</v>
      </c>
      <c r="F4" s="135" t="s">
        <v>124</v>
      </c>
      <c r="G4" s="136" t="s">
        <v>508</v>
      </c>
      <c r="H4" s="137"/>
      <c r="I4" s="138"/>
      <c r="J4" s="138"/>
      <c r="K4" s="138" t="s">
        <v>508</v>
      </c>
      <c r="L4" s="138"/>
      <c r="M4" s="130"/>
      <c r="N4" s="130"/>
      <c r="O4" s="130"/>
      <c r="P4" s="130"/>
    </row>
    <row r="5" spans="1:16">
      <c r="A5" s="139" t="s">
        <v>64</v>
      </c>
      <c r="B5" s="132" t="s">
        <v>276</v>
      </c>
      <c r="C5" s="140" t="s">
        <v>88</v>
      </c>
      <c r="D5" s="121" t="s">
        <v>524</v>
      </c>
      <c r="E5" s="141" t="s">
        <v>154</v>
      </c>
      <c r="F5" s="142" t="s">
        <v>124</v>
      </c>
      <c r="G5" s="136" t="s">
        <v>511</v>
      </c>
      <c r="H5" s="137"/>
      <c r="I5" s="138"/>
      <c r="J5" s="138"/>
      <c r="K5" s="138"/>
      <c r="L5" s="138"/>
      <c r="M5" s="130" t="s">
        <v>512</v>
      </c>
      <c r="N5" s="130"/>
      <c r="O5" s="130"/>
      <c r="P5" s="130"/>
    </row>
    <row r="6" spans="1:16">
      <c r="A6" s="143" t="s">
        <v>152</v>
      </c>
      <c r="B6" s="144" t="s">
        <v>96</v>
      </c>
      <c r="C6" s="145" t="s">
        <v>153</v>
      </c>
      <c r="D6" s="121" t="s">
        <v>524</v>
      </c>
      <c r="E6" s="146" t="s">
        <v>136</v>
      </c>
      <c r="F6" s="147" t="s">
        <v>52</v>
      </c>
      <c r="G6" s="136" t="s">
        <v>274</v>
      </c>
      <c r="H6" s="137"/>
      <c r="I6" s="138"/>
      <c r="J6" s="138"/>
      <c r="K6" s="138"/>
      <c r="L6" s="138"/>
      <c r="M6" s="130" t="s">
        <v>512</v>
      </c>
      <c r="N6" s="130"/>
      <c r="O6" s="130"/>
      <c r="P6" s="130"/>
    </row>
    <row r="7" spans="1:16">
      <c r="A7" s="148" t="s">
        <v>254</v>
      </c>
      <c r="B7" s="149" t="s">
        <v>255</v>
      </c>
      <c r="C7" s="150" t="s">
        <v>255</v>
      </c>
      <c r="D7" s="121" t="s">
        <v>529</v>
      </c>
      <c r="E7" s="141" t="s">
        <v>265</v>
      </c>
      <c r="F7" s="147" t="s">
        <v>52</v>
      </c>
      <c r="G7" s="136" t="s">
        <v>198</v>
      </c>
      <c r="H7" s="137"/>
      <c r="I7" s="138"/>
      <c r="J7" s="138"/>
      <c r="K7" s="138"/>
      <c r="L7" s="138"/>
      <c r="M7" s="130"/>
      <c r="N7" s="130" t="s">
        <v>509</v>
      </c>
      <c r="O7" s="130"/>
      <c r="P7" s="130" t="s">
        <v>505</v>
      </c>
    </row>
    <row r="8" spans="1:16">
      <c r="A8" s="151" t="s">
        <v>567</v>
      </c>
      <c r="B8" s="132" t="s">
        <v>276</v>
      </c>
      <c r="C8" s="150" t="s">
        <v>264</v>
      </c>
      <c r="D8" s="121" t="s">
        <v>528</v>
      </c>
      <c r="E8" s="134" t="s">
        <v>266</v>
      </c>
      <c r="F8" s="135" t="s">
        <v>124</v>
      </c>
      <c r="G8" s="137" t="s">
        <v>502</v>
      </c>
      <c r="H8" s="137"/>
      <c r="I8" s="138"/>
      <c r="J8" s="138"/>
      <c r="K8" s="138"/>
      <c r="L8" s="138"/>
      <c r="M8" s="130"/>
      <c r="N8" s="130"/>
      <c r="O8" s="130"/>
      <c r="P8" s="130"/>
    </row>
    <row r="9" spans="1:16">
      <c r="A9" s="143" t="s">
        <v>150</v>
      </c>
      <c r="B9" s="144" t="s">
        <v>151</v>
      </c>
      <c r="C9" s="145" t="s">
        <v>88</v>
      </c>
      <c r="D9" s="121" t="s">
        <v>524</v>
      </c>
      <c r="E9" s="152" t="s">
        <v>136</v>
      </c>
      <c r="F9" s="147" t="s">
        <v>52</v>
      </c>
      <c r="G9" s="136" t="s">
        <v>502</v>
      </c>
      <c r="H9" s="137" t="s">
        <v>502</v>
      </c>
      <c r="I9" s="138"/>
      <c r="J9" s="138"/>
      <c r="K9" s="138"/>
      <c r="L9" s="138"/>
      <c r="M9" s="130"/>
      <c r="N9" s="130"/>
      <c r="O9" s="130"/>
      <c r="P9" s="130"/>
    </row>
    <row r="10" spans="1:16">
      <c r="A10" s="143" t="s">
        <v>148</v>
      </c>
      <c r="B10" s="144" t="s">
        <v>86</v>
      </c>
      <c r="C10" s="145" t="s">
        <v>149</v>
      </c>
      <c r="D10" s="121" t="s">
        <v>524</v>
      </c>
      <c r="E10" s="152" t="s">
        <v>136</v>
      </c>
      <c r="F10" s="147" t="s">
        <v>52</v>
      </c>
      <c r="G10" s="136" t="s">
        <v>524</v>
      </c>
      <c r="H10" s="137" t="s">
        <v>502</v>
      </c>
      <c r="I10" s="138"/>
      <c r="J10" s="138"/>
      <c r="K10" s="138"/>
      <c r="L10" s="138"/>
      <c r="M10" s="130"/>
      <c r="N10" s="130"/>
      <c r="O10" s="130"/>
      <c r="P10" s="130"/>
    </row>
    <row r="11" spans="1:16">
      <c r="A11" s="139" t="s">
        <v>76</v>
      </c>
      <c r="B11" s="132" t="s">
        <v>276</v>
      </c>
      <c r="C11" s="140" t="s">
        <v>110</v>
      </c>
      <c r="D11" s="121" t="s">
        <v>524</v>
      </c>
      <c r="E11" s="141" t="s">
        <v>154</v>
      </c>
      <c r="F11" s="142" t="s">
        <v>124</v>
      </c>
      <c r="G11" s="153" t="s">
        <v>502</v>
      </c>
      <c r="H11" s="137" t="s">
        <v>502</v>
      </c>
      <c r="I11" s="138"/>
      <c r="J11" s="138" t="s">
        <v>511</v>
      </c>
      <c r="K11" s="138"/>
      <c r="L11" s="138"/>
      <c r="M11" s="130"/>
      <c r="N11" s="130"/>
      <c r="O11" s="130"/>
      <c r="P11" s="130"/>
    </row>
    <row r="12" spans="1:16">
      <c r="A12" s="139" t="s">
        <v>77</v>
      </c>
      <c r="B12" s="132" t="s">
        <v>276</v>
      </c>
      <c r="C12" s="140" t="s">
        <v>111</v>
      </c>
      <c r="D12" s="121" t="s">
        <v>524</v>
      </c>
      <c r="E12" s="141" t="s">
        <v>154</v>
      </c>
      <c r="F12" s="142" t="s">
        <v>124</v>
      </c>
      <c r="G12" s="153" t="s">
        <v>502</v>
      </c>
      <c r="H12" s="137" t="s">
        <v>502</v>
      </c>
      <c r="I12" s="138"/>
      <c r="J12" s="138" t="s">
        <v>511</v>
      </c>
      <c r="K12" s="138"/>
      <c r="L12" s="138"/>
      <c r="M12" s="130"/>
      <c r="N12" s="130"/>
      <c r="O12" s="130"/>
      <c r="P12" s="130"/>
    </row>
    <row r="13" spans="1:16">
      <c r="A13" s="139" t="s">
        <v>440</v>
      </c>
      <c r="B13" s="132" t="s">
        <v>276</v>
      </c>
      <c r="C13" s="140" t="s">
        <v>513</v>
      </c>
      <c r="D13" s="121" t="s">
        <v>524</v>
      </c>
      <c r="E13" s="141" t="s">
        <v>154</v>
      </c>
      <c r="F13" s="142" t="s">
        <v>124</v>
      </c>
      <c r="G13" s="136" t="s">
        <v>502</v>
      </c>
      <c r="H13" s="137" t="s">
        <v>502</v>
      </c>
      <c r="I13" s="129"/>
      <c r="J13" s="138"/>
      <c r="K13" s="138"/>
      <c r="L13" s="138"/>
      <c r="M13" s="130" t="s">
        <v>512</v>
      </c>
      <c r="N13" s="130"/>
      <c r="O13" s="130"/>
      <c r="P13" s="130"/>
    </row>
    <row r="14" spans="1:16">
      <c r="A14" s="139" t="s">
        <v>66</v>
      </c>
      <c r="B14" s="132" t="s">
        <v>276</v>
      </c>
      <c r="C14" s="140" t="s">
        <v>91</v>
      </c>
      <c r="D14" s="121" t="s">
        <v>524</v>
      </c>
      <c r="E14" s="141" t="s">
        <v>154</v>
      </c>
      <c r="F14" s="142" t="s">
        <v>124</v>
      </c>
      <c r="G14" s="136" t="s">
        <v>511</v>
      </c>
      <c r="H14" s="127"/>
      <c r="I14" s="128"/>
      <c r="J14" s="138" t="s">
        <v>511</v>
      </c>
      <c r="K14" s="138"/>
      <c r="L14" s="138"/>
      <c r="M14" s="130" t="s">
        <v>512</v>
      </c>
      <c r="N14" s="130"/>
      <c r="O14" s="130"/>
      <c r="P14" s="130"/>
    </row>
    <row r="15" spans="1:16">
      <c r="A15" s="143" t="s">
        <v>259</v>
      </c>
      <c r="B15" s="132" t="s">
        <v>276</v>
      </c>
      <c r="C15" s="145" t="s">
        <v>260</v>
      </c>
      <c r="D15" s="121" t="s">
        <v>524</v>
      </c>
      <c r="E15" s="146" t="s">
        <v>270</v>
      </c>
      <c r="F15" s="147" t="s">
        <v>52</v>
      </c>
      <c r="G15" s="136" t="s">
        <v>198</v>
      </c>
      <c r="H15" s="137" t="s">
        <v>502</v>
      </c>
      <c r="I15" s="128" t="s">
        <v>272</v>
      </c>
      <c r="J15" s="138"/>
      <c r="K15" s="138"/>
      <c r="L15" s="138"/>
      <c r="M15" s="130"/>
      <c r="N15" s="130" t="s">
        <v>509</v>
      </c>
      <c r="O15" s="130"/>
      <c r="P15" s="130"/>
    </row>
    <row r="16" spans="1:16">
      <c r="A16" s="139" t="s">
        <v>69</v>
      </c>
      <c r="B16" s="132" t="s">
        <v>276</v>
      </c>
      <c r="C16" s="140" t="s">
        <v>101</v>
      </c>
      <c r="D16" s="121" t="s">
        <v>524</v>
      </c>
      <c r="E16" s="141" t="s">
        <v>154</v>
      </c>
      <c r="F16" s="142" t="s">
        <v>124</v>
      </c>
      <c r="G16" s="136" t="s">
        <v>524</v>
      </c>
      <c r="H16" s="137"/>
      <c r="I16" s="138"/>
      <c r="J16" s="138"/>
      <c r="K16" s="138" t="s">
        <v>508</v>
      </c>
      <c r="L16" s="138"/>
      <c r="M16" s="130" t="s">
        <v>512</v>
      </c>
      <c r="N16" s="130"/>
      <c r="O16" s="130"/>
      <c r="P16" s="130"/>
    </row>
    <row r="17" spans="1:16" ht="15.75" customHeight="1">
      <c r="A17" s="154" t="s">
        <v>438</v>
      </c>
      <c r="B17" s="155" t="s">
        <v>276</v>
      </c>
      <c r="C17" s="150" t="s">
        <v>446</v>
      </c>
      <c r="D17" s="121" t="s">
        <v>524</v>
      </c>
      <c r="E17" s="156" t="s">
        <v>154</v>
      </c>
      <c r="F17" s="157" t="s">
        <v>124</v>
      </c>
      <c r="G17" s="136" t="s">
        <v>508</v>
      </c>
      <c r="H17" s="137"/>
      <c r="I17" s="138"/>
      <c r="J17" s="138"/>
      <c r="K17" s="138" t="s">
        <v>508</v>
      </c>
      <c r="L17" s="138"/>
      <c r="M17" s="130"/>
      <c r="N17" s="130"/>
      <c r="O17" s="130"/>
      <c r="P17" s="130"/>
    </row>
    <row r="18" spans="1:16">
      <c r="A18" s="143" t="s">
        <v>143</v>
      </c>
      <c r="B18" s="155" t="s">
        <v>144</v>
      </c>
      <c r="C18" s="145" t="s">
        <v>145</v>
      </c>
      <c r="D18" s="121" t="s">
        <v>524</v>
      </c>
      <c r="E18" s="152" t="s">
        <v>136</v>
      </c>
      <c r="F18" s="147" t="s">
        <v>124</v>
      </c>
      <c r="G18" s="136" t="s">
        <v>524</v>
      </c>
      <c r="H18" s="137"/>
      <c r="I18" s="138"/>
      <c r="J18" s="138" t="s">
        <v>511</v>
      </c>
      <c r="K18" s="138"/>
      <c r="L18" s="138"/>
      <c r="M18" s="130" t="s">
        <v>512</v>
      </c>
      <c r="N18" s="130"/>
      <c r="O18" s="130" t="s">
        <v>574</v>
      </c>
      <c r="P18" s="130"/>
    </row>
    <row r="19" spans="1:16">
      <c r="A19" s="143" t="s">
        <v>141</v>
      </c>
      <c r="B19" s="155" t="s">
        <v>142</v>
      </c>
      <c r="C19" s="145" t="s">
        <v>107</v>
      </c>
      <c r="D19" s="121" t="s">
        <v>524</v>
      </c>
      <c r="E19" s="152" t="s">
        <v>136</v>
      </c>
      <c r="F19" s="147" t="s">
        <v>124</v>
      </c>
      <c r="G19" s="136" t="s">
        <v>524</v>
      </c>
      <c r="H19" s="137"/>
      <c r="I19" s="138"/>
      <c r="J19" s="138"/>
      <c r="K19" s="138"/>
      <c r="L19" s="138" t="s">
        <v>516</v>
      </c>
      <c r="M19" s="130"/>
      <c r="N19" s="130"/>
      <c r="O19" s="130"/>
      <c r="P19" s="130"/>
    </row>
    <row r="20" spans="1:16">
      <c r="A20" s="154" t="s">
        <v>234</v>
      </c>
      <c r="B20" s="132" t="s">
        <v>276</v>
      </c>
      <c r="C20" s="145" t="s">
        <v>139</v>
      </c>
      <c r="D20" s="121" t="s">
        <v>529</v>
      </c>
      <c r="E20" s="141" t="s">
        <v>154</v>
      </c>
      <c r="F20" s="157" t="s">
        <v>52</v>
      </c>
      <c r="G20" s="136" t="s">
        <v>198</v>
      </c>
      <c r="H20" s="137" t="s">
        <v>502</v>
      </c>
      <c r="I20" s="128" t="s">
        <v>272</v>
      </c>
      <c r="J20" s="138" t="s">
        <v>511</v>
      </c>
      <c r="K20" s="138" t="s">
        <v>508</v>
      </c>
      <c r="L20" s="138"/>
      <c r="M20" s="130"/>
      <c r="N20" s="130" t="s">
        <v>509</v>
      </c>
      <c r="O20" s="130"/>
      <c r="P20" s="130" t="s">
        <v>505</v>
      </c>
    </row>
    <row r="21" spans="1:16">
      <c r="A21" s="154" t="s">
        <v>127</v>
      </c>
      <c r="B21" s="132" t="s">
        <v>276</v>
      </c>
      <c r="C21" s="150" t="s">
        <v>133</v>
      </c>
      <c r="D21" s="121" t="s">
        <v>528</v>
      </c>
      <c r="E21" s="134" t="s">
        <v>266</v>
      </c>
      <c r="F21" s="142" t="s">
        <v>124</v>
      </c>
      <c r="G21" s="126" t="s">
        <v>272</v>
      </c>
      <c r="H21" s="137"/>
      <c r="I21" s="128" t="s">
        <v>272</v>
      </c>
      <c r="J21" s="138"/>
      <c r="K21" s="138"/>
      <c r="L21" s="138"/>
      <c r="M21" s="130"/>
      <c r="N21" s="130"/>
      <c r="O21" s="130"/>
      <c r="P21" s="130"/>
    </row>
    <row r="22" spans="1:16">
      <c r="A22" s="131" t="s">
        <v>263</v>
      </c>
      <c r="B22" s="149" t="s">
        <v>96</v>
      </c>
      <c r="C22" s="150" t="s">
        <v>133</v>
      </c>
      <c r="D22" s="158" t="s">
        <v>530</v>
      </c>
      <c r="E22" s="134" t="s">
        <v>531</v>
      </c>
      <c r="F22" s="159" t="s">
        <v>52</v>
      </c>
      <c r="G22" s="126" t="s">
        <v>272</v>
      </c>
      <c r="H22" s="137"/>
      <c r="I22" s="128" t="s">
        <v>272</v>
      </c>
      <c r="J22" s="138"/>
      <c r="K22" s="138"/>
      <c r="L22" s="138"/>
      <c r="M22" s="130"/>
      <c r="N22" s="130"/>
      <c r="O22" s="130"/>
      <c r="P22" s="130"/>
    </row>
    <row r="23" spans="1:16">
      <c r="A23" s="154" t="s">
        <v>138</v>
      </c>
      <c r="B23" s="160" t="s">
        <v>99</v>
      </c>
      <c r="C23" s="161" t="s">
        <v>116</v>
      </c>
      <c r="D23" s="121" t="s">
        <v>528</v>
      </c>
      <c r="E23" s="134" t="s">
        <v>447</v>
      </c>
      <c r="F23" s="157" t="s">
        <v>124</v>
      </c>
      <c r="G23" s="126" t="s">
        <v>272</v>
      </c>
      <c r="H23" s="137"/>
      <c r="I23" s="128" t="s">
        <v>272</v>
      </c>
      <c r="J23" s="138"/>
      <c r="K23" s="138"/>
      <c r="L23" s="138"/>
      <c r="M23" s="130"/>
      <c r="N23" s="130"/>
      <c r="O23" s="130"/>
      <c r="P23" s="130"/>
    </row>
    <row r="24" spans="1:16">
      <c r="A24" s="131" t="s">
        <v>137</v>
      </c>
      <c r="B24" s="149" t="s">
        <v>99</v>
      </c>
      <c r="C24" s="150" t="s">
        <v>133</v>
      </c>
      <c r="D24" s="121" t="s">
        <v>531</v>
      </c>
      <c r="E24" s="134" t="s">
        <v>447</v>
      </c>
      <c r="F24" s="159" t="s">
        <v>52</v>
      </c>
      <c r="G24" s="126" t="s">
        <v>272</v>
      </c>
      <c r="H24" s="137"/>
      <c r="I24" s="128" t="s">
        <v>272</v>
      </c>
      <c r="J24" s="138"/>
      <c r="K24" s="138"/>
      <c r="L24" s="138"/>
      <c r="M24" s="130"/>
      <c r="N24" s="130" t="s">
        <v>509</v>
      </c>
      <c r="O24" s="130"/>
      <c r="P24" s="130"/>
    </row>
    <row r="25" spans="1:16">
      <c r="A25" s="148" t="s">
        <v>199</v>
      </c>
      <c r="B25" s="132" t="s">
        <v>276</v>
      </c>
      <c r="C25" s="150" t="s">
        <v>258</v>
      </c>
      <c r="D25" s="121" t="s">
        <v>529</v>
      </c>
      <c r="E25" s="156" t="s">
        <v>276</v>
      </c>
      <c r="F25" s="159" t="s">
        <v>59</v>
      </c>
      <c r="G25" s="136" t="s">
        <v>198</v>
      </c>
      <c r="H25" s="137" t="s">
        <v>502</v>
      </c>
      <c r="I25" s="128" t="s">
        <v>272</v>
      </c>
      <c r="J25" s="138" t="s">
        <v>511</v>
      </c>
      <c r="K25" s="138" t="s">
        <v>508</v>
      </c>
      <c r="L25" s="138" t="s">
        <v>516</v>
      </c>
      <c r="M25" s="130" t="s">
        <v>512</v>
      </c>
      <c r="N25" s="130"/>
      <c r="O25" s="130"/>
      <c r="P25" s="130"/>
    </row>
    <row r="26" spans="1:16">
      <c r="A26" s="131" t="s">
        <v>248</v>
      </c>
      <c r="B26" s="149" t="s">
        <v>96</v>
      </c>
      <c r="C26" s="150" t="s">
        <v>116</v>
      </c>
      <c r="D26" s="121" t="s">
        <v>529</v>
      </c>
      <c r="E26" s="134" t="s">
        <v>266</v>
      </c>
      <c r="F26" s="135" t="s">
        <v>52</v>
      </c>
      <c r="G26" s="136" t="s">
        <v>198</v>
      </c>
      <c r="H26" s="137" t="s">
        <v>502</v>
      </c>
      <c r="I26" s="128" t="s">
        <v>272</v>
      </c>
      <c r="J26" s="138" t="s">
        <v>511</v>
      </c>
      <c r="K26" s="138" t="s">
        <v>508</v>
      </c>
      <c r="L26" s="138"/>
      <c r="M26" s="130" t="s">
        <v>512</v>
      </c>
      <c r="N26" s="130" t="s">
        <v>509</v>
      </c>
      <c r="O26" s="130"/>
      <c r="P26" s="130" t="s">
        <v>505</v>
      </c>
    </row>
    <row r="27" spans="1:16">
      <c r="A27" s="154" t="s">
        <v>222</v>
      </c>
      <c r="B27" s="160" t="s">
        <v>223</v>
      </c>
      <c r="C27" s="161" t="s">
        <v>118</v>
      </c>
      <c r="D27" s="121" t="s">
        <v>529</v>
      </c>
      <c r="E27" s="152" t="s">
        <v>136</v>
      </c>
      <c r="F27" s="157" t="s">
        <v>59</v>
      </c>
      <c r="G27" s="136" t="s">
        <v>198</v>
      </c>
      <c r="H27" s="137" t="s">
        <v>502</v>
      </c>
      <c r="I27" s="128" t="s">
        <v>272</v>
      </c>
      <c r="J27" s="138" t="s">
        <v>511</v>
      </c>
      <c r="K27" s="138" t="s">
        <v>508</v>
      </c>
      <c r="L27" s="138" t="s">
        <v>516</v>
      </c>
      <c r="M27" s="130" t="s">
        <v>512</v>
      </c>
      <c r="N27" s="130" t="s">
        <v>509</v>
      </c>
      <c r="O27" s="130" t="s">
        <v>503</v>
      </c>
      <c r="P27" s="130"/>
    </row>
    <row r="28" spans="1:16">
      <c r="A28" s="131" t="s">
        <v>251</v>
      </c>
      <c r="B28" s="149" t="s">
        <v>99</v>
      </c>
      <c r="C28" s="150" t="s">
        <v>116</v>
      </c>
      <c r="D28" s="121" t="s">
        <v>529</v>
      </c>
      <c r="E28" s="141" t="s">
        <v>265</v>
      </c>
      <c r="F28" s="135" t="s">
        <v>52</v>
      </c>
      <c r="G28" s="126" t="s">
        <v>272</v>
      </c>
      <c r="H28" s="137"/>
      <c r="I28" s="128" t="s">
        <v>272</v>
      </c>
      <c r="J28" s="138"/>
      <c r="K28" s="138"/>
      <c r="L28" s="138"/>
      <c r="M28" s="130" t="s">
        <v>512</v>
      </c>
      <c r="N28" s="130"/>
      <c r="O28" s="130"/>
      <c r="P28" s="130"/>
    </row>
    <row r="29" spans="1:16">
      <c r="A29" s="154" t="s">
        <v>441</v>
      </c>
      <c r="B29" s="155" t="s">
        <v>276</v>
      </c>
      <c r="C29" s="150" t="s">
        <v>149</v>
      </c>
      <c r="D29" s="121" t="s">
        <v>529</v>
      </c>
      <c r="E29" s="156" t="s">
        <v>276</v>
      </c>
      <c r="F29" s="157" t="s">
        <v>59</v>
      </c>
      <c r="G29" s="136" t="s">
        <v>198</v>
      </c>
      <c r="H29" s="137" t="s">
        <v>502</v>
      </c>
      <c r="I29" s="128" t="s">
        <v>272</v>
      </c>
      <c r="J29" s="138" t="s">
        <v>511</v>
      </c>
      <c r="K29" s="138" t="s">
        <v>508</v>
      </c>
      <c r="L29" s="138" t="s">
        <v>516</v>
      </c>
      <c r="M29" s="130" t="s">
        <v>512</v>
      </c>
      <c r="N29" s="130"/>
      <c r="O29" s="130"/>
      <c r="P29" s="130"/>
    </row>
    <row r="30" spans="1:16">
      <c r="A30" s="139" t="s">
        <v>71</v>
      </c>
      <c r="B30" s="132" t="s">
        <v>276</v>
      </c>
      <c r="C30" s="162" t="s">
        <v>103</v>
      </c>
      <c r="D30" s="121" t="s">
        <v>524</v>
      </c>
      <c r="E30" s="141" t="s">
        <v>154</v>
      </c>
      <c r="F30" s="142" t="s">
        <v>52</v>
      </c>
      <c r="G30" s="136" t="s">
        <v>511</v>
      </c>
      <c r="H30" s="137"/>
      <c r="I30" s="138"/>
      <c r="J30" s="138" t="s">
        <v>511</v>
      </c>
      <c r="K30" s="138"/>
      <c r="L30" s="138"/>
      <c r="M30" s="130" t="s">
        <v>512</v>
      </c>
      <c r="N30" s="130"/>
      <c r="O30" s="130"/>
      <c r="P30" s="130"/>
    </row>
    <row r="31" spans="1:16">
      <c r="A31" s="154" t="s">
        <v>565</v>
      </c>
      <c r="B31" s="163" t="s">
        <v>221</v>
      </c>
      <c r="C31" s="140" t="s">
        <v>116</v>
      </c>
      <c r="D31" s="121" t="s">
        <v>528</v>
      </c>
      <c r="E31" s="134" t="s">
        <v>447</v>
      </c>
      <c r="F31" s="157" t="s">
        <v>52</v>
      </c>
      <c r="G31" s="153" t="s">
        <v>502</v>
      </c>
      <c r="H31" s="137" t="s">
        <v>502</v>
      </c>
      <c r="I31" s="128" t="s">
        <v>272</v>
      </c>
      <c r="J31" s="138"/>
      <c r="K31" s="138"/>
      <c r="L31" s="138"/>
      <c r="M31" s="130" t="s">
        <v>512</v>
      </c>
      <c r="N31" s="130"/>
      <c r="O31" s="130"/>
      <c r="P31" s="130"/>
    </row>
    <row r="32" spans="1:16">
      <c r="A32" s="139" t="s">
        <v>78</v>
      </c>
      <c r="B32" s="132" t="s">
        <v>276</v>
      </c>
      <c r="C32" s="140" t="s">
        <v>112</v>
      </c>
      <c r="D32" s="121" t="s">
        <v>524</v>
      </c>
      <c r="E32" s="141" t="s">
        <v>154</v>
      </c>
      <c r="F32" s="142" t="s">
        <v>124</v>
      </c>
      <c r="G32" s="136" t="s">
        <v>508</v>
      </c>
      <c r="H32" s="137"/>
      <c r="I32" s="138"/>
      <c r="J32" s="138"/>
      <c r="K32" s="138" t="s">
        <v>508</v>
      </c>
      <c r="L32" s="138"/>
      <c r="M32" s="130"/>
      <c r="N32" s="130"/>
      <c r="O32" s="130"/>
      <c r="P32" s="130"/>
    </row>
    <row r="33" spans="1:16">
      <c r="A33" s="131" t="s">
        <v>83</v>
      </c>
      <c r="B33" s="164" t="s">
        <v>119</v>
      </c>
      <c r="C33" s="150" t="s">
        <v>120</v>
      </c>
      <c r="D33" s="121" t="s">
        <v>529</v>
      </c>
      <c r="E33" s="141" t="s">
        <v>154</v>
      </c>
      <c r="F33" s="135" t="s">
        <v>125</v>
      </c>
      <c r="G33" s="136" t="s">
        <v>511</v>
      </c>
      <c r="H33" s="137"/>
      <c r="I33" s="138"/>
      <c r="J33" s="138" t="s">
        <v>511</v>
      </c>
      <c r="K33" s="138"/>
      <c r="L33" s="138"/>
      <c r="M33" s="130" t="s">
        <v>512</v>
      </c>
      <c r="N33" s="130"/>
      <c r="O33" s="130"/>
      <c r="P33" s="130"/>
    </row>
    <row r="34" spans="1:16">
      <c r="A34" s="139" t="s">
        <v>74</v>
      </c>
      <c r="B34" s="132" t="s">
        <v>276</v>
      </c>
      <c r="C34" s="140" t="s">
        <v>107</v>
      </c>
      <c r="D34" s="121" t="s">
        <v>524</v>
      </c>
      <c r="E34" s="141" t="s">
        <v>154</v>
      </c>
      <c r="F34" s="142" t="s">
        <v>124</v>
      </c>
      <c r="G34" s="136" t="s">
        <v>508</v>
      </c>
      <c r="H34" s="137"/>
      <c r="I34" s="138"/>
      <c r="J34" s="138"/>
      <c r="K34" s="138" t="s">
        <v>508</v>
      </c>
      <c r="L34" s="138"/>
      <c r="M34" s="130"/>
      <c r="N34" s="130"/>
      <c r="O34" s="130"/>
      <c r="P34" s="130"/>
    </row>
    <row r="35" spans="1:16">
      <c r="A35" s="139" t="s">
        <v>63</v>
      </c>
      <c r="B35" s="132" t="s">
        <v>276</v>
      </c>
      <c r="C35" s="140" t="s">
        <v>88</v>
      </c>
      <c r="D35" s="121" t="s">
        <v>524</v>
      </c>
      <c r="E35" s="141" t="s">
        <v>154</v>
      </c>
      <c r="F35" s="142" t="s">
        <v>124</v>
      </c>
      <c r="G35" s="136" t="s">
        <v>524</v>
      </c>
      <c r="H35" s="137"/>
      <c r="I35" s="138"/>
      <c r="J35" s="138"/>
      <c r="K35" s="138"/>
      <c r="L35" s="138" t="s">
        <v>516</v>
      </c>
      <c r="M35" s="130"/>
      <c r="N35" s="130"/>
      <c r="O35" s="130"/>
      <c r="P35" s="130"/>
    </row>
    <row r="36" spans="1:16">
      <c r="A36" s="131" t="s">
        <v>135</v>
      </c>
      <c r="B36" s="149" t="s">
        <v>99</v>
      </c>
      <c r="C36" s="150" t="s">
        <v>116</v>
      </c>
      <c r="D36" s="121" t="s">
        <v>524</v>
      </c>
      <c r="E36" s="141" t="s">
        <v>265</v>
      </c>
      <c r="F36" s="157" t="s">
        <v>52</v>
      </c>
      <c r="G36" s="136" t="s">
        <v>502</v>
      </c>
      <c r="H36" s="137" t="s">
        <v>502</v>
      </c>
      <c r="I36" s="138"/>
      <c r="J36" s="138"/>
      <c r="K36" s="138"/>
      <c r="L36" s="138" t="s">
        <v>516</v>
      </c>
      <c r="M36" s="130" t="s">
        <v>512</v>
      </c>
      <c r="N36" s="130"/>
      <c r="O36" s="130"/>
      <c r="P36" s="130"/>
    </row>
    <row r="37" spans="1:16">
      <c r="A37" s="131" t="s">
        <v>252</v>
      </c>
      <c r="B37" s="164" t="s">
        <v>253</v>
      </c>
      <c r="C37" s="150" t="s">
        <v>116</v>
      </c>
      <c r="D37" s="121" t="s">
        <v>524</v>
      </c>
      <c r="E37" s="141" t="s">
        <v>265</v>
      </c>
      <c r="F37" s="135" t="s">
        <v>52</v>
      </c>
      <c r="G37" s="136" t="s">
        <v>524</v>
      </c>
      <c r="H37" s="137"/>
      <c r="I37" s="138"/>
      <c r="J37" s="138"/>
      <c r="K37" s="138"/>
      <c r="L37" s="138"/>
      <c r="M37" s="130" t="s">
        <v>512</v>
      </c>
      <c r="N37" s="130"/>
      <c r="O37" s="130"/>
      <c r="P37" s="130"/>
    </row>
    <row r="38" spans="1:16">
      <c r="A38" s="131" t="s">
        <v>235</v>
      </c>
      <c r="B38" s="149" t="s">
        <v>92</v>
      </c>
      <c r="C38" s="150" t="s">
        <v>92</v>
      </c>
      <c r="D38" s="121" t="s">
        <v>524</v>
      </c>
      <c r="E38" s="141" t="s">
        <v>269</v>
      </c>
      <c r="F38" s="135" t="s">
        <v>60</v>
      </c>
      <c r="G38" s="136" t="s">
        <v>524</v>
      </c>
      <c r="H38" s="137"/>
      <c r="I38" s="138"/>
      <c r="J38" s="138"/>
      <c r="K38" s="138"/>
      <c r="L38" s="138"/>
      <c r="M38" s="130" t="s">
        <v>512</v>
      </c>
      <c r="N38" s="130"/>
      <c r="O38" s="130"/>
      <c r="P38" s="130" t="s">
        <v>505</v>
      </c>
    </row>
    <row r="39" spans="1:16">
      <c r="A39" s="139" t="s">
        <v>73</v>
      </c>
      <c r="B39" s="132" t="s">
        <v>92</v>
      </c>
      <c r="C39" s="165" t="s">
        <v>105</v>
      </c>
      <c r="D39" s="121" t="s">
        <v>524</v>
      </c>
      <c r="E39" s="141" t="s">
        <v>154</v>
      </c>
      <c r="F39" s="142" t="s">
        <v>124</v>
      </c>
      <c r="G39" s="136" t="s">
        <v>524</v>
      </c>
      <c r="H39" s="137"/>
      <c r="I39" s="138"/>
      <c r="J39" s="138"/>
      <c r="K39" s="138"/>
      <c r="L39" s="138"/>
      <c r="M39" s="130" t="s">
        <v>512</v>
      </c>
      <c r="N39" s="130"/>
      <c r="O39" s="130"/>
      <c r="P39" s="130"/>
    </row>
    <row r="40" spans="1:16">
      <c r="A40" s="139" t="s">
        <v>228</v>
      </c>
      <c r="B40" s="132" t="s">
        <v>92</v>
      </c>
      <c r="C40" s="162" t="s">
        <v>106</v>
      </c>
      <c r="D40" s="121" t="s">
        <v>524</v>
      </c>
      <c r="E40" s="141" t="s">
        <v>154</v>
      </c>
      <c r="F40" s="142" t="s">
        <v>124</v>
      </c>
      <c r="G40" s="136" t="s">
        <v>524</v>
      </c>
      <c r="H40" s="137"/>
      <c r="I40" s="138"/>
      <c r="J40" s="138"/>
      <c r="K40" s="138"/>
      <c r="L40" s="138"/>
      <c r="M40" s="130" t="s">
        <v>512</v>
      </c>
      <c r="N40" s="130"/>
      <c r="O40" s="130"/>
      <c r="P40" s="130"/>
    </row>
    <row r="41" spans="1:16">
      <c r="A41" s="139" t="s">
        <v>226</v>
      </c>
      <c r="B41" s="132" t="s">
        <v>92</v>
      </c>
      <c r="C41" s="140" t="s">
        <v>98</v>
      </c>
      <c r="D41" s="121" t="s">
        <v>524</v>
      </c>
      <c r="E41" s="141" t="s">
        <v>154</v>
      </c>
      <c r="F41" s="142" t="s">
        <v>124</v>
      </c>
      <c r="G41" s="136" t="s">
        <v>524</v>
      </c>
      <c r="H41" s="137"/>
      <c r="I41" s="138"/>
      <c r="J41" s="138"/>
      <c r="K41" s="138"/>
      <c r="L41" s="138"/>
      <c r="M41" s="130" t="s">
        <v>512</v>
      </c>
      <c r="N41" s="130"/>
      <c r="O41" s="130"/>
      <c r="P41" s="130"/>
    </row>
    <row r="42" spans="1:16">
      <c r="A42" s="139" t="s">
        <v>224</v>
      </c>
      <c r="B42" s="132" t="s">
        <v>92</v>
      </c>
      <c r="C42" s="140" t="s">
        <v>93</v>
      </c>
      <c r="D42" s="121" t="s">
        <v>524</v>
      </c>
      <c r="E42" s="141" t="s">
        <v>154</v>
      </c>
      <c r="F42" s="142" t="s">
        <v>124</v>
      </c>
      <c r="G42" s="136" t="s">
        <v>524</v>
      </c>
      <c r="H42" s="137"/>
      <c r="I42" s="138"/>
      <c r="J42" s="138"/>
      <c r="K42" s="138"/>
      <c r="L42" s="138"/>
      <c r="M42" s="130" t="s">
        <v>512</v>
      </c>
      <c r="N42" s="130"/>
      <c r="O42" s="130"/>
      <c r="P42" s="130"/>
    </row>
    <row r="43" spans="1:16">
      <c r="A43" s="148" t="s">
        <v>230</v>
      </c>
      <c r="B43" s="164" t="s">
        <v>96</v>
      </c>
      <c r="C43" s="150" t="s">
        <v>133</v>
      </c>
      <c r="D43" s="121" t="s">
        <v>528</v>
      </c>
      <c r="E43" s="141" t="s">
        <v>265</v>
      </c>
      <c r="F43" s="159" t="s">
        <v>52</v>
      </c>
      <c r="G43" s="136" t="s">
        <v>502</v>
      </c>
      <c r="H43" s="137" t="s">
        <v>502</v>
      </c>
      <c r="I43" s="138"/>
      <c r="J43" s="138"/>
      <c r="K43" s="138"/>
      <c r="L43" s="138"/>
      <c r="M43" s="130" t="s">
        <v>512</v>
      </c>
      <c r="N43" s="130" t="s">
        <v>509</v>
      </c>
      <c r="O43" s="130"/>
      <c r="P43" s="130"/>
    </row>
    <row r="44" spans="1:16">
      <c r="A44" s="139" t="s">
        <v>225</v>
      </c>
      <c r="B44" s="132" t="s">
        <v>96</v>
      </c>
      <c r="C44" s="165" t="s">
        <v>97</v>
      </c>
      <c r="D44" s="121" t="s">
        <v>524</v>
      </c>
      <c r="E44" s="141" t="s">
        <v>154</v>
      </c>
      <c r="F44" s="142" t="s">
        <v>52</v>
      </c>
      <c r="G44" s="136" t="s">
        <v>511</v>
      </c>
      <c r="H44" s="137"/>
      <c r="I44" s="138"/>
      <c r="J44" s="138" t="s">
        <v>511</v>
      </c>
      <c r="K44" s="138"/>
      <c r="L44" s="138"/>
      <c r="M44" s="130" t="s">
        <v>512</v>
      </c>
      <c r="N44" s="130" t="s">
        <v>509</v>
      </c>
      <c r="O44" s="130"/>
      <c r="P44" s="130" t="s">
        <v>505</v>
      </c>
    </row>
    <row r="45" spans="1:16">
      <c r="A45" s="148" t="s">
        <v>256</v>
      </c>
      <c r="B45" s="149" t="s">
        <v>257</v>
      </c>
      <c r="C45" s="150" t="s">
        <v>116</v>
      </c>
      <c r="D45" s="121" t="s">
        <v>529</v>
      </c>
      <c r="E45" s="141" t="s">
        <v>265</v>
      </c>
      <c r="F45" s="147" t="s">
        <v>52</v>
      </c>
      <c r="G45" s="136" t="s">
        <v>511</v>
      </c>
      <c r="H45" s="137"/>
      <c r="I45" s="138"/>
      <c r="J45" s="138" t="s">
        <v>511</v>
      </c>
      <c r="K45" s="138"/>
      <c r="L45" s="138" t="s">
        <v>516</v>
      </c>
      <c r="M45" s="130"/>
      <c r="N45" s="130"/>
      <c r="O45" s="130"/>
      <c r="P45" s="130"/>
    </row>
    <row r="46" spans="1:16">
      <c r="A46" s="143" t="s">
        <v>583</v>
      </c>
      <c r="B46" s="132" t="s">
        <v>276</v>
      </c>
      <c r="C46" s="145" t="s">
        <v>140</v>
      </c>
      <c r="D46" s="121" t="s">
        <v>524</v>
      </c>
      <c r="E46" s="141" t="s">
        <v>154</v>
      </c>
      <c r="F46" s="147" t="s">
        <v>52</v>
      </c>
      <c r="G46" s="126" t="s">
        <v>272</v>
      </c>
      <c r="H46" s="137"/>
      <c r="I46" s="128" t="s">
        <v>272</v>
      </c>
      <c r="J46" s="138"/>
      <c r="K46" s="138"/>
      <c r="L46" s="138"/>
      <c r="M46" s="130" t="s">
        <v>512</v>
      </c>
      <c r="N46" s="130" t="s">
        <v>509</v>
      </c>
      <c r="O46" s="130"/>
      <c r="P46" s="130"/>
    </row>
    <row r="47" spans="1:16">
      <c r="A47" s="143" t="s">
        <v>250</v>
      </c>
      <c r="B47" s="132" t="s">
        <v>276</v>
      </c>
      <c r="C47" s="150" t="s">
        <v>133</v>
      </c>
      <c r="D47" s="121" t="s">
        <v>528</v>
      </c>
      <c r="E47" s="156" t="s">
        <v>276</v>
      </c>
      <c r="F47" s="157" t="s">
        <v>52</v>
      </c>
      <c r="G47" s="126" t="s">
        <v>272</v>
      </c>
      <c r="H47" s="137"/>
      <c r="I47" s="128" t="s">
        <v>272</v>
      </c>
      <c r="J47" s="138"/>
      <c r="K47" s="138"/>
      <c r="L47" s="138"/>
      <c r="M47" s="130"/>
      <c r="N47" s="130" t="s">
        <v>509</v>
      </c>
      <c r="O47" s="130"/>
      <c r="P47" s="130"/>
    </row>
    <row r="48" spans="1:16">
      <c r="A48" s="131" t="s">
        <v>68</v>
      </c>
      <c r="B48" s="132" t="s">
        <v>92</v>
      </c>
      <c r="C48" s="140" t="s">
        <v>95</v>
      </c>
      <c r="D48" s="121" t="s">
        <v>524</v>
      </c>
      <c r="E48" s="141" t="s">
        <v>154</v>
      </c>
      <c r="F48" s="135" t="s">
        <v>124</v>
      </c>
      <c r="G48" s="136" t="s">
        <v>524</v>
      </c>
      <c r="H48" s="137"/>
      <c r="I48" s="138"/>
      <c r="J48" s="138"/>
      <c r="K48" s="138"/>
      <c r="L48" s="138"/>
      <c r="M48" s="130" t="s">
        <v>512</v>
      </c>
      <c r="N48" s="130"/>
      <c r="O48" s="130"/>
      <c r="P48" s="130"/>
    </row>
    <row r="49" spans="1:16">
      <c r="A49" s="139" t="s">
        <v>80</v>
      </c>
      <c r="B49" s="132" t="s">
        <v>114</v>
      </c>
      <c r="C49" s="150" t="s">
        <v>114</v>
      </c>
      <c r="D49" s="121" t="s">
        <v>524</v>
      </c>
      <c r="E49" s="141" t="s">
        <v>154</v>
      </c>
      <c r="F49" s="142" t="s">
        <v>124</v>
      </c>
      <c r="G49" s="136" t="s">
        <v>511</v>
      </c>
      <c r="H49" s="137"/>
      <c r="I49" s="138"/>
      <c r="J49" s="138" t="s">
        <v>511</v>
      </c>
      <c r="K49" s="138"/>
      <c r="L49" s="138"/>
      <c r="M49" s="130" t="s">
        <v>512</v>
      </c>
      <c r="N49" s="130"/>
      <c r="O49" s="130"/>
      <c r="P49" s="130"/>
    </row>
    <row r="50" spans="1:16">
      <c r="A50" s="139" t="s">
        <v>519</v>
      </c>
      <c r="B50" s="132" t="s">
        <v>115</v>
      </c>
      <c r="C50" s="140" t="s">
        <v>116</v>
      </c>
      <c r="D50" s="121" t="s">
        <v>532</v>
      </c>
      <c r="E50" s="134" t="s">
        <v>267</v>
      </c>
      <c r="F50" s="142" t="s">
        <v>124</v>
      </c>
      <c r="G50" s="136" t="s">
        <v>511</v>
      </c>
      <c r="H50" s="137"/>
      <c r="I50" s="138"/>
      <c r="J50" s="138" t="s">
        <v>511</v>
      </c>
      <c r="K50" s="138"/>
      <c r="L50" s="138"/>
      <c r="M50" s="130" t="s">
        <v>512</v>
      </c>
      <c r="N50" s="130"/>
      <c r="O50" s="130"/>
      <c r="P50" s="130"/>
    </row>
    <row r="51" spans="1:16">
      <c r="A51" s="131" t="s">
        <v>261</v>
      </c>
      <c r="B51" s="149" t="s">
        <v>86</v>
      </c>
      <c r="C51" s="150" t="s">
        <v>262</v>
      </c>
      <c r="D51" s="121" t="s">
        <v>524</v>
      </c>
      <c r="E51" s="152" t="s">
        <v>136</v>
      </c>
      <c r="F51" s="135" t="s">
        <v>52</v>
      </c>
      <c r="G51" s="136" t="s">
        <v>511</v>
      </c>
      <c r="H51" s="137"/>
      <c r="I51" s="138"/>
      <c r="J51" s="138" t="s">
        <v>511</v>
      </c>
      <c r="K51" s="138"/>
      <c r="L51" s="138"/>
      <c r="M51" s="130"/>
      <c r="N51" s="130"/>
      <c r="O51" s="130"/>
      <c r="P51" s="130"/>
    </row>
    <row r="52" spans="1:16">
      <c r="A52" s="131" t="s">
        <v>244</v>
      </c>
      <c r="B52" s="132" t="s">
        <v>276</v>
      </c>
      <c r="C52" s="150" t="s">
        <v>245</v>
      </c>
      <c r="D52" s="121" t="s">
        <v>524</v>
      </c>
      <c r="E52" s="141" t="s">
        <v>154</v>
      </c>
      <c r="F52" s="166" t="s">
        <v>52</v>
      </c>
      <c r="G52" s="136" t="s">
        <v>511</v>
      </c>
      <c r="H52" s="137"/>
      <c r="I52" s="138"/>
      <c r="J52" s="138" t="s">
        <v>511</v>
      </c>
      <c r="K52" s="138"/>
      <c r="L52" s="138"/>
      <c r="M52" s="130" t="s">
        <v>512</v>
      </c>
      <c r="N52" s="130"/>
      <c r="O52" s="130"/>
      <c r="P52" s="130"/>
    </row>
    <row r="53" spans="1:16">
      <c r="A53" s="131" t="s">
        <v>242</v>
      </c>
      <c r="B53" s="149" t="s">
        <v>221</v>
      </c>
      <c r="C53" s="150" t="s">
        <v>116</v>
      </c>
      <c r="D53" s="158" t="s">
        <v>532</v>
      </c>
      <c r="E53" s="134" t="s">
        <v>267</v>
      </c>
      <c r="F53" s="135" t="s">
        <v>52</v>
      </c>
      <c r="G53" s="136" t="s">
        <v>273</v>
      </c>
      <c r="H53" s="137" t="s">
        <v>273</v>
      </c>
      <c r="I53" s="128" t="s">
        <v>272</v>
      </c>
      <c r="J53" s="138"/>
      <c r="K53" s="138"/>
      <c r="L53" s="138"/>
      <c r="M53" s="130" t="s">
        <v>512</v>
      </c>
      <c r="N53" s="130"/>
      <c r="O53" s="130"/>
      <c r="P53" s="130"/>
    </row>
    <row r="54" spans="1:16">
      <c r="A54" s="154" t="s">
        <v>231</v>
      </c>
      <c r="B54" s="132" t="s">
        <v>276</v>
      </c>
      <c r="C54" s="150" t="s">
        <v>133</v>
      </c>
      <c r="D54" s="121" t="s">
        <v>524</v>
      </c>
      <c r="E54" s="152" t="s">
        <v>268</v>
      </c>
      <c r="F54" s="142" t="s">
        <v>124</v>
      </c>
      <c r="G54" s="136" t="s">
        <v>274</v>
      </c>
      <c r="H54" s="137"/>
      <c r="I54" s="138"/>
      <c r="J54" s="138" t="s">
        <v>511</v>
      </c>
      <c r="K54" s="138" t="s">
        <v>274</v>
      </c>
      <c r="L54" s="138"/>
      <c r="M54" s="130"/>
      <c r="N54" s="130"/>
      <c r="O54" s="130"/>
      <c r="P54" s="130"/>
    </row>
    <row r="55" spans="1:16">
      <c r="A55" s="139" t="s">
        <v>84</v>
      </c>
      <c r="B55" s="163" t="s">
        <v>122</v>
      </c>
      <c r="C55" s="150" t="s">
        <v>122</v>
      </c>
      <c r="D55" s="121" t="s">
        <v>524</v>
      </c>
      <c r="E55" s="156" t="s">
        <v>276</v>
      </c>
      <c r="F55" s="142" t="s">
        <v>126</v>
      </c>
      <c r="G55" s="136" t="s">
        <v>524</v>
      </c>
      <c r="H55" s="137"/>
      <c r="I55" s="138"/>
      <c r="J55" s="138"/>
      <c r="K55" s="138"/>
      <c r="L55" s="138"/>
      <c r="M55" s="130" t="s">
        <v>512</v>
      </c>
      <c r="N55" s="130"/>
      <c r="O55" s="130"/>
      <c r="P55" s="130"/>
    </row>
    <row r="56" spans="1:16">
      <c r="A56" s="131" t="s">
        <v>237</v>
      </c>
      <c r="B56" s="149" t="s">
        <v>221</v>
      </c>
      <c r="C56" s="150" t="s">
        <v>153</v>
      </c>
      <c r="D56" s="121" t="s">
        <v>524</v>
      </c>
      <c r="E56" s="141" t="s">
        <v>269</v>
      </c>
      <c r="F56" s="135" t="s">
        <v>52</v>
      </c>
      <c r="G56" s="136" t="s">
        <v>273</v>
      </c>
      <c r="H56" s="137" t="s">
        <v>502</v>
      </c>
      <c r="I56" s="138"/>
      <c r="J56" s="138" t="s">
        <v>511</v>
      </c>
      <c r="K56" s="138"/>
      <c r="L56" s="138"/>
      <c r="M56" s="130" t="s">
        <v>512</v>
      </c>
      <c r="N56" s="130"/>
      <c r="O56" s="130"/>
      <c r="P56" s="130"/>
    </row>
    <row r="57" spans="1:16">
      <c r="A57" s="131" t="s">
        <v>243</v>
      </c>
      <c r="B57" s="149" t="s">
        <v>221</v>
      </c>
      <c r="C57" s="150" t="s">
        <v>116</v>
      </c>
      <c r="D57" s="121" t="s">
        <v>528</v>
      </c>
      <c r="E57" s="134" t="s">
        <v>266</v>
      </c>
      <c r="F57" s="135" t="s">
        <v>52</v>
      </c>
      <c r="G57" s="136" t="s">
        <v>273</v>
      </c>
      <c r="H57" s="137" t="s">
        <v>502</v>
      </c>
      <c r="I57" s="128" t="s">
        <v>272</v>
      </c>
      <c r="J57" s="138"/>
      <c r="K57" s="138"/>
      <c r="L57" s="138"/>
      <c r="M57" s="130"/>
      <c r="N57" s="130"/>
      <c r="O57" s="130"/>
      <c r="P57" s="130"/>
    </row>
    <row r="58" spans="1:16">
      <c r="A58" s="139" t="s">
        <v>227</v>
      </c>
      <c r="B58" s="132" t="s">
        <v>99</v>
      </c>
      <c r="C58" s="140" t="s">
        <v>100</v>
      </c>
      <c r="D58" s="121" t="s">
        <v>524</v>
      </c>
      <c r="E58" s="152" t="s">
        <v>136</v>
      </c>
      <c r="F58" s="142" t="s">
        <v>124</v>
      </c>
      <c r="G58" s="136" t="s">
        <v>502</v>
      </c>
      <c r="H58" s="137" t="s">
        <v>502</v>
      </c>
      <c r="I58" s="138"/>
      <c r="J58" s="138"/>
      <c r="K58" s="138"/>
      <c r="L58" s="138"/>
      <c r="M58" s="130" t="s">
        <v>512</v>
      </c>
      <c r="N58" s="130"/>
      <c r="O58" s="130"/>
      <c r="P58" s="130"/>
    </row>
    <row r="59" spans="1:16">
      <c r="A59" s="131" t="s">
        <v>246</v>
      </c>
      <c r="B59" s="149" t="s">
        <v>247</v>
      </c>
      <c r="C59" s="150" t="s">
        <v>116</v>
      </c>
      <c r="D59" s="121" t="s">
        <v>528</v>
      </c>
      <c r="E59" s="134" t="s">
        <v>266</v>
      </c>
      <c r="F59" s="135" t="s">
        <v>52</v>
      </c>
      <c r="G59" s="136" t="s">
        <v>524</v>
      </c>
      <c r="H59" s="137"/>
      <c r="I59" s="138"/>
      <c r="J59" s="138"/>
      <c r="K59" s="138"/>
      <c r="L59" s="138"/>
      <c r="M59" s="130" t="s">
        <v>512</v>
      </c>
      <c r="N59" s="130"/>
      <c r="O59" s="130"/>
      <c r="P59" s="130"/>
    </row>
    <row r="60" spans="1:16">
      <c r="A60" s="139" t="s">
        <v>62</v>
      </c>
      <c r="B60" s="132" t="s">
        <v>86</v>
      </c>
      <c r="C60" s="140" t="s">
        <v>87</v>
      </c>
      <c r="D60" s="121" t="s">
        <v>524</v>
      </c>
      <c r="E60" s="152" t="s">
        <v>136</v>
      </c>
      <c r="F60" s="142" t="s">
        <v>124</v>
      </c>
      <c r="G60" s="136" t="s">
        <v>524</v>
      </c>
      <c r="H60" s="137"/>
      <c r="I60" s="138"/>
      <c r="J60" s="138"/>
      <c r="K60" s="138"/>
      <c r="L60" s="138" t="s">
        <v>516</v>
      </c>
      <c r="M60" s="130"/>
      <c r="N60" s="130"/>
      <c r="O60" s="130"/>
      <c r="P60" s="130"/>
    </row>
    <row r="61" spans="1:16">
      <c r="A61" s="139" t="s">
        <v>67</v>
      </c>
      <c r="B61" s="132" t="s">
        <v>276</v>
      </c>
      <c r="C61" s="165" t="s">
        <v>94</v>
      </c>
      <c r="D61" s="121" t="s">
        <v>524</v>
      </c>
      <c r="E61" s="141" t="s">
        <v>154</v>
      </c>
      <c r="F61" s="142" t="s">
        <v>124</v>
      </c>
      <c r="G61" s="136" t="s">
        <v>524</v>
      </c>
      <c r="H61" s="137"/>
      <c r="I61" s="138"/>
      <c r="J61" s="138"/>
      <c r="K61" s="138"/>
      <c r="L61" s="138"/>
      <c r="M61" s="130" t="s">
        <v>512</v>
      </c>
      <c r="N61" s="130"/>
      <c r="O61" s="130"/>
      <c r="P61" s="130"/>
    </row>
    <row r="62" spans="1:16" ht="15.75" customHeight="1">
      <c r="A62" s="154" t="s">
        <v>232</v>
      </c>
      <c r="B62" s="132" t="s">
        <v>276</v>
      </c>
      <c r="C62" s="150" t="s">
        <v>133</v>
      </c>
      <c r="D62" s="121" t="s">
        <v>524</v>
      </c>
      <c r="E62" s="152" t="s">
        <v>268</v>
      </c>
      <c r="F62" s="142" t="s">
        <v>124</v>
      </c>
      <c r="G62" s="126" t="s">
        <v>272</v>
      </c>
      <c r="H62" s="137"/>
      <c r="I62" s="128" t="s">
        <v>272</v>
      </c>
      <c r="J62" s="138"/>
      <c r="K62" s="138"/>
      <c r="L62" s="138"/>
      <c r="M62" s="130"/>
      <c r="N62" s="130"/>
      <c r="O62" s="130"/>
      <c r="P62" s="130"/>
    </row>
    <row r="63" spans="1:16">
      <c r="A63" s="154" t="s">
        <v>375</v>
      </c>
      <c r="B63" s="155" t="s">
        <v>276</v>
      </c>
      <c r="C63" s="150" t="s">
        <v>377</v>
      </c>
      <c r="D63" s="121" t="s">
        <v>524</v>
      </c>
      <c r="E63" s="152" t="s">
        <v>136</v>
      </c>
      <c r="F63" s="157" t="s">
        <v>124</v>
      </c>
      <c r="G63" s="136" t="s">
        <v>275</v>
      </c>
      <c r="H63" s="137" t="s">
        <v>273</v>
      </c>
      <c r="I63" s="128" t="s">
        <v>272</v>
      </c>
      <c r="J63" s="138"/>
      <c r="K63" s="138"/>
      <c r="L63" s="138" t="s">
        <v>516</v>
      </c>
      <c r="M63" s="130"/>
      <c r="N63" s="130"/>
      <c r="O63" s="130"/>
      <c r="P63" s="130"/>
    </row>
    <row r="64" spans="1:16">
      <c r="A64" s="154" t="s">
        <v>376</v>
      </c>
      <c r="B64" s="155" t="s">
        <v>276</v>
      </c>
      <c r="C64" s="150" t="s">
        <v>377</v>
      </c>
      <c r="D64" s="121" t="s">
        <v>524</v>
      </c>
      <c r="E64" s="152" t="s">
        <v>136</v>
      </c>
      <c r="F64" s="157" t="s">
        <v>124</v>
      </c>
      <c r="G64" s="136" t="s">
        <v>524</v>
      </c>
      <c r="H64" s="167"/>
      <c r="I64" s="137"/>
      <c r="J64" s="138"/>
      <c r="K64" s="138"/>
      <c r="L64" s="138" t="s">
        <v>516</v>
      </c>
      <c r="M64" s="130"/>
      <c r="N64" s="130"/>
      <c r="O64" s="130"/>
      <c r="P64" s="130"/>
    </row>
    <row r="65" spans="1:16">
      <c r="A65" s="131" t="s">
        <v>215</v>
      </c>
      <c r="B65" s="164" t="s">
        <v>218</v>
      </c>
      <c r="C65" s="150" t="s">
        <v>116</v>
      </c>
      <c r="D65" s="158" t="s">
        <v>532</v>
      </c>
      <c r="E65" s="134" t="s">
        <v>267</v>
      </c>
      <c r="F65" s="135" t="s">
        <v>52</v>
      </c>
      <c r="G65" s="136" t="s">
        <v>273</v>
      </c>
      <c r="H65" s="137" t="s">
        <v>502</v>
      </c>
      <c r="I65" s="138" t="s">
        <v>518</v>
      </c>
      <c r="J65" s="138"/>
      <c r="K65" s="138"/>
      <c r="L65" s="138"/>
      <c r="M65" s="130"/>
      <c r="N65" s="130"/>
      <c r="O65" s="130"/>
      <c r="P65" s="130"/>
    </row>
    <row r="66" spans="1:16">
      <c r="A66" s="143" t="s">
        <v>517</v>
      </c>
      <c r="B66" s="144" t="s">
        <v>146</v>
      </c>
      <c r="C66" s="145" t="s">
        <v>147</v>
      </c>
      <c r="D66" s="121" t="s">
        <v>524</v>
      </c>
      <c r="E66" s="152" t="s">
        <v>136</v>
      </c>
      <c r="F66" s="147" t="s">
        <v>52</v>
      </c>
      <c r="G66" s="136" t="s">
        <v>524</v>
      </c>
      <c r="H66" s="137"/>
      <c r="I66" s="138"/>
      <c r="J66" s="138"/>
      <c r="K66" s="138"/>
      <c r="L66" s="138" t="s">
        <v>516</v>
      </c>
      <c r="M66" s="130"/>
      <c r="N66" s="130"/>
      <c r="O66" s="130"/>
      <c r="P66" s="130"/>
    </row>
    <row r="67" spans="1:16">
      <c r="A67" s="131" t="s">
        <v>217</v>
      </c>
      <c r="B67" s="149" t="s">
        <v>142</v>
      </c>
      <c r="C67" s="150" t="s">
        <v>133</v>
      </c>
      <c r="D67" s="121" t="s">
        <v>528</v>
      </c>
      <c r="E67" s="134" t="s">
        <v>266</v>
      </c>
      <c r="F67" s="135" t="s">
        <v>52</v>
      </c>
      <c r="G67" s="136" t="s">
        <v>508</v>
      </c>
      <c r="H67" s="137"/>
      <c r="I67" s="138"/>
      <c r="J67" s="138"/>
      <c r="K67" s="138" t="s">
        <v>508</v>
      </c>
      <c r="L67" s="138"/>
      <c r="M67" s="130"/>
      <c r="N67" s="130"/>
      <c r="O67" s="130"/>
      <c r="P67" s="130"/>
    </row>
    <row r="68" spans="1:16">
      <c r="A68" s="131" t="s">
        <v>216</v>
      </c>
      <c r="B68" s="164" t="s">
        <v>142</v>
      </c>
      <c r="C68" s="150" t="s">
        <v>116</v>
      </c>
      <c r="D68" s="158" t="s">
        <v>532</v>
      </c>
      <c r="E68" s="134" t="s">
        <v>267</v>
      </c>
      <c r="F68" s="135" t="s">
        <v>52</v>
      </c>
      <c r="G68" s="136" t="s">
        <v>508</v>
      </c>
      <c r="H68" s="137"/>
      <c r="I68" s="138"/>
      <c r="J68" s="138"/>
      <c r="K68" s="138" t="s">
        <v>508</v>
      </c>
      <c r="L68" s="138"/>
      <c r="M68" s="130"/>
      <c r="N68" s="130"/>
      <c r="O68" s="130"/>
      <c r="P68" s="130"/>
    </row>
    <row r="69" spans="1:16">
      <c r="A69" s="154" t="s">
        <v>436</v>
      </c>
      <c r="B69" s="155" t="s">
        <v>276</v>
      </c>
      <c r="C69" s="150" t="s">
        <v>445</v>
      </c>
      <c r="D69" s="121" t="s">
        <v>524</v>
      </c>
      <c r="E69" s="156" t="s">
        <v>154</v>
      </c>
      <c r="F69" s="157" t="s">
        <v>124</v>
      </c>
      <c r="G69" s="136" t="s">
        <v>518</v>
      </c>
      <c r="H69" s="137"/>
      <c r="I69" s="138" t="s">
        <v>518</v>
      </c>
      <c r="J69" s="138"/>
      <c r="K69" s="138"/>
      <c r="L69" s="138"/>
      <c r="M69" s="130"/>
      <c r="N69" s="130" t="s">
        <v>509</v>
      </c>
      <c r="O69" s="130"/>
      <c r="P69" s="130"/>
    </row>
    <row r="70" spans="1:16">
      <c r="A70" s="139" t="s">
        <v>75</v>
      </c>
      <c r="B70" s="132" t="s">
        <v>108</v>
      </c>
      <c r="C70" s="140" t="s">
        <v>109</v>
      </c>
      <c r="D70" s="121" t="s">
        <v>524</v>
      </c>
      <c r="E70" s="141" t="s">
        <v>154</v>
      </c>
      <c r="F70" s="142" t="s">
        <v>124</v>
      </c>
      <c r="G70" s="136" t="s">
        <v>511</v>
      </c>
      <c r="H70" s="137"/>
      <c r="I70" s="138"/>
      <c r="J70" s="138" t="s">
        <v>511</v>
      </c>
      <c r="K70" s="138"/>
      <c r="L70" s="138"/>
      <c r="M70" s="130" t="s">
        <v>512</v>
      </c>
      <c r="N70" s="130"/>
      <c r="O70" s="130"/>
      <c r="P70" s="130"/>
    </row>
    <row r="71" spans="1:16">
      <c r="A71" s="139" t="s">
        <v>65</v>
      </c>
      <c r="B71" s="132" t="s">
        <v>89</v>
      </c>
      <c r="C71" s="162" t="s">
        <v>90</v>
      </c>
      <c r="D71" s="121" t="s">
        <v>524</v>
      </c>
      <c r="E71" s="141" t="s">
        <v>154</v>
      </c>
      <c r="F71" s="142" t="s">
        <v>124</v>
      </c>
      <c r="G71" s="136" t="s">
        <v>502</v>
      </c>
      <c r="H71" s="137" t="s">
        <v>502</v>
      </c>
      <c r="I71" s="138"/>
      <c r="J71" s="138"/>
      <c r="K71" s="138"/>
      <c r="L71" s="138"/>
      <c r="M71" s="130"/>
      <c r="N71" s="130"/>
      <c r="O71" s="130"/>
      <c r="P71" s="130"/>
    </row>
    <row r="72" spans="1:16">
      <c r="A72" s="151" t="s">
        <v>81</v>
      </c>
      <c r="B72" s="132" t="s">
        <v>276</v>
      </c>
      <c r="C72" s="150" t="s">
        <v>117</v>
      </c>
      <c r="D72" s="121" t="s">
        <v>524</v>
      </c>
      <c r="E72" s="141" t="s">
        <v>154</v>
      </c>
      <c r="F72" s="142" t="s">
        <v>124</v>
      </c>
      <c r="G72" s="136" t="s">
        <v>511</v>
      </c>
      <c r="H72" s="137"/>
      <c r="I72" s="138"/>
      <c r="J72" s="138" t="s">
        <v>511</v>
      </c>
      <c r="K72" s="138"/>
      <c r="L72" s="138"/>
      <c r="M72" s="130"/>
      <c r="N72" s="130"/>
      <c r="O72" s="130"/>
      <c r="P72" s="130"/>
    </row>
    <row r="73" spans="1:16">
      <c r="A73" s="139" t="s">
        <v>70</v>
      </c>
      <c r="B73" s="132" t="s">
        <v>276</v>
      </c>
      <c r="C73" s="162" t="s">
        <v>102</v>
      </c>
      <c r="D73" s="121" t="s">
        <v>524</v>
      </c>
      <c r="E73" s="141" t="s">
        <v>154</v>
      </c>
      <c r="F73" s="142" t="s">
        <v>124</v>
      </c>
      <c r="G73" s="136" t="s">
        <v>511</v>
      </c>
      <c r="H73" s="137"/>
      <c r="I73" s="138"/>
      <c r="J73" s="138" t="s">
        <v>511</v>
      </c>
      <c r="K73" s="138"/>
      <c r="L73" s="138"/>
      <c r="M73" s="130" t="s">
        <v>512</v>
      </c>
      <c r="N73" s="130"/>
      <c r="O73" s="130"/>
      <c r="P73" s="130"/>
    </row>
    <row r="74" spans="1:16">
      <c r="A74" s="139" t="s">
        <v>85</v>
      </c>
      <c r="B74" s="163" t="s">
        <v>123</v>
      </c>
      <c r="C74" s="150" t="s">
        <v>514</v>
      </c>
      <c r="D74" s="121" t="s">
        <v>524</v>
      </c>
      <c r="E74" s="156" t="s">
        <v>276</v>
      </c>
      <c r="F74" s="142" t="s">
        <v>60</v>
      </c>
      <c r="G74" s="136" t="s">
        <v>524</v>
      </c>
      <c r="H74" s="137"/>
      <c r="I74" s="138"/>
      <c r="J74" s="138"/>
      <c r="K74" s="138"/>
      <c r="L74" s="138"/>
      <c r="M74" s="130" t="s">
        <v>512</v>
      </c>
      <c r="N74" s="130"/>
      <c r="O74" s="130"/>
      <c r="P74" s="130"/>
    </row>
    <row r="75" spans="1:16">
      <c r="A75" s="154" t="s">
        <v>233</v>
      </c>
      <c r="B75" s="132" t="s">
        <v>276</v>
      </c>
      <c r="C75" s="150" t="s">
        <v>133</v>
      </c>
      <c r="D75" s="121" t="s">
        <v>524</v>
      </c>
      <c r="E75" s="152" t="s">
        <v>268</v>
      </c>
      <c r="F75" s="142" t="s">
        <v>124</v>
      </c>
      <c r="G75" s="136" t="s">
        <v>508</v>
      </c>
      <c r="H75" s="137"/>
      <c r="I75" s="138"/>
      <c r="J75" s="138"/>
      <c r="K75" s="138" t="s">
        <v>508</v>
      </c>
      <c r="L75" s="138"/>
      <c r="M75" s="130"/>
      <c r="N75" s="130"/>
      <c r="O75" s="130"/>
      <c r="P75" s="130"/>
    </row>
    <row r="76" spans="1:16">
      <c r="A76" s="139" t="s">
        <v>229</v>
      </c>
      <c r="B76" s="163" t="s">
        <v>121</v>
      </c>
      <c r="C76" s="150" t="s">
        <v>121</v>
      </c>
      <c r="D76" s="121" t="s">
        <v>524</v>
      </c>
      <c r="E76" s="156" t="s">
        <v>276</v>
      </c>
      <c r="F76" s="142" t="s">
        <v>126</v>
      </c>
      <c r="G76" s="136" t="s">
        <v>273</v>
      </c>
      <c r="H76" s="137"/>
      <c r="I76" s="138"/>
      <c r="J76" s="138"/>
      <c r="K76" s="138"/>
      <c r="L76" s="138"/>
      <c r="M76" s="130" t="s">
        <v>512</v>
      </c>
      <c r="N76" s="130"/>
      <c r="O76" s="130"/>
      <c r="P76" s="130"/>
    </row>
    <row r="77" spans="1:16">
      <c r="A77" s="168" t="s">
        <v>72</v>
      </c>
      <c r="B77" s="169" t="s">
        <v>155</v>
      </c>
      <c r="C77" s="170" t="s">
        <v>104</v>
      </c>
      <c r="D77" s="121" t="s">
        <v>524</v>
      </c>
      <c r="E77" s="171" t="s">
        <v>269</v>
      </c>
      <c r="F77" s="172" t="s">
        <v>124</v>
      </c>
      <c r="G77" s="173" t="s">
        <v>511</v>
      </c>
      <c r="H77" s="167"/>
      <c r="I77" s="174"/>
      <c r="J77" s="174" t="s">
        <v>511</v>
      </c>
      <c r="K77" s="174"/>
      <c r="L77" s="174"/>
      <c r="M77" s="130"/>
      <c r="N77" s="175"/>
      <c r="O77" s="175"/>
      <c r="P77" s="175"/>
    </row>
    <row r="78" spans="1:16">
      <c r="A78" s="176" t="s">
        <v>241</v>
      </c>
      <c r="B78" s="169" t="s">
        <v>221</v>
      </c>
      <c r="C78" s="170" t="s">
        <v>116</v>
      </c>
      <c r="D78" s="121" t="s">
        <v>528</v>
      </c>
      <c r="E78" s="177" t="s">
        <v>447</v>
      </c>
      <c r="F78" s="172" t="s">
        <v>52</v>
      </c>
      <c r="G78" s="136" t="s">
        <v>502</v>
      </c>
      <c r="H78" s="137" t="s">
        <v>502</v>
      </c>
      <c r="I78" s="174"/>
      <c r="J78" s="174"/>
      <c r="K78" s="174"/>
      <c r="L78" s="174"/>
      <c r="M78" s="130" t="s">
        <v>512</v>
      </c>
      <c r="N78" s="175"/>
      <c r="O78" s="175"/>
      <c r="P78" s="175"/>
    </row>
    <row r="79" spans="1:16">
      <c r="A79" s="178" t="s">
        <v>439</v>
      </c>
      <c r="B79" s="179" t="s">
        <v>221</v>
      </c>
      <c r="C79" s="170" t="s">
        <v>133</v>
      </c>
      <c r="D79" s="180" t="s">
        <v>530</v>
      </c>
      <c r="E79" s="181" t="s">
        <v>447</v>
      </c>
      <c r="F79" s="182" t="s">
        <v>124</v>
      </c>
      <c r="G79" s="136" t="s">
        <v>502</v>
      </c>
      <c r="H79" s="137" t="s">
        <v>502</v>
      </c>
      <c r="I79" s="174"/>
      <c r="J79" s="174"/>
      <c r="K79" s="174"/>
      <c r="L79" s="174"/>
      <c r="M79" s="130" t="s">
        <v>512</v>
      </c>
      <c r="N79" s="175"/>
      <c r="O79" s="175"/>
      <c r="P79" s="175"/>
    </row>
    <row r="80" spans="1:16">
      <c r="A80" s="183" t="s">
        <v>510</v>
      </c>
      <c r="B80" s="179" t="s">
        <v>276</v>
      </c>
      <c r="C80" s="170" t="s">
        <v>515</v>
      </c>
      <c r="D80" s="121" t="s">
        <v>524</v>
      </c>
      <c r="E80" s="181" t="s">
        <v>276</v>
      </c>
      <c r="F80" s="182" t="s">
        <v>124</v>
      </c>
      <c r="G80" s="136" t="s">
        <v>502</v>
      </c>
      <c r="H80" s="137" t="s">
        <v>502</v>
      </c>
      <c r="I80" s="174"/>
      <c r="J80" s="174"/>
      <c r="K80" s="174"/>
      <c r="L80" s="174"/>
      <c r="M80" s="130" t="s">
        <v>512</v>
      </c>
      <c r="N80" s="175"/>
      <c r="O80" s="175"/>
      <c r="P80" s="175"/>
    </row>
    <row r="81" spans="1:16">
      <c r="A81" s="183" t="s">
        <v>249</v>
      </c>
      <c r="B81" s="179" t="s">
        <v>276</v>
      </c>
      <c r="C81" s="170" t="s">
        <v>133</v>
      </c>
      <c r="D81" s="184" t="s">
        <v>530</v>
      </c>
      <c r="E81" s="181" t="s">
        <v>276</v>
      </c>
      <c r="F81" s="182" t="s">
        <v>52</v>
      </c>
      <c r="G81" s="173" t="s">
        <v>273</v>
      </c>
      <c r="H81" s="167" t="s">
        <v>273</v>
      </c>
      <c r="I81" s="174" t="s">
        <v>518</v>
      </c>
      <c r="J81" s="174"/>
      <c r="K81" s="174"/>
      <c r="L81" s="174"/>
      <c r="M81" s="175" t="s">
        <v>512</v>
      </c>
      <c r="N81" s="175"/>
      <c r="O81" s="175"/>
      <c r="P81" s="175"/>
    </row>
    <row r="82" spans="1:16">
      <c r="A82" s="185" t="s">
        <v>576</v>
      </c>
      <c r="B82" s="179" t="s">
        <v>276</v>
      </c>
      <c r="C82" s="170" t="s">
        <v>105</v>
      </c>
      <c r="D82" s="121" t="s">
        <v>524</v>
      </c>
      <c r="E82" s="181" t="s">
        <v>276</v>
      </c>
      <c r="F82" s="182" t="s">
        <v>124</v>
      </c>
      <c r="G82" s="186" t="s">
        <v>521</v>
      </c>
      <c r="H82" s="167" t="s">
        <v>502</v>
      </c>
      <c r="I82" s="167" t="s">
        <v>518</v>
      </c>
      <c r="J82" s="174" t="s">
        <v>597</v>
      </c>
      <c r="K82" s="174" t="s">
        <v>597</v>
      </c>
      <c r="L82" s="174" t="s">
        <v>597</v>
      </c>
      <c r="M82" s="175" t="s">
        <v>597</v>
      </c>
      <c r="N82" s="175" t="s">
        <v>509</v>
      </c>
      <c r="O82" s="175" t="s">
        <v>597</v>
      </c>
      <c r="P82" s="175" t="s">
        <v>597</v>
      </c>
    </row>
    <row r="83" spans="1:16">
      <c r="A83" s="185" t="s">
        <v>579</v>
      </c>
      <c r="B83" s="179" t="s">
        <v>276</v>
      </c>
      <c r="C83" s="77" t="s">
        <v>580</v>
      </c>
      <c r="D83" s="121" t="s">
        <v>524</v>
      </c>
      <c r="E83" s="181" t="s">
        <v>276</v>
      </c>
      <c r="F83" s="182" t="s">
        <v>124</v>
      </c>
      <c r="G83" s="186" t="s">
        <v>198</v>
      </c>
      <c r="H83" s="167"/>
      <c r="I83" s="167"/>
      <c r="J83" s="174"/>
      <c r="K83" s="174"/>
      <c r="L83" s="174"/>
      <c r="M83" s="175"/>
      <c r="N83" s="175"/>
      <c r="O83" s="175"/>
      <c r="P83" s="175"/>
    </row>
    <row r="84" spans="1:16">
      <c r="A84" s="187" t="s">
        <v>443</v>
      </c>
      <c r="B84" s="179" t="s">
        <v>276</v>
      </c>
      <c r="C84" s="170" t="s">
        <v>584</v>
      </c>
      <c r="D84" s="121" t="s">
        <v>524</v>
      </c>
      <c r="E84" s="181" t="s">
        <v>276</v>
      </c>
      <c r="F84" s="182" t="s">
        <v>124</v>
      </c>
      <c r="G84" s="126" t="s">
        <v>272</v>
      </c>
      <c r="H84" s="167"/>
      <c r="I84" s="126" t="s">
        <v>272</v>
      </c>
      <c r="J84" s="174"/>
      <c r="K84" s="174"/>
      <c r="L84" s="174"/>
      <c r="M84" s="175"/>
      <c r="N84" s="175"/>
      <c r="O84" s="175"/>
      <c r="P84" s="175"/>
    </row>
    <row r="85" spans="1:16">
      <c r="A85" s="371" t="s">
        <v>692</v>
      </c>
      <c r="B85" s="155" t="s">
        <v>144</v>
      </c>
      <c r="C85" s="145" t="s">
        <v>145</v>
      </c>
      <c r="D85" s="121" t="s">
        <v>524</v>
      </c>
      <c r="E85" s="152" t="s">
        <v>136</v>
      </c>
      <c r="F85" s="182" t="s">
        <v>124</v>
      </c>
      <c r="G85" s="136" t="s">
        <v>524</v>
      </c>
      <c r="H85" s="167" t="s">
        <v>502</v>
      </c>
      <c r="I85" s="204"/>
      <c r="J85" s="138"/>
      <c r="K85" s="138"/>
      <c r="L85" s="138"/>
      <c r="M85" s="130"/>
      <c r="N85" s="175"/>
      <c r="O85" s="175"/>
      <c r="P85" s="175"/>
    </row>
    <row r="86" spans="1:16">
      <c r="A86" s="371" t="s">
        <v>693</v>
      </c>
      <c r="B86" s="144" t="s">
        <v>96</v>
      </c>
      <c r="C86" s="150" t="s">
        <v>153</v>
      </c>
      <c r="D86" s="373" t="s">
        <v>524</v>
      </c>
      <c r="E86" s="156" t="s">
        <v>136</v>
      </c>
      <c r="F86" s="182" t="s">
        <v>124</v>
      </c>
      <c r="G86" s="136" t="s">
        <v>274</v>
      </c>
      <c r="H86" s="167"/>
      <c r="I86" s="204"/>
      <c r="J86" s="138"/>
      <c r="K86" s="138"/>
      <c r="L86" s="138"/>
      <c r="M86" s="130"/>
      <c r="N86" s="175"/>
      <c r="O86" s="175"/>
      <c r="P86" s="175"/>
    </row>
    <row r="87" spans="1:16">
      <c r="A87" s="371" t="s">
        <v>699</v>
      </c>
      <c r="B87" s="144" t="s">
        <v>96</v>
      </c>
      <c r="C87" s="150" t="s">
        <v>153</v>
      </c>
      <c r="D87" s="373" t="s">
        <v>524</v>
      </c>
      <c r="E87" s="156" t="s">
        <v>136</v>
      </c>
      <c r="F87" s="182" t="s">
        <v>124</v>
      </c>
      <c r="G87" s="136" t="s">
        <v>524</v>
      </c>
      <c r="H87" s="167"/>
      <c r="I87" s="204"/>
      <c r="J87" s="138"/>
      <c r="K87" s="138"/>
      <c r="L87" s="138"/>
      <c r="M87" s="130"/>
      <c r="N87" s="175"/>
      <c r="O87" s="175"/>
      <c r="P87" s="175"/>
    </row>
    <row r="88" spans="1:16">
      <c r="A88" s="39"/>
      <c r="B88" s="37"/>
      <c r="C88" s="38"/>
      <c r="D88" s="39"/>
      <c r="E88" s="40"/>
    </row>
    <row r="89" spans="1:16">
      <c r="A89" s="39"/>
      <c r="B89" s="41"/>
      <c r="C89" s="38"/>
      <c r="D89" s="39"/>
      <c r="E89" s="40"/>
    </row>
    <row r="90" spans="1:16">
      <c r="B90" s="37"/>
      <c r="C90" s="42"/>
      <c r="E90" s="40"/>
    </row>
    <row r="91" spans="1:16">
      <c r="A91" s="39"/>
      <c r="B91" s="37"/>
      <c r="C91" s="38"/>
      <c r="D91" s="39"/>
      <c r="E91" s="40"/>
    </row>
    <row r="92" spans="1:16">
      <c r="A92" s="39"/>
      <c r="B92" s="37"/>
      <c r="C92" s="42"/>
      <c r="D92" s="39"/>
      <c r="E92" s="40"/>
    </row>
    <row r="93" spans="1:16">
      <c r="A93" s="39"/>
      <c r="B93" s="37"/>
      <c r="C93" s="38"/>
      <c r="D93" s="39"/>
      <c r="E93" s="40"/>
    </row>
    <row r="94" spans="1:16">
      <c r="A94" s="39"/>
      <c r="B94" s="37"/>
      <c r="C94" s="38"/>
      <c r="D94" s="39"/>
      <c r="E94" s="40"/>
    </row>
    <row r="95" spans="1:16">
      <c r="A95" s="39"/>
      <c r="B95" s="37"/>
      <c r="C95" s="38"/>
      <c r="D95" s="39"/>
      <c r="E95" s="40"/>
    </row>
    <row r="96" spans="1:16">
      <c r="A96" s="39"/>
      <c r="B96" s="37"/>
      <c r="C96" s="38"/>
      <c r="D96" s="39"/>
      <c r="E96" s="40"/>
    </row>
    <row r="97" spans="1:5">
      <c r="A97" s="39"/>
      <c r="B97" s="37"/>
      <c r="C97" s="38"/>
      <c r="D97" s="39"/>
      <c r="E97" s="40"/>
    </row>
    <row r="98" spans="1:5">
      <c r="A98" s="39"/>
      <c r="B98" s="37"/>
      <c r="C98" s="38"/>
      <c r="D98" s="39"/>
      <c r="E98" s="40"/>
    </row>
    <row r="99" spans="1:5">
      <c r="A99" s="39"/>
      <c r="B99" s="37"/>
      <c r="C99" s="38"/>
      <c r="D99" s="39"/>
      <c r="E99" s="40"/>
    </row>
    <row r="100" spans="1:5">
      <c r="A100" s="39"/>
      <c r="B100" s="41"/>
      <c r="C100" s="38"/>
      <c r="D100" s="39"/>
      <c r="E100" s="40"/>
    </row>
    <row r="101" spans="1:5">
      <c r="A101" s="39"/>
      <c r="B101" s="37"/>
      <c r="C101" s="38"/>
      <c r="D101" s="39"/>
      <c r="E101" s="40"/>
    </row>
    <row r="102" spans="1:5">
      <c r="A102" s="39"/>
      <c r="B102" s="37"/>
      <c r="C102" s="38"/>
      <c r="D102" s="39"/>
      <c r="E102" s="40"/>
    </row>
    <row r="103" spans="1:5">
      <c r="A103" s="39"/>
      <c r="B103" s="37"/>
      <c r="C103" s="38"/>
      <c r="D103" s="39"/>
      <c r="E103" s="40"/>
    </row>
    <row r="104" spans="1:5">
      <c r="A104" s="39"/>
      <c r="B104" s="37"/>
      <c r="C104" s="38"/>
      <c r="D104" s="39"/>
      <c r="E104" s="40"/>
    </row>
    <row r="105" spans="1:5">
      <c r="A105" s="39"/>
      <c r="B105" s="37"/>
      <c r="C105" s="38"/>
      <c r="D105" s="39"/>
      <c r="E105" s="40"/>
    </row>
    <row r="106" spans="1:5">
      <c r="A106" s="39"/>
      <c r="B106" s="37"/>
      <c r="C106" s="38"/>
      <c r="D106" s="39"/>
      <c r="E106" s="40"/>
    </row>
    <row r="107" spans="1:5">
      <c r="A107" s="39"/>
      <c r="B107" s="37"/>
      <c r="C107" s="38"/>
      <c r="D107" s="39"/>
      <c r="E107" s="40"/>
    </row>
    <row r="108" spans="1:5">
      <c r="A108" s="39"/>
      <c r="B108" s="37"/>
      <c r="C108" s="42"/>
      <c r="D108" s="39"/>
      <c r="E108" s="40"/>
    </row>
    <row r="109" spans="1:5">
      <c r="A109" s="39"/>
      <c r="B109" s="41"/>
      <c r="C109" s="38"/>
      <c r="D109" s="39"/>
      <c r="E109" s="40"/>
    </row>
    <row r="110" spans="1:5">
      <c r="A110" s="39"/>
      <c r="B110" s="37"/>
      <c r="C110" s="38"/>
      <c r="D110" s="39"/>
      <c r="E110" s="40"/>
    </row>
    <row r="111" spans="1:5">
      <c r="A111" s="39"/>
      <c r="B111" s="37"/>
      <c r="C111" s="38"/>
      <c r="D111" s="39"/>
      <c r="E111" s="40"/>
    </row>
    <row r="112" spans="1:5">
      <c r="A112" s="39"/>
      <c r="B112" s="37"/>
      <c r="C112" s="38"/>
      <c r="D112" s="39"/>
      <c r="E112" s="40"/>
    </row>
    <row r="113" spans="1:5">
      <c r="A113" s="39"/>
      <c r="B113" s="37"/>
      <c r="C113" s="38"/>
      <c r="D113" s="39"/>
      <c r="E113" s="40"/>
    </row>
    <row r="114" spans="1:5">
      <c r="A114" s="39"/>
      <c r="B114" s="37"/>
      <c r="C114" s="38"/>
      <c r="D114" s="39"/>
      <c r="E114" s="40"/>
    </row>
    <row r="115" spans="1:5">
      <c r="A115" s="39"/>
      <c r="B115" s="37"/>
      <c r="C115" s="42"/>
      <c r="D115" s="39"/>
      <c r="E115" s="40"/>
    </row>
    <row r="116" spans="1:5">
      <c r="A116" s="39"/>
      <c r="B116" s="37"/>
      <c r="C116" s="42"/>
      <c r="D116" s="39"/>
      <c r="E116" s="40"/>
    </row>
    <row r="117" spans="1:5">
      <c r="A117" s="39"/>
      <c r="B117" s="37"/>
      <c r="C117" s="42"/>
      <c r="D117" s="39"/>
      <c r="E117" s="40"/>
    </row>
    <row r="118" spans="1:5">
      <c r="A118" s="39"/>
      <c r="B118" s="37"/>
      <c r="C118" s="42"/>
      <c r="D118" s="39"/>
      <c r="E118" s="40"/>
    </row>
    <row r="119" spans="1:5">
      <c r="A119" s="39"/>
      <c r="B119" s="37"/>
      <c r="C119" s="38"/>
      <c r="D119" s="39"/>
      <c r="E119" s="40"/>
    </row>
    <row r="120" spans="1:5">
      <c r="A120" s="39"/>
      <c r="B120" s="37"/>
      <c r="C120" s="38"/>
      <c r="D120" s="39"/>
      <c r="E120" s="40"/>
    </row>
    <row r="121" spans="1:5">
      <c r="A121" s="39"/>
      <c r="B121" s="37"/>
      <c r="C121" s="38"/>
      <c r="D121" s="39"/>
      <c r="E121" s="40"/>
    </row>
  </sheetData>
  <phoneticPr fontId="1" type="noConversion"/>
  <pageMargins left="0" right="0" top="0" bottom="0" header="0" footer="0"/>
  <pageSetup paperSize="9" fitToHeight="0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75D3E1-B77D-4068-B468-72BAAA46B5BB}">
          <x14:formula1>
            <xm:f>정렬표!#REF!</xm:f>
          </x14:formula1>
          <xm:sqref>F3:F213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AAD8-258F-4978-83DF-D0103072AC06}">
  <sheetPr codeName="Sheet2">
    <tabColor rgb="FFCCAEF4"/>
  </sheetPr>
  <dimension ref="A1:P89"/>
  <sheetViews>
    <sheetView topLeftCell="B1" zoomScale="70" zoomScaleNormal="70" workbookViewId="0">
      <selection activeCell="H6" sqref="H6"/>
    </sheetView>
  </sheetViews>
  <sheetFormatPr defaultRowHeight="16.5"/>
  <cols>
    <col min="1" max="6" width="16.5" customWidth="1"/>
    <col min="7" max="8" width="21.625" customWidth="1"/>
    <col min="9" max="9" width="27.375" customWidth="1"/>
    <col min="10" max="10" width="17" customWidth="1"/>
    <col min="11" max="11" width="27.125" customWidth="1"/>
    <col min="12" max="12" width="23.25" bestFit="1" customWidth="1"/>
    <col min="13" max="13" width="22.625" customWidth="1"/>
    <col min="14" max="14" width="27.125" customWidth="1"/>
    <col min="15" max="15" width="23.25" bestFit="1" customWidth="1"/>
    <col min="16" max="16" width="30.75" customWidth="1"/>
  </cols>
  <sheetData>
    <row r="1" spans="1:16" ht="30" customHeight="1" thickBot="1">
      <c r="A1" s="348" t="s">
        <v>1</v>
      </c>
      <c r="B1" s="349" t="s">
        <v>2</v>
      </c>
      <c r="C1" s="350" t="s">
        <v>4</v>
      </c>
      <c r="D1" s="290" t="s">
        <v>156</v>
      </c>
      <c r="E1" s="291" t="s">
        <v>589</v>
      </c>
      <c r="F1" s="291" t="s">
        <v>192</v>
      </c>
      <c r="G1" s="292" t="s">
        <v>590</v>
      </c>
      <c r="H1" s="292" t="s">
        <v>444</v>
      </c>
      <c r="I1" s="345" t="s">
        <v>198</v>
      </c>
      <c r="J1" s="346" t="s">
        <v>601</v>
      </c>
      <c r="K1" s="346" t="s">
        <v>272</v>
      </c>
      <c r="L1" s="346" t="s">
        <v>602</v>
      </c>
      <c r="M1" s="346" t="s">
        <v>603</v>
      </c>
      <c r="N1" s="347" t="s">
        <v>599</v>
      </c>
      <c r="O1" s="202" t="s">
        <v>196</v>
      </c>
      <c r="P1" s="202" t="s">
        <v>52</v>
      </c>
    </row>
    <row r="2" spans="1:16" ht="30" customHeight="1">
      <c r="A2" s="110" t="s">
        <v>0</v>
      </c>
      <c r="B2" s="110" t="s">
        <v>45</v>
      </c>
      <c r="C2" s="111" t="s">
        <v>45</v>
      </c>
      <c r="D2" s="112" t="s">
        <v>589</v>
      </c>
      <c r="E2" s="110" t="s">
        <v>194</v>
      </c>
      <c r="F2" s="110" t="s">
        <v>163</v>
      </c>
      <c r="G2" s="113" t="s">
        <v>165</v>
      </c>
      <c r="H2" s="114" t="s">
        <v>459</v>
      </c>
      <c r="I2" s="112" t="s">
        <v>134</v>
      </c>
      <c r="J2" s="110" t="s">
        <v>501</v>
      </c>
      <c r="K2" s="115" t="s">
        <v>436</v>
      </c>
      <c r="L2" s="105" t="s">
        <v>571</v>
      </c>
      <c r="M2" s="105" t="s">
        <v>78</v>
      </c>
      <c r="N2" s="116" t="s">
        <v>391</v>
      </c>
      <c r="O2" s="105" t="s">
        <v>194</v>
      </c>
      <c r="P2" s="112" t="s">
        <v>134</v>
      </c>
    </row>
    <row r="3" spans="1:16" ht="30" customHeight="1">
      <c r="A3" s="115" t="s">
        <v>28</v>
      </c>
      <c r="B3" s="115" t="s">
        <v>51</v>
      </c>
      <c r="C3" s="117" t="s">
        <v>51</v>
      </c>
      <c r="D3" s="118" t="s">
        <v>192</v>
      </c>
      <c r="E3" s="115" t="s">
        <v>161</v>
      </c>
      <c r="F3" s="115" t="s">
        <v>195</v>
      </c>
      <c r="G3" s="119" t="s">
        <v>366</v>
      </c>
      <c r="H3" s="119"/>
      <c r="I3" s="118" t="s">
        <v>254</v>
      </c>
      <c r="J3" s="115" t="s">
        <v>236</v>
      </c>
      <c r="K3" s="110" t="s">
        <v>137</v>
      </c>
      <c r="L3" s="108" t="s">
        <v>71</v>
      </c>
      <c r="M3" s="108" t="s">
        <v>414</v>
      </c>
      <c r="N3" s="114" t="s">
        <v>404</v>
      </c>
      <c r="O3" s="108" t="s">
        <v>161</v>
      </c>
      <c r="P3" s="118" t="s">
        <v>254</v>
      </c>
    </row>
    <row r="4" spans="1:16" ht="30" customHeight="1">
      <c r="A4" s="115" t="s">
        <v>37</v>
      </c>
      <c r="B4" s="115" t="s">
        <v>48</v>
      </c>
      <c r="C4" s="117" t="s">
        <v>43</v>
      </c>
      <c r="D4" s="118" t="s">
        <v>590</v>
      </c>
      <c r="E4" s="115" t="s">
        <v>322</v>
      </c>
      <c r="F4" s="115" t="s">
        <v>308</v>
      </c>
      <c r="G4" s="119" t="s">
        <v>166</v>
      </c>
      <c r="H4" s="119"/>
      <c r="I4" s="118" t="s">
        <v>248</v>
      </c>
      <c r="J4" s="115" t="s">
        <v>449</v>
      </c>
      <c r="K4" s="115" t="s">
        <v>600</v>
      </c>
      <c r="L4" s="108" t="s">
        <v>80</v>
      </c>
      <c r="M4" s="108" t="s">
        <v>238</v>
      </c>
      <c r="N4" s="114" t="s">
        <v>410</v>
      </c>
      <c r="O4" s="108" t="s">
        <v>322</v>
      </c>
      <c r="P4" s="118" t="s">
        <v>248</v>
      </c>
    </row>
    <row r="5" spans="1:16" ht="30" customHeight="1">
      <c r="A5" s="115" t="s">
        <v>26</v>
      </c>
      <c r="B5" s="115" t="s">
        <v>49</v>
      </c>
      <c r="C5" s="117" t="s">
        <v>42</v>
      </c>
      <c r="D5" s="118" t="s">
        <v>444</v>
      </c>
      <c r="E5" s="115"/>
      <c r="F5" s="115" t="s">
        <v>333</v>
      </c>
      <c r="G5" s="119" t="s">
        <v>305</v>
      </c>
      <c r="H5" s="119"/>
      <c r="I5" s="118" t="s">
        <v>441</v>
      </c>
      <c r="J5" s="115" t="s">
        <v>420</v>
      </c>
      <c r="K5" s="115" t="s">
        <v>263</v>
      </c>
      <c r="L5" s="108" t="s">
        <v>418</v>
      </c>
      <c r="M5" s="108" t="s">
        <v>398</v>
      </c>
      <c r="N5" s="114" t="s">
        <v>400</v>
      </c>
      <c r="O5" s="108" t="s">
        <v>163</v>
      </c>
      <c r="P5" s="118" t="s">
        <v>441</v>
      </c>
    </row>
    <row r="6" spans="1:16" ht="30" customHeight="1">
      <c r="A6" s="115" t="s">
        <v>25</v>
      </c>
      <c r="B6" s="115" t="s">
        <v>50</v>
      </c>
      <c r="C6" s="117" t="s">
        <v>44</v>
      </c>
      <c r="D6" s="118" t="s">
        <v>189</v>
      </c>
      <c r="E6" s="115"/>
      <c r="F6" s="115" t="s">
        <v>560</v>
      </c>
      <c r="G6" s="119" t="s">
        <v>569</v>
      </c>
      <c r="H6" s="119"/>
      <c r="I6" s="118" t="s">
        <v>199</v>
      </c>
      <c r="J6" s="115" t="s">
        <v>129</v>
      </c>
      <c r="K6" s="115" t="s">
        <v>138</v>
      </c>
      <c r="L6" s="108" t="s">
        <v>452</v>
      </c>
      <c r="M6" s="108" t="s">
        <v>448</v>
      </c>
      <c r="N6" s="114" t="s">
        <v>385</v>
      </c>
      <c r="O6" s="108" t="s">
        <v>195</v>
      </c>
      <c r="P6" s="118" t="s">
        <v>199</v>
      </c>
    </row>
    <row r="7" spans="1:16" ht="30" customHeight="1">
      <c r="A7" s="115" t="s">
        <v>16</v>
      </c>
      <c r="B7" s="115" t="s">
        <v>469</v>
      </c>
      <c r="C7" s="117" t="s">
        <v>38</v>
      </c>
      <c r="D7" s="118"/>
      <c r="E7" s="115"/>
      <c r="F7" s="115" t="s">
        <v>325</v>
      </c>
      <c r="G7" s="119" t="s">
        <v>282</v>
      </c>
      <c r="H7" s="119"/>
      <c r="I7" s="118" t="s">
        <v>568</v>
      </c>
      <c r="J7" s="115" t="s">
        <v>243</v>
      </c>
      <c r="K7" s="115" t="s">
        <v>407</v>
      </c>
      <c r="L7" s="108" t="s">
        <v>81</v>
      </c>
      <c r="M7" s="108" t="s">
        <v>132</v>
      </c>
      <c r="N7" s="114" t="s">
        <v>67</v>
      </c>
      <c r="O7" s="108" t="s">
        <v>308</v>
      </c>
      <c r="P7" s="118" t="s">
        <v>568</v>
      </c>
    </row>
    <row r="8" spans="1:16" ht="30" customHeight="1">
      <c r="A8" s="115" t="s">
        <v>10</v>
      </c>
      <c r="B8" s="115" t="s">
        <v>468</v>
      </c>
      <c r="C8" s="117" t="s">
        <v>39</v>
      </c>
      <c r="D8" s="118"/>
      <c r="E8" s="115"/>
      <c r="F8" s="115"/>
      <c r="G8" s="119" t="s">
        <v>329</v>
      </c>
      <c r="H8" s="119"/>
      <c r="I8" s="118" t="s">
        <v>437</v>
      </c>
      <c r="J8" s="115" t="s">
        <v>567</v>
      </c>
      <c r="K8" s="115" t="s">
        <v>392</v>
      </c>
      <c r="L8" s="108" t="s">
        <v>412</v>
      </c>
      <c r="M8" s="108" t="s">
        <v>417</v>
      </c>
      <c r="N8" s="114" t="s">
        <v>246</v>
      </c>
      <c r="O8" s="108" t="s">
        <v>333</v>
      </c>
      <c r="P8" s="118" t="s">
        <v>437</v>
      </c>
    </row>
    <row r="9" spans="1:16" ht="30" customHeight="1">
      <c r="A9" s="115" t="s">
        <v>3</v>
      </c>
      <c r="B9" s="115" t="s">
        <v>47</v>
      </c>
      <c r="C9" s="117" t="s">
        <v>467</v>
      </c>
      <c r="D9" s="118"/>
      <c r="E9" s="115"/>
      <c r="F9" s="115"/>
      <c r="G9" s="119" t="s">
        <v>570</v>
      </c>
      <c r="H9" s="119"/>
      <c r="I9" s="118" t="s">
        <v>390</v>
      </c>
      <c r="J9" s="115" t="s">
        <v>419</v>
      </c>
      <c r="K9" s="115" t="s">
        <v>381</v>
      </c>
      <c r="L9" s="108" t="s">
        <v>405</v>
      </c>
      <c r="M9" s="108" t="s">
        <v>130</v>
      </c>
      <c r="N9" s="114" t="s">
        <v>235</v>
      </c>
      <c r="O9" s="108" t="s">
        <v>560</v>
      </c>
      <c r="P9" s="118" t="s">
        <v>390</v>
      </c>
    </row>
    <row r="10" spans="1:16" ht="30" customHeight="1">
      <c r="A10" s="115" t="s">
        <v>29</v>
      </c>
      <c r="B10" s="115"/>
      <c r="C10" s="117" t="s">
        <v>466</v>
      </c>
      <c r="D10" s="118"/>
      <c r="E10" s="115"/>
      <c r="F10" s="115"/>
      <c r="G10" s="119" t="s">
        <v>301</v>
      </c>
      <c r="H10" s="119"/>
      <c r="I10" s="118" t="s">
        <v>579</v>
      </c>
      <c r="J10" s="115" t="s">
        <v>408</v>
      </c>
      <c r="K10" s="115" t="s">
        <v>397</v>
      </c>
      <c r="L10" s="108" t="s">
        <v>389</v>
      </c>
      <c r="M10" s="108" t="s">
        <v>415</v>
      </c>
      <c r="N10" s="114" t="s">
        <v>403</v>
      </c>
      <c r="O10" s="108" t="s">
        <v>325</v>
      </c>
      <c r="P10" s="118" t="s">
        <v>579</v>
      </c>
    </row>
    <row r="11" spans="1:16" ht="30" customHeight="1">
      <c r="A11" s="115" t="s">
        <v>11</v>
      </c>
      <c r="B11" s="115"/>
      <c r="C11" s="117" t="s">
        <v>465</v>
      </c>
      <c r="D11" s="118"/>
      <c r="E11" s="115"/>
      <c r="F11" s="115"/>
      <c r="G11" s="119" t="s">
        <v>298</v>
      </c>
      <c r="H11" s="119"/>
      <c r="I11" s="118" t="s">
        <v>595</v>
      </c>
      <c r="J11" s="115" t="s">
        <v>565</v>
      </c>
      <c r="K11" s="115" t="s">
        <v>131</v>
      </c>
      <c r="L11" s="108" t="s">
        <v>64</v>
      </c>
      <c r="M11" s="108" t="s">
        <v>693</v>
      </c>
      <c r="N11" s="114" t="s">
        <v>69</v>
      </c>
      <c r="O11" s="108" t="s">
        <v>165</v>
      </c>
      <c r="P11" s="118" t="s">
        <v>595</v>
      </c>
    </row>
    <row r="12" spans="1:16" ht="30" customHeight="1">
      <c r="A12" s="115" t="s">
        <v>14</v>
      </c>
      <c r="B12" s="115"/>
      <c r="C12" s="117" t="s">
        <v>208</v>
      </c>
      <c r="D12" s="118"/>
      <c r="E12" s="115"/>
      <c r="F12" s="115"/>
      <c r="G12" s="119" t="s">
        <v>288</v>
      </c>
      <c r="H12" s="119"/>
      <c r="I12" s="118"/>
      <c r="J12" s="115" t="s">
        <v>242</v>
      </c>
      <c r="K12" s="115" t="s">
        <v>443</v>
      </c>
      <c r="L12" s="108" t="s">
        <v>70</v>
      </c>
      <c r="M12" s="108"/>
      <c r="N12" s="114" t="s">
        <v>84</v>
      </c>
      <c r="O12" s="108" t="s">
        <v>366</v>
      </c>
      <c r="P12" s="118" t="s">
        <v>501</v>
      </c>
    </row>
    <row r="13" spans="1:16" ht="30" customHeight="1">
      <c r="A13" s="115" t="s">
        <v>41</v>
      </c>
      <c r="B13" s="115"/>
      <c r="C13" s="117" t="s">
        <v>464</v>
      </c>
      <c r="D13" s="118"/>
      <c r="E13" s="115"/>
      <c r="F13" s="115"/>
      <c r="G13" s="119" t="s">
        <v>586</v>
      </c>
      <c r="H13" s="119"/>
      <c r="I13" s="118"/>
      <c r="J13" s="115" t="s">
        <v>413</v>
      </c>
      <c r="K13" s="115" t="s">
        <v>583</v>
      </c>
      <c r="L13" s="108" t="s">
        <v>261</v>
      </c>
      <c r="M13" s="108"/>
      <c r="N13" s="114" t="s">
        <v>411</v>
      </c>
      <c r="O13" s="108" t="s">
        <v>166</v>
      </c>
      <c r="P13" s="118" t="s">
        <v>135</v>
      </c>
    </row>
    <row r="14" spans="1:16" ht="30" customHeight="1">
      <c r="A14" s="115" t="s">
        <v>8</v>
      </c>
      <c r="B14" s="115"/>
      <c r="C14" s="117" t="s">
        <v>463</v>
      </c>
      <c r="D14" s="118"/>
      <c r="E14" s="115"/>
      <c r="F14" s="115"/>
      <c r="G14" s="119"/>
      <c r="H14" s="119"/>
      <c r="I14" s="118"/>
      <c r="J14" s="115" t="s">
        <v>522</v>
      </c>
      <c r="K14" s="115"/>
      <c r="L14" s="108" t="s">
        <v>244</v>
      </c>
      <c r="M14" s="108"/>
      <c r="N14" s="114" t="s">
        <v>387</v>
      </c>
      <c r="O14" s="108" t="s">
        <v>305</v>
      </c>
      <c r="P14" s="118" t="s">
        <v>439</v>
      </c>
    </row>
    <row r="15" spans="1:16" ht="30" customHeight="1">
      <c r="A15" s="115"/>
      <c r="B15" s="115"/>
      <c r="C15" s="117" t="s">
        <v>40</v>
      </c>
      <c r="D15" s="118"/>
      <c r="E15" s="115"/>
      <c r="F15" s="115"/>
      <c r="G15" s="119"/>
      <c r="H15" s="119"/>
      <c r="I15" s="118"/>
      <c r="J15" s="115" t="s">
        <v>450</v>
      </c>
      <c r="K15" s="115"/>
      <c r="L15" s="108" t="s">
        <v>406</v>
      </c>
      <c r="M15" s="108"/>
      <c r="N15" s="114" t="s">
        <v>85</v>
      </c>
      <c r="O15" s="108" t="s">
        <v>569</v>
      </c>
      <c r="P15" s="118" t="s">
        <v>249</v>
      </c>
    </row>
    <row r="16" spans="1:16" ht="30" customHeight="1">
      <c r="A16" s="115"/>
      <c r="B16" s="115"/>
      <c r="C16" s="117" t="s">
        <v>703</v>
      </c>
      <c r="D16" s="118"/>
      <c r="E16" s="115"/>
      <c r="F16" s="115"/>
      <c r="G16" s="119"/>
      <c r="H16" s="119"/>
      <c r="I16" s="118"/>
      <c r="J16" s="115" t="s">
        <v>227</v>
      </c>
      <c r="K16" s="115"/>
      <c r="L16" s="108" t="s">
        <v>416</v>
      </c>
      <c r="M16" s="108"/>
      <c r="N16" s="114" t="s">
        <v>384</v>
      </c>
      <c r="O16" s="108" t="s">
        <v>282</v>
      </c>
      <c r="P16" s="118" t="s">
        <v>230</v>
      </c>
    </row>
    <row r="17" spans="1:16" ht="30" customHeight="1">
      <c r="A17" s="115"/>
      <c r="B17" s="115"/>
      <c r="C17" s="117"/>
      <c r="D17" s="118"/>
      <c r="E17" s="115"/>
      <c r="F17" s="115"/>
      <c r="G17" s="119"/>
      <c r="H17" s="119"/>
      <c r="I17" s="118"/>
      <c r="J17" s="115" t="s">
        <v>450</v>
      </c>
      <c r="K17" s="115"/>
      <c r="L17" s="108"/>
      <c r="M17" s="108"/>
      <c r="N17" s="114" t="s">
        <v>383</v>
      </c>
      <c r="O17" s="108" t="s">
        <v>329</v>
      </c>
      <c r="P17" s="118" t="s">
        <v>243</v>
      </c>
    </row>
    <row r="18" spans="1:16" ht="30" customHeight="1">
      <c r="A18" s="115"/>
      <c r="B18" s="115"/>
      <c r="C18" s="117"/>
      <c r="D18" s="118"/>
      <c r="E18" s="115"/>
      <c r="F18" s="115"/>
      <c r="G18" s="119"/>
      <c r="H18" s="119"/>
      <c r="I18" s="118"/>
      <c r="J18" s="115" t="s">
        <v>229</v>
      </c>
      <c r="K18" s="115"/>
      <c r="L18" s="108"/>
      <c r="M18" s="108"/>
      <c r="N18" s="114" t="s">
        <v>525</v>
      </c>
      <c r="O18" s="108" t="s">
        <v>570</v>
      </c>
      <c r="P18" s="118" t="s">
        <v>567</v>
      </c>
    </row>
    <row r="19" spans="1:16" ht="30" customHeight="1">
      <c r="A19" s="110"/>
      <c r="B19" s="110"/>
      <c r="C19" s="111"/>
      <c r="D19" s="112"/>
      <c r="E19" s="110"/>
      <c r="F19" s="110"/>
      <c r="G19" s="113"/>
      <c r="H19" s="120"/>
      <c r="I19" s="112"/>
      <c r="J19" s="110" t="s">
        <v>640</v>
      </c>
      <c r="K19" s="115"/>
      <c r="L19" s="105"/>
      <c r="M19" s="105"/>
      <c r="N19" s="116" t="s">
        <v>401</v>
      </c>
      <c r="O19" s="105" t="s">
        <v>301</v>
      </c>
      <c r="P19" s="112" t="s">
        <v>241</v>
      </c>
    </row>
    <row r="20" spans="1:16" ht="30" customHeight="1">
      <c r="A20" s="115"/>
      <c r="B20" s="115"/>
      <c r="C20" s="117"/>
      <c r="D20" s="118"/>
      <c r="E20" s="115"/>
      <c r="F20" s="115"/>
      <c r="G20" s="119"/>
      <c r="H20" s="119"/>
      <c r="I20" s="118"/>
      <c r="J20" s="115" t="s">
        <v>388</v>
      </c>
      <c r="K20" s="110"/>
      <c r="L20" s="108"/>
      <c r="M20" s="108"/>
      <c r="N20" s="114" t="s">
        <v>402</v>
      </c>
      <c r="O20" s="108" t="s">
        <v>298</v>
      </c>
      <c r="P20" s="118" t="s">
        <v>237</v>
      </c>
    </row>
    <row r="21" spans="1:16" ht="30" customHeight="1">
      <c r="A21" s="115"/>
      <c r="B21" s="115"/>
      <c r="C21" s="117"/>
      <c r="D21" s="118"/>
      <c r="E21" s="115"/>
      <c r="F21" s="115"/>
      <c r="G21" s="119"/>
      <c r="H21" s="119"/>
      <c r="I21" s="118"/>
      <c r="J21" s="115" t="s">
        <v>386</v>
      </c>
      <c r="K21" s="115"/>
      <c r="L21" s="108"/>
      <c r="M21" s="108"/>
      <c r="N21" s="114" t="s">
        <v>698</v>
      </c>
      <c r="O21" s="108" t="s">
        <v>288</v>
      </c>
      <c r="P21" s="118" t="s">
        <v>565</v>
      </c>
    </row>
    <row r="22" spans="1:16" ht="30" customHeight="1">
      <c r="A22" s="115"/>
      <c r="B22" s="115"/>
      <c r="C22" s="117"/>
      <c r="D22" s="118"/>
      <c r="E22" s="115"/>
      <c r="F22" s="115"/>
      <c r="G22" s="119"/>
      <c r="H22" s="119"/>
      <c r="I22" s="118"/>
      <c r="J22" s="115" t="s">
        <v>701</v>
      </c>
      <c r="K22" s="115"/>
      <c r="L22" s="108"/>
      <c r="M22" s="108"/>
      <c r="N22" s="114"/>
      <c r="O22" s="108" t="s">
        <v>459</v>
      </c>
      <c r="P22" s="118" t="s">
        <v>641</v>
      </c>
    </row>
    <row r="23" spans="1:16" ht="30" customHeight="1">
      <c r="A23" s="115"/>
      <c r="B23" s="115"/>
      <c r="C23" s="117"/>
      <c r="D23" s="118"/>
      <c r="E23" s="115"/>
      <c r="F23" s="115"/>
      <c r="G23" s="119"/>
      <c r="H23" s="119"/>
      <c r="I23" s="118"/>
      <c r="J23" s="115"/>
      <c r="K23" s="115"/>
      <c r="L23" s="108"/>
      <c r="M23" s="108"/>
      <c r="N23" s="114"/>
      <c r="O23" s="108"/>
      <c r="P23" s="118" t="s">
        <v>215</v>
      </c>
    </row>
    <row r="24" spans="1:16" ht="30" customHeight="1">
      <c r="A24" s="115"/>
      <c r="B24" s="115"/>
      <c r="C24" s="117"/>
      <c r="D24" s="118"/>
      <c r="E24" s="115"/>
      <c r="F24" s="115"/>
      <c r="G24" s="119"/>
      <c r="H24" s="119"/>
      <c r="I24" s="118"/>
      <c r="J24" s="115"/>
      <c r="K24" s="115"/>
      <c r="L24" s="108"/>
      <c r="M24" s="108"/>
      <c r="N24" s="114"/>
      <c r="O24" s="108"/>
      <c r="P24" s="118" t="s">
        <v>510</v>
      </c>
    </row>
    <row r="25" spans="1:16" ht="30" customHeight="1">
      <c r="A25" s="115"/>
      <c r="B25" s="115"/>
      <c r="C25" s="117"/>
      <c r="D25" s="118"/>
      <c r="E25" s="115"/>
      <c r="F25" s="115"/>
      <c r="G25" s="119"/>
      <c r="H25" s="119"/>
      <c r="I25" s="118"/>
      <c r="J25" s="115"/>
      <c r="K25" s="115"/>
      <c r="L25" s="108"/>
      <c r="M25" s="108"/>
      <c r="N25" s="114"/>
      <c r="O25" s="108"/>
      <c r="P25" s="118" t="s">
        <v>440</v>
      </c>
    </row>
    <row r="26" spans="1:16" ht="30" customHeight="1">
      <c r="A26" s="115"/>
      <c r="B26" s="115"/>
      <c r="C26" s="117"/>
      <c r="D26" s="118"/>
      <c r="E26" s="115"/>
      <c r="F26" s="115"/>
      <c r="G26" s="119"/>
      <c r="H26" s="119"/>
      <c r="I26" s="118"/>
      <c r="J26" s="115"/>
      <c r="K26" s="115"/>
      <c r="L26" s="108"/>
      <c r="M26" s="108"/>
      <c r="N26" s="114"/>
      <c r="O26" s="108"/>
      <c r="P26" s="118" t="s">
        <v>227</v>
      </c>
    </row>
    <row r="27" spans="1:16" ht="30" customHeight="1">
      <c r="A27" s="115"/>
      <c r="B27" s="115"/>
      <c r="C27" s="117"/>
      <c r="D27" s="118"/>
      <c r="E27" s="115"/>
      <c r="F27" s="115"/>
      <c r="G27" s="119"/>
      <c r="H27" s="119"/>
      <c r="I27" s="118"/>
      <c r="J27" s="115"/>
      <c r="K27" s="115"/>
      <c r="L27" s="108"/>
      <c r="M27" s="108"/>
      <c r="N27" s="114"/>
      <c r="O27" s="108"/>
      <c r="P27" s="118" t="s">
        <v>440</v>
      </c>
    </row>
    <row r="28" spans="1:16" ht="30" customHeight="1">
      <c r="A28" s="115"/>
      <c r="B28" s="115"/>
      <c r="C28" s="117"/>
      <c r="D28" s="118"/>
      <c r="E28" s="115"/>
      <c r="F28" s="115"/>
      <c r="G28" s="119"/>
      <c r="H28" s="119"/>
      <c r="I28" s="118"/>
      <c r="J28" s="115"/>
      <c r="K28" s="115"/>
      <c r="L28" s="108"/>
      <c r="M28" s="108"/>
      <c r="N28" s="114"/>
      <c r="O28" s="108"/>
      <c r="P28" s="118" t="s">
        <v>639</v>
      </c>
    </row>
    <row r="29" spans="1:16" ht="30" customHeight="1">
      <c r="A29" s="115"/>
      <c r="B29" s="115"/>
      <c r="C29" s="117"/>
      <c r="D29" s="118"/>
      <c r="E29" s="115"/>
      <c r="F29" s="115"/>
      <c r="G29" s="119"/>
      <c r="H29" s="119"/>
      <c r="I29" s="118"/>
      <c r="J29" s="115"/>
      <c r="K29" s="115"/>
      <c r="L29" s="108"/>
      <c r="M29" s="108"/>
      <c r="N29" s="114"/>
      <c r="O29" s="108"/>
      <c r="P29" s="118" t="s">
        <v>640</v>
      </c>
    </row>
    <row r="30" spans="1:16" ht="30" customHeight="1">
      <c r="A30" s="115"/>
      <c r="B30" s="115"/>
      <c r="C30" s="117"/>
      <c r="D30" s="118"/>
      <c r="E30" s="115"/>
      <c r="F30" s="115"/>
      <c r="G30" s="119"/>
      <c r="H30" s="119"/>
      <c r="I30" s="118"/>
      <c r="J30" s="115"/>
      <c r="K30" s="115"/>
      <c r="L30" s="108"/>
      <c r="M30" s="108"/>
      <c r="N30" s="114"/>
      <c r="O30" s="108"/>
      <c r="P30" s="118" t="s">
        <v>76</v>
      </c>
    </row>
    <row r="31" spans="1:16" ht="30" customHeight="1">
      <c r="A31" s="115"/>
      <c r="B31" s="115"/>
      <c r="C31" s="117"/>
      <c r="D31" s="118"/>
      <c r="E31" s="115"/>
      <c r="F31" s="115"/>
      <c r="G31" s="119"/>
      <c r="H31" s="119"/>
      <c r="I31" s="118"/>
      <c r="J31" s="115"/>
      <c r="K31" s="115"/>
      <c r="L31" s="108"/>
      <c r="M31" s="108"/>
      <c r="N31" s="114"/>
      <c r="O31" s="108"/>
      <c r="P31" s="118" t="s">
        <v>150</v>
      </c>
    </row>
    <row r="32" spans="1:16" ht="30" customHeight="1">
      <c r="A32" s="115"/>
      <c r="B32" s="115"/>
      <c r="C32" s="117"/>
      <c r="D32" s="118"/>
      <c r="E32" s="115"/>
      <c r="F32" s="115"/>
      <c r="G32" s="119"/>
      <c r="H32" s="119"/>
      <c r="I32" s="118"/>
      <c r="J32" s="115"/>
      <c r="K32" s="115"/>
      <c r="L32" s="108"/>
      <c r="M32" s="108"/>
      <c r="N32" s="114"/>
      <c r="O32" s="108"/>
      <c r="P32" s="118" t="s">
        <v>436</v>
      </c>
    </row>
    <row r="33" spans="1:16" ht="30" customHeight="1">
      <c r="A33" s="115"/>
      <c r="B33" s="115"/>
      <c r="C33" s="117"/>
      <c r="D33" s="118"/>
      <c r="E33" s="115"/>
      <c r="F33" s="115"/>
      <c r="G33" s="119"/>
      <c r="H33" s="119"/>
      <c r="I33" s="118"/>
      <c r="J33" s="115"/>
      <c r="K33" s="115"/>
      <c r="L33" s="108"/>
      <c r="M33" s="108"/>
      <c r="N33" s="114"/>
      <c r="O33" s="108"/>
      <c r="P33" s="118" t="s">
        <v>137</v>
      </c>
    </row>
    <row r="34" spans="1:16" ht="30" customHeight="1">
      <c r="A34" s="115"/>
      <c r="B34" s="115"/>
      <c r="C34" s="117"/>
      <c r="D34" s="118"/>
      <c r="E34" s="115"/>
      <c r="F34" s="115"/>
      <c r="G34" s="119"/>
      <c r="H34" s="119"/>
      <c r="I34" s="118"/>
      <c r="J34" s="115"/>
      <c r="K34" s="115"/>
      <c r="L34" s="108"/>
      <c r="M34" s="108"/>
      <c r="N34" s="114"/>
      <c r="O34" s="108"/>
      <c r="P34" s="118" t="s">
        <v>600</v>
      </c>
    </row>
    <row r="35" spans="1:16" ht="30" customHeight="1">
      <c r="A35" s="115"/>
      <c r="B35" s="115"/>
      <c r="C35" s="117"/>
      <c r="D35" s="118"/>
      <c r="E35" s="115"/>
      <c r="F35" s="115"/>
      <c r="G35" s="119"/>
      <c r="H35" s="119"/>
      <c r="I35" s="118"/>
      <c r="J35" s="115"/>
      <c r="K35" s="115"/>
      <c r="L35" s="108"/>
      <c r="M35" s="108"/>
      <c r="N35" s="114"/>
      <c r="O35" s="108"/>
      <c r="P35" s="118" t="s">
        <v>263</v>
      </c>
    </row>
    <row r="36" spans="1:16" ht="30" customHeight="1">
      <c r="A36" s="115"/>
      <c r="B36" s="115"/>
      <c r="C36" s="117"/>
      <c r="D36" s="118"/>
      <c r="E36" s="115"/>
      <c r="F36" s="115"/>
      <c r="G36" s="119"/>
      <c r="H36" s="119"/>
      <c r="I36" s="118"/>
      <c r="J36" s="115"/>
      <c r="K36" s="115"/>
      <c r="L36" s="108"/>
      <c r="M36" s="108"/>
      <c r="N36" s="114"/>
      <c r="O36" s="108"/>
      <c r="P36" s="118" t="s">
        <v>138</v>
      </c>
    </row>
    <row r="37" spans="1:16" ht="30" customHeight="1">
      <c r="A37" s="115"/>
      <c r="B37" s="115"/>
      <c r="C37" s="117"/>
      <c r="D37" s="118"/>
      <c r="E37" s="115"/>
      <c r="F37" s="115"/>
      <c r="G37" s="119"/>
      <c r="H37" s="119"/>
      <c r="I37" s="118"/>
      <c r="J37" s="108"/>
      <c r="K37" s="115"/>
      <c r="L37" s="108"/>
      <c r="M37" s="108"/>
      <c r="N37" s="114"/>
      <c r="O37" s="108"/>
      <c r="P37" s="115" t="s">
        <v>407</v>
      </c>
    </row>
    <row r="38" spans="1:16" ht="30" customHeight="1">
      <c r="A38" s="115"/>
      <c r="B38" s="115"/>
      <c r="C38" s="117"/>
      <c r="D38" s="118"/>
      <c r="E38" s="115"/>
      <c r="F38" s="115"/>
      <c r="G38" s="119"/>
      <c r="H38" s="119"/>
      <c r="I38" s="118"/>
      <c r="J38" s="108"/>
      <c r="K38" s="115"/>
      <c r="L38" s="108"/>
      <c r="M38" s="108"/>
      <c r="N38" s="114"/>
      <c r="O38" s="108"/>
      <c r="P38" s="115" t="s">
        <v>392</v>
      </c>
    </row>
    <row r="39" spans="1:16" ht="30" customHeight="1">
      <c r="A39" s="115"/>
      <c r="B39" s="115"/>
      <c r="C39" s="117"/>
      <c r="D39" s="118"/>
      <c r="E39" s="115"/>
      <c r="F39" s="115"/>
      <c r="G39" s="119"/>
      <c r="H39" s="119"/>
      <c r="I39" s="118"/>
      <c r="J39" s="108"/>
      <c r="K39" s="115"/>
      <c r="L39" s="108"/>
      <c r="M39" s="108"/>
      <c r="N39" s="114"/>
      <c r="O39" s="108"/>
      <c r="P39" s="115" t="s">
        <v>381</v>
      </c>
    </row>
    <row r="40" spans="1:16" ht="30" customHeight="1">
      <c r="A40" s="115"/>
      <c r="B40" s="115"/>
      <c r="C40" s="117"/>
      <c r="D40" s="118"/>
      <c r="E40" s="115"/>
      <c r="F40" s="115"/>
      <c r="G40" s="119"/>
      <c r="H40" s="119"/>
      <c r="I40" s="118"/>
      <c r="J40" s="108"/>
      <c r="K40" s="115"/>
      <c r="L40" s="108"/>
      <c r="M40" s="108"/>
      <c r="N40" s="114"/>
      <c r="O40" s="108"/>
      <c r="P40" s="115" t="s">
        <v>397</v>
      </c>
    </row>
    <row r="41" spans="1:16" ht="30" customHeight="1">
      <c r="A41" s="115"/>
      <c r="B41" s="115"/>
      <c r="C41" s="117"/>
      <c r="D41" s="118"/>
      <c r="E41" s="115"/>
      <c r="F41" s="115"/>
      <c r="G41" s="119"/>
      <c r="H41" s="119"/>
      <c r="I41" s="118"/>
      <c r="J41" s="108"/>
      <c r="K41" s="115"/>
      <c r="L41" s="108"/>
      <c r="M41" s="108"/>
      <c r="N41" s="114"/>
      <c r="O41" s="108"/>
      <c r="P41" s="115" t="s">
        <v>232</v>
      </c>
    </row>
    <row r="42" spans="1:16" ht="30" customHeight="1">
      <c r="A42" s="115"/>
      <c r="B42" s="115"/>
      <c r="C42" s="117"/>
      <c r="D42" s="118"/>
      <c r="E42" s="115"/>
      <c r="F42" s="115"/>
      <c r="G42" s="119"/>
      <c r="H42" s="119"/>
      <c r="I42" s="118"/>
      <c r="J42" s="108"/>
      <c r="K42" s="115"/>
      <c r="L42" s="108"/>
      <c r="M42" s="108"/>
      <c r="N42" s="114"/>
      <c r="O42" s="108"/>
      <c r="P42" s="115" t="s">
        <v>596</v>
      </c>
    </row>
    <row r="43" spans="1:16" ht="30" customHeight="1">
      <c r="A43" s="115"/>
      <c r="B43" s="115"/>
      <c r="C43" s="117"/>
      <c r="D43" s="118"/>
      <c r="E43" s="115"/>
      <c r="F43" s="115"/>
      <c r="G43" s="119"/>
      <c r="H43" s="119"/>
      <c r="I43" s="118"/>
      <c r="J43" s="108"/>
      <c r="K43" s="115"/>
      <c r="L43" s="108"/>
      <c r="M43" s="108"/>
      <c r="N43" s="114"/>
      <c r="O43" s="108"/>
      <c r="P43" s="115" t="s">
        <v>594</v>
      </c>
    </row>
    <row r="44" spans="1:16" ht="30" customHeight="1">
      <c r="A44" s="110"/>
      <c r="B44" s="110"/>
      <c r="C44" s="111"/>
      <c r="D44" s="112"/>
      <c r="E44" s="110"/>
      <c r="F44" s="110"/>
      <c r="G44" s="113"/>
      <c r="H44" s="120"/>
      <c r="I44" s="112"/>
      <c r="J44" s="110"/>
      <c r="K44" s="115"/>
      <c r="L44" s="105"/>
      <c r="M44" s="105"/>
      <c r="N44" s="116"/>
      <c r="O44" s="105"/>
      <c r="P44" s="112" t="s">
        <v>571</v>
      </c>
    </row>
    <row r="45" spans="1:16" ht="30" customHeight="1">
      <c r="A45" s="115"/>
      <c r="B45" s="115"/>
      <c r="C45" s="117"/>
      <c r="D45" s="118"/>
      <c r="E45" s="115"/>
      <c r="F45" s="115"/>
      <c r="G45" s="119"/>
      <c r="H45" s="119"/>
      <c r="I45" s="118"/>
      <c r="J45" s="115"/>
      <c r="K45" s="110"/>
      <c r="L45" s="108"/>
      <c r="M45" s="108"/>
      <c r="N45" s="114"/>
      <c r="O45" s="108"/>
      <c r="P45" s="118" t="s">
        <v>642</v>
      </c>
    </row>
    <row r="46" spans="1:16" ht="30" customHeight="1">
      <c r="A46" s="115"/>
      <c r="B46" s="115"/>
      <c r="C46" s="117"/>
      <c r="D46" s="118"/>
      <c r="E46" s="115"/>
      <c r="F46" s="115"/>
      <c r="G46" s="119"/>
      <c r="H46" s="119"/>
      <c r="I46" s="118"/>
      <c r="J46" s="115"/>
      <c r="K46" s="115"/>
      <c r="L46" s="108"/>
      <c r="M46" s="108"/>
      <c r="N46" s="114"/>
      <c r="O46" s="108"/>
      <c r="P46" s="118" t="s">
        <v>643</v>
      </c>
    </row>
    <row r="47" spans="1:16" ht="30" customHeight="1">
      <c r="A47" s="115"/>
      <c r="B47" s="115"/>
      <c r="C47" s="117"/>
      <c r="D47" s="118"/>
      <c r="E47" s="115"/>
      <c r="F47" s="115"/>
      <c r="G47" s="119"/>
      <c r="H47" s="119"/>
      <c r="I47" s="118"/>
      <c r="J47" s="115"/>
      <c r="K47" s="115"/>
      <c r="L47" s="108"/>
      <c r="M47" s="108"/>
      <c r="N47" s="114"/>
      <c r="O47" s="108"/>
      <c r="P47" s="118" t="s">
        <v>72</v>
      </c>
    </row>
    <row r="48" spans="1:16" ht="30" customHeight="1">
      <c r="A48" s="115"/>
      <c r="B48" s="115"/>
      <c r="C48" s="117"/>
      <c r="D48" s="118"/>
      <c r="E48" s="115"/>
      <c r="F48" s="115"/>
      <c r="G48" s="119"/>
      <c r="H48" s="119"/>
      <c r="I48" s="118"/>
      <c r="J48" s="115"/>
      <c r="K48" s="115"/>
      <c r="L48" s="108"/>
      <c r="M48" s="108"/>
      <c r="N48" s="114"/>
      <c r="O48" s="108"/>
      <c r="P48" s="118" t="s">
        <v>519</v>
      </c>
    </row>
    <row r="49" spans="1:16" ht="30" customHeight="1">
      <c r="A49" s="115"/>
      <c r="B49" s="115"/>
      <c r="C49" s="117"/>
      <c r="D49" s="118"/>
      <c r="E49" s="115"/>
      <c r="F49" s="115"/>
      <c r="G49" s="119"/>
      <c r="H49" s="119"/>
      <c r="I49" s="118"/>
      <c r="J49" s="115"/>
      <c r="K49" s="115"/>
      <c r="L49" s="108"/>
      <c r="M49" s="108"/>
      <c r="N49" s="114"/>
      <c r="O49" s="108"/>
      <c r="P49" s="118" t="s">
        <v>644</v>
      </c>
    </row>
    <row r="50" spans="1:16" ht="30" customHeight="1">
      <c r="A50" s="115"/>
      <c r="B50" s="115"/>
      <c r="C50" s="117"/>
      <c r="D50" s="118"/>
      <c r="E50" s="115"/>
      <c r="F50" s="115"/>
      <c r="G50" s="119"/>
      <c r="H50" s="119"/>
      <c r="I50" s="118"/>
      <c r="J50" s="115"/>
      <c r="K50" s="115"/>
      <c r="L50" s="108"/>
      <c r="M50" s="108"/>
      <c r="N50" s="114"/>
      <c r="O50" s="108"/>
      <c r="P50" s="118" t="s">
        <v>375</v>
      </c>
    </row>
    <row r="51" spans="1:16" ht="30" customHeight="1">
      <c r="A51" s="115"/>
      <c r="B51" s="115"/>
      <c r="C51" s="117"/>
      <c r="D51" s="118"/>
      <c r="E51" s="115"/>
      <c r="F51" s="115"/>
      <c r="G51" s="119"/>
      <c r="H51" s="119"/>
      <c r="I51" s="118"/>
      <c r="J51" s="115"/>
      <c r="K51" s="115"/>
      <c r="L51" s="108"/>
      <c r="M51" s="108"/>
      <c r="N51" s="114"/>
      <c r="O51" s="108"/>
      <c r="P51" s="118" t="s">
        <v>405</v>
      </c>
    </row>
    <row r="52" spans="1:16" ht="30" customHeight="1">
      <c r="A52" s="115"/>
      <c r="B52" s="115"/>
      <c r="C52" s="117"/>
      <c r="D52" s="118"/>
      <c r="E52" s="115"/>
      <c r="F52" s="115"/>
      <c r="G52" s="119"/>
      <c r="H52" s="119"/>
      <c r="I52" s="118"/>
      <c r="J52" s="115"/>
      <c r="K52" s="115"/>
      <c r="L52" s="108"/>
      <c r="M52" s="108"/>
      <c r="N52" s="114"/>
      <c r="O52" s="108"/>
      <c r="P52" s="118" t="s">
        <v>389</v>
      </c>
    </row>
    <row r="53" spans="1:16" ht="30" customHeight="1">
      <c r="A53" s="115"/>
      <c r="B53" s="115"/>
      <c r="C53" s="117"/>
      <c r="D53" s="118"/>
      <c r="E53" s="115"/>
      <c r="F53" s="115"/>
      <c r="G53" s="119"/>
      <c r="H53" s="119"/>
      <c r="I53" s="118"/>
      <c r="J53" s="115"/>
      <c r="K53" s="115"/>
      <c r="L53" s="108"/>
      <c r="M53" s="108"/>
      <c r="N53" s="114"/>
      <c r="O53" s="108"/>
      <c r="P53" s="118" t="s">
        <v>64</v>
      </c>
    </row>
    <row r="54" spans="1:16" ht="30" customHeight="1">
      <c r="A54" s="115"/>
      <c r="B54" s="115"/>
      <c r="C54" s="117"/>
      <c r="D54" s="118"/>
      <c r="E54" s="115"/>
      <c r="F54" s="115"/>
      <c r="G54" s="119"/>
      <c r="H54" s="119"/>
      <c r="I54" s="118"/>
      <c r="J54" s="115"/>
      <c r="K54" s="115"/>
      <c r="L54" s="108"/>
      <c r="M54" s="108"/>
      <c r="N54" s="114"/>
      <c r="O54" s="108"/>
      <c r="P54" s="118" t="s">
        <v>645</v>
      </c>
    </row>
    <row r="55" spans="1:16" ht="30" customHeight="1">
      <c r="A55" s="115"/>
      <c r="B55" s="115"/>
      <c r="C55" s="117"/>
      <c r="D55" s="118"/>
      <c r="E55" s="115"/>
      <c r="F55" s="115"/>
      <c r="G55" s="119"/>
      <c r="H55" s="119"/>
      <c r="I55" s="118"/>
      <c r="J55" s="115"/>
      <c r="K55" s="115"/>
      <c r="L55" s="108"/>
      <c r="M55" s="108"/>
      <c r="N55" s="114"/>
      <c r="O55" s="108"/>
      <c r="P55" s="118" t="s">
        <v>646</v>
      </c>
    </row>
    <row r="56" spans="1:16" ht="30" customHeight="1">
      <c r="A56" s="115"/>
      <c r="B56" s="115"/>
      <c r="C56" s="117"/>
      <c r="D56" s="118"/>
      <c r="E56" s="115"/>
      <c r="F56" s="115"/>
      <c r="G56" s="119"/>
      <c r="H56" s="119"/>
      <c r="I56" s="118"/>
      <c r="J56" s="115"/>
      <c r="K56" s="115"/>
      <c r="L56" s="108"/>
      <c r="M56" s="108"/>
      <c r="N56" s="114"/>
      <c r="O56" s="108"/>
      <c r="P56" s="118" t="s">
        <v>647</v>
      </c>
    </row>
    <row r="57" spans="1:16" ht="30" customHeight="1">
      <c r="A57" s="115"/>
      <c r="B57" s="115"/>
      <c r="C57" s="117"/>
      <c r="D57" s="118"/>
      <c r="E57" s="115"/>
      <c r="F57" s="115"/>
      <c r="G57" s="119"/>
      <c r="H57" s="119"/>
      <c r="I57" s="118"/>
      <c r="J57" s="115"/>
      <c r="K57" s="115"/>
      <c r="L57" s="108"/>
      <c r="M57" s="108"/>
      <c r="N57" s="114"/>
      <c r="O57" s="108"/>
      <c r="P57" s="118" t="s">
        <v>256</v>
      </c>
    </row>
    <row r="58" spans="1:16" ht="30" customHeight="1">
      <c r="A58" s="115"/>
      <c r="B58" s="115"/>
      <c r="C58" s="117"/>
      <c r="D58" s="118"/>
      <c r="E58" s="115"/>
      <c r="F58" s="115"/>
      <c r="G58" s="119"/>
      <c r="H58" s="119"/>
      <c r="I58" s="118"/>
      <c r="J58" s="115"/>
      <c r="K58" s="115"/>
      <c r="L58" s="108"/>
      <c r="M58" s="108"/>
      <c r="N58" s="114"/>
      <c r="O58" s="108"/>
      <c r="P58" s="118" t="s">
        <v>75</v>
      </c>
    </row>
    <row r="59" spans="1:16" ht="30" customHeight="1">
      <c r="A59" s="115"/>
      <c r="B59" s="115"/>
      <c r="C59" s="117"/>
      <c r="D59" s="118"/>
      <c r="E59" s="115"/>
      <c r="F59" s="115"/>
      <c r="G59" s="119"/>
      <c r="H59" s="119"/>
      <c r="I59" s="118"/>
      <c r="J59" s="115"/>
      <c r="K59" s="115"/>
      <c r="L59" s="108"/>
      <c r="M59" s="108"/>
      <c r="N59" s="114"/>
      <c r="O59" s="108"/>
      <c r="P59" s="118" t="s">
        <v>78</v>
      </c>
    </row>
    <row r="60" spans="1:16" ht="30" customHeight="1">
      <c r="A60" s="115"/>
      <c r="B60" s="115"/>
      <c r="C60" s="117"/>
      <c r="D60" s="118"/>
      <c r="E60" s="115"/>
      <c r="F60" s="115"/>
      <c r="G60" s="119"/>
      <c r="H60" s="119"/>
      <c r="I60" s="118"/>
      <c r="J60" s="115"/>
      <c r="K60" s="115"/>
      <c r="L60" s="108"/>
      <c r="M60" s="108"/>
      <c r="N60" s="114"/>
      <c r="O60" s="108"/>
      <c r="P60" s="118" t="s">
        <v>217</v>
      </c>
    </row>
    <row r="61" spans="1:16" ht="30" customHeight="1">
      <c r="A61" s="110"/>
      <c r="B61" s="110"/>
      <c r="C61" s="111"/>
      <c r="D61" s="112"/>
      <c r="E61" s="110"/>
      <c r="F61" s="110"/>
      <c r="G61" s="113"/>
      <c r="H61" s="120"/>
      <c r="I61" s="112"/>
      <c r="J61" s="110"/>
      <c r="K61" s="115"/>
      <c r="L61" s="105"/>
      <c r="M61" s="105"/>
      <c r="N61" s="116"/>
      <c r="O61" s="105"/>
      <c r="P61" s="112" t="s">
        <v>238</v>
      </c>
    </row>
    <row r="62" spans="1:16" ht="30" customHeight="1">
      <c r="A62" s="115"/>
      <c r="B62" s="115"/>
      <c r="C62" s="117"/>
      <c r="D62" s="118"/>
      <c r="E62" s="115"/>
      <c r="F62" s="115"/>
      <c r="G62" s="119"/>
      <c r="H62" s="119"/>
      <c r="I62" s="118"/>
      <c r="J62" s="115"/>
      <c r="K62" s="110"/>
      <c r="L62" s="108"/>
      <c r="M62" s="108"/>
      <c r="N62" s="114"/>
      <c r="O62" s="108"/>
      <c r="P62" s="118" t="s">
        <v>74</v>
      </c>
    </row>
    <row r="63" spans="1:16" ht="30" customHeight="1">
      <c r="A63" s="115"/>
      <c r="B63" s="115"/>
      <c r="C63" s="117"/>
      <c r="D63" s="118"/>
      <c r="E63" s="115"/>
      <c r="F63" s="115"/>
      <c r="G63" s="119"/>
      <c r="H63" s="119"/>
      <c r="I63" s="118"/>
      <c r="J63" s="115"/>
      <c r="K63" s="115"/>
      <c r="L63" s="108"/>
      <c r="M63" s="108"/>
      <c r="N63" s="114"/>
      <c r="O63" s="108"/>
      <c r="P63" s="118" t="s">
        <v>438</v>
      </c>
    </row>
    <row r="64" spans="1:16" ht="30" customHeight="1">
      <c r="A64" s="115"/>
      <c r="B64" s="115"/>
      <c r="C64" s="117"/>
      <c r="D64" s="118"/>
      <c r="E64" s="115"/>
      <c r="F64" s="115"/>
      <c r="G64" s="119"/>
      <c r="H64" s="119"/>
      <c r="I64" s="118"/>
      <c r="J64" s="115"/>
      <c r="K64" s="115"/>
      <c r="L64" s="108"/>
      <c r="M64" s="108"/>
      <c r="N64" s="114"/>
      <c r="O64" s="108"/>
      <c r="P64" s="118" t="s">
        <v>233</v>
      </c>
    </row>
    <row r="65" spans="1:16" ht="30" customHeight="1">
      <c r="A65" s="115"/>
      <c r="B65" s="115"/>
      <c r="C65" s="117"/>
      <c r="D65" s="118"/>
      <c r="E65" s="115"/>
      <c r="F65" s="115"/>
      <c r="G65" s="119"/>
      <c r="H65" s="119"/>
      <c r="I65" s="118"/>
      <c r="J65" s="115"/>
      <c r="K65" s="115"/>
      <c r="L65" s="108"/>
      <c r="M65" s="108"/>
      <c r="N65" s="114"/>
      <c r="O65" s="108"/>
      <c r="P65" s="118" t="s">
        <v>152</v>
      </c>
    </row>
    <row r="66" spans="1:16" ht="30" customHeight="1">
      <c r="A66" s="115"/>
      <c r="B66" s="115"/>
      <c r="C66" s="117"/>
      <c r="D66" s="118"/>
      <c r="E66" s="115"/>
      <c r="F66" s="115"/>
      <c r="G66" s="119"/>
      <c r="H66" s="119"/>
      <c r="I66" s="118"/>
      <c r="J66" s="115"/>
      <c r="K66" s="115"/>
      <c r="L66" s="108"/>
      <c r="M66" s="108"/>
      <c r="N66" s="114"/>
      <c r="O66" s="108"/>
      <c r="P66" s="118" t="s">
        <v>231</v>
      </c>
    </row>
    <row r="67" spans="1:16" ht="30" customHeight="1">
      <c r="A67" s="115"/>
      <c r="B67" s="115"/>
      <c r="C67" s="117"/>
      <c r="D67" s="118"/>
      <c r="E67" s="115"/>
      <c r="F67" s="115"/>
      <c r="G67" s="119"/>
      <c r="H67" s="119"/>
      <c r="I67" s="118"/>
      <c r="J67" s="115"/>
      <c r="K67" s="115"/>
      <c r="L67" s="108"/>
      <c r="M67" s="108"/>
      <c r="N67" s="114"/>
      <c r="O67" s="108"/>
      <c r="P67" s="118" t="s">
        <v>216</v>
      </c>
    </row>
    <row r="68" spans="1:16" ht="30" customHeight="1">
      <c r="A68" s="115"/>
      <c r="B68" s="115"/>
      <c r="C68" s="117"/>
      <c r="D68" s="118"/>
      <c r="E68" s="115"/>
      <c r="F68" s="115"/>
      <c r="G68" s="119"/>
      <c r="H68" s="119"/>
      <c r="I68" s="118"/>
      <c r="J68" s="115"/>
      <c r="K68" s="115"/>
      <c r="L68" s="108"/>
      <c r="M68" s="108"/>
      <c r="N68" s="114"/>
      <c r="O68" s="108"/>
      <c r="P68" s="118" t="s">
        <v>252</v>
      </c>
    </row>
    <row r="69" spans="1:16" ht="30" customHeight="1">
      <c r="A69" s="115"/>
      <c r="B69" s="115"/>
      <c r="C69" s="117"/>
      <c r="D69" s="118"/>
      <c r="E69" s="115"/>
      <c r="F69" s="115"/>
      <c r="G69" s="119"/>
      <c r="H69" s="119"/>
      <c r="I69" s="118"/>
      <c r="J69" s="115"/>
      <c r="K69" s="115"/>
      <c r="L69" s="108"/>
      <c r="M69" s="108"/>
      <c r="N69" s="114"/>
      <c r="O69" s="108"/>
      <c r="P69" s="118" t="s">
        <v>68</v>
      </c>
    </row>
    <row r="70" spans="1:16" ht="30" customHeight="1">
      <c r="A70" s="115"/>
      <c r="B70" s="115"/>
      <c r="C70" s="117"/>
      <c r="D70" s="118"/>
      <c r="E70" s="115"/>
      <c r="F70" s="115"/>
      <c r="G70" s="119"/>
      <c r="H70" s="119"/>
      <c r="I70" s="118"/>
      <c r="J70" s="115"/>
      <c r="K70" s="115"/>
      <c r="L70" s="108"/>
      <c r="M70" s="108"/>
      <c r="N70" s="114"/>
      <c r="O70" s="108"/>
      <c r="P70" s="118" t="s">
        <v>62</v>
      </c>
    </row>
    <row r="71" spans="1:16" ht="30" customHeight="1">
      <c r="A71" s="115"/>
      <c r="B71" s="115"/>
      <c r="C71" s="117"/>
      <c r="D71" s="118"/>
      <c r="E71" s="115"/>
      <c r="F71" s="115"/>
      <c r="G71" s="119"/>
      <c r="H71" s="119"/>
      <c r="I71" s="118"/>
      <c r="J71" s="115"/>
      <c r="K71" s="115"/>
      <c r="L71" s="108"/>
      <c r="M71" s="108"/>
      <c r="N71" s="114"/>
      <c r="O71" s="108"/>
      <c r="P71" s="118" t="s">
        <v>73</v>
      </c>
    </row>
    <row r="72" spans="1:16" ht="30" customHeight="1">
      <c r="A72" s="115"/>
      <c r="B72" s="115"/>
      <c r="C72" s="117"/>
      <c r="D72" s="118"/>
      <c r="E72" s="115"/>
      <c r="F72" s="115"/>
      <c r="G72" s="119"/>
      <c r="H72" s="119"/>
      <c r="I72" s="118"/>
      <c r="J72" s="115"/>
      <c r="K72" s="115"/>
      <c r="L72" s="108"/>
      <c r="M72" s="108"/>
      <c r="N72" s="114"/>
      <c r="O72" s="108"/>
      <c r="P72" s="118" t="s">
        <v>63</v>
      </c>
    </row>
    <row r="73" spans="1:16" ht="30" customHeight="1">
      <c r="A73" s="115"/>
      <c r="B73" s="115"/>
      <c r="C73" s="117"/>
      <c r="D73" s="118"/>
      <c r="E73" s="115"/>
      <c r="F73" s="115"/>
      <c r="G73" s="119"/>
      <c r="H73" s="119"/>
      <c r="I73" s="118"/>
      <c r="J73" s="115"/>
      <c r="K73" s="115"/>
      <c r="L73" s="108"/>
      <c r="M73" s="108"/>
      <c r="N73" s="114"/>
      <c r="O73" s="108"/>
      <c r="P73" s="118" t="s">
        <v>648</v>
      </c>
    </row>
    <row r="74" spans="1:16" ht="30" customHeight="1">
      <c r="A74" s="115"/>
      <c r="B74" s="115"/>
      <c r="C74" s="117"/>
      <c r="D74" s="118"/>
      <c r="E74" s="115"/>
      <c r="F74" s="115"/>
      <c r="G74" s="119"/>
      <c r="H74" s="119"/>
      <c r="I74" s="118"/>
      <c r="J74" s="115"/>
      <c r="K74" s="115"/>
      <c r="L74" s="108"/>
      <c r="M74" s="108"/>
      <c r="N74" s="114"/>
      <c r="O74" s="108"/>
      <c r="P74" s="118" t="s">
        <v>649</v>
      </c>
    </row>
    <row r="75" spans="1:16" ht="30" customHeight="1">
      <c r="A75" s="115"/>
      <c r="B75" s="115"/>
      <c r="C75" s="117"/>
      <c r="D75" s="118"/>
      <c r="E75" s="115"/>
      <c r="F75" s="115"/>
      <c r="G75" s="119"/>
      <c r="H75" s="119"/>
      <c r="I75" s="118"/>
      <c r="J75" s="115"/>
      <c r="K75" s="115"/>
      <c r="L75" s="108"/>
      <c r="M75" s="108"/>
      <c r="N75" s="114"/>
      <c r="O75" s="108"/>
      <c r="P75" s="118" t="s">
        <v>650</v>
      </c>
    </row>
    <row r="76" spans="1:16" ht="30" customHeight="1">
      <c r="A76" s="115"/>
      <c r="B76" s="115"/>
      <c r="C76" s="117"/>
      <c r="D76" s="118"/>
      <c r="E76" s="115"/>
      <c r="F76" s="115"/>
      <c r="G76" s="119"/>
      <c r="H76" s="119"/>
      <c r="I76" s="118"/>
      <c r="J76" s="115"/>
      <c r="K76" s="115"/>
      <c r="L76" s="108"/>
      <c r="M76" s="108"/>
      <c r="N76" s="114"/>
      <c r="O76" s="108"/>
      <c r="P76" s="118" t="s">
        <v>224</v>
      </c>
    </row>
    <row r="77" spans="1:16" ht="30" customHeight="1">
      <c r="A77" s="115"/>
      <c r="B77" s="115"/>
      <c r="C77" s="117"/>
      <c r="D77" s="118"/>
      <c r="E77" s="115"/>
      <c r="F77" s="115"/>
      <c r="G77" s="119"/>
      <c r="H77" s="119"/>
      <c r="I77" s="118"/>
      <c r="J77" s="115"/>
      <c r="K77" s="115"/>
      <c r="L77" s="108"/>
      <c r="M77" s="108"/>
      <c r="N77" s="114"/>
      <c r="O77" s="108"/>
      <c r="P77" s="118" t="s">
        <v>651</v>
      </c>
    </row>
    <row r="78" spans="1:16" ht="30" customHeight="1">
      <c r="A78" s="115"/>
      <c r="B78" s="115"/>
      <c r="C78" s="117"/>
      <c r="D78" s="118"/>
      <c r="E78" s="115"/>
      <c r="F78" s="115"/>
      <c r="G78" s="119"/>
      <c r="H78" s="119"/>
      <c r="I78" s="118"/>
      <c r="J78" s="115"/>
      <c r="K78" s="115"/>
      <c r="L78" s="108"/>
      <c r="M78" s="108"/>
      <c r="N78" s="114"/>
      <c r="O78" s="108"/>
      <c r="P78" s="118" t="s">
        <v>652</v>
      </c>
    </row>
    <row r="79" spans="1:16" ht="30" customHeight="1">
      <c r="A79" s="115"/>
      <c r="B79" s="115"/>
      <c r="C79" s="117"/>
      <c r="D79" s="118"/>
      <c r="E79" s="115"/>
      <c r="F79" s="115"/>
      <c r="G79" s="119"/>
      <c r="H79" s="119"/>
      <c r="I79" s="118"/>
      <c r="J79" s="115"/>
      <c r="K79" s="115"/>
      <c r="L79" s="108"/>
      <c r="M79" s="108"/>
      <c r="N79" s="114"/>
      <c r="O79" s="108"/>
      <c r="P79" s="118" t="s">
        <v>376</v>
      </c>
    </row>
    <row r="80" spans="1:16" ht="30" customHeight="1">
      <c r="A80" s="115"/>
      <c r="B80" s="115"/>
      <c r="C80" s="117"/>
      <c r="D80" s="118"/>
      <c r="E80" s="115"/>
      <c r="F80" s="115"/>
      <c r="G80" s="119"/>
      <c r="H80" s="119"/>
      <c r="I80" s="118"/>
      <c r="J80" s="115"/>
      <c r="K80" s="115"/>
      <c r="L80" s="108"/>
      <c r="M80" s="108"/>
      <c r="N80" s="114"/>
      <c r="O80" s="108"/>
      <c r="P80" s="118" t="s">
        <v>148</v>
      </c>
    </row>
    <row r="81" spans="1:16" ht="30" customHeight="1">
      <c r="A81" s="115"/>
      <c r="B81" s="115"/>
      <c r="C81" s="117"/>
      <c r="D81" s="118"/>
      <c r="E81" s="115"/>
      <c r="F81" s="115"/>
      <c r="G81" s="119"/>
      <c r="H81" s="119"/>
      <c r="I81" s="118"/>
      <c r="J81" s="115"/>
      <c r="K81" s="115"/>
      <c r="L81" s="108"/>
      <c r="M81" s="108"/>
      <c r="N81" s="114"/>
      <c r="O81" s="108"/>
      <c r="P81" s="118" t="s">
        <v>653</v>
      </c>
    </row>
    <row r="82" spans="1:16" ht="30" customHeight="1">
      <c r="A82" s="115"/>
      <c r="B82" s="115"/>
      <c r="C82" s="117"/>
      <c r="D82" s="118"/>
      <c r="E82" s="115"/>
      <c r="F82" s="115"/>
      <c r="G82" s="119"/>
      <c r="H82" s="119"/>
      <c r="I82" s="118"/>
      <c r="J82" s="115"/>
      <c r="K82" s="115"/>
      <c r="L82" s="108"/>
      <c r="M82" s="108"/>
      <c r="N82" s="114"/>
      <c r="O82" s="108"/>
      <c r="P82" s="118" t="s">
        <v>141</v>
      </c>
    </row>
    <row r="83" spans="1:16" ht="30" customHeight="1">
      <c r="A83" s="115"/>
      <c r="B83" s="115"/>
      <c r="C83" s="117"/>
      <c r="D83" s="118"/>
      <c r="E83" s="115"/>
      <c r="F83" s="115"/>
      <c r="G83" s="119"/>
      <c r="H83" s="119"/>
      <c r="I83" s="118"/>
      <c r="J83" s="115"/>
      <c r="K83" s="115"/>
      <c r="L83" s="108"/>
      <c r="M83" s="108"/>
      <c r="N83" s="114"/>
      <c r="O83" s="108"/>
      <c r="P83" s="118" t="s">
        <v>143</v>
      </c>
    </row>
    <row r="84" spans="1:16" ht="30" customHeight="1">
      <c r="A84" s="115"/>
      <c r="B84" s="115"/>
      <c r="C84" s="117"/>
      <c r="D84" s="118"/>
      <c r="E84" s="115"/>
      <c r="F84" s="115"/>
      <c r="G84" s="119"/>
      <c r="H84" s="119"/>
      <c r="I84" s="118"/>
      <c r="J84" s="115"/>
      <c r="K84" s="115"/>
      <c r="L84" s="108"/>
      <c r="M84" s="108"/>
      <c r="N84" s="114"/>
      <c r="O84" s="108"/>
      <c r="P84" s="118" t="s">
        <v>517</v>
      </c>
    </row>
    <row r="85" spans="1:16" ht="30" customHeight="1">
      <c r="A85" s="115"/>
      <c r="B85" s="115"/>
      <c r="C85" s="117"/>
      <c r="D85" s="118"/>
      <c r="E85" s="115"/>
      <c r="F85" s="115"/>
      <c r="G85" s="119"/>
      <c r="H85" s="119"/>
      <c r="I85" s="118"/>
      <c r="J85" s="115"/>
      <c r="K85" s="115"/>
      <c r="L85" s="108"/>
      <c r="M85" s="108"/>
      <c r="N85" s="114"/>
      <c r="O85" s="108"/>
      <c r="P85" s="118" t="s">
        <v>228</v>
      </c>
    </row>
    <row r="86" spans="1:16">
      <c r="A86" s="115"/>
      <c r="B86" s="115"/>
      <c r="C86" s="117"/>
      <c r="D86" s="118"/>
      <c r="E86" s="115"/>
      <c r="F86" s="115"/>
      <c r="G86" s="119"/>
      <c r="H86" s="119"/>
      <c r="I86" s="118"/>
      <c r="J86" s="115"/>
      <c r="K86" s="115"/>
      <c r="L86" s="108"/>
      <c r="M86" s="108"/>
      <c r="N86" s="114"/>
      <c r="O86" s="108"/>
      <c r="P86" s="118" t="s">
        <v>226</v>
      </c>
    </row>
    <row r="87" spans="1:16">
      <c r="A87" s="7"/>
      <c r="B87" s="7"/>
      <c r="C87" s="61"/>
      <c r="D87" s="62"/>
      <c r="E87" s="7"/>
      <c r="F87" s="7"/>
      <c r="G87" s="21"/>
      <c r="H87" s="21"/>
      <c r="I87" s="62"/>
      <c r="J87" s="7"/>
      <c r="K87" s="7"/>
      <c r="L87" s="25"/>
      <c r="M87" s="25"/>
      <c r="N87" s="70"/>
      <c r="O87" s="25"/>
      <c r="P87" s="115" t="s">
        <v>701</v>
      </c>
    </row>
    <row r="88" spans="1:16">
      <c r="A88" s="7"/>
      <c r="B88" s="7"/>
      <c r="C88" s="61"/>
      <c r="D88" s="62"/>
      <c r="E88" s="7"/>
      <c r="F88" s="7"/>
      <c r="G88" s="21"/>
      <c r="H88" s="21"/>
      <c r="I88" s="62"/>
      <c r="J88" s="7"/>
      <c r="K88" s="7"/>
      <c r="L88" s="12"/>
      <c r="M88" s="12"/>
      <c r="N88" s="63"/>
      <c r="O88" s="12"/>
      <c r="P88" s="114" t="s">
        <v>698</v>
      </c>
    </row>
    <row r="89" spans="1:16">
      <c r="A89" s="7"/>
      <c r="B89" s="7"/>
      <c r="C89" s="61"/>
      <c r="D89" s="62"/>
      <c r="E89" s="7"/>
      <c r="F89" s="7"/>
      <c r="G89" s="21"/>
      <c r="H89" s="21"/>
      <c r="I89" s="62"/>
      <c r="J89" s="7"/>
      <c r="K89" s="7"/>
      <c r="L89" s="12"/>
      <c r="M89" s="12"/>
      <c r="N89" s="63"/>
      <c r="O89" s="12"/>
      <c r="P89" s="108" t="s">
        <v>693</v>
      </c>
    </row>
  </sheetData>
  <autoFilter ref="A1:C2" xr:uid="{FBFCAAD8-258F-4978-83DF-D0103072AC06}"/>
  <sortState xmlns:xlrd2="http://schemas.microsoft.com/office/spreadsheetml/2017/richdata2" ref="A2:C20">
    <sortCondition ref="B2:B20" customList="원장,부원장,건설사업,원가분석,학술연구,경영기획"/>
    <sortCondition ref="C2:C20" customList="원장,부원장,이사,상무,본부장,실장,위원,수석연구원,책임연구원,선임연구원,팀장,전임연구원,주임연구원,연구원"/>
  </sortState>
  <phoneticPr fontId="1" type="noConversion"/>
  <dataValidations count="1">
    <dataValidation type="list" allowBlank="1" showInputMessage="1" showErrorMessage="1" sqref="B10:B20" xr:uid="{FFBABCAF-9B03-43BA-AB00-ACFC23D388B8}">
      <formula1>"전략기획,품질관리,원가분석,건설사업,학술사업,갈등조정중재"</formula1>
    </dataValidation>
  </dataValidations>
  <pageMargins left="0" right="0" top="0" bottom="0" header="0" footer="0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740A8-1DB0-49F9-A14E-12190EB95C5D}">
  <sheetPr codeName="Sheet9">
    <tabColor theme="0" tint="-0.249977111117893"/>
  </sheetPr>
  <dimension ref="A2:A104"/>
  <sheetViews>
    <sheetView topLeftCell="A74" workbookViewId="0">
      <selection activeCell="A8" sqref="A8"/>
    </sheetView>
  </sheetViews>
  <sheetFormatPr defaultRowHeight="16.5"/>
  <sheetData>
    <row r="2" spans="1:1" ht="38.25">
      <c r="A2" s="384" t="s">
        <v>727</v>
      </c>
    </row>
    <row r="4" spans="1:1" ht="26.25">
      <c r="A4" s="385" t="s">
        <v>728</v>
      </c>
    </row>
    <row r="5" spans="1:1">
      <c r="A5" t="s">
        <v>729</v>
      </c>
    </row>
    <row r="6" spans="1:1">
      <c r="A6" s="388" t="s">
        <v>730</v>
      </c>
    </row>
    <row r="7" spans="1:1">
      <c r="A7" s="388" t="s">
        <v>731</v>
      </c>
    </row>
    <row r="10" spans="1:1" ht="26.25">
      <c r="A10" s="385" t="s">
        <v>732</v>
      </c>
    </row>
    <row r="11" spans="1:1" ht="21.75">
      <c r="A11" s="389" t="s">
        <v>733</v>
      </c>
    </row>
    <row r="13" spans="1:1">
      <c r="A13" s="387" t="s">
        <v>734</v>
      </c>
    </row>
    <row r="14" spans="1:1">
      <c r="A14" s="388" t="s">
        <v>735</v>
      </c>
    </row>
    <row r="15" spans="1:1">
      <c r="A15" s="386" t="s">
        <v>779</v>
      </c>
    </row>
    <row r="16" spans="1:1">
      <c r="A16" s="386" t="s">
        <v>736</v>
      </c>
    </row>
    <row r="17" spans="1:1">
      <c r="A17" s="391" t="s">
        <v>737</v>
      </c>
    </row>
    <row r="20" spans="1:1">
      <c r="A20" s="387" t="s">
        <v>738</v>
      </c>
    </row>
    <row r="21" spans="1:1">
      <c r="A21" s="388" t="s">
        <v>739</v>
      </c>
    </row>
    <row r="22" spans="1:1">
      <c r="A22" s="386" t="s">
        <v>740</v>
      </c>
    </row>
    <row r="23" spans="1:1">
      <c r="A23" s="392" t="s">
        <v>741</v>
      </c>
    </row>
    <row r="26" spans="1:1">
      <c r="A26" s="388" t="s">
        <v>742</v>
      </c>
    </row>
    <row r="27" spans="1:1">
      <c r="A27" s="393" t="s">
        <v>744</v>
      </c>
    </row>
    <row r="28" spans="1:1">
      <c r="A28" s="391" t="s">
        <v>743</v>
      </c>
    </row>
    <row r="29" spans="1:1">
      <c r="A29" s="386"/>
    </row>
    <row r="31" spans="1:1">
      <c r="A31" s="387" t="s">
        <v>745</v>
      </c>
    </row>
    <row r="32" spans="1:1">
      <c r="A32" s="388" t="s">
        <v>746</v>
      </c>
    </row>
    <row r="33" spans="1:1">
      <c r="A33" s="386" t="s">
        <v>747</v>
      </c>
    </row>
    <row r="34" spans="1:1">
      <c r="A34" s="386" t="s">
        <v>748</v>
      </c>
    </row>
    <row r="35" spans="1:1">
      <c r="A35" s="386" t="s">
        <v>749</v>
      </c>
    </row>
    <row r="37" spans="1:1">
      <c r="A37" s="392" t="s">
        <v>750</v>
      </c>
    </row>
    <row r="38" spans="1:1">
      <c r="A38" s="390" t="s">
        <v>751</v>
      </c>
    </row>
    <row r="39" spans="1:1">
      <c r="A39" s="392" t="s">
        <v>752</v>
      </c>
    </row>
    <row r="42" spans="1:1" ht="21.75">
      <c r="A42" s="389" t="s">
        <v>753</v>
      </c>
    </row>
    <row r="43" spans="1:1">
      <c r="A43" t="s">
        <v>754</v>
      </c>
    </row>
    <row r="44" spans="1:1">
      <c r="A44" s="386"/>
    </row>
    <row r="45" spans="1:1">
      <c r="A45" s="388" t="s">
        <v>755</v>
      </c>
    </row>
    <row r="46" spans="1:1">
      <c r="A46" s="393" t="s">
        <v>780</v>
      </c>
    </row>
    <row r="47" spans="1:1">
      <c r="A47" s="386" t="s">
        <v>756</v>
      </c>
    </row>
    <row r="48" spans="1:1">
      <c r="A48" s="391" t="s">
        <v>757</v>
      </c>
    </row>
    <row r="50" spans="1:1">
      <c r="A50" s="386"/>
    </row>
    <row r="51" spans="1:1" ht="21.75">
      <c r="A51" s="389" t="s">
        <v>758</v>
      </c>
    </row>
    <row r="52" spans="1:1">
      <c r="A52" t="s">
        <v>759</v>
      </c>
    </row>
    <row r="53" spans="1:1">
      <c r="A53" s="388" t="s">
        <v>760</v>
      </c>
    </row>
    <row r="54" spans="1:1">
      <c r="A54" s="388" t="s">
        <v>761</v>
      </c>
    </row>
    <row r="55" spans="1:1">
      <c r="A55" s="392" t="s">
        <v>762</v>
      </c>
    </row>
    <row r="56" spans="1:1">
      <c r="A56" s="390" t="s">
        <v>763</v>
      </c>
    </row>
    <row r="57" spans="1:1">
      <c r="A57" s="388" t="s">
        <v>764</v>
      </c>
    </row>
    <row r="58" spans="1:1">
      <c r="A58" s="386"/>
    </row>
    <row r="59" spans="1:1">
      <c r="A59" s="386"/>
    </row>
    <row r="60" spans="1:1" ht="26.25">
      <c r="A60" s="385" t="s">
        <v>782</v>
      </c>
    </row>
    <row r="61" spans="1:1" ht="21.75">
      <c r="A61" s="389" t="s">
        <v>765</v>
      </c>
    </row>
    <row r="62" spans="1:1">
      <c r="A62" t="s">
        <v>766</v>
      </c>
    </row>
    <row r="63" spans="1:1">
      <c r="A63" s="388" t="s">
        <v>767</v>
      </c>
    </row>
    <row r="64" spans="1:1">
      <c r="A64" s="390" t="s">
        <v>768</v>
      </c>
    </row>
    <row r="65" spans="1:1">
      <c r="A65" s="390" t="s">
        <v>769</v>
      </c>
    </row>
    <row r="66" spans="1:1">
      <c r="A66" s="390" t="s">
        <v>770</v>
      </c>
    </row>
    <row r="67" spans="1:1">
      <c r="A67" s="390" t="s">
        <v>771</v>
      </c>
    </row>
    <row r="70" spans="1:1" ht="21.75">
      <c r="A70" s="389" t="s">
        <v>781</v>
      </c>
    </row>
    <row r="71" spans="1:1">
      <c r="A71" t="s">
        <v>772</v>
      </c>
    </row>
    <row r="72" spans="1:1">
      <c r="A72" s="388" t="s">
        <v>773</v>
      </c>
    </row>
    <row r="73" spans="1:1">
      <c r="A73" s="386" t="s">
        <v>774</v>
      </c>
    </row>
    <row r="74" spans="1:1">
      <c r="A74" s="391" t="s">
        <v>775</v>
      </c>
    </row>
    <row r="75" spans="1:1">
      <c r="A75" s="386" t="s">
        <v>776</v>
      </c>
    </row>
    <row r="76" spans="1:1">
      <c r="A76" s="386" t="s">
        <v>777</v>
      </c>
    </row>
    <row r="77" spans="1:1">
      <c r="A77" s="392" t="s">
        <v>778</v>
      </c>
    </row>
    <row r="78" spans="1:1">
      <c r="A78" s="390"/>
    </row>
    <row r="84" spans="1:1">
      <c r="A84" s="390"/>
    </row>
    <row r="95" spans="1:1">
      <c r="A95" s="386"/>
    </row>
    <row r="96" spans="1:1">
      <c r="A96" s="390"/>
    </row>
    <row r="98" spans="1:1">
      <c r="A98" s="386"/>
    </row>
    <row r="100" spans="1:1">
      <c r="A100" s="386"/>
    </row>
    <row r="102" spans="1:1">
      <c r="A102" s="386"/>
    </row>
    <row r="103" spans="1:1">
      <c r="A103" s="386"/>
    </row>
    <row r="104" spans="1:1">
      <c r="A104" s="39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F072-3037-4A23-BBEF-C937AC9F0576}">
  <dimension ref="A1:R1"/>
  <sheetViews>
    <sheetView workbookViewId="0">
      <selection activeCell="K25" sqref="K25"/>
    </sheetView>
  </sheetViews>
  <sheetFormatPr defaultRowHeight="16.5"/>
  <sheetData>
    <row r="1" spans="1:18" ht="17.25" thickBot="1">
      <c r="A1" s="317" t="s">
        <v>46</v>
      </c>
      <c r="B1" s="318" t="s">
        <v>1</v>
      </c>
      <c r="C1" s="319" t="s">
        <v>2</v>
      </c>
      <c r="D1" s="319" t="s">
        <v>4</v>
      </c>
      <c r="E1" s="320" t="s">
        <v>471</v>
      </c>
      <c r="F1" s="321" t="s">
        <v>470</v>
      </c>
      <c r="G1" s="322" t="s">
        <v>156</v>
      </c>
      <c r="H1" s="323" t="s">
        <v>52</v>
      </c>
      <c r="I1" s="324" t="s">
        <v>481</v>
      </c>
      <c r="J1" s="324" t="s">
        <v>482</v>
      </c>
      <c r="K1" s="325" t="s">
        <v>619</v>
      </c>
      <c r="L1" s="326"/>
      <c r="M1" s="325" t="s">
        <v>620</v>
      </c>
      <c r="N1" s="326"/>
      <c r="O1" s="325" t="s">
        <v>621</v>
      </c>
      <c r="P1" s="327"/>
      <c r="Q1" s="328" t="s">
        <v>622</v>
      </c>
      <c r="R1" s="32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6</vt:i4>
      </vt:variant>
    </vt:vector>
  </HeadingPairs>
  <TitlesOfParts>
    <vt:vector size="17" baseType="lpstr">
      <vt:lpstr>검색</vt:lpstr>
      <vt:lpstr>검색 매뉴얼</vt:lpstr>
      <vt:lpstr>개인DB</vt:lpstr>
      <vt:lpstr>학력</vt:lpstr>
      <vt:lpstr>학력정제</vt:lpstr>
      <vt:lpstr>자격증</vt:lpstr>
      <vt:lpstr>자격증정제</vt:lpstr>
      <vt:lpstr>자격증DB</vt:lpstr>
      <vt:lpstr>정렬표</vt:lpstr>
      <vt:lpstr>유지보수 매뉴얼</vt:lpstr>
      <vt:lpstr>퇴사자</vt:lpstr>
      <vt:lpstr>개인DB!Print_Area</vt:lpstr>
      <vt:lpstr>자격증!Print_Area</vt:lpstr>
      <vt:lpstr>자격증DB!Print_Area</vt:lpstr>
      <vt:lpstr>자격증정제!Print_Area</vt:lpstr>
      <vt:lpstr>학력!Print_Area</vt:lpstr>
      <vt:lpstr>학력정제!Print_Area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lmcfirm leader</dc:creator>
  <cp:lastModifiedBy>민선 김</cp:lastModifiedBy>
  <cp:lastPrinted>2026-06-19T06:31:36Z</cp:lastPrinted>
  <dcterms:created xsi:type="dcterms:W3CDTF">2025-12-04T06:04:47Z</dcterms:created>
  <dcterms:modified xsi:type="dcterms:W3CDTF">2026-06-19T06:38:32Z</dcterms:modified>
</cp:coreProperties>
</file>