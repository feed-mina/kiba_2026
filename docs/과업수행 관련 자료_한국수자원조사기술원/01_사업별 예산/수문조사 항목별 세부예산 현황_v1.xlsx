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1_사업별 예산\"/>
    </mc:Choice>
  </mc:AlternateContent>
  <xr:revisionPtr revIDLastSave="0" documentId="13_ncr:1_{BE43D30D-6D17-488F-8BBC-4FCE8844FB5B}" xr6:coauthVersionLast="47" xr6:coauthVersionMax="47" xr10:uidLastSave="{00000000-0000-0000-0000-000000000000}"/>
  <bookViews>
    <workbookView xWindow="-120" yWindow="-120" windowWidth="29040" windowHeight="15720" tabRatio="845" xr2:uid="{3BBEFE96-5BCF-4DBE-9E9E-3A3EF18DBBC6}"/>
  </bookViews>
  <sheets>
    <sheet name="항목별예산" sheetId="18" r:id="rId1"/>
    <sheet name="유량" sheetId="3" r:id="rId2"/>
    <sheet name="유사량" sheetId="7" r:id="rId3"/>
    <sheet name="토양수분량" sheetId="10" r:id="rId4"/>
    <sheet name="증발산량" sheetId="12" r:id="rId5"/>
    <sheet name="자동유량" sheetId="14" r:id="rId6"/>
    <sheet name="잔액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4" l="1"/>
  <c r="N44" i="14"/>
  <c r="N42" i="14"/>
  <c r="N40" i="14"/>
  <c r="N34" i="14"/>
  <c r="N32" i="14"/>
  <c r="N29" i="14"/>
  <c r="N26" i="14"/>
  <c r="N23" i="14"/>
  <c r="N10" i="14"/>
  <c r="N5" i="14"/>
  <c r="L46" i="14"/>
  <c r="L44" i="14"/>
  <c r="L42" i="14"/>
  <c r="L40" i="14"/>
  <c r="L34" i="14"/>
  <c r="L32" i="14"/>
  <c r="L29" i="14"/>
  <c r="L26" i="14"/>
  <c r="L23" i="14"/>
  <c r="L10" i="14"/>
  <c r="L5" i="14"/>
  <c r="L4" i="14" s="1"/>
  <c r="J46" i="14"/>
  <c r="J44" i="14"/>
  <c r="J42" i="14"/>
  <c r="J40" i="14"/>
  <c r="J34" i="14"/>
  <c r="J32" i="14"/>
  <c r="J29" i="14"/>
  <c r="J26" i="14"/>
  <c r="J23" i="14"/>
  <c r="J10" i="14"/>
  <c r="J5" i="14"/>
  <c r="J4" i="14" s="1"/>
  <c r="H46" i="14"/>
  <c r="H44" i="14"/>
  <c r="H42" i="14"/>
  <c r="H40" i="14"/>
  <c r="H34" i="14"/>
  <c r="H32" i="14"/>
  <c r="H29" i="14"/>
  <c r="H26" i="14"/>
  <c r="H23" i="14"/>
  <c r="H10" i="14"/>
  <c r="H5" i="14"/>
  <c r="F46" i="14"/>
  <c r="F44" i="14"/>
  <c r="F42" i="14"/>
  <c r="F40" i="14"/>
  <c r="F34" i="14"/>
  <c r="F32" i="14"/>
  <c r="F29" i="14"/>
  <c r="F26" i="14"/>
  <c r="F23" i="14"/>
  <c r="F10" i="14"/>
  <c r="F5" i="14"/>
  <c r="D46" i="14"/>
  <c r="D44" i="14"/>
  <c r="D42" i="14"/>
  <c r="D40" i="14"/>
  <c r="D34" i="14"/>
  <c r="D32" i="14"/>
  <c r="D29" i="14"/>
  <c r="D26" i="14"/>
  <c r="D23" i="14"/>
  <c r="D10" i="14"/>
  <c r="D5" i="14"/>
  <c r="M47" i="14"/>
  <c r="M46" i="14" s="1"/>
  <c r="K47" i="14"/>
  <c r="I47" i="14"/>
  <c r="G47" i="14"/>
  <c r="O46" i="14"/>
  <c r="K46" i="14"/>
  <c r="I46" i="14"/>
  <c r="G46" i="14"/>
  <c r="E46" i="14"/>
  <c r="M45" i="14"/>
  <c r="M44" i="14" s="1"/>
  <c r="K45" i="14"/>
  <c r="I45" i="14"/>
  <c r="I44" i="14" s="1"/>
  <c r="G45" i="14"/>
  <c r="O44" i="14"/>
  <c r="K44" i="14"/>
  <c r="G44" i="14"/>
  <c r="E44" i="14"/>
  <c r="M43" i="14"/>
  <c r="M42" i="14" s="1"/>
  <c r="K43" i="14"/>
  <c r="I43" i="14"/>
  <c r="I42" i="14" s="1"/>
  <c r="G43" i="14"/>
  <c r="O42" i="14"/>
  <c r="K42" i="14"/>
  <c r="G42" i="14"/>
  <c r="E42" i="14"/>
  <c r="M41" i="14"/>
  <c r="M40" i="14" s="1"/>
  <c r="K41" i="14"/>
  <c r="I41" i="14"/>
  <c r="I40" i="14" s="1"/>
  <c r="G41" i="14"/>
  <c r="O40" i="14"/>
  <c r="K40" i="14"/>
  <c r="G40" i="14"/>
  <c r="E40" i="14"/>
  <c r="M39" i="14"/>
  <c r="K39" i="14"/>
  <c r="I39" i="14"/>
  <c r="G39" i="14"/>
  <c r="M38" i="14"/>
  <c r="K38" i="14"/>
  <c r="I38" i="14"/>
  <c r="G38" i="14"/>
  <c r="M37" i="14"/>
  <c r="K37" i="14"/>
  <c r="I37" i="14"/>
  <c r="G37" i="14"/>
  <c r="M36" i="14"/>
  <c r="K36" i="14"/>
  <c r="I36" i="14"/>
  <c r="G36" i="14"/>
  <c r="M35" i="14"/>
  <c r="M34" i="14" s="1"/>
  <c r="K35" i="14"/>
  <c r="I35" i="14"/>
  <c r="I34" i="14" s="1"/>
  <c r="G35" i="14"/>
  <c r="O34" i="14"/>
  <c r="K34" i="14"/>
  <c r="G34" i="14"/>
  <c r="E34" i="14"/>
  <c r="M33" i="14"/>
  <c r="M32" i="14" s="1"/>
  <c r="K33" i="14"/>
  <c r="I33" i="14"/>
  <c r="I32" i="14" s="1"/>
  <c r="G33" i="14"/>
  <c r="O32" i="14"/>
  <c r="K32" i="14"/>
  <c r="G32" i="14"/>
  <c r="E32" i="14"/>
  <c r="M31" i="14"/>
  <c r="K31" i="14"/>
  <c r="I31" i="14"/>
  <c r="I29" i="14" s="1"/>
  <c r="G31" i="14"/>
  <c r="M30" i="14"/>
  <c r="K30" i="14"/>
  <c r="I30" i="14"/>
  <c r="I30" i="14" a="1"/>
  <c r="G30" i="14"/>
  <c r="G29" i="14" s="1"/>
  <c r="O29" i="14"/>
  <c r="M29" i="14"/>
  <c r="K29" i="14"/>
  <c r="E29" i="14"/>
  <c r="M28" i="14"/>
  <c r="M26" i="14" s="1"/>
  <c r="K28" i="14"/>
  <c r="I28" i="14"/>
  <c r="G28" i="14"/>
  <c r="M27" i="14"/>
  <c r="K27" i="14"/>
  <c r="K26" i="14" s="1"/>
  <c r="I27" i="14"/>
  <c r="G27" i="14"/>
  <c r="G26" i="14" s="1"/>
  <c r="O26" i="14"/>
  <c r="I26" i="14"/>
  <c r="E26" i="14"/>
  <c r="M25" i="14"/>
  <c r="K25" i="14"/>
  <c r="I25" i="14"/>
  <c r="G25" i="14"/>
  <c r="M24" i="14"/>
  <c r="K24" i="14"/>
  <c r="K23" i="14" s="1"/>
  <c r="I24" i="14"/>
  <c r="G24" i="14"/>
  <c r="G23" i="14" s="1"/>
  <c r="O23" i="14"/>
  <c r="M23" i="14"/>
  <c r="I23" i="14"/>
  <c r="E23" i="14"/>
  <c r="M22" i="14"/>
  <c r="K22" i="14"/>
  <c r="I22" i="14"/>
  <c r="G22" i="14"/>
  <c r="M21" i="14"/>
  <c r="K21" i="14"/>
  <c r="I21" i="14"/>
  <c r="G21" i="14"/>
  <c r="M20" i="14"/>
  <c r="K20" i="14"/>
  <c r="I20" i="14"/>
  <c r="G20" i="14"/>
  <c r="M19" i="14"/>
  <c r="K19" i="14"/>
  <c r="I19" i="14"/>
  <c r="G19" i="14"/>
  <c r="M18" i="14"/>
  <c r="K18" i="14"/>
  <c r="I18" i="14"/>
  <c r="G18" i="14"/>
  <c r="M17" i="14"/>
  <c r="K17" i="14"/>
  <c r="I17" i="14"/>
  <c r="G17" i="14"/>
  <c r="M16" i="14"/>
  <c r="K16" i="14"/>
  <c r="I16" i="14"/>
  <c r="G16" i="14"/>
  <c r="M15" i="14"/>
  <c r="K15" i="14"/>
  <c r="I15" i="14"/>
  <c r="G15" i="14"/>
  <c r="M14" i="14"/>
  <c r="K14" i="14"/>
  <c r="I14" i="14"/>
  <c r="G14" i="14"/>
  <c r="M13" i="14"/>
  <c r="K13" i="14"/>
  <c r="I13" i="14"/>
  <c r="G13" i="14"/>
  <c r="M12" i="14"/>
  <c r="K12" i="14"/>
  <c r="I12" i="14"/>
  <c r="G12" i="14"/>
  <c r="M11" i="14"/>
  <c r="M10" i="14" s="1"/>
  <c r="K11" i="14"/>
  <c r="K10" i="14" s="1"/>
  <c r="I11" i="14"/>
  <c r="G11" i="14"/>
  <c r="G10" i="14" s="1"/>
  <c r="O10" i="14"/>
  <c r="I10" i="14"/>
  <c r="E10" i="14"/>
  <c r="M9" i="14"/>
  <c r="K9" i="14"/>
  <c r="I9" i="14"/>
  <c r="G9" i="14"/>
  <c r="M8" i="14"/>
  <c r="K8" i="14"/>
  <c r="I8" i="14"/>
  <c r="G8" i="14"/>
  <c r="M7" i="14"/>
  <c r="K7" i="14"/>
  <c r="I7" i="14"/>
  <c r="G7" i="14"/>
  <c r="M6" i="14"/>
  <c r="M5" i="14" s="1"/>
  <c r="K6" i="14"/>
  <c r="K5" i="14" s="1"/>
  <c r="I6" i="14"/>
  <c r="I5" i="14" s="1"/>
  <c r="I4" i="14" s="1"/>
  <c r="G6" i="14"/>
  <c r="G5" i="14" s="1"/>
  <c r="O5" i="14"/>
  <c r="E5" i="14"/>
  <c r="E4" i="14" s="1"/>
  <c r="O4" i="14"/>
  <c r="G7" i="18" l="1"/>
  <c r="K4" i="14"/>
  <c r="N7" i="18" s="1"/>
  <c r="M4" i="14"/>
  <c r="O7" i="18" s="1"/>
  <c r="F7" i="18"/>
  <c r="G4" i="14"/>
  <c r="H4" i="14"/>
  <c r="D4" i="14"/>
  <c r="F4" i="14"/>
  <c r="N4" i="14"/>
  <c r="N46" i="12"/>
  <c r="N44" i="12"/>
  <c r="N42" i="12"/>
  <c r="N40" i="12"/>
  <c r="N34" i="12"/>
  <c r="N32" i="12"/>
  <c r="N29" i="12"/>
  <c r="N26" i="12"/>
  <c r="N23" i="12"/>
  <c r="N10" i="12"/>
  <c r="N4" i="12" s="1"/>
  <c r="N5" i="12"/>
  <c r="L46" i="12"/>
  <c r="L44" i="12"/>
  <c r="L42" i="12"/>
  <c r="L40" i="12"/>
  <c r="L34" i="12"/>
  <c r="L32" i="12"/>
  <c r="L29" i="12"/>
  <c r="L26" i="12"/>
  <c r="L23" i="12"/>
  <c r="L10" i="12"/>
  <c r="L5" i="12"/>
  <c r="L4" i="12"/>
  <c r="J46" i="12"/>
  <c r="J44" i="12"/>
  <c r="J42" i="12"/>
  <c r="J40" i="12"/>
  <c r="J34" i="12"/>
  <c r="J32" i="12"/>
  <c r="J29" i="12"/>
  <c r="J26" i="12"/>
  <c r="J23" i="12"/>
  <c r="J10" i="12"/>
  <c r="J5" i="12"/>
  <c r="H46" i="12"/>
  <c r="H44" i="12"/>
  <c r="H42" i="12"/>
  <c r="H40" i="12"/>
  <c r="H34" i="12"/>
  <c r="H32" i="12"/>
  <c r="H29" i="12"/>
  <c r="H26" i="12"/>
  <c r="H23" i="12"/>
  <c r="H10" i="12"/>
  <c r="H5" i="12"/>
  <c r="H4" i="12"/>
  <c r="F46" i="12"/>
  <c r="F44" i="12"/>
  <c r="F42" i="12"/>
  <c r="F40" i="12"/>
  <c r="F34" i="12"/>
  <c r="F32" i="12"/>
  <c r="F29" i="12"/>
  <c r="F26" i="12"/>
  <c r="F23" i="12"/>
  <c r="F10" i="12"/>
  <c r="F5" i="12"/>
  <c r="D46" i="12"/>
  <c r="D44" i="12"/>
  <c r="D42" i="12"/>
  <c r="D40" i="12"/>
  <c r="D34" i="12"/>
  <c r="D32" i="12"/>
  <c r="D29" i="12"/>
  <c r="D26" i="12"/>
  <c r="D23" i="12"/>
  <c r="D10" i="12"/>
  <c r="D5" i="12"/>
  <c r="M47" i="12"/>
  <c r="M46" i="12" s="1"/>
  <c r="K47" i="12"/>
  <c r="I47" i="12"/>
  <c r="G47" i="12"/>
  <c r="O46" i="12"/>
  <c r="K46" i="12"/>
  <c r="I46" i="12"/>
  <c r="G46" i="12"/>
  <c r="E46" i="12"/>
  <c r="M45" i="12"/>
  <c r="M44" i="12" s="1"/>
  <c r="K45" i="12"/>
  <c r="I45" i="12"/>
  <c r="I44" i="12" s="1"/>
  <c r="G45" i="12"/>
  <c r="O44" i="12"/>
  <c r="K44" i="12"/>
  <c r="G44" i="12"/>
  <c r="E44" i="12"/>
  <c r="M43" i="12"/>
  <c r="M42" i="12" s="1"/>
  <c r="K43" i="12"/>
  <c r="I43" i="12"/>
  <c r="I42" i="12" s="1"/>
  <c r="G43" i="12"/>
  <c r="O42" i="12"/>
  <c r="K42" i="12"/>
  <c r="G42" i="12"/>
  <c r="E42" i="12"/>
  <c r="M41" i="12"/>
  <c r="M40" i="12" s="1"/>
  <c r="K41" i="12"/>
  <c r="I41" i="12"/>
  <c r="I40" i="12" s="1"/>
  <c r="G41" i="12"/>
  <c r="O40" i="12"/>
  <c r="K40" i="12"/>
  <c r="G40" i="12"/>
  <c r="E40" i="12"/>
  <c r="M39" i="12"/>
  <c r="K39" i="12"/>
  <c r="I39" i="12"/>
  <c r="G39" i="12"/>
  <c r="M38" i="12"/>
  <c r="K38" i="12"/>
  <c r="I38" i="12"/>
  <c r="G38" i="12"/>
  <c r="M37" i="12"/>
  <c r="K37" i="12"/>
  <c r="I37" i="12"/>
  <c r="G37" i="12"/>
  <c r="M36" i="12"/>
  <c r="K36" i="12"/>
  <c r="I36" i="12"/>
  <c r="G36" i="12"/>
  <c r="G34" i="12" s="1"/>
  <c r="M35" i="12"/>
  <c r="M34" i="12" s="1"/>
  <c r="K35" i="12"/>
  <c r="I35" i="12"/>
  <c r="I34" i="12" s="1"/>
  <c r="G35" i="12"/>
  <c r="O34" i="12"/>
  <c r="K34" i="12"/>
  <c r="E34" i="12"/>
  <c r="M33" i="12"/>
  <c r="M32" i="12" s="1"/>
  <c r="K33" i="12"/>
  <c r="I33" i="12"/>
  <c r="I32" i="12" s="1"/>
  <c r="G33" i="12"/>
  <c r="O32" i="12"/>
  <c r="K32" i="12"/>
  <c r="G32" i="12"/>
  <c r="E32" i="12"/>
  <c r="M31" i="12"/>
  <c r="K31" i="12"/>
  <c r="I31" i="12"/>
  <c r="I29" i="12" s="1"/>
  <c r="G31" i="12"/>
  <c r="M30" i="12"/>
  <c r="K30" i="12"/>
  <c r="I30" i="12"/>
  <c r="I30" i="12" a="1"/>
  <c r="G30" i="12"/>
  <c r="G29" i="12" s="1"/>
  <c r="O29" i="12"/>
  <c r="M29" i="12"/>
  <c r="K29" i="12"/>
  <c r="E29" i="12"/>
  <c r="M28" i="12"/>
  <c r="M26" i="12" s="1"/>
  <c r="K28" i="12"/>
  <c r="I28" i="12"/>
  <c r="G28" i="12"/>
  <c r="M27" i="12"/>
  <c r="K27" i="12"/>
  <c r="K26" i="12" s="1"/>
  <c r="I27" i="12"/>
  <c r="G27" i="12"/>
  <c r="G26" i="12" s="1"/>
  <c r="O26" i="12"/>
  <c r="I26" i="12"/>
  <c r="E26" i="12"/>
  <c r="M25" i="12"/>
  <c r="K25" i="12"/>
  <c r="I25" i="12"/>
  <c r="G25" i="12"/>
  <c r="M24" i="12"/>
  <c r="K24" i="12"/>
  <c r="K23" i="12" s="1"/>
  <c r="I24" i="12"/>
  <c r="G24" i="12"/>
  <c r="G23" i="12" s="1"/>
  <c r="O23" i="12"/>
  <c r="M23" i="12"/>
  <c r="I23" i="12"/>
  <c r="E23" i="12"/>
  <c r="M22" i="12"/>
  <c r="K22" i="12"/>
  <c r="I22" i="12"/>
  <c r="G22" i="12"/>
  <c r="M21" i="12"/>
  <c r="K21" i="12"/>
  <c r="I21" i="12"/>
  <c r="G21" i="12"/>
  <c r="M20" i="12"/>
  <c r="K20" i="12"/>
  <c r="I20" i="12"/>
  <c r="G20" i="12"/>
  <c r="M19" i="12"/>
  <c r="K19" i="12"/>
  <c r="I19" i="12"/>
  <c r="G19" i="12"/>
  <c r="M18" i="12"/>
  <c r="K18" i="12"/>
  <c r="I18" i="12"/>
  <c r="G18" i="12"/>
  <c r="M17" i="12"/>
  <c r="K17" i="12"/>
  <c r="I17" i="12"/>
  <c r="G17" i="12"/>
  <c r="M16" i="12"/>
  <c r="K16" i="12"/>
  <c r="I16" i="12"/>
  <c r="G16" i="12"/>
  <c r="M15" i="12"/>
  <c r="K15" i="12"/>
  <c r="I15" i="12"/>
  <c r="G15" i="12"/>
  <c r="M14" i="12"/>
  <c r="K14" i="12"/>
  <c r="I14" i="12"/>
  <c r="G14" i="12"/>
  <c r="M13" i="12"/>
  <c r="K13" i="12"/>
  <c r="I13" i="12"/>
  <c r="G13" i="12"/>
  <c r="M12" i="12"/>
  <c r="K12" i="12"/>
  <c r="I12" i="12"/>
  <c r="G12" i="12"/>
  <c r="G10" i="12" s="1"/>
  <c r="M11" i="12"/>
  <c r="K11" i="12"/>
  <c r="K10" i="12" s="1"/>
  <c r="I11" i="12"/>
  <c r="G11" i="12"/>
  <c r="O10" i="12"/>
  <c r="M10" i="12"/>
  <c r="I10" i="12"/>
  <c r="E10" i="12"/>
  <c r="M9" i="12"/>
  <c r="K9" i="12"/>
  <c r="I9" i="12"/>
  <c r="G9" i="12"/>
  <c r="M8" i="12"/>
  <c r="K8" i="12"/>
  <c r="I8" i="12"/>
  <c r="G8" i="12"/>
  <c r="M7" i="12"/>
  <c r="K7" i="12"/>
  <c r="I7" i="12"/>
  <c r="G7" i="12"/>
  <c r="M6" i="12"/>
  <c r="M5" i="12" s="1"/>
  <c r="K6" i="12"/>
  <c r="K5" i="12" s="1"/>
  <c r="K4" i="12" s="1"/>
  <c r="I6" i="12"/>
  <c r="G6" i="12"/>
  <c r="O5" i="12"/>
  <c r="I5" i="12"/>
  <c r="G5" i="12"/>
  <c r="E5" i="12"/>
  <c r="O4" i="12"/>
  <c r="E4" i="12"/>
  <c r="M47" i="10"/>
  <c r="K47" i="10"/>
  <c r="I47" i="10"/>
  <c r="G47" i="10"/>
  <c r="M45" i="10"/>
  <c r="K45" i="10"/>
  <c r="I45" i="10"/>
  <c r="G45" i="10"/>
  <c r="M43" i="10"/>
  <c r="K43" i="10"/>
  <c r="I43" i="10"/>
  <c r="G43" i="10"/>
  <c r="M41" i="10"/>
  <c r="K41" i="10"/>
  <c r="I41" i="10"/>
  <c r="G41" i="10"/>
  <c r="G40" i="10" s="1"/>
  <c r="M39" i="10"/>
  <c r="K39" i="10"/>
  <c r="I39" i="10"/>
  <c r="G39" i="10"/>
  <c r="M38" i="10"/>
  <c r="K38" i="10"/>
  <c r="I38" i="10"/>
  <c r="G38" i="10"/>
  <c r="M37" i="10"/>
  <c r="K37" i="10"/>
  <c r="I37" i="10"/>
  <c r="G37" i="10"/>
  <c r="M36" i="10"/>
  <c r="K36" i="10"/>
  <c r="I36" i="10"/>
  <c r="G36" i="10"/>
  <c r="M35" i="10"/>
  <c r="K35" i="10"/>
  <c r="I35" i="10"/>
  <c r="G35" i="10"/>
  <c r="M33" i="10"/>
  <c r="K33" i="10"/>
  <c r="I33" i="10"/>
  <c r="G33" i="10"/>
  <c r="M31" i="10"/>
  <c r="K31" i="10"/>
  <c r="I31" i="10"/>
  <c r="G31" i="10"/>
  <c r="M30" i="10"/>
  <c r="K30" i="10"/>
  <c r="I30" i="10" a="1"/>
  <c r="I30" i="10" s="1"/>
  <c r="G30" i="10"/>
  <c r="M28" i="10"/>
  <c r="K28" i="10"/>
  <c r="I28" i="10"/>
  <c r="G28" i="10"/>
  <c r="M27" i="10"/>
  <c r="K27" i="10"/>
  <c r="I27" i="10"/>
  <c r="G27" i="10"/>
  <c r="M25" i="10"/>
  <c r="K25" i="10"/>
  <c r="I25" i="10"/>
  <c r="G25" i="10"/>
  <c r="G23" i="10" s="1"/>
  <c r="M24" i="10"/>
  <c r="K24" i="10"/>
  <c r="I24" i="10"/>
  <c r="G24" i="10"/>
  <c r="M22" i="10"/>
  <c r="K22" i="10"/>
  <c r="I22" i="10"/>
  <c r="G22" i="10"/>
  <c r="M21" i="10"/>
  <c r="K21" i="10"/>
  <c r="I21" i="10"/>
  <c r="G21" i="10"/>
  <c r="M20" i="10"/>
  <c r="K20" i="10"/>
  <c r="I20" i="10"/>
  <c r="G20" i="10"/>
  <c r="M19" i="10"/>
  <c r="K19" i="10"/>
  <c r="I19" i="10"/>
  <c r="G19" i="10"/>
  <c r="M18" i="10"/>
  <c r="K18" i="10"/>
  <c r="I18" i="10"/>
  <c r="G18" i="10"/>
  <c r="M17" i="10"/>
  <c r="K17" i="10"/>
  <c r="I17" i="10"/>
  <c r="G17" i="10"/>
  <c r="M16" i="10"/>
  <c r="K16" i="10"/>
  <c r="I16" i="10"/>
  <c r="G16" i="10"/>
  <c r="M15" i="10"/>
  <c r="K15" i="10"/>
  <c r="I15" i="10"/>
  <c r="G15" i="10"/>
  <c r="M14" i="10"/>
  <c r="K14" i="10"/>
  <c r="I14" i="10"/>
  <c r="G14" i="10"/>
  <c r="M13" i="10"/>
  <c r="K13" i="10"/>
  <c r="I13" i="10"/>
  <c r="G13" i="10"/>
  <c r="M12" i="10"/>
  <c r="K12" i="10"/>
  <c r="I12" i="10"/>
  <c r="G12" i="10"/>
  <c r="M11" i="10"/>
  <c r="M10" i="10" s="1"/>
  <c r="K11" i="10"/>
  <c r="I11" i="10"/>
  <c r="G11" i="10"/>
  <c r="M9" i="10"/>
  <c r="K9" i="10"/>
  <c r="I9" i="10"/>
  <c r="G9" i="10"/>
  <c r="M8" i="10"/>
  <c r="K8" i="10"/>
  <c r="I8" i="10"/>
  <c r="G8" i="10"/>
  <c r="M7" i="10"/>
  <c r="K7" i="10"/>
  <c r="I7" i="10"/>
  <c r="G7" i="10"/>
  <c r="M6" i="10"/>
  <c r="K6" i="10"/>
  <c r="I6" i="10"/>
  <c r="I5" i="10" s="1"/>
  <c r="G6" i="10"/>
  <c r="G5" i="10" s="1"/>
  <c r="N46" i="10"/>
  <c r="N44" i="10"/>
  <c r="N42" i="10"/>
  <c r="N40" i="10"/>
  <c r="N34" i="10"/>
  <c r="N32" i="10"/>
  <c r="N29" i="10"/>
  <c r="N26" i="10"/>
  <c r="N23" i="10"/>
  <c r="N10" i="10"/>
  <c r="N5" i="10"/>
  <c r="L46" i="10"/>
  <c r="L44" i="10"/>
  <c r="L42" i="10"/>
  <c r="L40" i="10"/>
  <c r="L34" i="10"/>
  <c r="L32" i="10"/>
  <c r="L29" i="10"/>
  <c r="L26" i="10"/>
  <c r="L23" i="10"/>
  <c r="L10" i="10"/>
  <c r="L5" i="10"/>
  <c r="J46" i="10"/>
  <c r="J44" i="10"/>
  <c r="J42" i="10"/>
  <c r="J40" i="10"/>
  <c r="J34" i="10"/>
  <c r="J32" i="10"/>
  <c r="J29" i="10"/>
  <c r="J26" i="10"/>
  <c r="J23" i="10"/>
  <c r="J10" i="10"/>
  <c r="J5" i="10"/>
  <c r="H46" i="10"/>
  <c r="H44" i="10"/>
  <c r="H42" i="10"/>
  <c r="H40" i="10"/>
  <c r="H34" i="10"/>
  <c r="H32" i="10"/>
  <c r="H29" i="10"/>
  <c r="H26" i="10"/>
  <c r="H23" i="10"/>
  <c r="H10" i="10"/>
  <c r="H5" i="10"/>
  <c r="F46" i="10"/>
  <c r="F44" i="10"/>
  <c r="F42" i="10"/>
  <c r="F40" i="10"/>
  <c r="F34" i="10"/>
  <c r="F32" i="10"/>
  <c r="F29" i="10"/>
  <c r="F26" i="10"/>
  <c r="F23" i="10"/>
  <c r="F10" i="10"/>
  <c r="F5" i="10"/>
  <c r="D46" i="10"/>
  <c r="D44" i="10"/>
  <c r="D42" i="10"/>
  <c r="D40" i="10"/>
  <c r="D34" i="10"/>
  <c r="D32" i="10"/>
  <c r="D29" i="10"/>
  <c r="D26" i="10"/>
  <c r="D23" i="10"/>
  <c r="D10" i="10"/>
  <c r="D5" i="10"/>
  <c r="M46" i="10"/>
  <c r="K46" i="10"/>
  <c r="I46" i="10"/>
  <c r="G46" i="10"/>
  <c r="O46" i="10"/>
  <c r="E46" i="10"/>
  <c r="M44" i="10"/>
  <c r="K44" i="10"/>
  <c r="I44" i="10"/>
  <c r="G44" i="10"/>
  <c r="O44" i="10"/>
  <c r="E44" i="10"/>
  <c r="M42" i="10"/>
  <c r="K42" i="10"/>
  <c r="I42" i="10"/>
  <c r="G42" i="10"/>
  <c r="O42" i="10"/>
  <c r="E42" i="10"/>
  <c r="M40" i="10"/>
  <c r="K40" i="10"/>
  <c r="I40" i="10"/>
  <c r="O40" i="10"/>
  <c r="E40" i="10"/>
  <c r="M34" i="10"/>
  <c r="K34" i="10"/>
  <c r="I34" i="10"/>
  <c r="O34" i="10"/>
  <c r="E34" i="10"/>
  <c r="M32" i="10"/>
  <c r="K32" i="10"/>
  <c r="I32" i="10"/>
  <c r="G32" i="10"/>
  <c r="O32" i="10"/>
  <c r="E32" i="10"/>
  <c r="G29" i="10"/>
  <c r="M29" i="10"/>
  <c r="O29" i="10"/>
  <c r="K29" i="10"/>
  <c r="E29" i="10"/>
  <c r="G26" i="10"/>
  <c r="O26" i="10"/>
  <c r="M26" i="10"/>
  <c r="K26" i="10"/>
  <c r="I26" i="10"/>
  <c r="E26" i="10"/>
  <c r="K23" i="10"/>
  <c r="O23" i="10"/>
  <c r="M23" i="10"/>
  <c r="E23" i="10"/>
  <c r="K10" i="10"/>
  <c r="O10" i="10"/>
  <c r="E10" i="10"/>
  <c r="K5" i="10"/>
  <c r="O5" i="10"/>
  <c r="E5" i="10"/>
  <c r="M47" i="7"/>
  <c r="K47" i="7"/>
  <c r="I47" i="7"/>
  <c r="G47" i="7"/>
  <c r="M45" i="7"/>
  <c r="K45" i="7"/>
  <c r="I45" i="7"/>
  <c r="G45" i="7"/>
  <c r="M43" i="7"/>
  <c r="K43" i="7"/>
  <c r="I43" i="7"/>
  <c r="G43" i="7"/>
  <c r="M41" i="7"/>
  <c r="K41" i="7"/>
  <c r="I41" i="7"/>
  <c r="I40" i="7" s="1"/>
  <c r="G41" i="7"/>
  <c r="G40" i="7" s="1"/>
  <c r="M39" i="7"/>
  <c r="K39" i="7"/>
  <c r="I39" i="7"/>
  <c r="G39" i="7"/>
  <c r="M38" i="7"/>
  <c r="K38" i="7"/>
  <c r="I38" i="7"/>
  <c r="G38" i="7"/>
  <c r="M37" i="7"/>
  <c r="K37" i="7"/>
  <c r="I37" i="7"/>
  <c r="G37" i="7"/>
  <c r="M36" i="7"/>
  <c r="K36" i="7"/>
  <c r="I36" i="7"/>
  <c r="I34" i="7" s="1"/>
  <c r="G36" i="7"/>
  <c r="M35" i="7"/>
  <c r="K35" i="7"/>
  <c r="I35" i="7"/>
  <c r="G35" i="7"/>
  <c r="M33" i="7"/>
  <c r="K33" i="7"/>
  <c r="I33" i="7"/>
  <c r="G33" i="7"/>
  <c r="M31" i="7"/>
  <c r="K31" i="7"/>
  <c r="I31" i="7"/>
  <c r="G31" i="7"/>
  <c r="M30" i="7"/>
  <c r="K30" i="7"/>
  <c r="I30" i="7" a="1"/>
  <c r="I30" i="7" s="1"/>
  <c r="G30" i="7"/>
  <c r="M28" i="7"/>
  <c r="K28" i="7"/>
  <c r="I28" i="7"/>
  <c r="G28" i="7"/>
  <c r="M27" i="7"/>
  <c r="K27" i="7"/>
  <c r="I27" i="7"/>
  <c r="G27" i="7"/>
  <c r="M25" i="7"/>
  <c r="K25" i="7"/>
  <c r="I25" i="7"/>
  <c r="G25" i="7"/>
  <c r="M24" i="7"/>
  <c r="K24" i="7"/>
  <c r="I24" i="7"/>
  <c r="I23" i="7" s="1"/>
  <c r="G24" i="7"/>
  <c r="M22" i="7"/>
  <c r="K22" i="7"/>
  <c r="I22" i="7"/>
  <c r="G22" i="7"/>
  <c r="M21" i="7"/>
  <c r="K21" i="7"/>
  <c r="I21" i="7"/>
  <c r="G21" i="7"/>
  <c r="M20" i="7"/>
  <c r="K20" i="7"/>
  <c r="I20" i="7"/>
  <c r="G20" i="7"/>
  <c r="M19" i="7"/>
  <c r="K19" i="7"/>
  <c r="I19" i="7"/>
  <c r="G19" i="7"/>
  <c r="M18" i="7"/>
  <c r="K18" i="7"/>
  <c r="I18" i="7"/>
  <c r="G18" i="7"/>
  <c r="M17" i="7"/>
  <c r="K17" i="7"/>
  <c r="I17" i="7"/>
  <c r="G17" i="7"/>
  <c r="M16" i="7"/>
  <c r="K16" i="7"/>
  <c r="I16" i="7"/>
  <c r="G16" i="7"/>
  <c r="M15" i="7"/>
  <c r="K15" i="7"/>
  <c r="I15" i="7"/>
  <c r="G15" i="7"/>
  <c r="M14" i="7"/>
  <c r="K14" i="7"/>
  <c r="I14" i="7"/>
  <c r="G14" i="7"/>
  <c r="M13" i="7"/>
  <c r="K13" i="7"/>
  <c r="I13" i="7"/>
  <c r="G13" i="7"/>
  <c r="M12" i="7"/>
  <c r="K12" i="7"/>
  <c r="I12" i="7"/>
  <c r="G12" i="7"/>
  <c r="M11" i="7"/>
  <c r="K11" i="7"/>
  <c r="I11" i="7"/>
  <c r="I10" i="7" s="1"/>
  <c r="G11" i="7"/>
  <c r="M9" i="7"/>
  <c r="K9" i="7"/>
  <c r="I9" i="7"/>
  <c r="G9" i="7"/>
  <c r="M8" i="7"/>
  <c r="K8" i="7"/>
  <c r="I8" i="7"/>
  <c r="G8" i="7"/>
  <c r="M7" i="7"/>
  <c r="K7" i="7"/>
  <c r="I7" i="7"/>
  <c r="G7" i="7"/>
  <c r="M6" i="7"/>
  <c r="K6" i="7"/>
  <c r="I6" i="7"/>
  <c r="G6" i="7"/>
  <c r="N46" i="7"/>
  <c r="N44" i="7"/>
  <c r="N42" i="7"/>
  <c r="N40" i="7"/>
  <c r="N34" i="7"/>
  <c r="N32" i="7"/>
  <c r="N29" i="7"/>
  <c r="N26" i="7"/>
  <c r="N23" i="7"/>
  <c r="N10" i="7"/>
  <c r="N5" i="7"/>
  <c r="L46" i="7"/>
  <c r="L44" i="7"/>
  <c r="L42" i="7"/>
  <c r="L40" i="7"/>
  <c r="L34" i="7"/>
  <c r="L32" i="7"/>
  <c r="L29" i="7"/>
  <c r="L26" i="7"/>
  <c r="L23" i="7"/>
  <c r="L10" i="7"/>
  <c r="L5" i="7"/>
  <c r="J46" i="7"/>
  <c r="J44" i="7"/>
  <c r="J42" i="7"/>
  <c r="J40" i="7"/>
  <c r="J34" i="7"/>
  <c r="J32" i="7"/>
  <c r="J29" i="7"/>
  <c r="J26" i="7"/>
  <c r="J23" i="7"/>
  <c r="J10" i="7"/>
  <c r="J5" i="7"/>
  <c r="H46" i="7"/>
  <c r="H44" i="7"/>
  <c r="H42" i="7"/>
  <c r="H40" i="7"/>
  <c r="H34" i="7"/>
  <c r="H32" i="7"/>
  <c r="H29" i="7"/>
  <c r="H26" i="7"/>
  <c r="H23" i="7"/>
  <c r="H10" i="7"/>
  <c r="H5" i="7"/>
  <c r="F46" i="7"/>
  <c r="F44" i="7"/>
  <c r="F42" i="7"/>
  <c r="F40" i="7"/>
  <c r="F34" i="7"/>
  <c r="F32" i="7"/>
  <c r="F29" i="7"/>
  <c r="F26" i="7"/>
  <c r="F23" i="7"/>
  <c r="F10" i="7"/>
  <c r="F5" i="7"/>
  <c r="F4" i="7" s="1"/>
  <c r="D46" i="7"/>
  <c r="D44" i="7"/>
  <c r="D42" i="7"/>
  <c r="D40" i="7"/>
  <c r="D34" i="7"/>
  <c r="D32" i="7"/>
  <c r="D29" i="7"/>
  <c r="D26" i="7"/>
  <c r="D23" i="7"/>
  <c r="D10" i="7"/>
  <c r="D5" i="7"/>
  <c r="M46" i="7"/>
  <c r="K46" i="7"/>
  <c r="I46" i="7"/>
  <c r="G46" i="7"/>
  <c r="O46" i="7"/>
  <c r="E46" i="7"/>
  <c r="M44" i="7"/>
  <c r="K44" i="7"/>
  <c r="I44" i="7"/>
  <c r="G44" i="7"/>
  <c r="O44" i="7"/>
  <c r="E44" i="7"/>
  <c r="M42" i="7"/>
  <c r="K42" i="7"/>
  <c r="I42" i="7"/>
  <c r="G42" i="7"/>
  <c r="O42" i="7"/>
  <c r="E42" i="7"/>
  <c r="M40" i="7"/>
  <c r="K40" i="7"/>
  <c r="O40" i="7"/>
  <c r="E40" i="7"/>
  <c r="M34" i="7"/>
  <c r="K34" i="7"/>
  <c r="O34" i="7"/>
  <c r="E34" i="7"/>
  <c r="M32" i="7"/>
  <c r="K32" i="7"/>
  <c r="I32" i="7"/>
  <c r="G32" i="7"/>
  <c r="O32" i="7"/>
  <c r="E32" i="7"/>
  <c r="K29" i="7"/>
  <c r="G29" i="7"/>
  <c r="M29" i="7"/>
  <c r="O29" i="7"/>
  <c r="E29" i="7"/>
  <c r="G26" i="7"/>
  <c r="O26" i="7"/>
  <c r="M26" i="7"/>
  <c r="K26" i="7"/>
  <c r="I26" i="7"/>
  <c r="E26" i="7"/>
  <c r="G23" i="7"/>
  <c r="O23" i="7"/>
  <c r="M23" i="7"/>
  <c r="E23" i="7"/>
  <c r="K10" i="7"/>
  <c r="G10" i="7"/>
  <c r="O10" i="7"/>
  <c r="E10" i="7"/>
  <c r="O5" i="7"/>
  <c r="E5" i="7"/>
  <c r="G4" i="12" l="1"/>
  <c r="D8" i="18"/>
  <c r="M4" i="12"/>
  <c r="I4" i="12"/>
  <c r="H10" i="18"/>
  <c r="P10" i="18"/>
  <c r="O4" i="7"/>
  <c r="M5" i="7"/>
  <c r="I29" i="7"/>
  <c r="N4" i="10"/>
  <c r="I10" i="10"/>
  <c r="I23" i="10"/>
  <c r="L4" i="10"/>
  <c r="G34" i="10"/>
  <c r="O10" i="18"/>
  <c r="G10" i="18"/>
  <c r="P7" i="18"/>
  <c r="H7" i="18"/>
  <c r="J4" i="10"/>
  <c r="M10" i="18"/>
  <c r="E10" i="18"/>
  <c r="J4" i="12"/>
  <c r="L7" i="18"/>
  <c r="D7" i="18"/>
  <c r="E4" i="7"/>
  <c r="J4" i="7"/>
  <c r="L4" i="7"/>
  <c r="G5" i="7"/>
  <c r="K23" i="7"/>
  <c r="G34" i="7"/>
  <c r="O4" i="10"/>
  <c r="F4" i="10"/>
  <c r="H4" i="10"/>
  <c r="K7" i="18"/>
  <c r="C7" i="18"/>
  <c r="D4" i="10"/>
  <c r="M5" i="10"/>
  <c r="M4" i="10" s="1"/>
  <c r="I29" i="10"/>
  <c r="I4" i="10" s="1"/>
  <c r="E7" i="18"/>
  <c r="M7" i="18"/>
  <c r="I5" i="7"/>
  <c r="M10" i="7"/>
  <c r="D4" i="7"/>
  <c r="H4" i="7"/>
  <c r="N4" i="7"/>
  <c r="K5" i="7"/>
  <c r="K4" i="7" s="1"/>
  <c r="E4" i="10"/>
  <c r="G10" i="10"/>
  <c r="G4" i="10" s="1"/>
  <c r="D4" i="12"/>
  <c r="F4" i="12"/>
  <c r="K4" i="10"/>
  <c r="G4" i="7"/>
  <c r="L8" i="18" s="1"/>
  <c r="I4" i="7"/>
  <c r="M47" i="3"/>
  <c r="M45" i="3"/>
  <c r="M44" i="3" s="1"/>
  <c r="M43" i="3"/>
  <c r="M41" i="3"/>
  <c r="M40" i="3" s="1"/>
  <c r="M39" i="3"/>
  <c r="M38" i="3"/>
  <c r="M37" i="3"/>
  <c r="M36" i="3"/>
  <c r="M35" i="3"/>
  <c r="M33" i="3"/>
  <c r="M32" i="3" s="1"/>
  <c r="M31" i="3"/>
  <c r="M30" i="3"/>
  <c r="M28" i="3"/>
  <c r="M27" i="3"/>
  <c r="M25" i="3"/>
  <c r="M24" i="3"/>
  <c r="M22" i="3"/>
  <c r="M21" i="3"/>
  <c r="M20" i="3"/>
  <c r="M19" i="3"/>
  <c r="M18" i="3"/>
  <c r="M17" i="3"/>
  <c r="M16" i="3"/>
  <c r="M15" i="3"/>
  <c r="M14" i="3"/>
  <c r="M13" i="3"/>
  <c r="M12" i="3"/>
  <c r="M11" i="3"/>
  <c r="M9" i="3"/>
  <c r="M8" i="3"/>
  <c r="M7" i="3"/>
  <c r="K47" i="3"/>
  <c r="K45" i="3"/>
  <c r="K43" i="3"/>
  <c r="K42" i="3" s="1"/>
  <c r="K41" i="3"/>
  <c r="K40" i="3" s="1"/>
  <c r="K39" i="3"/>
  <c r="K38" i="3"/>
  <c r="K37" i="3"/>
  <c r="K36" i="3"/>
  <c r="K35" i="3"/>
  <c r="K33" i="3"/>
  <c r="K31" i="3"/>
  <c r="K30" i="3"/>
  <c r="K28" i="3"/>
  <c r="K27" i="3"/>
  <c r="K25" i="3"/>
  <c r="K24" i="3"/>
  <c r="K23" i="3" s="1"/>
  <c r="K22" i="3"/>
  <c r="K21" i="3"/>
  <c r="K20" i="3"/>
  <c r="K19" i="3"/>
  <c r="K18" i="3"/>
  <c r="K17" i="3"/>
  <c r="K16" i="3"/>
  <c r="K15" i="3"/>
  <c r="K14" i="3"/>
  <c r="K13" i="3"/>
  <c r="K12" i="3"/>
  <c r="K11" i="3"/>
  <c r="K9" i="3"/>
  <c r="K8" i="3"/>
  <c r="K7" i="3"/>
  <c r="I47" i="3"/>
  <c r="I46" i="3" s="1"/>
  <c r="I45" i="3"/>
  <c r="I43" i="3"/>
  <c r="I42" i="3" s="1"/>
  <c r="I41" i="3"/>
  <c r="I40" i="3" s="1"/>
  <c r="I39" i="3"/>
  <c r="I38" i="3"/>
  <c r="I37" i="3"/>
  <c r="I36" i="3"/>
  <c r="I35" i="3"/>
  <c r="I33" i="3"/>
  <c r="I32" i="3" s="1"/>
  <c r="I31" i="3"/>
  <c r="I28" i="3"/>
  <c r="I27" i="3"/>
  <c r="I25" i="3"/>
  <c r="I24" i="3"/>
  <c r="I22" i="3"/>
  <c r="I21" i="3"/>
  <c r="I20" i="3"/>
  <c r="I19" i="3"/>
  <c r="I18" i="3"/>
  <c r="I17" i="3"/>
  <c r="I16" i="3"/>
  <c r="I15" i="3"/>
  <c r="I14" i="3"/>
  <c r="I13" i="3"/>
  <c r="I12" i="3"/>
  <c r="I11" i="3"/>
  <c r="I9" i="3"/>
  <c r="I8" i="3"/>
  <c r="I7" i="3"/>
  <c r="M6" i="3"/>
  <c r="K6" i="3"/>
  <c r="O5" i="3"/>
  <c r="I6" i="3"/>
  <c r="G47" i="3"/>
  <c r="G46" i="3" s="1"/>
  <c r="G45" i="3"/>
  <c r="G44" i="3" s="1"/>
  <c r="G43" i="3"/>
  <c r="G42" i="3" s="1"/>
  <c r="G41" i="3"/>
  <c r="G40" i="3" s="1"/>
  <c r="G39" i="3"/>
  <c r="G38" i="3"/>
  <c r="G37" i="3"/>
  <c r="G36" i="3"/>
  <c r="G35" i="3"/>
  <c r="G33" i="3"/>
  <c r="G32" i="3" s="1"/>
  <c r="G31" i="3"/>
  <c r="G30" i="3"/>
  <c r="G28" i="3"/>
  <c r="G27" i="3"/>
  <c r="G25" i="3"/>
  <c r="G24" i="3"/>
  <c r="G23" i="3" s="1"/>
  <c r="G22" i="3"/>
  <c r="G21" i="3"/>
  <c r="G20" i="3"/>
  <c r="G19" i="3"/>
  <c r="G18" i="3"/>
  <c r="G17" i="3"/>
  <c r="G16" i="3"/>
  <c r="G15" i="3"/>
  <c r="G14" i="3"/>
  <c r="G13" i="3"/>
  <c r="G12" i="3"/>
  <c r="G11" i="3"/>
  <c r="G9" i="3"/>
  <c r="G8" i="3"/>
  <c r="G7" i="3"/>
  <c r="G6" i="3"/>
  <c r="M46" i="3"/>
  <c r="M42" i="3"/>
  <c r="K46" i="3"/>
  <c r="K44" i="3"/>
  <c r="K32" i="3"/>
  <c r="I44" i="3"/>
  <c r="I30" i="3" a="1"/>
  <c r="I30" i="3" s="1"/>
  <c r="I29" i="3" s="1"/>
  <c r="G26" i="3"/>
  <c r="E5" i="3"/>
  <c r="N46" i="3"/>
  <c r="N44" i="3"/>
  <c r="N42" i="3"/>
  <c r="N40" i="3"/>
  <c r="N34" i="3"/>
  <c r="N32" i="3"/>
  <c r="N29" i="3"/>
  <c r="N26" i="3"/>
  <c r="N23" i="3"/>
  <c r="N10" i="3"/>
  <c r="N5" i="3"/>
  <c r="L46" i="3"/>
  <c r="L44" i="3"/>
  <c r="L42" i="3"/>
  <c r="L40" i="3"/>
  <c r="L34" i="3"/>
  <c r="L32" i="3"/>
  <c r="L29" i="3"/>
  <c r="L26" i="3"/>
  <c r="L23" i="3"/>
  <c r="L10" i="3"/>
  <c r="L5" i="3"/>
  <c r="J46" i="3"/>
  <c r="J44" i="3"/>
  <c r="J42" i="3"/>
  <c r="J40" i="3"/>
  <c r="J34" i="3"/>
  <c r="J32" i="3"/>
  <c r="J29" i="3"/>
  <c r="J26" i="3"/>
  <c r="J23" i="3"/>
  <c r="J10" i="3"/>
  <c r="J5" i="3"/>
  <c r="H46" i="3"/>
  <c r="H44" i="3"/>
  <c r="H42" i="3"/>
  <c r="H40" i="3"/>
  <c r="H34" i="3"/>
  <c r="H32" i="3"/>
  <c r="H29" i="3"/>
  <c r="H26" i="3"/>
  <c r="H23" i="3"/>
  <c r="H10" i="3"/>
  <c r="H5" i="3"/>
  <c r="F46" i="3"/>
  <c r="F44" i="3"/>
  <c r="F42" i="3"/>
  <c r="F40" i="3"/>
  <c r="F34" i="3"/>
  <c r="F32" i="3"/>
  <c r="F29" i="3"/>
  <c r="F26" i="3"/>
  <c r="F23" i="3"/>
  <c r="F10" i="3"/>
  <c r="F5" i="3"/>
  <c r="D46" i="3"/>
  <c r="D44" i="3"/>
  <c r="D42" i="3"/>
  <c r="D40" i="3"/>
  <c r="D34" i="3"/>
  <c r="D32" i="3"/>
  <c r="D29" i="3"/>
  <c r="D26" i="3"/>
  <c r="D23" i="3"/>
  <c r="D10" i="3"/>
  <c r="D5" i="3"/>
  <c r="O46" i="3"/>
  <c r="O44" i="3"/>
  <c r="O42" i="3"/>
  <c r="O40" i="3"/>
  <c r="O34" i="3"/>
  <c r="O32" i="3"/>
  <c r="O29" i="3"/>
  <c r="O26" i="3"/>
  <c r="O23" i="3"/>
  <c r="O10" i="3"/>
  <c r="E46" i="3"/>
  <c r="E44" i="3"/>
  <c r="E42" i="3"/>
  <c r="E40" i="3"/>
  <c r="E34" i="3"/>
  <c r="E32" i="3"/>
  <c r="E29" i="3"/>
  <c r="E26" i="3"/>
  <c r="E23" i="3"/>
  <c r="E10" i="3"/>
  <c r="H8" i="18" l="1"/>
  <c r="P8" i="18"/>
  <c r="M9" i="18"/>
  <c r="E9" i="18"/>
  <c r="G8" i="18"/>
  <c r="O8" i="18"/>
  <c r="H9" i="18"/>
  <c r="P9" i="18"/>
  <c r="D10" i="18"/>
  <c r="L10" i="18"/>
  <c r="E8" i="18"/>
  <c r="M8" i="18"/>
  <c r="L9" i="18"/>
  <c r="D9" i="18"/>
  <c r="F8" i="18"/>
  <c r="N8" i="18"/>
  <c r="K10" i="18"/>
  <c r="C10" i="18"/>
  <c r="K8" i="18"/>
  <c r="C8" i="18"/>
  <c r="M4" i="7"/>
  <c r="K9" i="18"/>
  <c r="C9" i="18"/>
  <c r="N9" i="18"/>
  <c r="F9" i="18"/>
  <c r="G9" i="18"/>
  <c r="O9" i="18"/>
  <c r="N10" i="18"/>
  <c r="F10" i="18"/>
  <c r="G34" i="3"/>
  <c r="K26" i="3"/>
  <c r="M23" i="3"/>
  <c r="K29" i="3"/>
  <c r="K10" i="3"/>
  <c r="K34" i="3"/>
  <c r="I23" i="3"/>
  <c r="I26" i="3"/>
  <c r="I34" i="3"/>
  <c r="G5" i="3"/>
  <c r="M26" i="3"/>
  <c r="M29" i="3"/>
  <c r="M34" i="3"/>
  <c r="M10" i="3"/>
  <c r="M5" i="3"/>
  <c r="K5" i="3"/>
  <c r="I5" i="3"/>
  <c r="I10" i="3"/>
  <c r="G10" i="3"/>
  <c r="G29" i="3"/>
  <c r="E4" i="3"/>
  <c r="L4" i="3"/>
  <c r="J4" i="3"/>
  <c r="D4" i="3"/>
  <c r="H4" i="3"/>
  <c r="F4" i="3"/>
  <c r="O4" i="3"/>
  <c r="N4" i="3"/>
  <c r="K6" i="18" l="1"/>
  <c r="K5" i="18" s="1"/>
  <c r="C6" i="18"/>
  <c r="C5" i="18" s="1"/>
  <c r="F6" i="18"/>
  <c r="F5" i="18" s="1"/>
  <c r="G6" i="18"/>
  <c r="G5" i="18" s="1"/>
  <c r="H6" i="18"/>
  <c r="H5" i="18" s="1"/>
  <c r="P6" i="18"/>
  <c r="P5" i="18" s="1"/>
  <c r="D6" i="18"/>
  <c r="D5" i="18" s="1"/>
  <c r="E6" i="18"/>
  <c r="E5" i="18" s="1"/>
  <c r="K4" i="3"/>
  <c r="N6" i="18" s="1"/>
  <c r="N5" i="18" s="1"/>
  <c r="I4" i="3"/>
  <c r="M6" i="18" s="1"/>
  <c r="M5" i="18" s="1"/>
  <c r="G4" i="3"/>
  <c r="L6" i="18" s="1"/>
  <c r="L5" i="18" s="1"/>
  <c r="M4" i="3"/>
  <c r="O6" i="18" s="1"/>
  <c r="O5" i="18" s="1"/>
</calcChain>
</file>

<file path=xl/sharedStrings.xml><?xml version="1.0" encoding="utf-8"?>
<sst xmlns="http://schemas.openxmlformats.org/spreadsheetml/2006/main" count="929" uniqueCount="200">
  <si>
    <t>구분</t>
    <phoneticPr fontId="2" type="noConversion"/>
  </si>
  <si>
    <t>2021년</t>
    <phoneticPr fontId="2" type="noConversion"/>
  </si>
  <si>
    <t>2022년</t>
  </si>
  <si>
    <t>2022년</t>
    <phoneticPr fontId="2" type="noConversion"/>
  </si>
  <si>
    <t>2023년</t>
  </si>
  <si>
    <t>2024년</t>
  </si>
  <si>
    <t>2025년</t>
  </si>
  <si>
    <t>2026년</t>
  </si>
  <si>
    <t>운영</t>
    <phoneticPr fontId="2" type="noConversion"/>
  </si>
  <si>
    <t>구축</t>
    <phoneticPr fontId="2" type="noConversion"/>
  </si>
  <si>
    <t>유지관리</t>
    <phoneticPr fontId="2" type="noConversion"/>
  </si>
  <si>
    <t>자동유량</t>
    <phoneticPr fontId="2" type="noConversion"/>
  </si>
  <si>
    <t>편성목</t>
    <phoneticPr fontId="2" type="noConversion"/>
  </si>
  <si>
    <t>통계목</t>
    <phoneticPr fontId="2" type="noConversion"/>
  </si>
  <si>
    <t>합계</t>
    <phoneticPr fontId="2" type="noConversion"/>
  </si>
  <si>
    <t>인건비</t>
    <phoneticPr fontId="2" type="noConversion"/>
  </si>
  <si>
    <t>소계</t>
    <phoneticPr fontId="2" type="noConversion"/>
  </si>
  <si>
    <t>보수</t>
  </si>
  <si>
    <t>기타직보수</t>
  </si>
  <si>
    <t>상용임금</t>
  </si>
  <si>
    <t>일용임금</t>
  </si>
  <si>
    <t>운영비</t>
    <phoneticPr fontId="2" type="noConversion"/>
  </si>
  <si>
    <t>일반수용비</t>
  </si>
  <si>
    <t>공공요금 및 제세</t>
  </si>
  <si>
    <t>피복비</t>
  </si>
  <si>
    <t>특근매식비</t>
  </si>
  <si>
    <t>임차료</t>
  </si>
  <si>
    <t>유류비</t>
  </si>
  <si>
    <t>시설장비유지비</t>
  </si>
  <si>
    <t>재료비</t>
  </si>
  <si>
    <t>복리후생비</t>
  </si>
  <si>
    <t>일반용역비</t>
  </si>
  <si>
    <t>관리용역비</t>
  </si>
  <si>
    <t>기타운영비</t>
  </si>
  <si>
    <t>여비</t>
    <phoneticPr fontId="2" type="noConversion"/>
  </si>
  <si>
    <t>국내여비</t>
  </si>
  <si>
    <t>국외업무여비</t>
  </si>
  <si>
    <t>업무추진비</t>
    <phoneticPr fontId="2" type="noConversion"/>
  </si>
  <si>
    <t>사업추진비</t>
  </si>
  <si>
    <t>관서업무추진비</t>
  </si>
  <si>
    <t>연구용역비</t>
    <phoneticPr fontId="2" type="noConversion"/>
  </si>
  <si>
    <t>일반연구비</t>
  </si>
  <si>
    <t>정책연구비</t>
  </si>
  <si>
    <t>민간이전</t>
    <phoneticPr fontId="2" type="noConversion"/>
  </si>
  <si>
    <t>고용부담금</t>
  </si>
  <si>
    <t>건설비</t>
    <phoneticPr fontId="2" type="noConversion"/>
  </si>
  <si>
    <t>기본조사설계비</t>
  </si>
  <si>
    <t>실시설계비</t>
  </si>
  <si>
    <t>공사비</t>
  </si>
  <si>
    <t>감리비</t>
  </si>
  <si>
    <t>시설부대비</t>
  </si>
  <si>
    <t>유형자산</t>
    <phoneticPr fontId="2" type="noConversion"/>
  </si>
  <si>
    <t>자산취득비</t>
  </si>
  <si>
    <t>무형자산</t>
    <phoneticPr fontId="2" type="noConversion"/>
  </si>
  <si>
    <t>무형자산</t>
  </si>
  <si>
    <t>예비비 및 기타</t>
    <phoneticPr fontId="2" type="noConversion"/>
  </si>
  <si>
    <t>예비비</t>
  </si>
  <si>
    <t>일반관리비</t>
    <phoneticPr fontId="2" type="noConversion"/>
  </si>
  <si>
    <t>일반관리비</t>
  </si>
  <si>
    <t>실행예산</t>
    <phoneticPr fontId="2" type="noConversion"/>
  </si>
  <si>
    <t>기관운영</t>
  </si>
  <si>
    <t>잔액 예산</t>
    <phoneticPr fontId="2" type="noConversion"/>
  </si>
  <si>
    <t>2023년</t>
    <phoneticPr fontId="2" type="noConversion"/>
  </si>
  <si>
    <t>2024년</t>
    <phoneticPr fontId="2" type="noConversion"/>
  </si>
  <si>
    <t>2025년</t>
    <phoneticPr fontId="2" type="noConversion"/>
  </si>
  <si>
    <t>2026년</t>
    <phoneticPr fontId="2" type="noConversion"/>
  </si>
  <si>
    <t>결의명</t>
  </si>
  <si>
    <t>예산부서</t>
  </si>
  <si>
    <t>결의부서</t>
  </si>
  <si>
    <t>편성목</t>
  </si>
  <si>
    <t>통계목</t>
  </si>
  <si>
    <t>결의금액</t>
  </si>
  <si>
    <t>2021년 한국수자원조사기술원 대표 SNS 채널 운영 용역 준공금 지급(40%)</t>
  </si>
  <si>
    <t>정책기획실</t>
  </si>
  <si>
    <t>혁신기획팀</t>
  </si>
  <si>
    <t>연구용역비</t>
  </si>
  <si>
    <t>'드론의 자율운항 및 전자파표면유속계 연계 시스템 개발 용역' 선금 지급</t>
  </si>
  <si>
    <t>금강4팀</t>
  </si>
  <si>
    <t>유량</t>
  </si>
  <si>
    <t>'2022년 자동유량관측소 신설 실시설계' 용역 준공금 지급</t>
  </si>
  <si>
    <t>인프라1팀</t>
  </si>
  <si>
    <t>이동거치형 다회선 표면유량측정시스템 구매</t>
  </si>
  <si>
    <t>자동유량3팀</t>
  </si>
  <si>
    <t>영상 자동유량계측장비를 활용한 홍수기 측정시스템 구매</t>
  </si>
  <si>
    <t>영산강2팀</t>
  </si>
  <si>
    <t>신형 전자파표면유속계(MU2730) 구매</t>
  </si>
  <si>
    <t>총무팀</t>
  </si>
  <si>
    <t>유형자산</t>
  </si>
  <si>
    <t>자동 제습보관함 및 건조기 구매</t>
  </si>
  <si>
    <t>멀티 교반기 구매</t>
  </si>
  <si>
    <t>실험대 구매</t>
  </si>
  <si>
    <t>유사량 시료 보관용 냉장고 구매</t>
  </si>
  <si>
    <t>유사량</t>
  </si>
  <si>
    <t>순수제조장치(증류수기) 및 필터 구매 요청</t>
  </si>
  <si>
    <t>우주선 중성자 측정장비(CRNP) 구매 건 물품대금 지급</t>
  </si>
  <si>
    <t>대기토양물정보팀</t>
  </si>
  <si>
    <t>토양수분량</t>
  </si>
  <si>
    <t>[수의계약] 2022년 전자파 표면유속계(한강조사실, 3차) 구매</t>
  </si>
  <si>
    <t>한강6팀</t>
  </si>
  <si>
    <t>분류 항목</t>
    <phoneticPr fontId="2" type="noConversion"/>
  </si>
  <si>
    <t>중장기 경영전략체계 개선 및 경영관리 고도화 용역 준공금 지급</t>
  </si>
  <si>
    <t>혁신성과팀</t>
  </si>
  <si>
    <t>국내외 수문조사 기술 및 활용현황 조사분석 용역 준공금 신청</t>
  </si>
  <si>
    <t>정책지원팀</t>
  </si>
  <si>
    <t>한국수자원조사기술원 지역사무소 설치를 위한 타당성 조사 및 기본계획 수립 준공금 지급</t>
  </si>
  <si>
    <t>미래전략팀</t>
  </si>
  <si>
    <t>「유사량 실험실 강제순환건조기」 구매</t>
  </si>
  <si>
    <t>하천조사팀</t>
  </si>
  <si>
    <t>부유사 입도분석기 구매</t>
  </si>
  <si>
    <t>직무중심 보수체계 구축을 위한 직무분석 및 직무급 설계 용역 준공금 지급</t>
  </si>
  <si>
    <t>[변경계약(2차)] 압력식수위계(첨단인프라실, 3차) 구매</t>
  </si>
  <si>
    <t>수자원기획팀</t>
  </si>
  <si>
    <t>유량산정 프로그램(CalPAD) GUI 고도화 용역 준공금 지급</t>
  </si>
  <si>
    <t>하천정보팀</t>
  </si>
  <si>
    <t>2022년 한국수자원조사기술원 수문조사 교육 동영상 제작 용역 준공금 지급</t>
  </si>
  <si>
    <t>'2023년 실시간 유량측정시스템 구축 실시설계'용역 준공금 지급</t>
  </si>
  <si>
    <t>자동유량1팀</t>
  </si>
  <si>
    <t>'자동유량측정시설 운영관리시스템(IRDiMS) 고도화 컨설팅'용역 준공금 지급 요청</t>
  </si>
  <si>
    <t>2022년도 내부 성과평가 운영 및 성과관리체계 고도화 용역 준공금 지급(예산 변경)</t>
  </si>
  <si>
    <t>'수문자료정보관리시스템(HDIMS) 재구축사업(2단계) 용역' 준공 및 준공금 처리요청</t>
  </si>
  <si>
    <t>'2023년 자동유량측정시설 개선 및 보수'용역 선금 지급 요청</t>
  </si>
  <si>
    <t>'자동유량측정시설 원격복구시스템 제조' 대금 지급</t>
  </si>
  <si>
    <t>ADCP 유량측정용 고속 무선보트 개선 물품 구매</t>
  </si>
  <si>
    <t>낙동강3팀</t>
  </si>
  <si>
    <t>저평수기용 ADCP 무선보트 개선 물품 구매(1차)</t>
  </si>
  <si>
    <t>초음파산란도 활용 유사량측정시스템 제조</t>
  </si>
  <si>
    <t>자동유량2팀</t>
  </si>
  <si>
    <t>저평수기용 ADCP 무선보트 개선 물품 구매(2차)</t>
  </si>
  <si>
    <t>'인공위성 토양수분 자료 검보정을 위한 지상관측망 구축 방법론 개발' 용역 준공금 지급</t>
  </si>
  <si>
    <t>연구기획팀</t>
  </si>
  <si>
    <t>2023년 수문조사 교육 동영상 제작 용역 준공금 지급</t>
  </si>
  <si>
    <t>물재해정보·교육팀</t>
  </si>
  <si>
    <t>운영비</t>
  </si>
  <si>
    <t>'자동유량측정시설 운영관리시스템(IRDiMS) 고도화'용역(1차년도) 준공금 지급</t>
  </si>
  <si>
    <t>'2023년 자동유량측정시설 개선 및 보수'용역 준공금 지급</t>
  </si>
  <si>
    <t>'2024년 실시간 유량측정시스템 구축(2차)'용역 선금 지급</t>
  </si>
  <si>
    <t>디지털자동화추진1팀</t>
  </si>
  <si>
    <t>건설비</t>
  </si>
  <si>
    <t>수문자료정보관리시스템(HDIMS) 재구축(3단계) 용역 선금 지급</t>
  </si>
  <si>
    <t>가관운영</t>
  </si>
  <si>
    <t>'2023년 자동유량측정시설 개선 및 보수(2차)'용역 준공금 지급</t>
  </si>
  <si>
    <t>'2024년 자동유량측정시설 구축 실시설계' 용역 준공금 지급</t>
  </si>
  <si>
    <t>위성측량장비 구매(변경)</t>
  </si>
  <si>
    <t>2024년 수문조사 매뉴얼 및 가이드라인 영문화 용역 준공금 지급</t>
  </si>
  <si>
    <t>홍수용(고유속) 무선보트 개선 물품 구매 (2차)</t>
  </si>
  <si>
    <t>한강2팀</t>
  </si>
  <si>
    <t>PAVOs용 VPN 라이선스 구매</t>
  </si>
  <si>
    <t>경영지원팀</t>
  </si>
  <si>
    <t>'2024년 자동유량측정 개선 및 보수" 용역 준공금 지급</t>
  </si>
  <si>
    <t>'나주시(남평교) 자동유량측정시설 보수' 용역 준공금 지급</t>
  </si>
  <si>
    <t>'고정형 도플러방식 초음파유속계 현장검정 기술개발'용역 준공급 지급</t>
  </si>
  <si>
    <t>'유량측정용 무선보트 제작 구매' 선금 지급</t>
  </si>
  <si>
    <t>2025년 KIHS 수자원 포럼 운영 용역 선금 지급</t>
  </si>
  <si>
    <t>예산정책팀</t>
  </si>
  <si>
    <t>키스 버디-S 구매</t>
  </si>
  <si>
    <t>금강2팀</t>
  </si>
  <si>
    <t>이동형자동유속관측시스템(PAVOs) 기능 개선 장비 구매</t>
  </si>
  <si>
    <t>'우주선 중성자 계측기(CRNP)를 활용한 공간 토양수분 측정기술 고도화 용역(1차년도)' 준공금 지급</t>
  </si>
  <si>
    <t>"국내외 위성영상을 활용한 국내 증발산량 공간지도 생산 강화를 위한 알고리즘 개발" 연구용역 선금 지급</t>
  </si>
  <si>
    <t>증발산량</t>
  </si>
  <si>
    <t>'유량측정용 무선보트 제작 구매' 선금지출 내역 변경</t>
  </si>
  <si>
    <t>&lt;수문자료정보관리시스템(HDIMS) 서버 구매&gt; 집행예산 변경</t>
  </si>
  <si>
    <t>'2025년 자동유량측정시설 기준단면 정밀조사 및 성과품 품질관리 표준화 방안 마련 용역' 선금 지급</t>
  </si>
  <si>
    <t>평창군(신리) CRNP 관측소 무게식 강우량계 구매 건 계약대금 지급(예산변경)</t>
  </si>
  <si>
    <t>&lt;하상토 이미지 입도분석기&gt; 구매 계약금 지급(예산변경)</t>
  </si>
  <si>
    <t>&lt;LISST-SL2 컨트롤박스 구매&gt; 물품계약 대금 지급(예산변경)</t>
  </si>
  <si>
    <t>&lt;전동권양기 배터리 기능개선품 구매&gt; 수의계약 대금지급(예산변경)</t>
  </si>
  <si>
    <t>&lt;유사량 실험실 정밀저울 구매&gt; 수의계약 대금지급(예산변경)</t>
  </si>
  <si>
    <t>표면채수장치 구매(예산변경)</t>
  </si>
  <si>
    <t>2025년 전동권양기(윈치) 전용 프레임 제작·구매(예산변경)</t>
  </si>
  <si>
    <t>냉장진열장 구매(예산변경(수정))</t>
  </si>
  <si>
    <t>증류수제조기기 구매(예산변경)</t>
  </si>
  <si>
    <t>'2025년 실시간 유량측정시스템 구축 실시설계' 용역 준공금 지급</t>
  </si>
  <si>
    <t>디지털자동화추진2팀</t>
  </si>
  <si>
    <t>'자동유량측정시설 시스템컨트롤러 제어장치 구매'건 대금지급</t>
  </si>
  <si>
    <t>위성영상 및 GIS 자료처리, 분석을 위한 데스크탑 구매(예산변경)</t>
  </si>
  <si>
    <t>2025년 안전보건교육 VR영상 콘텐츠 제작 용역</t>
  </si>
  <si>
    <t>안전보건1팀</t>
  </si>
  <si>
    <t xml:space="preserve">자산취득(풍향풍속계) 예산변경 </t>
  </si>
  <si>
    <t>한강1팀</t>
  </si>
  <si>
    <t>「수문자료정보관리시스템(HDIMS) 재구축사업(4단계)」용역 선금 지급</t>
  </si>
  <si>
    <t>'2025년 자동유량측정시설 기준단면 정밀조사 및 성과품 품질관리 표준화 방안 마련 용역' 준공금 지급</t>
  </si>
  <si>
    <t>'2025년 자동유량측정시설 초음파 및 전자파표면유속계 구매' 사업비 지급</t>
  </si>
  <si>
    <t>수문자료정보관리시스템(HDIMS) 서버 이전설치 및 기술지원 준공금 지급</t>
  </si>
  <si>
    <t>&lt;하천유량측정장치(무선보트) 제작 구매&gt;건 완료 대금 지급</t>
  </si>
  <si>
    <t>결재일</t>
    <phoneticPr fontId="2" type="noConversion"/>
  </si>
  <si>
    <t>2021년 수문정보
인프라 확충 잔액</t>
    <phoneticPr fontId="2" type="noConversion"/>
  </si>
  <si>
    <t>2023년 수문정보
인프라 확충 잔액</t>
    <phoneticPr fontId="2" type="noConversion"/>
  </si>
  <si>
    <t>2022년 수문정보
인프라 확충 잔액</t>
    <phoneticPr fontId="2" type="noConversion"/>
  </si>
  <si>
    <t>2024년 수문정보
인프라 확충 잔액</t>
    <phoneticPr fontId="2" type="noConversion"/>
  </si>
  <si>
    <t>세부사업명</t>
    <phoneticPr fontId="2" type="noConversion"/>
  </si>
  <si>
    <t>일반연구비</t>
    <phoneticPr fontId="2" type="noConversion"/>
  </si>
  <si>
    <t>유량</t>
    <phoneticPr fontId="2" type="noConversion"/>
  </si>
  <si>
    <t>유사량</t>
    <phoneticPr fontId="2" type="noConversion"/>
  </si>
  <si>
    <t>토양수분량</t>
    <phoneticPr fontId="2" type="noConversion"/>
  </si>
  <si>
    <t>증발산량</t>
    <phoneticPr fontId="2" type="noConversion"/>
  </si>
  <si>
    <t>계</t>
    <phoneticPr fontId="2" type="noConversion"/>
  </si>
  <si>
    <t>수문조사 항목별 예산 현황</t>
    <phoneticPr fontId="2" type="noConversion"/>
  </si>
  <si>
    <r>
      <t>수문조사 항목별 예산 현황</t>
    </r>
    <r>
      <rPr>
        <b/>
        <sz val="12"/>
        <color theme="1"/>
        <rFont val="돋움"/>
        <family val="3"/>
        <charset val="129"/>
      </rPr>
      <t>(전년도 잔액 예산 반영)</t>
    </r>
    <phoneticPr fontId="2" type="noConversion"/>
  </si>
  <si>
    <t>잔액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</si>
</sst>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4"/>
      <color theme="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1" fontId="3" fillId="6" borderId="1" xfId="0" applyNumberFormat="1" applyFont="1" applyFill="1" applyBorder="1" applyAlignment="1">
      <alignment horizontal="center" vertical="center"/>
    </xf>
    <xf numFmtId="41" fontId="1" fillId="8" borderId="11" xfId="0" applyNumberFormat="1" applyFont="1" applyFill="1" applyBorder="1" applyAlignment="1">
      <alignment horizontal="right" vertical="center"/>
    </xf>
    <xf numFmtId="41" fontId="1" fillId="2" borderId="9" xfId="0" applyNumberFormat="1" applyFont="1" applyFill="1" applyBorder="1" applyAlignment="1">
      <alignment horizontal="right" vertical="center"/>
    </xf>
    <xf numFmtId="41" fontId="1" fillId="2" borderId="10" xfId="0" applyNumberFormat="1" applyFont="1" applyFill="1" applyBorder="1" applyAlignment="1">
      <alignment horizontal="right" vertical="center"/>
    </xf>
    <xf numFmtId="41" fontId="3" fillId="6" borderId="7" xfId="0" applyNumberFormat="1" applyFont="1" applyFill="1" applyBorder="1" applyAlignment="1">
      <alignment horizontal="center" vertical="center"/>
    </xf>
    <xf numFmtId="41" fontId="1" fillId="2" borderId="13" xfId="0" applyNumberFormat="1" applyFont="1" applyFill="1" applyBorder="1" applyAlignment="1">
      <alignment horizontal="right" vertical="center"/>
    </xf>
    <xf numFmtId="41" fontId="1" fillId="2" borderId="14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1" fontId="3" fillId="6" borderId="8" xfId="0" applyNumberFormat="1" applyFont="1" applyFill="1" applyBorder="1" applyAlignment="1">
      <alignment horizontal="center" vertical="center"/>
    </xf>
    <xf numFmtId="41" fontId="1" fillId="8" borderId="15" xfId="0" applyNumberFormat="1" applyFont="1" applyFill="1" applyBorder="1" applyAlignment="1">
      <alignment horizontal="right" vertical="center"/>
    </xf>
    <xf numFmtId="41" fontId="1" fillId="2" borderId="16" xfId="0" applyNumberFormat="1" applyFont="1" applyFill="1" applyBorder="1" applyAlignment="1">
      <alignment horizontal="right" vertical="center"/>
    </xf>
    <xf numFmtId="41" fontId="1" fillId="2" borderId="17" xfId="0" applyNumberFormat="1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41" fontId="3" fillId="8" borderId="15" xfId="0" applyNumberFormat="1" applyFont="1" applyFill="1" applyBorder="1" applyAlignment="1">
      <alignment horizontal="right" vertical="center"/>
    </xf>
    <xf numFmtId="41" fontId="3" fillId="8" borderId="11" xfId="0" applyNumberFormat="1" applyFont="1" applyFill="1" applyBorder="1" applyAlignment="1">
      <alignment horizontal="right" vertical="center"/>
    </xf>
    <xf numFmtId="41" fontId="3" fillId="8" borderId="12" xfId="0" applyNumberFormat="1" applyFont="1" applyFill="1" applyBorder="1" applyAlignment="1">
      <alignment horizontal="right" vertical="center"/>
    </xf>
    <xf numFmtId="41" fontId="1" fillId="2" borderId="18" xfId="0" applyNumberFormat="1" applyFont="1" applyFill="1" applyBorder="1" applyAlignment="1">
      <alignment horizontal="center" vertical="center"/>
    </xf>
    <xf numFmtId="41" fontId="1" fillId="2" borderId="5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41" fontId="1" fillId="2" borderId="0" xfId="0" applyNumberFormat="1" applyFont="1" applyFill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41" fontId="1" fillId="2" borderId="1" xfId="0" applyNumberFormat="1" applyFont="1" applyFill="1" applyBorder="1" applyAlignment="1">
      <alignment horizontal="center" vertical="center"/>
    </xf>
    <xf numFmtId="14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18" xfId="0" applyNumberFormat="1" applyFont="1" applyFill="1" applyBorder="1" applyAlignment="1">
      <alignment horizontal="center" vertical="center"/>
    </xf>
    <xf numFmtId="41" fontId="1" fillId="2" borderId="3" xfId="0" applyNumberFormat="1" applyFont="1" applyFill="1" applyBorder="1" applyAlignment="1">
      <alignment horizontal="center" vertical="center"/>
    </xf>
    <xf numFmtId="41" fontId="1" fillId="2" borderId="6" xfId="0" applyNumberFormat="1" applyFont="1" applyFill="1" applyBorder="1" applyAlignment="1">
      <alignment horizontal="center" vertical="center"/>
    </xf>
    <xf numFmtId="41" fontId="1" fillId="2" borderId="2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41" fontId="3" fillId="8" borderId="1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41" fontId="3" fillId="8" borderId="3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표준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0000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C7B0F5-22FB-4A71-BC42-256E79AA48C6}" name="실행예산" displayName="실행예산" ref="B4:H10" totalsRowShown="0" headerRowDxfId="75" dataDxfId="73" headerRowBorderDxfId="74" tableBorderDxfId="72" totalsRowBorderDxfId="71">
  <tableColumns count="7">
    <tableColumn id="1" xr3:uid="{261C65F2-E6CB-4D5F-A3F8-CEBDC86C4A3C}" name="구분" dataDxfId="70"/>
    <tableColumn id="2" xr3:uid="{8436FD45-1BE7-494D-9AB4-6F8AB6F6E444}" name="2021년" dataDxfId="69"/>
    <tableColumn id="3" xr3:uid="{715C9E30-3B89-46C4-AAF8-FABED56E3127}" name="2022년" dataDxfId="68"/>
    <tableColumn id="4" xr3:uid="{FCEA5BB2-9788-4FB2-9A44-D480E5EA3A62}" name="2023년" dataDxfId="67"/>
    <tableColumn id="5" xr3:uid="{3FC60F71-BBA1-4AFA-BBAC-AD2232AB77B3}" name="2024년" dataDxfId="66"/>
    <tableColumn id="6" xr3:uid="{AB9DA3AF-8F4D-4D82-89E6-8FE9559D85BD}" name="2025년" dataDxfId="65"/>
    <tableColumn id="7" xr3:uid="{4045AC6E-D151-4C58-97F3-34C743609C34}" name="2026년" dataDxfId="6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3C2ADF-B6A8-4D87-9CE5-DCD952DD4100}" name="표12" displayName="표12" ref="J4:P10" totalsRowShown="0" headerRowDxfId="63" dataDxfId="61" headerRowBorderDxfId="62" tableBorderDxfId="60" totalsRowBorderDxfId="59">
  <tableColumns count="7">
    <tableColumn id="1" xr3:uid="{EB4EA48E-068B-4600-8307-9F144E0884A2}" name="구분" dataDxfId="58"/>
    <tableColumn id="2" xr3:uid="{59E5CC59-FC50-4FEA-ACB8-86BB6BB07AFE}" name="2021년" dataDxfId="57"/>
    <tableColumn id="3" xr3:uid="{1B26CF95-9E3D-488E-844D-2A453BD8AA27}" name="2022년" dataDxfId="56"/>
    <tableColumn id="4" xr3:uid="{CF1FB67D-F430-4D4C-9199-9057CD9AB033}" name="2023년" dataDxfId="55"/>
    <tableColumn id="5" xr3:uid="{02F892DC-0B67-4D08-BB25-1F8CBC4935E4}" name="2024년" dataDxfId="54"/>
    <tableColumn id="6" xr3:uid="{5F786DDE-C092-45E8-B462-8FC0C5CFC406}" name="2025년" dataDxfId="53"/>
    <tableColumn id="7" xr3:uid="{1FF9E315-6941-4024-BB26-0222D5546479}" name="2026년" dataDxfId="5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9D7379-641D-4CD5-822D-FEA72B59856A}" name="잔액_2022" displayName="잔액_2022" ref="D2:K17" totalsRowShown="0" headerRowDxfId="51" dataDxfId="49" headerRowBorderDxfId="50" tableBorderDxfId="48" totalsRowBorderDxfId="47">
  <tableColumns count="8">
    <tableColumn id="1" xr3:uid="{A3B9F49E-62BD-4A86-A417-5CF7A378295D}" name="결재일" dataDxfId="46"/>
    <tableColumn id="2" xr3:uid="{F6ED4C70-D772-4CDB-822C-1E2EDF1AFCAE}" name="결의명" dataDxfId="45"/>
    <tableColumn id="3" xr3:uid="{1ACC267E-228A-433E-8BF0-B25327E9C575}" name="예산부서" dataDxfId="44"/>
    <tableColumn id="4" xr3:uid="{82D472F8-2983-4420-989D-2182EBF0ADFB}" name="결의부서" dataDxfId="43"/>
    <tableColumn id="5" xr3:uid="{42A59DBE-1FEF-4C35-8769-E1DF82BEAF94}" name="편성목" dataDxfId="42"/>
    <tableColumn id="6" xr3:uid="{3CA12660-9F71-496C-9355-B5AB5ED034C0}" name="통계목" dataDxfId="41"/>
    <tableColumn id="7" xr3:uid="{8893F612-0410-4F25-9F5E-85D1921DDA83}" name="결의금액" dataDxfId="40"/>
    <tableColumn id="8" xr3:uid="{5BF684A3-4664-4C4A-A556-76A975EE1DE2}" name="분류 항목" dataDxfId="3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B82BAF-0088-48B9-B0E5-F69A4B408D7E}" name="잔액_2023" displayName="잔액_2023" ref="D19:K37" totalsRowShown="0" headerRowDxfId="38" dataDxfId="36" headerRowBorderDxfId="37" tableBorderDxfId="35" totalsRowBorderDxfId="34">
  <tableColumns count="8">
    <tableColumn id="1" xr3:uid="{24040019-CA20-4527-88E8-5BAFB1D8C089}" name="결재일" dataDxfId="33"/>
    <tableColumn id="2" xr3:uid="{D157F86F-6665-459E-836B-750EED620709}" name="결의명" dataDxfId="32"/>
    <tableColumn id="3" xr3:uid="{D7998892-B6E7-4074-8513-8B44B82F6448}" name="예산부서" dataDxfId="31"/>
    <tableColumn id="4" xr3:uid="{1804B3EF-8D6B-4C95-8999-BEA8EA45A4E5}" name="결의부서" dataDxfId="30"/>
    <tableColumn id="5" xr3:uid="{51B29CFB-7737-42AD-9C3B-F093E993B520}" name="편성목" dataDxfId="29"/>
    <tableColumn id="6" xr3:uid="{63A06FAB-7E9E-4090-8DF5-2FD284299562}" name="통계목" dataDxfId="28"/>
    <tableColumn id="7" xr3:uid="{491A434D-77BC-41FC-BC41-B95FE241C582}" name="결의금액" dataDxfId="27"/>
    <tableColumn id="8" xr3:uid="{BB1CA4ED-E425-48F1-A98B-A71DECD9E22F}" name="분류 항목" dataDxfId="2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59B19B-A379-479B-BED5-D7E1F42512D1}" name="잔액_2024" displayName="잔액_2024" ref="D39:K49" totalsRowShown="0" headerRowDxfId="25" dataDxfId="23" headerRowBorderDxfId="24" tableBorderDxfId="22" totalsRowBorderDxfId="21">
  <tableColumns count="8">
    <tableColumn id="1" xr3:uid="{1BA0D138-D326-4DAB-A18C-88250FA9FEC7}" name="결재일" dataDxfId="20"/>
    <tableColumn id="2" xr3:uid="{EF9B32F5-9324-4E9C-A18B-E1C31593B121}" name="결의명" dataDxfId="19"/>
    <tableColumn id="3" xr3:uid="{CDFFCFEC-8A74-42F4-8243-81B4DFD7AED9}" name="예산부서" dataDxfId="18"/>
    <tableColumn id="4" xr3:uid="{51512057-C9B8-4D69-A442-491E5E940EF0}" name="결의부서" dataDxfId="17"/>
    <tableColumn id="5" xr3:uid="{7F414B1A-6E9D-4E83-824E-EC21A3733ABA}" name="편성목" dataDxfId="16"/>
    <tableColumn id="6" xr3:uid="{475C6F51-B896-477C-829D-0A665A9C62B0}" name="통계목" dataDxfId="15"/>
    <tableColumn id="7" xr3:uid="{67D5BF51-FCE1-4CF0-AFB3-20D011793546}" name="결의금액" dataDxfId="14"/>
    <tableColumn id="8" xr3:uid="{13F35A02-5C3D-4740-AA0B-6611FB0816C8}" name="분류 항목" dataDxfId="1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5B6187-4577-4B0A-9CDC-59FF4893768B}" name="잔액_2025" displayName="잔액_2025" ref="D51:K88" totalsRowShown="0" headerRowDxfId="12" dataDxfId="10" headerRowBorderDxfId="11" tableBorderDxfId="9" totalsRowBorderDxfId="8">
  <tableColumns count="8">
    <tableColumn id="1" xr3:uid="{A8593FC8-B09E-442F-AB19-E10BA07D4F57}" name="결재일" dataDxfId="7"/>
    <tableColumn id="2" xr3:uid="{8A850822-7DE6-4030-8155-44F629728853}" name="결의명" dataDxfId="6"/>
    <tableColumn id="3" xr3:uid="{BCEA8C5E-2AB9-422A-BD4D-BD4616C23E3F}" name="예산부서" dataDxfId="5"/>
    <tableColumn id="4" xr3:uid="{D0C8F90F-E138-49DC-941D-82DD1F370DBD}" name="결의부서" dataDxfId="4"/>
    <tableColumn id="5" xr3:uid="{02AC8FE0-8D16-468F-86C7-B9E2BD9A3387}" name="편성목" dataDxfId="3"/>
    <tableColumn id="6" xr3:uid="{E957D9F9-5AD8-4C26-8B88-927C8BCCEC1C}" name="통계목" dataDxfId="2"/>
    <tableColumn id="7" xr3:uid="{D6625905-3561-4977-ADE8-33C9AD892649}" name="결의금액" dataDxfId="1"/>
    <tableColumn id="8" xr3:uid="{A76DD4E0-30D6-4630-8894-A08B75115B41}" name="분류 항목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FB4A-9049-4F51-8B9B-C8339B3ABACE}">
  <dimension ref="B2:P10"/>
  <sheetViews>
    <sheetView tabSelected="1" zoomScaleNormal="100" workbookViewId="0">
      <selection activeCell="N16" sqref="N16"/>
    </sheetView>
  </sheetViews>
  <sheetFormatPr defaultColWidth="10.625" defaultRowHeight="20.100000000000001" customHeight="1" x14ac:dyDescent="0.3"/>
  <cols>
    <col min="1" max="1" width="3.625" style="1" customWidth="1"/>
    <col min="2" max="2" width="10.625" style="1"/>
    <col min="3" max="5" width="14.25" style="1" bestFit="1" customWidth="1"/>
    <col min="6" max="8" width="15.25" style="1" bestFit="1" customWidth="1"/>
    <col min="9" max="10" width="10.625" style="1"/>
    <col min="11" max="13" width="14.25" style="1" bestFit="1" customWidth="1"/>
    <col min="14" max="16" width="15.25" style="1" bestFit="1" customWidth="1"/>
    <col min="17" max="16384" width="10.625" style="1"/>
  </cols>
  <sheetData>
    <row r="2" spans="2:16" ht="30" customHeight="1" x14ac:dyDescent="0.3">
      <c r="B2" s="47" t="s">
        <v>197</v>
      </c>
      <c r="C2" s="47"/>
      <c r="D2" s="47"/>
      <c r="E2" s="47"/>
      <c r="F2" s="47"/>
      <c r="G2" s="47"/>
      <c r="H2" s="47"/>
      <c r="J2" s="48" t="s">
        <v>198</v>
      </c>
      <c r="K2" s="48"/>
      <c r="L2" s="48"/>
      <c r="M2" s="48"/>
      <c r="N2" s="48"/>
      <c r="O2" s="48"/>
      <c r="P2" s="48"/>
    </row>
    <row r="4" spans="2:16" ht="20.100000000000001" customHeight="1" x14ac:dyDescent="0.3">
      <c r="B4" s="33" t="s">
        <v>0</v>
      </c>
      <c r="C4" s="34" t="s">
        <v>1</v>
      </c>
      <c r="D4" s="34" t="s">
        <v>2</v>
      </c>
      <c r="E4" s="34" t="s">
        <v>4</v>
      </c>
      <c r="F4" s="34" t="s">
        <v>5</v>
      </c>
      <c r="G4" s="34" t="s">
        <v>6</v>
      </c>
      <c r="H4" s="45" t="s">
        <v>7</v>
      </c>
      <c r="J4" s="33" t="s">
        <v>0</v>
      </c>
      <c r="K4" s="34" t="s">
        <v>1</v>
      </c>
      <c r="L4" s="34" t="s">
        <v>2</v>
      </c>
      <c r="M4" s="34" t="s">
        <v>4</v>
      </c>
      <c r="N4" s="34" t="s">
        <v>5</v>
      </c>
      <c r="O4" s="34" t="s">
        <v>6</v>
      </c>
      <c r="P4" s="45" t="s">
        <v>7</v>
      </c>
    </row>
    <row r="5" spans="2:16" ht="20.100000000000001" customHeight="1" x14ac:dyDescent="0.3">
      <c r="B5" s="43" t="s">
        <v>196</v>
      </c>
      <c r="C5" s="42">
        <f>SUM(C6:C10)</f>
        <v>2487456225</v>
      </c>
      <c r="D5" s="42">
        <f t="shared" ref="D5:H5" si="0">SUM(D6:D10)</f>
        <v>9520000000</v>
      </c>
      <c r="E5" s="42">
        <f t="shared" si="0"/>
        <v>8475000000</v>
      </c>
      <c r="F5" s="42">
        <f t="shared" si="0"/>
        <v>10985000000</v>
      </c>
      <c r="G5" s="42">
        <f t="shared" si="0"/>
        <v>35704000000</v>
      </c>
      <c r="H5" s="44">
        <f t="shared" si="0"/>
        <v>18488000000</v>
      </c>
      <c r="J5" s="43" t="s">
        <v>196</v>
      </c>
      <c r="K5" s="42">
        <f>SUM(K6:K10)</f>
        <v>2487456225</v>
      </c>
      <c r="L5" s="42">
        <f t="shared" ref="L5:P5" si="1">SUM(L6:L10)</f>
        <v>9943740153</v>
      </c>
      <c r="M5" s="42">
        <f t="shared" si="1"/>
        <v>8590082000</v>
      </c>
      <c r="N5" s="42">
        <f t="shared" si="1"/>
        <v>11195749215</v>
      </c>
      <c r="O5" s="42">
        <f t="shared" si="1"/>
        <v>36607548900</v>
      </c>
      <c r="P5" s="44">
        <f t="shared" si="1"/>
        <v>18488000000</v>
      </c>
    </row>
    <row r="6" spans="2:16" ht="20.100000000000001" customHeight="1" x14ac:dyDescent="0.3">
      <c r="B6" s="4" t="s">
        <v>192</v>
      </c>
      <c r="C6" s="30">
        <f>유량!$D$4</f>
        <v>1190182077</v>
      </c>
      <c r="D6" s="30">
        <f>유량!$F$4</f>
        <v>3490000000</v>
      </c>
      <c r="E6" s="30">
        <f>유량!$H$4</f>
        <v>2588664990</v>
      </c>
      <c r="F6" s="30">
        <f>유량!$J$4</f>
        <v>3791790577</v>
      </c>
      <c r="G6" s="30">
        <f>유량!$L$4</f>
        <v>2628000000</v>
      </c>
      <c r="H6" s="38">
        <f>유량!$N$4</f>
        <v>2039920000</v>
      </c>
      <c r="J6" s="4" t="s">
        <v>192</v>
      </c>
      <c r="K6" s="30">
        <f>SUM(유량!D$4:E$4)</f>
        <v>1190182077</v>
      </c>
      <c r="L6" s="30">
        <f>SUM(유량!F$4:G$4)</f>
        <v>3770139873</v>
      </c>
      <c r="M6" s="30">
        <f>SUM(유량!H$4:I$4)</f>
        <v>2594604990</v>
      </c>
      <c r="N6" s="30">
        <f>SUM(유량!J$4:K$4)</f>
        <v>3950363432</v>
      </c>
      <c r="O6" s="30">
        <f>SUM(유량!L$4:M$4)</f>
        <v>3097893500</v>
      </c>
      <c r="P6" s="38">
        <f>SUM(유량!N$4:O$4)</f>
        <v>2039920000</v>
      </c>
    </row>
    <row r="7" spans="2:16" ht="20.100000000000001" customHeight="1" x14ac:dyDescent="0.3">
      <c r="B7" s="4" t="s">
        <v>11</v>
      </c>
      <c r="C7" s="30">
        <f>자동유량!$D$4</f>
        <v>922911768</v>
      </c>
      <c r="D7" s="30">
        <f>자동유량!$F$4</f>
        <v>5618000000</v>
      </c>
      <c r="E7" s="30">
        <f>자동유량!$H$4</f>
        <v>5377336970</v>
      </c>
      <c r="F7" s="30">
        <f>자동유량!$J$4</f>
        <v>6912209423</v>
      </c>
      <c r="G7" s="30">
        <f>자동유량!$L$4</f>
        <v>32861000000</v>
      </c>
      <c r="H7" s="38">
        <f>자동유량!$N$4</f>
        <v>16249080000</v>
      </c>
      <c r="J7" s="4" t="s">
        <v>11</v>
      </c>
      <c r="K7" s="30">
        <f>SUM(자동유량!D$4:E$4)</f>
        <v>922911768</v>
      </c>
      <c r="L7" s="30">
        <f>SUM(자동유량!F$4:G$4)</f>
        <v>5659525000</v>
      </c>
      <c r="M7" s="30">
        <f>SUM(자동유량!H$4:I$4)</f>
        <v>5377336970</v>
      </c>
      <c r="N7" s="30">
        <f>SUM(자동유량!J$4:K$4)</f>
        <v>6929601543</v>
      </c>
      <c r="O7" s="30">
        <f>SUM(자동유량!L$4:M$4)</f>
        <v>32905136330</v>
      </c>
      <c r="P7" s="38">
        <f>SUM(자동유량!N$4:O$4)</f>
        <v>16249080000</v>
      </c>
    </row>
    <row r="8" spans="2:16" ht="20.100000000000001" customHeight="1" x14ac:dyDescent="0.3">
      <c r="B8" s="4" t="s">
        <v>193</v>
      </c>
      <c r="C8" s="30">
        <f>유사량!$D$4</f>
        <v>337965730</v>
      </c>
      <c r="D8" s="30">
        <f>유사량!$F$4</f>
        <v>356000000</v>
      </c>
      <c r="E8" s="30">
        <f>유사량!$H$4</f>
        <v>416083240</v>
      </c>
      <c r="F8" s="30">
        <f>유사량!$J$4</f>
        <v>221000000</v>
      </c>
      <c r="G8" s="30">
        <f>유사량!$L$4</f>
        <v>175000000</v>
      </c>
      <c r="H8" s="38">
        <f>유사량!$N$4</f>
        <v>159000000</v>
      </c>
      <c r="J8" s="4" t="s">
        <v>193</v>
      </c>
      <c r="K8" s="30">
        <f>SUM(유사량!D$4:E$4)</f>
        <v>337965730</v>
      </c>
      <c r="L8" s="30">
        <f>SUM(유사량!F$4:G$4)</f>
        <v>375025280</v>
      </c>
      <c r="M8" s="30">
        <f>SUM(유사량!H$4:I$4)</f>
        <v>525225240</v>
      </c>
      <c r="N8" s="30">
        <f>SUM(유사량!J$4:K$4)</f>
        <v>221000000</v>
      </c>
      <c r="O8" s="30">
        <f>SUM(유사량!L$4:M$4)</f>
        <v>476246410</v>
      </c>
      <c r="P8" s="38">
        <f>SUM(유사량!N$4:O$4)</f>
        <v>159000000</v>
      </c>
    </row>
    <row r="9" spans="2:16" ht="20.100000000000001" customHeight="1" x14ac:dyDescent="0.3">
      <c r="B9" s="4" t="s">
        <v>194</v>
      </c>
      <c r="C9" s="30">
        <f>토양수분량!$D$4</f>
        <v>20453200</v>
      </c>
      <c r="D9" s="30">
        <f>토양수분량!$F$4</f>
        <v>26700000</v>
      </c>
      <c r="E9" s="30">
        <f>토양수분량!$H$4</f>
        <v>55206400</v>
      </c>
      <c r="F9" s="30">
        <f>토양수분량!$J$4</f>
        <v>30000000</v>
      </c>
      <c r="G9" s="30">
        <f>토양수분량!$L$4</f>
        <v>20000000</v>
      </c>
      <c r="H9" s="38">
        <f>토양수분량!$N$4</f>
        <v>20000000</v>
      </c>
      <c r="J9" s="4" t="s">
        <v>194</v>
      </c>
      <c r="K9" s="30">
        <f>SUM(토양수분량!D$4:E$4)</f>
        <v>20453200</v>
      </c>
      <c r="L9" s="30">
        <f>SUM(토양수분량!F$4:G$4)</f>
        <v>68225000</v>
      </c>
      <c r="M9" s="30">
        <f>SUM(토양수분량!H$4:I$4)</f>
        <v>55206400</v>
      </c>
      <c r="N9" s="30">
        <f>SUM(토양수분량!J$4:K$4)</f>
        <v>47392120</v>
      </c>
      <c r="O9" s="30">
        <f>SUM(토양수분량!L$4:M$4)</f>
        <v>64136330</v>
      </c>
      <c r="P9" s="38">
        <f>SUM(토양수분량!N$4:O$4)</f>
        <v>20000000</v>
      </c>
    </row>
    <row r="10" spans="2:16" ht="20.100000000000001" customHeight="1" x14ac:dyDescent="0.3">
      <c r="B10" s="46" t="s">
        <v>195</v>
      </c>
      <c r="C10" s="25">
        <f>증발산량!$D$4</f>
        <v>15943450</v>
      </c>
      <c r="D10" s="25">
        <f>증발산량!$F$4</f>
        <v>29300000</v>
      </c>
      <c r="E10" s="25">
        <f>증발산량!$H$4</f>
        <v>37708400</v>
      </c>
      <c r="F10" s="25">
        <f>증발산량!$J$4</f>
        <v>30000000</v>
      </c>
      <c r="G10" s="25">
        <f>증발산량!$L$4</f>
        <v>20000000</v>
      </c>
      <c r="H10" s="40">
        <f>증발산량!$N$4</f>
        <v>20000000</v>
      </c>
      <c r="J10" s="46" t="s">
        <v>195</v>
      </c>
      <c r="K10" s="25">
        <f>SUM(증발산량!D$4:E$4)</f>
        <v>15943450</v>
      </c>
      <c r="L10" s="25">
        <f>SUM(증발산량!F$4:G$4)</f>
        <v>70825000</v>
      </c>
      <c r="M10" s="25">
        <f>SUM(증발산량!H$4:I$4)</f>
        <v>37708400</v>
      </c>
      <c r="N10" s="25">
        <f>SUM(증발산량!J$4:K$4)</f>
        <v>47392120</v>
      </c>
      <c r="O10" s="25">
        <f>SUM(증발산량!L$4:M$4)</f>
        <v>64136330</v>
      </c>
      <c r="P10" s="40">
        <f>SUM(증발산량!N$4:O$4)</f>
        <v>20000000</v>
      </c>
    </row>
  </sheetData>
  <mergeCells count="2">
    <mergeCell ref="B2:H2"/>
    <mergeCell ref="J2:P2"/>
  </mergeCells>
  <phoneticPr fontId="2" type="noConversion"/>
  <pageMargins left="0.7" right="0.7" top="0.75" bottom="0.75" header="0.3" footer="0.3"/>
  <pageSetup paperSize="9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AB13-5A79-40C2-8224-85F6C287B7D7}">
  <sheetPr>
    <pageSetUpPr fitToPage="1"/>
  </sheetPr>
  <dimension ref="B1:O47"/>
  <sheetViews>
    <sheetView zoomScale="80" zoomScaleNormal="80" workbookViewId="0">
      <selection activeCell="B1" sqref="B1"/>
    </sheetView>
  </sheetViews>
  <sheetFormatPr defaultColWidth="10.625" defaultRowHeight="17.100000000000001" customHeight="1" x14ac:dyDescent="0.3"/>
  <cols>
    <col min="1" max="1" width="3.625" style="1" customWidth="1"/>
    <col min="2" max="3" width="14.625" style="1" customWidth="1"/>
    <col min="4" max="4" width="18.625" style="1" customWidth="1"/>
    <col min="5" max="5" width="16.625" style="1" customWidth="1"/>
    <col min="6" max="6" width="18.625" style="1" customWidth="1"/>
    <col min="7" max="7" width="16.625" style="1" customWidth="1"/>
    <col min="8" max="8" width="18.625" style="1" customWidth="1"/>
    <col min="9" max="9" width="16.625" style="1" customWidth="1"/>
    <col min="10" max="10" width="18.625" style="1" customWidth="1"/>
    <col min="11" max="11" width="16.625" style="1" customWidth="1"/>
    <col min="12" max="12" width="18.625" style="1" customWidth="1"/>
    <col min="13" max="13" width="16.625" style="1" customWidth="1"/>
    <col min="14" max="14" width="18.625" style="1" customWidth="1"/>
    <col min="15" max="15" width="16.625" style="1" customWidth="1"/>
    <col min="16" max="16384" width="10.625" style="1"/>
  </cols>
  <sheetData>
    <row r="1" spans="2:15" ht="17.100000000000001" customHeight="1" x14ac:dyDescent="0.3">
      <c r="B1" s="57" t="s">
        <v>192</v>
      </c>
    </row>
    <row r="2" spans="2:15" ht="17.100000000000001" customHeight="1" x14ac:dyDescent="0.3">
      <c r="B2" s="52" t="s">
        <v>12</v>
      </c>
      <c r="C2" s="52" t="s">
        <v>13</v>
      </c>
      <c r="D2" s="52" t="s">
        <v>1</v>
      </c>
      <c r="E2" s="53"/>
      <c r="F2" s="52" t="s">
        <v>3</v>
      </c>
      <c r="G2" s="53"/>
      <c r="H2" s="52" t="s">
        <v>62</v>
      </c>
      <c r="I2" s="53"/>
      <c r="J2" s="52" t="s">
        <v>63</v>
      </c>
      <c r="K2" s="53"/>
      <c r="L2" s="52" t="s">
        <v>64</v>
      </c>
      <c r="M2" s="53"/>
      <c r="N2" s="54" t="s">
        <v>65</v>
      </c>
      <c r="O2" s="52"/>
    </row>
    <row r="3" spans="2:15" ht="17.100000000000001" customHeight="1" x14ac:dyDescent="0.3">
      <c r="B3" s="52"/>
      <c r="C3" s="52"/>
      <c r="D3" s="14" t="s">
        <v>59</v>
      </c>
      <c r="E3" s="15" t="s">
        <v>61</v>
      </c>
      <c r="F3" s="14" t="s">
        <v>59</v>
      </c>
      <c r="G3" s="15" t="s">
        <v>61</v>
      </c>
      <c r="H3" s="14" t="s">
        <v>59</v>
      </c>
      <c r="I3" s="15" t="s">
        <v>61</v>
      </c>
      <c r="J3" s="14" t="s">
        <v>59</v>
      </c>
      <c r="K3" s="15" t="s">
        <v>61</v>
      </c>
      <c r="L3" s="14" t="s">
        <v>59</v>
      </c>
      <c r="M3" s="15" t="s">
        <v>61</v>
      </c>
      <c r="N3" s="20" t="s">
        <v>59</v>
      </c>
      <c r="O3" s="14" t="s">
        <v>61</v>
      </c>
    </row>
    <row r="4" spans="2:15" ht="17.100000000000001" customHeight="1" x14ac:dyDescent="0.3">
      <c r="B4" s="49" t="s">
        <v>14</v>
      </c>
      <c r="C4" s="50"/>
      <c r="D4" s="7">
        <f t="shared" ref="D4" si="0">SUM(D5,D10,D23,D26,D29,D32,D34,D40,D42,D44,D46)</f>
        <v>1190182077</v>
      </c>
      <c r="E4" s="11">
        <f t="shared" ref="E4:F4" si="1">SUM(E5,E10,E23,E26,E29,E32,E34,E40,E42,E44,E46)</f>
        <v>0</v>
      </c>
      <c r="F4" s="16">
        <f t="shared" si="1"/>
        <v>3490000000</v>
      </c>
      <c r="G4" s="11">
        <f t="shared" ref="G4:O4" si="2">SUM(G5,G10,G23,G26,G29,G32,G34,G40,G42,G44,G46)</f>
        <v>280139873</v>
      </c>
      <c r="H4" s="16">
        <f t="shared" si="2"/>
        <v>2588664990</v>
      </c>
      <c r="I4" s="11">
        <f t="shared" si="2"/>
        <v>5940000</v>
      </c>
      <c r="J4" s="16">
        <f t="shared" si="2"/>
        <v>3791790577</v>
      </c>
      <c r="K4" s="11">
        <f t="shared" si="2"/>
        <v>158572855</v>
      </c>
      <c r="L4" s="16">
        <f t="shared" si="2"/>
        <v>2628000000</v>
      </c>
      <c r="M4" s="11">
        <f t="shared" si="2"/>
        <v>469893500</v>
      </c>
      <c r="N4" s="16">
        <f t="shared" si="2"/>
        <v>2039920000</v>
      </c>
      <c r="O4" s="7">
        <f t="shared" si="2"/>
        <v>0</v>
      </c>
    </row>
    <row r="5" spans="2:15" ht="17.100000000000001" customHeight="1" x14ac:dyDescent="0.3">
      <c r="B5" s="51" t="s">
        <v>15</v>
      </c>
      <c r="C5" s="21" t="s">
        <v>16</v>
      </c>
      <c r="D5" s="23">
        <f>SUM(D6:D9)</f>
        <v>123200000</v>
      </c>
      <c r="E5" s="24">
        <f>SUM(E6:E9)</f>
        <v>0</v>
      </c>
      <c r="F5" s="22">
        <f t="shared" ref="F5" si="3">SUM(F6:F9)</f>
        <v>443000000</v>
      </c>
      <c r="G5" s="24">
        <f>SUM(G6:G9)</f>
        <v>0</v>
      </c>
      <c r="H5" s="22">
        <f t="shared" ref="H5" si="4">SUM(H6:H9)</f>
        <v>747380000</v>
      </c>
      <c r="I5" s="24">
        <f>SUM(I6:I9)</f>
        <v>0</v>
      </c>
      <c r="J5" s="22">
        <f t="shared" ref="J5" si="5">SUM(J6:J9)</f>
        <v>572951413</v>
      </c>
      <c r="K5" s="24">
        <f>SUM(K6:K9)</f>
        <v>0</v>
      </c>
      <c r="L5" s="22">
        <f t="shared" ref="L5" si="6">SUM(L6:L9)</f>
        <v>342209542</v>
      </c>
      <c r="M5" s="24">
        <f>SUM(M6:M9)</f>
        <v>0</v>
      </c>
      <c r="N5" s="22">
        <f t="shared" ref="N5" si="7">SUM(N6:N9)</f>
        <v>12800000</v>
      </c>
      <c r="O5" s="23">
        <f>SUM(O6:O9)</f>
        <v>0</v>
      </c>
    </row>
    <row r="6" spans="2:15" ht="17.100000000000001" customHeight="1" x14ac:dyDescent="0.3">
      <c r="B6" s="51"/>
      <c r="C6" s="5" t="s">
        <v>17</v>
      </c>
      <c r="D6" s="9"/>
      <c r="E6" s="12"/>
      <c r="F6" s="18"/>
      <c r="G6" s="12" t="str">
        <f>IF(SUMIFS(잔액_2022[결의금액],잔액_2022[통계목],$C6,잔액_2022[분류 항목],"유량")=0,"",SUMIFS(잔액_2022[결의금액],잔액_2022[통계목],$C6,잔액_2022[분류 항목],"유량"))</f>
        <v/>
      </c>
      <c r="H6" s="18"/>
      <c r="I6" s="12" t="str">
        <f>IF(SUMIFS(잔액_2023[결의금액],잔액_2023[통계목],$C6,잔액_2023[분류 항목],"유량")=0,"",SUMIFS(잔액_2023[결의금액],잔액_2023[통계목],$C6,잔액_2023[분류 항목],"유량"))</f>
        <v/>
      </c>
      <c r="J6" s="18"/>
      <c r="K6" s="12" t="str">
        <f>IF(SUMIFS(잔액_2024[결의금액],잔액_2024[통계목],$C6,잔액_2024[분류 항목],"유량")=0,"",SUMIFS(잔액_2024[결의금액],잔액_2024[통계목],$C6,잔액_2024[분류 항목],"유량"))</f>
        <v/>
      </c>
      <c r="L6" s="18"/>
      <c r="M6" s="12" t="str">
        <f>IF(SUMIFS(잔액_2025[결의금액],잔액_2025[통계목],$C6,잔액_2025[분류 항목],"유량")=0,"",SUMIFS(잔액_2025[결의금액],잔액_2025[통계목],$C6,잔액_2025[분류 항목],"유량"))</f>
        <v/>
      </c>
      <c r="N6" s="18"/>
      <c r="O6" s="9"/>
    </row>
    <row r="7" spans="2:15" ht="17.100000000000001" customHeight="1" x14ac:dyDescent="0.3">
      <c r="B7" s="51"/>
      <c r="C7" s="5" t="s">
        <v>18</v>
      </c>
      <c r="D7" s="9"/>
      <c r="E7" s="12"/>
      <c r="F7" s="18"/>
      <c r="G7" s="12" t="str">
        <f>IF(SUMIFS(잔액_2022[결의금액],잔액_2022[통계목],$C7,잔액_2022[분류 항목],"유량")=0,"",SUMIFS(잔액_2022[결의금액],잔액_2022[통계목],$C7,잔액_2022[분류 항목],"유량"))</f>
        <v/>
      </c>
      <c r="H7" s="18"/>
      <c r="I7" s="12" t="str">
        <f>IF(SUMIFS(잔액_2023[결의금액],잔액_2023[통계목],$C7,잔액_2023[분류 항목],"유량")=0,"",SUMIFS(잔액_2023[결의금액],잔액_2023[통계목],$C7,잔액_2023[분류 항목],"유량"))</f>
        <v/>
      </c>
      <c r="J7" s="18"/>
      <c r="K7" s="12" t="str">
        <f>IF(SUMIFS(잔액_2024[결의금액],잔액_2024[통계목],$C7,잔액_2024[분류 항목],"유량")=0,"",SUMIFS(잔액_2024[결의금액],잔액_2024[통계목],$C7,잔액_2024[분류 항목],"유량"))</f>
        <v/>
      </c>
      <c r="L7" s="18"/>
      <c r="M7" s="12" t="str">
        <f>IF(SUMIFS(잔액_2025[결의금액],잔액_2025[통계목],$C7,잔액_2025[분류 항목],"유량")=0,"",SUMIFS(잔액_2025[결의금액],잔액_2025[통계목],$C7,잔액_2025[분류 항목],"유량"))</f>
        <v/>
      </c>
      <c r="N7" s="18">
        <v>12800000</v>
      </c>
      <c r="O7" s="9"/>
    </row>
    <row r="8" spans="2:15" ht="17.100000000000001" customHeight="1" x14ac:dyDescent="0.3">
      <c r="B8" s="51"/>
      <c r="C8" s="5" t="s">
        <v>19</v>
      </c>
      <c r="D8" s="9"/>
      <c r="E8" s="12"/>
      <c r="F8" s="18">
        <v>443000000</v>
      </c>
      <c r="G8" s="12" t="str">
        <f>IF(SUMIFS(잔액_2022[결의금액],잔액_2022[통계목],$C8,잔액_2022[분류 항목],"유량")=0,"",SUMIFS(잔액_2022[결의금액],잔액_2022[통계목],$C8,잔액_2022[분류 항목],"유량"))</f>
        <v/>
      </c>
      <c r="H8" s="18">
        <v>747380000</v>
      </c>
      <c r="I8" s="12" t="str">
        <f>IF(SUMIFS(잔액_2023[결의금액],잔액_2023[통계목],$C8,잔액_2023[분류 항목],"유량")=0,"",SUMIFS(잔액_2023[결의금액],잔액_2023[통계목],$C8,잔액_2023[분류 항목],"유량"))</f>
        <v/>
      </c>
      <c r="J8" s="18">
        <v>572951413</v>
      </c>
      <c r="K8" s="12" t="str">
        <f>IF(SUMIFS(잔액_2024[결의금액],잔액_2024[통계목],$C8,잔액_2024[분류 항목],"유량")=0,"",SUMIFS(잔액_2024[결의금액],잔액_2024[통계목],$C8,잔액_2024[분류 항목],"유량"))</f>
        <v/>
      </c>
      <c r="L8" s="18">
        <v>342209542</v>
      </c>
      <c r="M8" s="12" t="str">
        <f>IF(SUMIFS(잔액_2025[결의금액],잔액_2025[통계목],$C8,잔액_2025[분류 항목],"유량")=0,"",SUMIFS(잔액_2025[결의금액],잔액_2025[통계목],$C8,잔액_2025[분류 항목],"유량"))</f>
        <v/>
      </c>
      <c r="N8" s="18"/>
      <c r="O8" s="9"/>
    </row>
    <row r="9" spans="2:15" ht="17.100000000000001" customHeight="1" x14ac:dyDescent="0.3">
      <c r="B9" s="51"/>
      <c r="C9" s="6" t="s">
        <v>20</v>
      </c>
      <c r="D9" s="10">
        <v>123200000</v>
      </c>
      <c r="E9" s="13"/>
      <c r="F9" s="19"/>
      <c r="G9" s="13" t="str">
        <f>IF(SUMIFS(잔액_2022[결의금액],잔액_2022[통계목],$C9,잔액_2022[분류 항목],"유량")=0,"",SUMIFS(잔액_2022[결의금액],잔액_2022[통계목],$C9,잔액_2022[분류 항목],"유량"))</f>
        <v/>
      </c>
      <c r="H9" s="19"/>
      <c r="I9" s="13" t="str">
        <f>IF(SUMIFS(잔액_2023[결의금액],잔액_2023[통계목],$C9,잔액_2023[분류 항목],"유량")=0,"",SUMIFS(잔액_2023[결의금액],잔액_2023[통계목],$C9,잔액_2023[분류 항목],"유량"))</f>
        <v/>
      </c>
      <c r="J9" s="19"/>
      <c r="K9" s="13" t="str">
        <f>IF(SUMIFS(잔액_2024[결의금액],잔액_2024[통계목],$C9,잔액_2024[분류 항목],"유량")=0,"",SUMIFS(잔액_2024[결의금액],잔액_2024[통계목],$C9,잔액_2024[분류 항목],"유량"))</f>
        <v/>
      </c>
      <c r="L9" s="19"/>
      <c r="M9" s="13" t="str">
        <f>IF(SUMIFS(잔액_2025[결의금액],잔액_2025[통계목],$C9,잔액_2025[분류 항목],"유량")=0,"",SUMIFS(잔액_2025[결의금액],잔액_2025[통계목],$C9,잔액_2025[분류 항목],"유량"))</f>
        <v/>
      </c>
      <c r="N9" s="19"/>
      <c r="O9" s="10"/>
    </row>
    <row r="10" spans="2:15" ht="17.100000000000001" customHeight="1" x14ac:dyDescent="0.3">
      <c r="B10" s="51" t="s">
        <v>21</v>
      </c>
      <c r="C10" s="21" t="s">
        <v>16</v>
      </c>
      <c r="D10" s="23">
        <f>SUM(D11:D22)</f>
        <v>515397177</v>
      </c>
      <c r="E10" s="24">
        <f>SUM(E11:E22)</f>
        <v>0</v>
      </c>
      <c r="F10" s="22">
        <f t="shared" ref="F10" si="8">SUM(F11:F22)</f>
        <v>874000000</v>
      </c>
      <c r="G10" s="24">
        <f>SUM(G11:G22)</f>
        <v>0</v>
      </c>
      <c r="H10" s="22">
        <f t="shared" ref="H10" si="9">SUM(H11:H22)</f>
        <v>827554990</v>
      </c>
      <c r="I10" s="24">
        <f>SUM(I11:I22)</f>
        <v>0</v>
      </c>
      <c r="J10" s="22">
        <f t="shared" ref="J10" si="10">SUM(J11:J22)</f>
        <v>945626566</v>
      </c>
      <c r="K10" s="24">
        <f>SUM(K11:K22)</f>
        <v>0</v>
      </c>
      <c r="L10" s="22">
        <f t="shared" ref="L10" si="11">SUM(L11:L22)</f>
        <v>1359401960</v>
      </c>
      <c r="M10" s="24">
        <f>SUM(M11:M22)</f>
        <v>0</v>
      </c>
      <c r="N10" s="22">
        <f t="shared" ref="N10" si="12">SUM(N11:N22)</f>
        <v>745020000</v>
      </c>
      <c r="O10" s="23">
        <f>SUM(O11:O22)</f>
        <v>0</v>
      </c>
    </row>
    <row r="11" spans="2:15" ht="17.100000000000001" customHeight="1" x14ac:dyDescent="0.3">
      <c r="B11" s="51"/>
      <c r="C11" s="5" t="s">
        <v>22</v>
      </c>
      <c r="D11" s="9">
        <v>472624256</v>
      </c>
      <c r="E11" s="12"/>
      <c r="F11" s="18">
        <v>318000000</v>
      </c>
      <c r="G11" s="12" t="str">
        <f>IF(SUMIFS(잔액_2022[결의금액],잔액_2022[통계목],$C11,잔액_2022[분류 항목],"유량")=0,"",SUMIFS(잔액_2022[결의금액],잔액_2022[통계목],$C11,잔액_2022[분류 항목],"유량"))</f>
        <v/>
      </c>
      <c r="H11" s="18">
        <v>234927550</v>
      </c>
      <c r="I11" s="12" t="str">
        <f>IF(SUMIFS(잔액_2023[결의금액],잔액_2023[통계목],$C11,잔액_2023[분류 항목],"유량")=0,"",SUMIFS(잔액_2023[결의금액],잔액_2023[통계목],$C11,잔액_2023[분류 항목],"유량"))</f>
        <v/>
      </c>
      <c r="J11" s="18">
        <v>119515600</v>
      </c>
      <c r="K11" s="12" t="str">
        <f>IF(SUMIFS(잔액_2024[결의금액],잔액_2024[통계목],$C11,잔액_2024[분류 항목],"유량")=0,"",SUMIFS(잔액_2024[결의금액],잔액_2024[통계목],$C11,잔액_2024[분류 항목],"유량"))</f>
        <v/>
      </c>
      <c r="L11" s="18">
        <v>153020400</v>
      </c>
      <c r="M11" s="12" t="str">
        <f>IF(SUMIFS(잔액_2025[결의금액],잔액_2025[통계목],$C11,잔액_2025[분류 항목],"유량")=0,"",SUMIFS(잔액_2025[결의금액],잔액_2025[통계목],$C11,잔액_2025[분류 항목],"유량"))</f>
        <v/>
      </c>
      <c r="N11" s="18">
        <v>63420000</v>
      </c>
      <c r="O11" s="9"/>
    </row>
    <row r="12" spans="2:15" ht="17.100000000000001" customHeight="1" x14ac:dyDescent="0.3">
      <c r="B12" s="51"/>
      <c r="C12" s="5" t="s">
        <v>23</v>
      </c>
      <c r="D12" s="9"/>
      <c r="E12" s="12"/>
      <c r="F12" s="18">
        <v>10000000</v>
      </c>
      <c r="G12" s="12" t="str">
        <f>IF(SUMIFS(잔액_2022[결의금액],잔액_2022[통계목],$C12,잔액_2022[분류 항목],"유량")=0,"",SUMIFS(잔액_2022[결의금액],잔액_2022[통계목],$C12,잔액_2022[분류 항목],"유량"))</f>
        <v/>
      </c>
      <c r="H12" s="18">
        <v>14250440</v>
      </c>
      <c r="I12" s="12" t="str">
        <f>IF(SUMIFS(잔액_2023[결의금액],잔액_2023[통계목],$C12,잔액_2023[분류 항목],"유량")=0,"",SUMIFS(잔액_2023[결의금액],잔액_2023[통계목],$C12,잔액_2023[분류 항목],"유량"))</f>
        <v/>
      </c>
      <c r="J12" s="18">
        <v>10020000</v>
      </c>
      <c r="K12" s="12" t="str">
        <f>IF(SUMIFS(잔액_2024[결의금액],잔액_2024[통계목],$C12,잔액_2024[분류 항목],"유량")=0,"",SUMIFS(잔액_2024[결의금액],잔액_2024[통계목],$C12,잔액_2024[분류 항목],"유량"))</f>
        <v/>
      </c>
      <c r="L12" s="18">
        <v>9040000</v>
      </c>
      <c r="M12" s="12" t="str">
        <f>IF(SUMIFS(잔액_2025[결의금액],잔액_2025[통계목],$C12,잔액_2025[분류 항목],"유량")=0,"",SUMIFS(잔액_2025[결의금액],잔액_2025[통계목],$C12,잔액_2025[분류 항목],"유량"))</f>
        <v/>
      </c>
      <c r="N12" s="18">
        <v>8860000</v>
      </c>
      <c r="O12" s="9"/>
    </row>
    <row r="13" spans="2:15" ht="17.100000000000001" customHeight="1" x14ac:dyDescent="0.3">
      <c r="B13" s="51"/>
      <c r="C13" s="5" t="s">
        <v>24</v>
      </c>
      <c r="D13" s="9"/>
      <c r="E13" s="12"/>
      <c r="F13" s="18"/>
      <c r="G13" s="12" t="str">
        <f>IF(SUMIFS(잔액_2022[결의금액],잔액_2022[통계목],$C13,잔액_2022[분류 항목],"유량")=0,"",SUMIFS(잔액_2022[결의금액],잔액_2022[통계목],$C13,잔액_2022[분류 항목],"유량"))</f>
        <v/>
      </c>
      <c r="H13" s="18"/>
      <c r="I13" s="12" t="str">
        <f>IF(SUMIFS(잔액_2023[결의금액],잔액_2023[통계목],$C13,잔액_2023[분류 항목],"유량")=0,"",SUMIFS(잔액_2023[결의금액],잔액_2023[통계목],$C13,잔액_2023[분류 항목],"유량"))</f>
        <v/>
      </c>
      <c r="J13" s="18"/>
      <c r="K13" s="12" t="str">
        <f>IF(SUMIFS(잔액_2024[결의금액],잔액_2024[통계목],$C13,잔액_2024[분류 항목],"유량")=0,"",SUMIFS(잔액_2024[결의금액],잔액_2024[통계목],$C13,잔액_2024[분류 항목],"유량"))</f>
        <v/>
      </c>
      <c r="L13" s="18"/>
      <c r="M13" s="12" t="str">
        <f>IF(SUMIFS(잔액_2025[결의금액],잔액_2025[통계목],$C13,잔액_2025[분류 항목],"유량")=0,"",SUMIFS(잔액_2025[결의금액],잔액_2025[통계목],$C13,잔액_2025[분류 항목],"유량"))</f>
        <v/>
      </c>
      <c r="N13" s="18"/>
      <c r="O13" s="9"/>
    </row>
    <row r="14" spans="2:15" ht="17.100000000000001" customHeight="1" x14ac:dyDescent="0.3">
      <c r="B14" s="51"/>
      <c r="C14" s="5" t="s">
        <v>25</v>
      </c>
      <c r="D14" s="9"/>
      <c r="E14" s="12"/>
      <c r="F14" s="18"/>
      <c r="G14" s="12" t="str">
        <f>IF(SUMIFS(잔액_2022[결의금액],잔액_2022[통계목],$C14,잔액_2022[분류 항목],"유량")=0,"",SUMIFS(잔액_2022[결의금액],잔액_2022[통계목],$C14,잔액_2022[분류 항목],"유량"))</f>
        <v/>
      </c>
      <c r="H14" s="18"/>
      <c r="I14" s="12" t="str">
        <f>IF(SUMIFS(잔액_2023[결의금액],잔액_2023[통계목],$C14,잔액_2023[분류 항목],"유량")=0,"",SUMIFS(잔액_2023[결의금액],잔액_2023[통계목],$C14,잔액_2023[분류 항목],"유량"))</f>
        <v/>
      </c>
      <c r="J14" s="18"/>
      <c r="K14" s="12" t="str">
        <f>IF(SUMIFS(잔액_2024[결의금액],잔액_2024[통계목],$C14,잔액_2024[분류 항목],"유량")=0,"",SUMIFS(잔액_2024[결의금액],잔액_2024[통계목],$C14,잔액_2024[분류 항목],"유량"))</f>
        <v/>
      </c>
      <c r="L14" s="18"/>
      <c r="M14" s="12" t="str">
        <f>IF(SUMIFS(잔액_2025[결의금액],잔액_2025[통계목],$C14,잔액_2025[분류 항목],"유량")=0,"",SUMIFS(잔액_2025[결의금액],잔액_2025[통계목],$C14,잔액_2025[분류 항목],"유량"))</f>
        <v/>
      </c>
      <c r="N14" s="18"/>
      <c r="O14" s="9"/>
    </row>
    <row r="15" spans="2:15" ht="17.100000000000001" customHeight="1" x14ac:dyDescent="0.3">
      <c r="B15" s="51"/>
      <c r="C15" s="5" t="s">
        <v>26</v>
      </c>
      <c r="D15" s="9"/>
      <c r="E15" s="12"/>
      <c r="F15" s="18">
        <v>388000000</v>
      </c>
      <c r="G15" s="12" t="str">
        <f>IF(SUMIFS(잔액_2022[결의금액],잔액_2022[통계목],$C15,잔액_2022[분류 항목],"유량")=0,"",SUMIFS(잔액_2022[결의금액],잔액_2022[통계목],$C15,잔액_2022[분류 항목],"유량"))</f>
        <v/>
      </c>
      <c r="H15" s="18">
        <v>469311000</v>
      </c>
      <c r="I15" s="12" t="str">
        <f>IF(SUMIFS(잔액_2023[결의금액],잔액_2023[통계목],$C15,잔액_2023[분류 항목],"유량")=0,"",SUMIFS(잔액_2023[결의금액],잔액_2023[통계목],$C15,잔액_2023[분류 항목],"유량"))</f>
        <v/>
      </c>
      <c r="J15" s="18">
        <v>567318105</v>
      </c>
      <c r="K15" s="12" t="str">
        <f>IF(SUMIFS(잔액_2024[결의금액],잔액_2024[통계목],$C15,잔액_2024[분류 항목],"유량")=0,"",SUMIFS(잔액_2024[결의금액],잔액_2024[통계목],$C15,잔액_2024[분류 항목],"유량"))</f>
        <v/>
      </c>
      <c r="L15" s="18">
        <v>663210000</v>
      </c>
      <c r="M15" s="12" t="str">
        <f>IF(SUMIFS(잔액_2025[결의금액],잔액_2025[통계목],$C15,잔액_2025[분류 항목],"유량")=0,"",SUMIFS(잔액_2025[결의금액],잔액_2025[통계목],$C15,잔액_2025[분류 항목],"유량"))</f>
        <v/>
      </c>
      <c r="N15" s="18">
        <v>553740000</v>
      </c>
      <c r="O15" s="9"/>
    </row>
    <row r="16" spans="2:15" ht="17.100000000000001" customHeight="1" x14ac:dyDescent="0.3">
      <c r="B16" s="51"/>
      <c r="C16" s="5" t="s">
        <v>27</v>
      </c>
      <c r="D16" s="9">
        <v>42772921</v>
      </c>
      <c r="E16" s="12"/>
      <c r="F16" s="18">
        <v>95000000</v>
      </c>
      <c r="G16" s="12" t="str">
        <f>IF(SUMIFS(잔액_2022[결의금액],잔액_2022[통계목],$C16,잔액_2022[분류 항목],"유량")=0,"",SUMIFS(잔액_2022[결의금액],잔액_2022[통계목],$C16,잔액_2022[분류 항목],"유량"))</f>
        <v/>
      </c>
      <c r="H16" s="18">
        <v>78866000</v>
      </c>
      <c r="I16" s="12" t="str">
        <f>IF(SUMIFS(잔액_2023[결의금액],잔액_2023[통계목],$C16,잔액_2023[분류 항목],"유량")=0,"",SUMIFS(잔액_2023[결의금액],잔액_2023[통계목],$C16,잔액_2023[분류 항목],"유량"))</f>
        <v/>
      </c>
      <c r="J16" s="18">
        <v>78800000</v>
      </c>
      <c r="K16" s="12" t="str">
        <f>IF(SUMIFS(잔액_2024[결의금액],잔액_2024[통계목],$C16,잔액_2024[분류 항목],"유량")=0,"",SUMIFS(잔액_2024[결의금액],잔액_2024[통계목],$C16,잔액_2024[분류 항목],"유량"))</f>
        <v/>
      </c>
      <c r="L16" s="18">
        <v>78800000</v>
      </c>
      <c r="M16" s="12" t="str">
        <f>IF(SUMIFS(잔액_2025[결의금액],잔액_2025[통계목],$C16,잔액_2025[분류 항목],"유량")=0,"",SUMIFS(잔액_2025[결의금액],잔액_2025[통계목],$C16,잔액_2025[분류 항목],"유량"))</f>
        <v/>
      </c>
      <c r="N16" s="18">
        <v>33000000</v>
      </c>
      <c r="O16" s="9"/>
    </row>
    <row r="17" spans="2:15" ht="17.100000000000001" customHeight="1" x14ac:dyDescent="0.3">
      <c r="B17" s="51"/>
      <c r="C17" s="5" t="s">
        <v>28</v>
      </c>
      <c r="D17" s="9"/>
      <c r="E17" s="12"/>
      <c r="F17" s="18">
        <v>54000000</v>
      </c>
      <c r="G17" s="12" t="str">
        <f>IF(SUMIFS(잔액_2022[결의금액],잔액_2022[통계목],$C17,잔액_2022[분류 항목],"유량")=0,"",SUMIFS(잔액_2022[결의금액],잔액_2022[통계목],$C17,잔액_2022[분류 항목],"유량"))</f>
        <v/>
      </c>
      <c r="H17" s="18">
        <v>30200000</v>
      </c>
      <c r="I17" s="12" t="str">
        <f>IF(SUMIFS(잔액_2023[결의금액],잔액_2023[통계목],$C17,잔액_2023[분류 항목],"유량")=0,"",SUMIFS(잔액_2023[결의금액],잔액_2023[통계목],$C17,잔액_2023[분류 항목],"유량"))</f>
        <v/>
      </c>
      <c r="J17" s="18">
        <v>25000000</v>
      </c>
      <c r="K17" s="12" t="str">
        <f>IF(SUMIFS(잔액_2024[결의금액],잔액_2024[통계목],$C17,잔액_2024[분류 항목],"유량")=0,"",SUMIFS(잔액_2024[결의금액],잔액_2024[통계목],$C17,잔액_2024[분류 항목],"유량"))</f>
        <v/>
      </c>
      <c r="L17" s="18">
        <v>93350000</v>
      </c>
      <c r="M17" s="12" t="str">
        <f>IF(SUMIFS(잔액_2025[결의금액],잔액_2025[통계목],$C17,잔액_2025[분류 항목],"유량")=0,"",SUMIFS(잔액_2025[결의금액],잔액_2025[통계목],$C17,잔액_2025[분류 항목],"유량"))</f>
        <v/>
      </c>
      <c r="N17" s="18">
        <v>28000000</v>
      </c>
      <c r="O17" s="9"/>
    </row>
    <row r="18" spans="2:15" ht="17.100000000000001" customHeight="1" x14ac:dyDescent="0.3">
      <c r="B18" s="51"/>
      <c r="C18" s="5" t="s">
        <v>29</v>
      </c>
      <c r="D18" s="9"/>
      <c r="E18" s="12"/>
      <c r="F18" s="18">
        <v>9000000</v>
      </c>
      <c r="G18" s="12" t="str">
        <f>IF(SUMIFS(잔액_2022[결의금액],잔액_2022[통계목],$C18,잔액_2022[분류 항목],"유량")=0,"",SUMIFS(잔액_2022[결의금액],잔액_2022[통계목],$C18,잔액_2022[분류 항목],"유량"))</f>
        <v/>
      </c>
      <c r="H18" s="18"/>
      <c r="I18" s="12" t="str">
        <f>IF(SUMIFS(잔액_2023[결의금액],잔액_2023[통계목],$C18,잔액_2023[분류 항목],"유량")=0,"",SUMIFS(잔액_2023[결의금액],잔액_2023[통계목],$C18,잔액_2023[분류 항목],"유량"))</f>
        <v/>
      </c>
      <c r="J18" s="18">
        <v>134972861</v>
      </c>
      <c r="K18" s="12" t="str">
        <f>IF(SUMIFS(잔액_2024[결의금액],잔액_2024[통계목],$C18,잔액_2024[분류 항목],"유량")=0,"",SUMIFS(잔액_2024[결의금액],잔액_2024[통계목],$C18,잔액_2024[분류 항목],"유량"))</f>
        <v/>
      </c>
      <c r="L18" s="18">
        <v>108481560</v>
      </c>
      <c r="M18" s="12" t="str">
        <f>IF(SUMIFS(잔액_2025[결의금액],잔액_2025[통계목],$C18,잔액_2025[분류 항목],"유량")=0,"",SUMIFS(잔액_2025[결의금액],잔액_2025[통계목],$C18,잔액_2025[분류 항목],"유량"))</f>
        <v/>
      </c>
      <c r="N18" s="18">
        <v>28000000</v>
      </c>
      <c r="O18" s="9"/>
    </row>
    <row r="19" spans="2:15" ht="17.100000000000001" customHeight="1" x14ac:dyDescent="0.3">
      <c r="B19" s="51"/>
      <c r="C19" s="5" t="s">
        <v>30</v>
      </c>
      <c r="D19" s="9"/>
      <c r="E19" s="12"/>
      <c r="F19" s="18"/>
      <c r="G19" s="12" t="str">
        <f>IF(SUMIFS(잔액_2022[결의금액],잔액_2022[통계목],$C19,잔액_2022[분류 항목],"유량")=0,"",SUMIFS(잔액_2022[결의금액],잔액_2022[통계목],$C19,잔액_2022[분류 항목],"유량"))</f>
        <v/>
      </c>
      <c r="H19" s="18"/>
      <c r="I19" s="12" t="str">
        <f>IF(SUMIFS(잔액_2023[결의금액],잔액_2023[통계목],$C19,잔액_2023[분류 항목],"유량")=0,"",SUMIFS(잔액_2023[결의금액],잔액_2023[통계목],$C19,잔액_2023[분류 항목],"유량"))</f>
        <v/>
      </c>
      <c r="J19" s="18"/>
      <c r="K19" s="12" t="str">
        <f>IF(SUMIFS(잔액_2024[결의금액],잔액_2024[통계목],$C19,잔액_2024[분류 항목],"유량")=0,"",SUMIFS(잔액_2024[결의금액],잔액_2024[통계목],$C19,잔액_2024[분류 항목],"유량"))</f>
        <v/>
      </c>
      <c r="L19" s="18"/>
      <c r="M19" s="12" t="str">
        <f>IF(SUMIFS(잔액_2025[결의금액],잔액_2025[통계목],$C19,잔액_2025[분류 항목],"유량")=0,"",SUMIFS(잔액_2025[결의금액],잔액_2025[통계목],$C19,잔액_2025[분류 항목],"유량"))</f>
        <v/>
      </c>
      <c r="N19" s="18"/>
      <c r="O19" s="9"/>
    </row>
    <row r="20" spans="2:15" ht="17.100000000000001" customHeight="1" x14ac:dyDescent="0.3">
      <c r="B20" s="51"/>
      <c r="C20" s="5" t="s">
        <v>31</v>
      </c>
      <c r="D20" s="9"/>
      <c r="E20" s="12"/>
      <c r="F20" s="18"/>
      <c r="G20" s="12" t="str">
        <f>IF(SUMIFS(잔액_2022[결의금액],잔액_2022[통계목],$C20,잔액_2022[분류 항목],"유량")=0,"",SUMIFS(잔액_2022[결의금액],잔액_2022[통계목],$C20,잔액_2022[분류 항목],"유량"))</f>
        <v/>
      </c>
      <c r="H20" s="18"/>
      <c r="I20" s="12" t="str">
        <f>IF(SUMIFS(잔액_2023[결의금액],잔액_2023[통계목],$C20,잔액_2023[분류 항목],"유량")=0,"",SUMIFS(잔액_2023[결의금액],잔액_2023[통계목],$C20,잔액_2023[분류 항목],"유량"))</f>
        <v/>
      </c>
      <c r="J20" s="18">
        <v>10000000</v>
      </c>
      <c r="K20" s="12" t="str">
        <f>IF(SUMIFS(잔액_2024[결의금액],잔액_2024[통계목],$C20,잔액_2024[분류 항목],"유량")=0,"",SUMIFS(잔액_2024[결의금액],잔액_2024[통계목],$C20,잔액_2024[분류 항목],"유량"))</f>
        <v/>
      </c>
      <c r="L20" s="18">
        <v>78000000</v>
      </c>
      <c r="M20" s="12" t="str">
        <f>IF(SUMIFS(잔액_2025[결의금액],잔액_2025[통계목],$C20,잔액_2025[분류 항목],"유량")=0,"",SUMIFS(잔액_2025[결의금액],잔액_2025[통계목],$C20,잔액_2025[분류 항목],"유량"))</f>
        <v/>
      </c>
      <c r="N20" s="18">
        <v>30000000</v>
      </c>
      <c r="O20" s="9"/>
    </row>
    <row r="21" spans="2:15" ht="17.100000000000001" customHeight="1" x14ac:dyDescent="0.3">
      <c r="B21" s="51"/>
      <c r="C21" s="5" t="s">
        <v>32</v>
      </c>
      <c r="D21" s="9"/>
      <c r="E21" s="12"/>
      <c r="F21" s="18"/>
      <c r="G21" s="12" t="str">
        <f>IF(SUMIFS(잔액_2022[결의금액],잔액_2022[통계목],$C21,잔액_2022[분류 항목],"유량")=0,"",SUMIFS(잔액_2022[결의금액],잔액_2022[통계목],$C21,잔액_2022[분류 항목],"유량"))</f>
        <v/>
      </c>
      <c r="H21" s="18"/>
      <c r="I21" s="12" t="str">
        <f>IF(SUMIFS(잔액_2023[결의금액],잔액_2023[통계목],$C21,잔액_2023[분류 항목],"유량")=0,"",SUMIFS(잔액_2023[결의금액],잔액_2023[통계목],$C21,잔액_2023[분류 항목],"유량"))</f>
        <v/>
      </c>
      <c r="J21" s="18"/>
      <c r="K21" s="12" t="str">
        <f>IF(SUMIFS(잔액_2024[결의금액],잔액_2024[통계목],$C21,잔액_2024[분류 항목],"유량")=0,"",SUMIFS(잔액_2024[결의금액],잔액_2024[통계목],$C21,잔액_2024[분류 항목],"유량"))</f>
        <v/>
      </c>
      <c r="L21" s="18">
        <v>175500000</v>
      </c>
      <c r="M21" s="12" t="str">
        <f>IF(SUMIFS(잔액_2025[결의금액],잔액_2025[통계목],$C21,잔액_2025[분류 항목],"유량")=0,"",SUMIFS(잔액_2025[결의금액],잔액_2025[통계목],$C21,잔액_2025[분류 항목],"유량"))</f>
        <v/>
      </c>
      <c r="N21" s="18"/>
      <c r="O21" s="9"/>
    </row>
    <row r="22" spans="2:15" ht="17.100000000000001" customHeight="1" x14ac:dyDescent="0.3">
      <c r="B22" s="51"/>
      <c r="C22" s="6" t="s">
        <v>33</v>
      </c>
      <c r="D22" s="10"/>
      <c r="E22" s="13"/>
      <c r="F22" s="19"/>
      <c r="G22" s="13" t="str">
        <f>IF(SUMIFS(잔액_2022[결의금액],잔액_2022[통계목],$C22,잔액_2022[분류 항목],"유량")=0,"",SUMIFS(잔액_2022[결의금액],잔액_2022[통계목],$C22,잔액_2022[분류 항목],"유량"))</f>
        <v/>
      </c>
      <c r="H22" s="19"/>
      <c r="I22" s="13" t="str">
        <f>IF(SUMIFS(잔액_2023[결의금액],잔액_2023[통계목],$C22,잔액_2023[분류 항목],"유량")=0,"",SUMIFS(잔액_2023[결의금액],잔액_2023[통계목],$C22,잔액_2023[분류 항목],"유량"))</f>
        <v/>
      </c>
      <c r="J22" s="19"/>
      <c r="K22" s="13" t="str">
        <f>IF(SUMIFS(잔액_2024[결의금액],잔액_2024[통계목],$C22,잔액_2024[분류 항목],"유량")=0,"",SUMIFS(잔액_2024[결의금액],잔액_2024[통계목],$C22,잔액_2024[분류 항목],"유량"))</f>
        <v/>
      </c>
      <c r="L22" s="19"/>
      <c r="M22" s="13" t="str">
        <f>IF(SUMIFS(잔액_2025[결의금액],잔액_2025[통계목],$C22,잔액_2025[분류 항목],"유량")=0,"",SUMIFS(잔액_2025[결의금액],잔액_2025[통계목],$C22,잔액_2025[분류 항목],"유량"))</f>
        <v/>
      </c>
      <c r="N22" s="19"/>
      <c r="O22" s="10"/>
    </row>
    <row r="23" spans="2:15" ht="17.100000000000001" customHeight="1" x14ac:dyDescent="0.3">
      <c r="B23" s="51" t="s">
        <v>34</v>
      </c>
      <c r="C23" s="21" t="s">
        <v>16</v>
      </c>
      <c r="D23" s="23">
        <f>SUM(D24:D25)</f>
        <v>551584900</v>
      </c>
      <c r="E23" s="24">
        <f>SUM(E24:E25)</f>
        <v>0</v>
      </c>
      <c r="F23" s="22">
        <f t="shared" ref="F23" si="13">SUM(F24:F25)</f>
        <v>878000000</v>
      </c>
      <c r="G23" s="24">
        <f>SUM(G24:G25)</f>
        <v>0</v>
      </c>
      <c r="H23" s="22">
        <f t="shared" ref="H23" si="14">SUM(H24:H25)</f>
        <v>990470000</v>
      </c>
      <c r="I23" s="24">
        <f>SUM(I24:I25)</f>
        <v>0</v>
      </c>
      <c r="J23" s="22">
        <f t="shared" ref="J23" si="15">SUM(J24:J25)</f>
        <v>874270000</v>
      </c>
      <c r="K23" s="24">
        <f>SUM(K24:K25)</f>
        <v>0</v>
      </c>
      <c r="L23" s="22">
        <f t="shared" ref="L23" si="16">SUM(L24:L25)</f>
        <v>799020000</v>
      </c>
      <c r="M23" s="24">
        <f>SUM(M24:M25)</f>
        <v>0</v>
      </c>
      <c r="N23" s="22">
        <f t="shared" ref="N23" si="17">SUM(N24:N25)</f>
        <v>622000000</v>
      </c>
      <c r="O23" s="23">
        <f>SUM(O24:O25)</f>
        <v>0</v>
      </c>
    </row>
    <row r="24" spans="2:15" ht="17.100000000000001" customHeight="1" x14ac:dyDescent="0.3">
      <c r="B24" s="51"/>
      <c r="C24" s="5" t="s">
        <v>35</v>
      </c>
      <c r="D24" s="9">
        <v>551584900</v>
      </c>
      <c r="E24" s="12"/>
      <c r="F24" s="18">
        <v>878000000</v>
      </c>
      <c r="G24" s="12" t="str">
        <f>IF(SUMIFS(잔액_2022[결의금액],잔액_2022[통계목],$C24,잔액_2022[분류 항목],"유량")=0,"",SUMIFS(잔액_2022[결의금액],잔액_2022[통계목],$C24,잔액_2022[분류 항목],"유량"))</f>
        <v/>
      </c>
      <c r="H24" s="18">
        <v>990470000</v>
      </c>
      <c r="I24" s="12" t="str">
        <f>IF(SUMIFS(잔액_2023[결의금액],잔액_2023[통계목],$C24,잔액_2023[분류 항목],"유량")=0,"",SUMIFS(잔액_2023[결의금액],잔액_2023[통계목],$C24,잔액_2023[분류 항목],"유량"))</f>
        <v/>
      </c>
      <c r="J24" s="18">
        <v>874270000</v>
      </c>
      <c r="K24" s="12" t="str">
        <f>IF(SUMIFS(잔액_2024[결의금액],잔액_2024[통계목],$C24,잔액_2024[분류 항목],"유량")=0,"",SUMIFS(잔액_2024[결의금액],잔액_2024[통계목],$C24,잔액_2024[분류 항목],"유량"))</f>
        <v/>
      </c>
      <c r="L24" s="18">
        <v>799020000</v>
      </c>
      <c r="M24" s="12" t="str">
        <f>IF(SUMIFS(잔액_2025[결의금액],잔액_2025[통계목],$C24,잔액_2025[분류 항목],"유량")=0,"",SUMIFS(잔액_2025[결의금액],잔액_2025[통계목],$C24,잔액_2025[분류 항목],"유량"))</f>
        <v/>
      </c>
      <c r="N24" s="18">
        <v>622000000</v>
      </c>
      <c r="O24" s="9"/>
    </row>
    <row r="25" spans="2:15" ht="17.100000000000001" customHeight="1" x14ac:dyDescent="0.3">
      <c r="B25" s="51"/>
      <c r="C25" s="6" t="s">
        <v>36</v>
      </c>
      <c r="D25" s="10"/>
      <c r="E25" s="13"/>
      <c r="F25" s="19"/>
      <c r="G25" s="13" t="str">
        <f>IF(SUMIFS(잔액_2022[결의금액],잔액_2022[통계목],$C25,잔액_2022[분류 항목],"유량")=0,"",SUMIFS(잔액_2022[결의금액],잔액_2022[통계목],$C25,잔액_2022[분류 항목],"유량"))</f>
        <v/>
      </c>
      <c r="H25" s="19"/>
      <c r="I25" s="13" t="str">
        <f>IF(SUMIFS(잔액_2023[결의금액],잔액_2023[통계목],$C25,잔액_2023[분류 항목],"유량")=0,"",SUMIFS(잔액_2023[결의금액],잔액_2023[통계목],$C25,잔액_2023[분류 항목],"유량"))</f>
        <v/>
      </c>
      <c r="J25" s="19"/>
      <c r="K25" s="13" t="str">
        <f>IF(SUMIFS(잔액_2024[결의금액],잔액_2024[통계목],$C25,잔액_2024[분류 항목],"유량")=0,"",SUMIFS(잔액_2024[결의금액],잔액_2024[통계목],$C25,잔액_2024[분류 항목],"유량"))</f>
        <v/>
      </c>
      <c r="L25" s="19"/>
      <c r="M25" s="13" t="str">
        <f>IF(SUMIFS(잔액_2025[결의금액],잔액_2025[통계목],$C25,잔액_2025[분류 항목],"유량")=0,"",SUMIFS(잔액_2025[결의금액],잔액_2025[통계목],$C25,잔액_2025[분류 항목],"유량"))</f>
        <v/>
      </c>
      <c r="N25" s="19"/>
      <c r="O25" s="10"/>
    </row>
    <row r="26" spans="2:15" ht="17.100000000000001" customHeight="1" x14ac:dyDescent="0.3">
      <c r="B26" s="51" t="s">
        <v>37</v>
      </c>
      <c r="C26" s="21" t="s">
        <v>16</v>
      </c>
      <c r="D26" s="23">
        <f>SUM(D27:D28)</f>
        <v>0</v>
      </c>
      <c r="E26" s="24">
        <f>SUM(E27:E28)</f>
        <v>0</v>
      </c>
      <c r="F26" s="22">
        <f t="shared" ref="F26" si="18">SUM(F27:F28)</f>
        <v>0</v>
      </c>
      <c r="G26" s="24">
        <f>SUM(G27:G28)</f>
        <v>0</v>
      </c>
      <c r="H26" s="22">
        <f t="shared" ref="H26" si="19">SUM(H27:H28)</f>
        <v>23260000</v>
      </c>
      <c r="I26" s="24">
        <f>SUM(I27:I28)</f>
        <v>0</v>
      </c>
      <c r="J26" s="22">
        <f t="shared" ref="J26" si="20">SUM(J27:J28)</f>
        <v>74100000</v>
      </c>
      <c r="K26" s="24">
        <f>SUM(K27:K28)</f>
        <v>0</v>
      </c>
      <c r="L26" s="22">
        <f t="shared" ref="L26" si="21">SUM(L27:L28)</f>
        <v>74100000</v>
      </c>
      <c r="M26" s="24">
        <f>SUM(M27:M28)</f>
        <v>0</v>
      </c>
      <c r="N26" s="22">
        <f t="shared" ref="N26" si="22">SUM(N27:N28)</f>
        <v>60100000</v>
      </c>
      <c r="O26" s="23">
        <f>SUM(O27:O28)</f>
        <v>0</v>
      </c>
    </row>
    <row r="27" spans="2:15" ht="17.100000000000001" customHeight="1" x14ac:dyDescent="0.3">
      <c r="B27" s="51"/>
      <c r="C27" s="5" t="s">
        <v>38</v>
      </c>
      <c r="D27" s="9"/>
      <c r="E27" s="12"/>
      <c r="F27" s="18"/>
      <c r="G27" s="12" t="str">
        <f>IF(SUMIFS(잔액_2022[결의금액],잔액_2022[통계목],$C27,잔액_2022[분류 항목],"유량")=0,"",SUMIFS(잔액_2022[결의금액],잔액_2022[통계목],$C27,잔액_2022[분류 항목],"유량"))</f>
        <v/>
      </c>
      <c r="H27" s="18">
        <v>23260000</v>
      </c>
      <c r="I27" s="12" t="str">
        <f>IF(SUMIFS(잔액_2023[결의금액],잔액_2023[통계목],$C27,잔액_2023[분류 항목],"유량")=0,"",SUMIFS(잔액_2023[결의금액],잔액_2023[통계목],$C27,잔액_2023[분류 항목],"유량"))</f>
        <v/>
      </c>
      <c r="J27" s="18">
        <v>74100000</v>
      </c>
      <c r="K27" s="12" t="str">
        <f>IF(SUMIFS(잔액_2024[결의금액],잔액_2024[통계목],$C27,잔액_2024[분류 항목],"유량")=0,"",SUMIFS(잔액_2024[결의금액],잔액_2024[통계목],$C27,잔액_2024[분류 항목],"유량"))</f>
        <v/>
      </c>
      <c r="L27" s="18">
        <v>74100000</v>
      </c>
      <c r="M27" s="12" t="str">
        <f>IF(SUMIFS(잔액_2025[결의금액],잔액_2025[통계목],$C27,잔액_2025[분류 항목],"유량")=0,"",SUMIFS(잔액_2025[결의금액],잔액_2025[통계목],$C27,잔액_2025[분류 항목],"유량"))</f>
        <v/>
      </c>
      <c r="N27" s="18">
        <v>60100000</v>
      </c>
      <c r="O27" s="9"/>
    </row>
    <row r="28" spans="2:15" ht="17.100000000000001" customHeight="1" x14ac:dyDescent="0.3">
      <c r="B28" s="51"/>
      <c r="C28" s="6" t="s">
        <v>39</v>
      </c>
      <c r="D28" s="10"/>
      <c r="E28" s="13"/>
      <c r="F28" s="19"/>
      <c r="G28" s="13" t="str">
        <f>IF(SUMIFS(잔액_2022[결의금액],잔액_2022[통계목],$C28,잔액_2022[분류 항목],"유량")=0,"",SUMIFS(잔액_2022[결의금액],잔액_2022[통계목],$C28,잔액_2022[분류 항목],"유량"))</f>
        <v/>
      </c>
      <c r="H28" s="19"/>
      <c r="I28" s="13" t="str">
        <f>IF(SUMIFS(잔액_2023[결의금액],잔액_2023[통계목],$C28,잔액_2023[분류 항목],"유량")=0,"",SUMIFS(잔액_2023[결의금액],잔액_2023[통계목],$C28,잔액_2023[분류 항목],"유량"))</f>
        <v/>
      </c>
      <c r="J28" s="19"/>
      <c r="K28" s="13" t="str">
        <f>IF(SUMIFS(잔액_2024[결의금액],잔액_2024[통계목],$C28,잔액_2024[분류 항목],"유량")=0,"",SUMIFS(잔액_2024[결의금액],잔액_2024[통계목],$C28,잔액_2024[분류 항목],"유량"))</f>
        <v/>
      </c>
      <c r="L28" s="19"/>
      <c r="M28" s="13" t="str">
        <f>IF(SUMIFS(잔액_2025[결의금액],잔액_2025[통계목],$C28,잔액_2025[분류 항목],"유량")=0,"",SUMIFS(잔액_2025[결의금액],잔액_2025[통계목],$C28,잔액_2025[분류 항목],"유량"))</f>
        <v/>
      </c>
      <c r="N28" s="19"/>
      <c r="O28" s="10"/>
    </row>
    <row r="29" spans="2:15" ht="17.100000000000001" customHeight="1" x14ac:dyDescent="0.3">
      <c r="B29" s="51" t="s">
        <v>40</v>
      </c>
      <c r="C29" s="21" t="s">
        <v>16</v>
      </c>
      <c r="D29" s="23">
        <f>SUM(D30:D31)</f>
        <v>0</v>
      </c>
      <c r="E29" s="24">
        <f>SUM(E30:E31)</f>
        <v>0</v>
      </c>
      <c r="F29" s="22">
        <f t="shared" ref="F29" si="23">SUM(F30:F31)</f>
        <v>46000000</v>
      </c>
      <c r="G29" s="24">
        <f>SUM(G30:G31)</f>
        <v>205195000</v>
      </c>
      <c r="H29" s="22">
        <f t="shared" ref="H29" si="24">SUM(H30:H31)</f>
        <v>0</v>
      </c>
      <c r="I29" s="24">
        <f>SUM(I30:I31)</f>
        <v>5940000</v>
      </c>
      <c r="J29" s="22">
        <f t="shared" ref="J29" si="25">SUM(J30:J31)</f>
        <v>100000000</v>
      </c>
      <c r="K29" s="24">
        <f>SUM(K30:K31)</f>
        <v>0</v>
      </c>
      <c r="L29" s="22">
        <f t="shared" ref="L29" si="26">SUM(L30:L31)</f>
        <v>0</v>
      </c>
      <c r="M29" s="24">
        <f>SUM(M30:M31)</f>
        <v>0</v>
      </c>
      <c r="N29" s="22">
        <f t="shared" ref="N29" si="27">SUM(N30:N31)</f>
        <v>0</v>
      </c>
      <c r="O29" s="23">
        <f>SUM(O30:O31)</f>
        <v>0</v>
      </c>
    </row>
    <row r="30" spans="2:15" ht="17.100000000000001" customHeight="1" x14ac:dyDescent="0.3">
      <c r="B30" s="51"/>
      <c r="C30" s="5" t="s">
        <v>41</v>
      </c>
      <c r="D30" s="9"/>
      <c r="E30" s="12"/>
      <c r="F30" s="18">
        <v>46000000</v>
      </c>
      <c r="G30" s="12">
        <f>IF(SUMIFS(잔액_2022[결의금액],잔액_2022[통계목],$C30,잔액_2022[분류 항목],"유량")=0,"",SUMIFS(잔액_2022[결의금액],잔액_2022[통계목],$C30,잔액_2022[분류 항목],"유량"))</f>
        <v>205195000</v>
      </c>
      <c r="H30" s="18"/>
      <c r="I30" s="12">
        <f t="array" ref="I30">IFERROR(INDEX(잔액_2023[결의금액],MATCH(1,(잔액_2023[통계목]=$C30)*(잔액_2023[분류 항목]="유량"),0)),"")</f>
        <v>5940000</v>
      </c>
      <c r="J30" s="18">
        <v>100000000</v>
      </c>
      <c r="K30" s="12" t="str">
        <f>IF(SUMIFS(잔액_2024[결의금액],잔액_2024[통계목],$C30,잔액_2024[분류 항목],"유량")=0,"",SUMIFS(잔액_2024[결의금액],잔액_2024[통계목],$C30,잔액_2024[분류 항목],"유량"))</f>
        <v/>
      </c>
      <c r="L30" s="18"/>
      <c r="M30" s="12" t="str">
        <f>IF(SUMIFS(잔액_2025[결의금액],잔액_2025[통계목],$C30,잔액_2025[분류 항목],"유량")=0,"",SUMIFS(잔액_2025[결의금액],잔액_2025[통계목],$C30,잔액_2025[분류 항목],"유량"))</f>
        <v/>
      </c>
      <c r="N30" s="18"/>
      <c r="O30" s="9"/>
    </row>
    <row r="31" spans="2:15" ht="17.100000000000001" customHeight="1" x14ac:dyDescent="0.3">
      <c r="B31" s="51"/>
      <c r="C31" s="6" t="s">
        <v>42</v>
      </c>
      <c r="D31" s="10"/>
      <c r="E31" s="13"/>
      <c r="F31" s="19"/>
      <c r="G31" s="13" t="str">
        <f>IF(SUMIFS(잔액_2022[결의금액],잔액_2022[통계목],$C31,잔액_2022[분류 항목],"유량")=0,"",SUMIFS(잔액_2022[결의금액],잔액_2022[통계목],$C31,잔액_2022[분류 항목],"유량"))</f>
        <v/>
      </c>
      <c r="H31" s="19"/>
      <c r="I31" s="13" t="str">
        <f>IF(SUMIFS(잔액_2023[결의금액],잔액_2023[통계목],$C31,잔액_2023[분류 항목],"유량")=0,"",SUMIFS(잔액_2023[결의금액],잔액_2023[통계목],$C31,잔액_2023[분류 항목],"유량"))</f>
        <v/>
      </c>
      <c r="J31" s="19"/>
      <c r="K31" s="13" t="str">
        <f>IF(SUMIFS(잔액_2024[결의금액],잔액_2024[통계목],$C31,잔액_2024[분류 항목],"유량")=0,"",SUMIFS(잔액_2024[결의금액],잔액_2024[통계목],$C31,잔액_2024[분류 항목],"유량"))</f>
        <v/>
      </c>
      <c r="L31" s="19"/>
      <c r="M31" s="13" t="str">
        <f>IF(SUMIFS(잔액_2025[결의금액],잔액_2025[통계목],$C31,잔액_2025[분류 항목],"유량")=0,"",SUMIFS(잔액_2025[결의금액],잔액_2025[통계목],$C31,잔액_2025[분류 항목],"유량"))</f>
        <v/>
      </c>
      <c r="N31" s="19"/>
      <c r="O31" s="10"/>
    </row>
    <row r="32" spans="2:15" ht="17.100000000000001" customHeight="1" x14ac:dyDescent="0.3">
      <c r="B32" s="51" t="s">
        <v>43</v>
      </c>
      <c r="C32" s="21" t="s">
        <v>16</v>
      </c>
      <c r="D32" s="23">
        <f>D33</f>
        <v>0</v>
      </c>
      <c r="E32" s="24">
        <f>E33</f>
        <v>0</v>
      </c>
      <c r="F32" s="22">
        <f t="shared" ref="F32" si="28">F33</f>
        <v>0</v>
      </c>
      <c r="G32" s="24" t="str">
        <f>G33</f>
        <v/>
      </c>
      <c r="H32" s="22">
        <f t="shared" ref="H32" si="29">H33</f>
        <v>0</v>
      </c>
      <c r="I32" s="24" t="str">
        <f>I33</f>
        <v/>
      </c>
      <c r="J32" s="22">
        <f t="shared" ref="J32" si="30">J33</f>
        <v>92420395</v>
      </c>
      <c r="K32" s="24" t="str">
        <f>K33</f>
        <v/>
      </c>
      <c r="L32" s="22">
        <f t="shared" ref="L32" si="31">L33</f>
        <v>43268498</v>
      </c>
      <c r="M32" s="24" t="str">
        <f>M33</f>
        <v/>
      </c>
      <c r="N32" s="22">
        <f t="shared" ref="N32" si="32">N33</f>
        <v>0</v>
      </c>
      <c r="O32" s="23">
        <f>O33</f>
        <v>0</v>
      </c>
    </row>
    <row r="33" spans="2:15" ht="17.100000000000001" customHeight="1" x14ac:dyDescent="0.3">
      <c r="B33" s="51"/>
      <c r="C33" s="6" t="s">
        <v>44</v>
      </c>
      <c r="D33" s="10"/>
      <c r="E33" s="13"/>
      <c r="F33" s="19"/>
      <c r="G33" s="13" t="str">
        <f>IF(SUMIFS(잔액_2022[결의금액],잔액_2022[통계목],$C33,잔액_2022[분류 항목],"유량")=0,"",SUMIFS(잔액_2022[결의금액],잔액_2022[통계목],$C33,잔액_2022[분류 항목],"유량"))</f>
        <v/>
      </c>
      <c r="H33" s="19"/>
      <c r="I33" s="13" t="str">
        <f>IF(SUMIFS(잔액_2023[결의금액],잔액_2023[통계목],$C33,잔액_2023[분류 항목],"유량")=0,"",SUMIFS(잔액_2023[결의금액],잔액_2023[통계목],$C33,잔액_2023[분류 항목],"유량"))</f>
        <v/>
      </c>
      <c r="J33" s="19">
        <v>92420395</v>
      </c>
      <c r="K33" s="13" t="str">
        <f>IF(SUMIFS(잔액_2024[결의금액],잔액_2024[통계목],$C33,잔액_2024[분류 항목],"유량")=0,"",SUMIFS(잔액_2024[결의금액],잔액_2024[통계목],$C33,잔액_2024[분류 항목],"유량"))</f>
        <v/>
      </c>
      <c r="L33" s="19">
        <v>43268498</v>
      </c>
      <c r="M33" s="13" t="str">
        <f>IF(SUMIFS(잔액_2025[결의금액],잔액_2025[통계목],$C33,잔액_2025[분류 항목],"유량")=0,"",SUMIFS(잔액_2025[결의금액],잔액_2025[통계목],$C33,잔액_2025[분류 항목],"유량"))</f>
        <v/>
      </c>
      <c r="N33" s="19"/>
      <c r="O33" s="10"/>
    </row>
    <row r="34" spans="2:15" ht="17.100000000000001" customHeight="1" x14ac:dyDescent="0.3">
      <c r="B34" s="51" t="s">
        <v>45</v>
      </c>
      <c r="C34" s="21" t="s">
        <v>16</v>
      </c>
      <c r="D34" s="23">
        <f>SUM(D35:D39)</f>
        <v>0</v>
      </c>
      <c r="E34" s="24">
        <f>SUM(E35:E39)</f>
        <v>0</v>
      </c>
      <c r="F34" s="22">
        <f t="shared" ref="F34" si="33">SUM(F35:F39)</f>
        <v>0</v>
      </c>
      <c r="G34" s="24">
        <f>SUM(G35:G39)</f>
        <v>0</v>
      </c>
      <c r="H34" s="22">
        <f t="shared" ref="H34" si="34">SUM(H35:H39)</f>
        <v>0</v>
      </c>
      <c r="I34" s="24">
        <f>SUM(I35:I39)</f>
        <v>0</v>
      </c>
      <c r="J34" s="22">
        <f t="shared" ref="J34" si="35">SUM(J35:J39)</f>
        <v>691055018</v>
      </c>
      <c r="K34" s="24">
        <f>SUM(K35:K39)</f>
        <v>0</v>
      </c>
      <c r="L34" s="22">
        <f t="shared" ref="L34" si="36">SUM(L35:L39)</f>
        <v>10000000</v>
      </c>
      <c r="M34" s="24">
        <f>SUM(M35:M39)</f>
        <v>0</v>
      </c>
      <c r="N34" s="22">
        <f t="shared" ref="N34" si="37">SUM(N35:N39)</f>
        <v>0</v>
      </c>
      <c r="O34" s="23">
        <f>SUM(O35:O39)</f>
        <v>0</v>
      </c>
    </row>
    <row r="35" spans="2:15" ht="17.100000000000001" customHeight="1" x14ac:dyDescent="0.3">
      <c r="B35" s="51"/>
      <c r="C35" s="5" t="s">
        <v>46</v>
      </c>
      <c r="D35" s="9"/>
      <c r="E35" s="12"/>
      <c r="F35" s="18"/>
      <c r="G35" s="12" t="str">
        <f>IF(SUMIFS(잔액_2022[결의금액],잔액_2022[통계목],$C35,잔액_2022[분류 항목],"유량")=0,"",SUMIFS(잔액_2022[결의금액],잔액_2022[통계목],$C35,잔액_2022[분류 항목],"유량"))</f>
        <v/>
      </c>
      <c r="H35" s="18"/>
      <c r="I35" s="12" t="str">
        <f>IF(SUMIFS(잔액_2023[결의금액],잔액_2023[통계목],$C35,잔액_2023[분류 항목],"유량")=0,"",SUMIFS(잔액_2023[결의금액],잔액_2023[통계목],$C35,잔액_2023[분류 항목],"유량"))</f>
        <v/>
      </c>
      <c r="J35" s="18"/>
      <c r="K35" s="12" t="str">
        <f>IF(SUMIFS(잔액_2024[결의금액],잔액_2024[통계목],$C35,잔액_2024[분류 항목],"유량")=0,"",SUMIFS(잔액_2024[결의금액],잔액_2024[통계목],$C35,잔액_2024[분류 항목],"유량"))</f>
        <v/>
      </c>
      <c r="L35" s="18"/>
      <c r="M35" s="12" t="str">
        <f>IF(SUMIFS(잔액_2025[결의금액],잔액_2025[통계목],$C35,잔액_2025[분류 항목],"유량")=0,"",SUMIFS(잔액_2025[결의금액],잔액_2025[통계목],$C35,잔액_2025[분류 항목],"유량"))</f>
        <v/>
      </c>
      <c r="N35" s="18"/>
      <c r="O35" s="9"/>
    </row>
    <row r="36" spans="2:15" ht="17.100000000000001" customHeight="1" x14ac:dyDescent="0.3">
      <c r="B36" s="51"/>
      <c r="C36" s="5" t="s">
        <v>47</v>
      </c>
      <c r="D36" s="9"/>
      <c r="E36" s="12"/>
      <c r="F36" s="18"/>
      <c r="G36" s="12" t="str">
        <f>IF(SUMIFS(잔액_2022[결의금액],잔액_2022[통계목],$C36,잔액_2022[분류 항목],"유량")=0,"",SUMIFS(잔액_2022[결의금액],잔액_2022[통계목],$C36,잔액_2022[분류 항목],"유량"))</f>
        <v/>
      </c>
      <c r="H36" s="18"/>
      <c r="I36" s="12" t="str">
        <f>IF(SUMIFS(잔액_2023[결의금액],잔액_2023[통계목],$C36,잔액_2023[분류 항목],"유량")=0,"",SUMIFS(잔액_2023[결의금액],잔액_2023[통계목],$C36,잔액_2023[분류 항목],"유량"))</f>
        <v/>
      </c>
      <c r="J36" s="18"/>
      <c r="K36" s="12" t="str">
        <f>IF(SUMIFS(잔액_2024[결의금액],잔액_2024[통계목],$C36,잔액_2024[분류 항목],"유량")=0,"",SUMIFS(잔액_2024[결의금액],잔액_2024[통계목],$C36,잔액_2024[분류 항목],"유량"))</f>
        <v/>
      </c>
      <c r="L36" s="18"/>
      <c r="M36" s="12" t="str">
        <f>IF(SUMIFS(잔액_2025[결의금액],잔액_2025[통계목],$C36,잔액_2025[분류 항목],"유량")=0,"",SUMIFS(잔액_2025[결의금액],잔액_2025[통계목],$C36,잔액_2025[분류 항목],"유량"))</f>
        <v/>
      </c>
      <c r="N36" s="18"/>
      <c r="O36" s="9"/>
    </row>
    <row r="37" spans="2:15" ht="17.100000000000001" customHeight="1" x14ac:dyDescent="0.3">
      <c r="B37" s="51"/>
      <c r="C37" s="5" t="s">
        <v>48</v>
      </c>
      <c r="D37" s="9"/>
      <c r="E37" s="12"/>
      <c r="F37" s="18"/>
      <c r="G37" s="12" t="str">
        <f>IF(SUMIFS(잔액_2022[결의금액],잔액_2022[통계목],$C37,잔액_2022[분류 항목],"유량")=0,"",SUMIFS(잔액_2022[결의금액],잔액_2022[통계목],$C37,잔액_2022[분류 항목],"유량"))</f>
        <v/>
      </c>
      <c r="H37" s="18"/>
      <c r="I37" s="12" t="str">
        <f>IF(SUMIFS(잔액_2023[결의금액],잔액_2023[통계목],$C37,잔액_2023[분류 항목],"유량")=0,"",SUMIFS(잔액_2023[결의금액],잔액_2023[통계목],$C37,잔액_2023[분류 항목],"유량"))</f>
        <v/>
      </c>
      <c r="J37" s="18">
        <v>691055018</v>
      </c>
      <c r="K37" s="12" t="str">
        <f>IF(SUMIFS(잔액_2024[결의금액],잔액_2024[통계목],$C37,잔액_2024[분류 항목],"유량")=0,"",SUMIFS(잔액_2024[결의금액],잔액_2024[통계목],$C37,잔액_2024[분류 항목],"유량"))</f>
        <v/>
      </c>
      <c r="L37" s="18">
        <v>10000000</v>
      </c>
      <c r="M37" s="12" t="str">
        <f>IF(SUMIFS(잔액_2025[결의금액],잔액_2025[통계목],$C37,잔액_2025[분류 항목],"유량")=0,"",SUMIFS(잔액_2025[결의금액],잔액_2025[통계목],$C37,잔액_2025[분류 항목],"유량"))</f>
        <v/>
      </c>
      <c r="N37" s="18"/>
      <c r="O37" s="9"/>
    </row>
    <row r="38" spans="2:15" ht="17.100000000000001" customHeight="1" x14ac:dyDescent="0.3">
      <c r="B38" s="51"/>
      <c r="C38" s="5" t="s">
        <v>49</v>
      </c>
      <c r="D38" s="9"/>
      <c r="E38" s="12"/>
      <c r="F38" s="18"/>
      <c r="G38" s="12" t="str">
        <f>IF(SUMIFS(잔액_2022[결의금액],잔액_2022[통계목],$C38,잔액_2022[분류 항목],"유량")=0,"",SUMIFS(잔액_2022[결의금액],잔액_2022[통계목],$C38,잔액_2022[분류 항목],"유량"))</f>
        <v/>
      </c>
      <c r="H38" s="18"/>
      <c r="I38" s="12" t="str">
        <f>IF(SUMIFS(잔액_2023[결의금액],잔액_2023[통계목],$C38,잔액_2023[분류 항목],"유량")=0,"",SUMIFS(잔액_2023[결의금액],잔액_2023[통계목],$C38,잔액_2023[분류 항목],"유량"))</f>
        <v/>
      </c>
      <c r="J38" s="18"/>
      <c r="K38" s="12" t="str">
        <f>IF(SUMIFS(잔액_2024[결의금액],잔액_2024[통계목],$C38,잔액_2024[분류 항목],"유량")=0,"",SUMIFS(잔액_2024[결의금액],잔액_2024[통계목],$C38,잔액_2024[분류 항목],"유량"))</f>
        <v/>
      </c>
      <c r="L38" s="18"/>
      <c r="M38" s="12" t="str">
        <f>IF(SUMIFS(잔액_2025[결의금액],잔액_2025[통계목],$C38,잔액_2025[분류 항목],"유량")=0,"",SUMIFS(잔액_2025[결의금액],잔액_2025[통계목],$C38,잔액_2025[분류 항목],"유량"))</f>
        <v/>
      </c>
      <c r="N38" s="18"/>
      <c r="O38" s="9"/>
    </row>
    <row r="39" spans="2:15" ht="17.100000000000001" customHeight="1" x14ac:dyDescent="0.3">
      <c r="B39" s="51"/>
      <c r="C39" s="6" t="s">
        <v>50</v>
      </c>
      <c r="D39" s="10"/>
      <c r="E39" s="13"/>
      <c r="F39" s="19"/>
      <c r="G39" s="13" t="str">
        <f>IF(SUMIFS(잔액_2022[결의금액],잔액_2022[통계목],$C39,잔액_2022[분류 항목],"유량")=0,"",SUMIFS(잔액_2022[결의금액],잔액_2022[통계목],$C39,잔액_2022[분류 항목],"유량"))</f>
        <v/>
      </c>
      <c r="H39" s="19"/>
      <c r="I39" s="13" t="str">
        <f>IF(SUMIFS(잔액_2023[결의금액],잔액_2023[통계목],$C39,잔액_2023[분류 항목],"유량")=0,"",SUMIFS(잔액_2023[결의금액],잔액_2023[통계목],$C39,잔액_2023[분류 항목],"유량"))</f>
        <v/>
      </c>
      <c r="J39" s="19"/>
      <c r="K39" s="13" t="str">
        <f>IF(SUMIFS(잔액_2024[결의금액],잔액_2024[통계목],$C39,잔액_2024[분류 항목],"유량")=0,"",SUMIFS(잔액_2024[결의금액],잔액_2024[통계목],$C39,잔액_2024[분류 항목],"유량"))</f>
        <v/>
      </c>
      <c r="L39" s="19"/>
      <c r="M39" s="13" t="str">
        <f>IF(SUMIFS(잔액_2025[결의금액],잔액_2025[통계목],$C39,잔액_2025[분류 항목],"유량")=0,"",SUMIFS(잔액_2025[결의금액],잔액_2025[통계목],$C39,잔액_2025[분류 항목],"유량"))</f>
        <v/>
      </c>
      <c r="N39" s="19"/>
      <c r="O39" s="10"/>
    </row>
    <row r="40" spans="2:15" ht="17.100000000000001" customHeight="1" x14ac:dyDescent="0.3">
      <c r="B40" s="51" t="s">
        <v>51</v>
      </c>
      <c r="C40" s="21" t="s">
        <v>16</v>
      </c>
      <c r="D40" s="23">
        <f>D41</f>
        <v>0</v>
      </c>
      <c r="E40" s="24">
        <f>E41</f>
        <v>0</v>
      </c>
      <c r="F40" s="22">
        <f t="shared" ref="F40" si="38">F41</f>
        <v>1249000000</v>
      </c>
      <c r="G40" s="24">
        <f>G41</f>
        <v>74944873</v>
      </c>
      <c r="H40" s="22">
        <f t="shared" ref="H40" si="39">H41</f>
        <v>0</v>
      </c>
      <c r="I40" s="24" t="str">
        <f>I41</f>
        <v/>
      </c>
      <c r="J40" s="22">
        <f t="shared" ref="J40" si="40">J41</f>
        <v>428867185</v>
      </c>
      <c r="K40" s="24">
        <f>K41</f>
        <v>158572855</v>
      </c>
      <c r="L40" s="22">
        <f t="shared" ref="L40" si="41">L41</f>
        <v>0</v>
      </c>
      <c r="M40" s="24">
        <f>M41</f>
        <v>469893500</v>
      </c>
      <c r="N40" s="22">
        <f t="shared" ref="N40" si="42">N41</f>
        <v>600000000</v>
      </c>
      <c r="O40" s="23">
        <f>O41</f>
        <v>0</v>
      </c>
    </row>
    <row r="41" spans="2:15" ht="17.100000000000001" customHeight="1" x14ac:dyDescent="0.3">
      <c r="B41" s="51"/>
      <c r="C41" s="6" t="s">
        <v>52</v>
      </c>
      <c r="D41" s="10"/>
      <c r="E41" s="13"/>
      <c r="F41" s="19">
        <v>1249000000</v>
      </c>
      <c r="G41" s="13">
        <f>IF(SUMIFS(잔액_2022[결의금액],잔액_2022[통계목],$C41,잔액_2022[분류 항목],"유량")=0,"",SUMIFS(잔액_2022[결의금액],잔액_2022[통계목],$C41,잔액_2022[분류 항목],"유량"))</f>
        <v>74944873</v>
      </c>
      <c r="H41" s="19"/>
      <c r="I41" s="13" t="str">
        <f>IF(SUMIFS(잔액_2023[결의금액],잔액_2023[통계목],$C41,잔액_2023[분류 항목],"유량")=0,"",SUMIFS(잔액_2023[결의금액],잔액_2023[통계목],$C41,잔액_2023[분류 항목],"유량"))</f>
        <v/>
      </c>
      <c r="J41" s="19">
        <v>428867185</v>
      </c>
      <c r="K41" s="13">
        <f>IF(SUMIFS(잔액_2024[결의금액],잔액_2024[통계목],$C41,잔액_2024[분류 항목],"유량")=0,"",SUMIFS(잔액_2024[결의금액],잔액_2024[통계목],$C41,잔액_2024[분류 항목],"유량"))</f>
        <v>158572855</v>
      </c>
      <c r="L41" s="19"/>
      <c r="M41" s="13">
        <f>IF(SUMIFS(잔액_2025[결의금액],잔액_2025[통계목],$C41,잔액_2025[분류 항목],"유량")=0,"",SUMIFS(잔액_2025[결의금액],잔액_2025[통계목],$C41,잔액_2025[분류 항목],"유량"))</f>
        <v>469893500</v>
      </c>
      <c r="N41" s="19">
        <v>600000000</v>
      </c>
      <c r="O41" s="10"/>
    </row>
    <row r="42" spans="2:15" ht="17.100000000000001" customHeight="1" x14ac:dyDescent="0.3">
      <c r="B42" s="51" t="s">
        <v>53</v>
      </c>
      <c r="C42" s="21" t="s">
        <v>16</v>
      </c>
      <c r="D42" s="23">
        <f>D43</f>
        <v>0</v>
      </c>
      <c r="E42" s="24">
        <f>E43</f>
        <v>0</v>
      </c>
      <c r="F42" s="22">
        <f t="shared" ref="F42" si="43">F43</f>
        <v>0</v>
      </c>
      <c r="G42" s="24" t="str">
        <f>G43</f>
        <v/>
      </c>
      <c r="H42" s="22">
        <f t="shared" ref="H42" si="44">H43</f>
        <v>0</v>
      </c>
      <c r="I42" s="24" t="str">
        <f>I43</f>
        <v/>
      </c>
      <c r="J42" s="22">
        <f t="shared" ref="J42" si="45">J43</f>
        <v>12500000</v>
      </c>
      <c r="K42" s="24" t="str">
        <f>K43</f>
        <v/>
      </c>
      <c r="L42" s="22">
        <f t="shared" ref="L42" si="46">L43</f>
        <v>0</v>
      </c>
      <c r="M42" s="24" t="str">
        <f>M43</f>
        <v/>
      </c>
      <c r="N42" s="22">
        <f t="shared" ref="N42" si="47">N43</f>
        <v>0</v>
      </c>
      <c r="O42" s="23">
        <f>O43</f>
        <v>0</v>
      </c>
    </row>
    <row r="43" spans="2:15" ht="17.100000000000001" customHeight="1" x14ac:dyDescent="0.3">
      <c r="B43" s="51"/>
      <c r="C43" s="6" t="s">
        <v>54</v>
      </c>
      <c r="D43" s="10"/>
      <c r="E43" s="13"/>
      <c r="F43" s="19"/>
      <c r="G43" s="13" t="str">
        <f>IF(SUMIFS(잔액_2022[결의금액],잔액_2022[통계목],$C43,잔액_2022[분류 항목],"유량")=0,"",SUMIFS(잔액_2022[결의금액],잔액_2022[통계목],$C43,잔액_2022[분류 항목],"유량"))</f>
        <v/>
      </c>
      <c r="H43" s="19"/>
      <c r="I43" s="13" t="str">
        <f>IF(SUMIFS(잔액_2023[결의금액],잔액_2023[통계목],$C43,잔액_2023[분류 항목],"유량")=0,"",SUMIFS(잔액_2023[결의금액],잔액_2023[통계목],$C43,잔액_2023[분류 항목],"유량"))</f>
        <v/>
      </c>
      <c r="J43" s="19">
        <v>12500000</v>
      </c>
      <c r="K43" s="13" t="str">
        <f>IF(SUMIFS(잔액_2024[결의금액],잔액_2024[통계목],$C43,잔액_2024[분류 항목],"유량")=0,"",SUMIFS(잔액_2024[결의금액],잔액_2024[통계목],$C43,잔액_2024[분류 항목],"유량"))</f>
        <v/>
      </c>
      <c r="L43" s="19"/>
      <c r="M43" s="13" t="str">
        <f>IF(SUMIFS(잔액_2025[결의금액],잔액_2025[통계목],$C43,잔액_2025[분류 항목],"유량")=0,"",SUMIFS(잔액_2025[결의금액],잔액_2025[통계목],$C43,잔액_2025[분류 항목],"유량"))</f>
        <v/>
      </c>
      <c r="N43" s="19"/>
      <c r="O43" s="10"/>
    </row>
    <row r="44" spans="2:15" ht="17.100000000000001" customHeight="1" x14ac:dyDescent="0.3">
      <c r="B44" s="55" t="s">
        <v>55</v>
      </c>
      <c r="C44" s="21" t="s">
        <v>16</v>
      </c>
      <c r="D44" s="23">
        <f>D45</f>
        <v>0</v>
      </c>
      <c r="E44" s="24">
        <f>E45</f>
        <v>0</v>
      </c>
      <c r="F44" s="22">
        <f t="shared" ref="F44" si="48">F45</f>
        <v>0</v>
      </c>
      <c r="G44" s="24" t="str">
        <f>G45</f>
        <v/>
      </c>
      <c r="H44" s="22">
        <f t="shared" ref="H44" si="49">H45</f>
        <v>0</v>
      </c>
      <c r="I44" s="24" t="str">
        <f>I45</f>
        <v/>
      </c>
      <c r="J44" s="22">
        <f t="shared" ref="J44" si="50">J45</f>
        <v>0</v>
      </c>
      <c r="K44" s="24" t="str">
        <f>K45</f>
        <v/>
      </c>
      <c r="L44" s="22">
        <f t="shared" ref="L44" si="51">L45</f>
        <v>0</v>
      </c>
      <c r="M44" s="24" t="str">
        <f>M45</f>
        <v/>
      </c>
      <c r="N44" s="22">
        <f t="shared" ref="N44" si="52">N45</f>
        <v>0</v>
      </c>
      <c r="O44" s="23">
        <f>O45</f>
        <v>0</v>
      </c>
    </row>
    <row r="45" spans="2:15" ht="17.100000000000001" customHeight="1" x14ac:dyDescent="0.3">
      <c r="B45" s="51"/>
      <c r="C45" s="6" t="s">
        <v>56</v>
      </c>
      <c r="D45" s="10"/>
      <c r="E45" s="13"/>
      <c r="F45" s="19"/>
      <c r="G45" s="13" t="str">
        <f>IF(SUMIFS(잔액_2022[결의금액],잔액_2022[통계목],$C45,잔액_2022[분류 항목],"유량")=0,"",SUMIFS(잔액_2022[결의금액],잔액_2022[통계목],$C45,잔액_2022[분류 항목],"유량"))</f>
        <v/>
      </c>
      <c r="H45" s="19"/>
      <c r="I45" s="13" t="str">
        <f>IF(SUMIFS(잔액_2023[결의금액],잔액_2023[통계목],$C45,잔액_2023[분류 항목],"유량")=0,"",SUMIFS(잔액_2023[결의금액],잔액_2023[통계목],$C45,잔액_2023[분류 항목],"유량"))</f>
        <v/>
      </c>
      <c r="J45" s="19"/>
      <c r="K45" s="13" t="str">
        <f>IF(SUMIFS(잔액_2024[결의금액],잔액_2024[통계목],$C45,잔액_2024[분류 항목],"유량")=0,"",SUMIFS(잔액_2024[결의금액],잔액_2024[통계목],$C45,잔액_2024[분류 항목],"유량"))</f>
        <v/>
      </c>
      <c r="L45" s="19"/>
      <c r="M45" s="13" t="str">
        <f>IF(SUMIFS(잔액_2025[결의금액],잔액_2025[통계목],$C45,잔액_2025[분류 항목],"유량")=0,"",SUMIFS(잔액_2025[결의금액],잔액_2025[통계목],$C45,잔액_2025[분류 항목],"유량"))</f>
        <v/>
      </c>
      <c r="N45" s="19"/>
      <c r="O45" s="10"/>
    </row>
    <row r="46" spans="2:15" ht="17.100000000000001" customHeight="1" x14ac:dyDescent="0.3">
      <c r="B46" s="51" t="s">
        <v>57</v>
      </c>
      <c r="C46" s="21" t="s">
        <v>16</v>
      </c>
      <c r="D46" s="23">
        <f>D47</f>
        <v>0</v>
      </c>
      <c r="E46" s="24">
        <f>E47</f>
        <v>0</v>
      </c>
      <c r="F46" s="22">
        <f t="shared" ref="F46" si="53">F47</f>
        <v>0</v>
      </c>
      <c r="G46" s="24" t="str">
        <f>G47</f>
        <v/>
      </c>
      <c r="H46" s="22">
        <f t="shared" ref="H46" si="54">H47</f>
        <v>0</v>
      </c>
      <c r="I46" s="24" t="str">
        <f>I47</f>
        <v/>
      </c>
      <c r="J46" s="22">
        <f t="shared" ref="J46" si="55">J47</f>
        <v>0</v>
      </c>
      <c r="K46" s="24" t="str">
        <f>K47</f>
        <v/>
      </c>
      <c r="L46" s="22">
        <f t="shared" ref="L46" si="56">L47</f>
        <v>0</v>
      </c>
      <c r="M46" s="24" t="str">
        <f>M47</f>
        <v/>
      </c>
      <c r="N46" s="22">
        <f t="shared" ref="N46" si="57">N47</f>
        <v>0</v>
      </c>
      <c r="O46" s="23">
        <f>O47</f>
        <v>0</v>
      </c>
    </row>
    <row r="47" spans="2:15" ht="17.100000000000001" customHeight="1" x14ac:dyDescent="0.3">
      <c r="B47" s="51"/>
      <c r="C47" s="6" t="s">
        <v>58</v>
      </c>
      <c r="D47" s="10"/>
      <c r="E47" s="13"/>
      <c r="F47" s="19"/>
      <c r="G47" s="13" t="str">
        <f>IF(SUMIFS(잔액_2022[결의금액],잔액_2022[통계목],$C47,잔액_2022[분류 항목],"유량")=0,"",SUMIFS(잔액_2022[결의금액],잔액_2022[통계목],$C47,잔액_2022[분류 항목],"유량"))</f>
        <v/>
      </c>
      <c r="H47" s="19"/>
      <c r="I47" s="13" t="str">
        <f>IF(SUMIFS(잔액_2023[결의금액],잔액_2023[통계목],$C47,잔액_2023[분류 항목],"유량")=0,"",SUMIFS(잔액_2023[결의금액],잔액_2023[통계목],$C47,잔액_2023[분류 항목],"유량"))</f>
        <v/>
      </c>
      <c r="J47" s="19"/>
      <c r="K47" s="13" t="str">
        <f>IF(SUMIFS(잔액_2024[결의금액],잔액_2024[통계목],$C47,잔액_2024[분류 항목],"유량")=0,"",SUMIFS(잔액_2024[결의금액],잔액_2024[통계목],$C47,잔액_2024[분류 항목],"유량"))</f>
        <v/>
      </c>
      <c r="L47" s="19"/>
      <c r="M47" s="13" t="str">
        <f>IF(SUMIFS(잔액_2025[결의금액],잔액_2025[통계목],$C47,잔액_2025[분류 항목],"유량")=0,"",SUMIFS(잔액_2025[결의금액],잔액_2025[통계목],$C47,잔액_2025[분류 항목],"유량"))</f>
        <v/>
      </c>
      <c r="N47" s="19"/>
      <c r="O47" s="10"/>
    </row>
  </sheetData>
  <mergeCells count="20">
    <mergeCell ref="N2:O2"/>
    <mergeCell ref="B44:B45"/>
    <mergeCell ref="B46:B47"/>
    <mergeCell ref="D2:E2"/>
    <mergeCell ref="F2:G2"/>
    <mergeCell ref="H2:I2"/>
    <mergeCell ref="J2:K2"/>
    <mergeCell ref="B26:B28"/>
    <mergeCell ref="B29:B31"/>
    <mergeCell ref="B32:B33"/>
    <mergeCell ref="B34:B39"/>
    <mergeCell ref="B40:B41"/>
    <mergeCell ref="B42:B43"/>
    <mergeCell ref="B2:B3"/>
    <mergeCell ref="C2:C3"/>
    <mergeCell ref="B4:C4"/>
    <mergeCell ref="B5:B9"/>
    <mergeCell ref="B10:B22"/>
    <mergeCell ref="B23:B25"/>
    <mergeCell ref="L2:M2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659A-7A96-4257-8F86-F65ABEE73A81}">
  <sheetPr>
    <pageSetUpPr fitToPage="1"/>
  </sheetPr>
  <dimension ref="B1:O47"/>
  <sheetViews>
    <sheetView zoomScale="80" zoomScaleNormal="80" workbookViewId="0">
      <selection activeCell="B1" sqref="B1"/>
    </sheetView>
  </sheetViews>
  <sheetFormatPr defaultColWidth="10.625" defaultRowHeight="17.100000000000001" customHeight="1" x14ac:dyDescent="0.3"/>
  <cols>
    <col min="1" max="1" width="3.625" style="1" customWidth="1"/>
    <col min="2" max="3" width="14.625" style="1" customWidth="1"/>
    <col min="4" max="4" width="18.625" style="1" customWidth="1"/>
    <col min="5" max="5" width="16.625" style="1" customWidth="1"/>
    <col min="6" max="6" width="18.625" style="1" customWidth="1"/>
    <col min="7" max="7" width="16.625" style="1" customWidth="1"/>
    <col min="8" max="8" width="18.625" style="1" customWidth="1"/>
    <col min="9" max="9" width="16.625" style="1" customWidth="1"/>
    <col min="10" max="10" width="18.625" style="1" customWidth="1"/>
    <col min="11" max="11" width="16.625" style="1" customWidth="1"/>
    <col min="12" max="12" width="18.625" style="1" customWidth="1"/>
    <col min="13" max="13" width="16.625" style="1" customWidth="1"/>
    <col min="14" max="14" width="18.625" style="1" customWidth="1"/>
    <col min="15" max="15" width="16.625" style="1" customWidth="1"/>
    <col min="16" max="16384" width="10.625" style="1"/>
  </cols>
  <sheetData>
    <row r="1" spans="2:15" ht="17.100000000000001" customHeight="1" x14ac:dyDescent="0.3">
      <c r="B1" s="57" t="s">
        <v>193</v>
      </c>
    </row>
    <row r="2" spans="2:15" ht="17.100000000000001" customHeight="1" x14ac:dyDescent="0.3">
      <c r="B2" s="52" t="s">
        <v>12</v>
      </c>
      <c r="C2" s="52" t="s">
        <v>13</v>
      </c>
      <c r="D2" s="52" t="s">
        <v>1</v>
      </c>
      <c r="E2" s="53"/>
      <c r="F2" s="52" t="s">
        <v>3</v>
      </c>
      <c r="G2" s="53"/>
      <c r="H2" s="52" t="s">
        <v>62</v>
      </c>
      <c r="I2" s="53"/>
      <c r="J2" s="52" t="s">
        <v>63</v>
      </c>
      <c r="K2" s="53"/>
      <c r="L2" s="52" t="s">
        <v>64</v>
      </c>
      <c r="M2" s="53"/>
      <c r="N2" s="54" t="s">
        <v>65</v>
      </c>
      <c r="O2" s="52"/>
    </row>
    <row r="3" spans="2:15" ht="17.100000000000001" customHeight="1" x14ac:dyDescent="0.3">
      <c r="B3" s="52"/>
      <c r="C3" s="52"/>
      <c r="D3" s="14" t="s">
        <v>59</v>
      </c>
      <c r="E3" s="15" t="s">
        <v>61</v>
      </c>
      <c r="F3" s="14" t="s">
        <v>59</v>
      </c>
      <c r="G3" s="15" t="s">
        <v>61</v>
      </c>
      <c r="H3" s="14" t="s">
        <v>59</v>
      </c>
      <c r="I3" s="15" t="s">
        <v>61</v>
      </c>
      <c r="J3" s="14" t="s">
        <v>59</v>
      </c>
      <c r="K3" s="15" t="s">
        <v>61</v>
      </c>
      <c r="L3" s="14" t="s">
        <v>59</v>
      </c>
      <c r="M3" s="15" t="s">
        <v>61</v>
      </c>
      <c r="N3" s="20" t="s">
        <v>59</v>
      </c>
      <c r="O3" s="14" t="s">
        <v>61</v>
      </c>
    </row>
    <row r="4" spans="2:15" ht="17.100000000000001" customHeight="1" x14ac:dyDescent="0.3">
      <c r="B4" s="49" t="s">
        <v>14</v>
      </c>
      <c r="C4" s="50"/>
      <c r="D4" s="7">
        <f t="shared" ref="D4" si="0">SUM(D5,D10,D23,D26,D29,D32,D34,D40,D42,D44,D46)</f>
        <v>337965730</v>
      </c>
      <c r="E4" s="11">
        <f t="shared" ref="E4:O4" si="1">SUM(E5,E10,E23,E26,E29,E32,E34,E40,E42,E44,E46)</f>
        <v>0</v>
      </c>
      <c r="F4" s="16">
        <f t="shared" si="1"/>
        <v>356000000</v>
      </c>
      <c r="G4" s="11">
        <f t="shared" si="1"/>
        <v>19025280</v>
      </c>
      <c r="H4" s="16">
        <f t="shared" si="1"/>
        <v>416083240</v>
      </c>
      <c r="I4" s="11">
        <f t="shared" si="1"/>
        <v>109142000</v>
      </c>
      <c r="J4" s="16">
        <f t="shared" si="1"/>
        <v>221000000</v>
      </c>
      <c r="K4" s="11">
        <f t="shared" si="1"/>
        <v>0</v>
      </c>
      <c r="L4" s="16">
        <f t="shared" si="1"/>
        <v>175000000</v>
      </c>
      <c r="M4" s="11">
        <f t="shared" si="1"/>
        <v>301246410</v>
      </c>
      <c r="N4" s="16">
        <f t="shared" si="1"/>
        <v>159000000</v>
      </c>
      <c r="O4" s="7">
        <f t="shared" si="1"/>
        <v>0</v>
      </c>
    </row>
    <row r="5" spans="2:15" ht="17.100000000000001" customHeight="1" x14ac:dyDescent="0.3">
      <c r="B5" s="51" t="s">
        <v>15</v>
      </c>
      <c r="C5" s="21" t="s">
        <v>16</v>
      </c>
      <c r="D5" s="8">
        <f>SUM(D6:D9)</f>
        <v>88000000</v>
      </c>
      <c r="E5" s="24">
        <f>SUM(E6:E9)</f>
        <v>0</v>
      </c>
      <c r="F5" s="17">
        <f t="shared" ref="F5" si="2">SUM(F6:F9)</f>
        <v>164000000</v>
      </c>
      <c r="G5" s="24">
        <f>SUM(G6:G9)</f>
        <v>0</v>
      </c>
      <c r="H5" s="17">
        <f t="shared" ref="H5" si="3">SUM(H6:H9)</f>
        <v>213508440</v>
      </c>
      <c r="I5" s="24">
        <f>SUM(I6:I9)</f>
        <v>0</v>
      </c>
      <c r="J5" s="17">
        <f t="shared" ref="J5" si="4">SUM(J6:J9)</f>
        <v>52067667</v>
      </c>
      <c r="K5" s="24">
        <f>SUM(K6:K9)</f>
        <v>0</v>
      </c>
      <c r="L5" s="17">
        <f t="shared" ref="L5" si="5">SUM(L6:L9)</f>
        <v>70200000</v>
      </c>
      <c r="M5" s="24">
        <f>SUM(M6:M9)</f>
        <v>0</v>
      </c>
      <c r="N5" s="17">
        <f t="shared" ref="N5" si="6">SUM(N6:N9)</f>
        <v>79015500</v>
      </c>
      <c r="O5" s="23">
        <f>SUM(O6:O9)</f>
        <v>0</v>
      </c>
    </row>
    <row r="6" spans="2:15" ht="17.100000000000001" customHeight="1" x14ac:dyDescent="0.3">
      <c r="B6" s="51"/>
      <c r="C6" s="5" t="s">
        <v>17</v>
      </c>
      <c r="D6" s="9"/>
      <c r="E6" s="12"/>
      <c r="F6" s="18"/>
      <c r="G6" s="12" t="str">
        <f>IF(SUMIFS(잔액_2022[결의금액],잔액_2022[통계목],$C6,잔액_2022[분류 항목],"유사량")=0,"",SUMIFS(잔액_2022[결의금액],잔액_2022[통계목],$C6,잔액_2022[분류 항목],"유사량"))</f>
        <v/>
      </c>
      <c r="H6" s="18"/>
      <c r="I6" s="12" t="str">
        <f>IF(SUMIFS(잔액_2023[결의금액],잔액_2023[통계목],$C6,잔액_2023[분류 항목],"유사량")=0,"",SUMIFS(잔액_2023[결의금액],잔액_2023[통계목],$C6,잔액_2023[분류 항목],"유사량"))</f>
        <v/>
      </c>
      <c r="J6" s="18"/>
      <c r="K6" s="12" t="str">
        <f>IF(SUMIFS(잔액_2024[결의금액],잔액_2024[통계목],$C6,잔액_2024[분류 항목],"유사량")=0,"",SUMIFS(잔액_2024[결의금액],잔액_2024[통계목],$C6,잔액_2024[분류 항목],"유사량"))</f>
        <v/>
      </c>
      <c r="L6" s="18"/>
      <c r="M6" s="12" t="str">
        <f>IF(SUMIFS(잔액_2025[결의금액],잔액_2025[통계목],$C6,잔액_2025[분류 항목],"유사량")=0,"",SUMIFS(잔액_2025[결의금액],잔액_2025[통계목],$C6,잔액_2025[분류 항목],"유사량"))</f>
        <v/>
      </c>
      <c r="N6" s="18"/>
      <c r="O6" s="9"/>
    </row>
    <row r="7" spans="2:15" ht="17.100000000000001" customHeight="1" x14ac:dyDescent="0.3">
      <c r="B7" s="51"/>
      <c r="C7" s="5" t="s">
        <v>18</v>
      </c>
      <c r="D7" s="9"/>
      <c r="E7" s="12"/>
      <c r="F7" s="18"/>
      <c r="G7" s="12" t="str">
        <f>IF(SUMIFS(잔액_2022[결의금액],잔액_2022[통계목],$C7,잔액_2022[분류 항목],"유사량")=0,"",SUMIFS(잔액_2022[결의금액],잔액_2022[통계목],$C7,잔액_2022[분류 항목],"유사량"))</f>
        <v/>
      </c>
      <c r="H7" s="18"/>
      <c r="I7" s="12" t="str">
        <f>IF(SUMIFS(잔액_2023[결의금액],잔액_2023[통계목],$C7,잔액_2023[분류 항목],"유사량")=0,"",SUMIFS(잔액_2023[결의금액],잔액_2023[통계목],$C7,잔액_2023[분류 항목],"유사량"))</f>
        <v/>
      </c>
      <c r="J7" s="18"/>
      <c r="K7" s="12" t="str">
        <f>IF(SUMIFS(잔액_2024[결의금액],잔액_2024[통계목],$C7,잔액_2024[분류 항목],"유사량")=0,"",SUMIFS(잔액_2024[결의금액],잔액_2024[통계목],$C7,잔액_2024[분류 항목],"유사량"))</f>
        <v/>
      </c>
      <c r="L7" s="18"/>
      <c r="M7" s="12" t="str">
        <f>IF(SUMIFS(잔액_2025[결의금액],잔액_2025[통계목],$C7,잔액_2025[분류 항목],"유사량")=0,"",SUMIFS(잔액_2025[결의금액],잔액_2025[통계목],$C7,잔액_2025[분류 항목],"유사량"))</f>
        <v/>
      </c>
      <c r="N7" s="18"/>
      <c r="O7" s="9"/>
    </row>
    <row r="8" spans="2:15" ht="17.100000000000001" customHeight="1" x14ac:dyDescent="0.3">
      <c r="B8" s="51"/>
      <c r="C8" s="5" t="s">
        <v>19</v>
      </c>
      <c r="D8" s="9"/>
      <c r="E8" s="12"/>
      <c r="F8" s="18">
        <v>164000000</v>
      </c>
      <c r="G8" s="12" t="str">
        <f>IF(SUMIFS(잔액_2022[결의금액],잔액_2022[통계목],$C8,잔액_2022[분류 항목],"유사량")=0,"",SUMIFS(잔액_2022[결의금액],잔액_2022[통계목],$C8,잔액_2022[분류 항목],"유사량"))</f>
        <v/>
      </c>
      <c r="H8" s="18">
        <v>213508440</v>
      </c>
      <c r="I8" s="12" t="str">
        <f>IF(SUMIFS(잔액_2023[결의금액],잔액_2023[통계목],$C8,잔액_2023[분류 항목],"유사량")=0,"",SUMIFS(잔액_2023[결의금액],잔액_2023[통계목],$C8,잔액_2023[분류 항목],"유사량"))</f>
        <v/>
      </c>
      <c r="J8" s="18">
        <v>52067667</v>
      </c>
      <c r="K8" s="12" t="str">
        <f>IF(SUMIFS(잔액_2024[결의금액],잔액_2024[통계목],$C8,잔액_2024[분류 항목],"유사량")=0,"",SUMIFS(잔액_2024[결의금액],잔액_2024[통계목],$C8,잔액_2024[분류 항목],"유사량"))</f>
        <v/>
      </c>
      <c r="L8" s="18">
        <v>70200000</v>
      </c>
      <c r="M8" s="12" t="str">
        <f>IF(SUMIFS(잔액_2025[결의금액],잔액_2025[통계목],$C8,잔액_2025[분류 항목],"유사량")=0,"",SUMIFS(잔액_2025[결의금액],잔액_2025[통계목],$C8,잔액_2025[분류 항목],"유사량"))</f>
        <v/>
      </c>
      <c r="N8" s="18">
        <v>79015500</v>
      </c>
      <c r="O8" s="9"/>
    </row>
    <row r="9" spans="2:15" ht="17.100000000000001" customHeight="1" x14ac:dyDescent="0.3">
      <c r="B9" s="51"/>
      <c r="C9" s="6" t="s">
        <v>20</v>
      </c>
      <c r="D9" s="10">
        <v>88000000</v>
      </c>
      <c r="E9" s="13"/>
      <c r="F9" s="19"/>
      <c r="G9" s="13" t="str">
        <f>IF(SUMIFS(잔액_2022[결의금액],잔액_2022[통계목],$C9,잔액_2022[분류 항목],"유사량")=0,"",SUMIFS(잔액_2022[결의금액],잔액_2022[통계목],$C9,잔액_2022[분류 항목],"유사량"))</f>
        <v/>
      </c>
      <c r="H9" s="19"/>
      <c r="I9" s="13" t="str">
        <f>IF(SUMIFS(잔액_2023[결의금액],잔액_2023[통계목],$C9,잔액_2023[분류 항목],"유사량")=0,"",SUMIFS(잔액_2023[결의금액],잔액_2023[통계목],$C9,잔액_2023[분류 항목],"유사량"))</f>
        <v/>
      </c>
      <c r="J9" s="19"/>
      <c r="K9" s="13" t="str">
        <f>IF(SUMIFS(잔액_2024[결의금액],잔액_2024[통계목],$C9,잔액_2024[분류 항목],"유사량")=0,"",SUMIFS(잔액_2024[결의금액],잔액_2024[통계목],$C9,잔액_2024[분류 항목],"유사량"))</f>
        <v/>
      </c>
      <c r="L9" s="19"/>
      <c r="M9" s="13" t="str">
        <f>IF(SUMIFS(잔액_2025[결의금액],잔액_2025[통계목],$C9,잔액_2025[분류 항목],"유사량")=0,"",SUMIFS(잔액_2025[결의금액],잔액_2025[통계목],$C9,잔액_2025[분류 항목],"유사량"))</f>
        <v/>
      </c>
      <c r="N9" s="19"/>
      <c r="O9" s="10"/>
    </row>
    <row r="10" spans="2:15" ht="17.100000000000001" customHeight="1" x14ac:dyDescent="0.3">
      <c r="B10" s="51" t="s">
        <v>21</v>
      </c>
      <c r="C10" s="21" t="s">
        <v>16</v>
      </c>
      <c r="D10" s="23">
        <f>SUM(D11:D22)</f>
        <v>215513530</v>
      </c>
      <c r="E10" s="24">
        <f>SUM(E11:E22)</f>
        <v>0</v>
      </c>
      <c r="F10" s="22">
        <f t="shared" ref="F10" si="7">SUM(F11:F22)</f>
        <v>139000000</v>
      </c>
      <c r="G10" s="24">
        <f>SUM(G11:G22)</f>
        <v>0</v>
      </c>
      <c r="H10" s="22">
        <f t="shared" ref="H10" si="8">SUM(H11:H22)</f>
        <v>150414800</v>
      </c>
      <c r="I10" s="24">
        <f>SUM(I11:I22)</f>
        <v>0</v>
      </c>
      <c r="J10" s="22">
        <f t="shared" ref="J10" si="9">SUM(J11:J22)</f>
        <v>81296743</v>
      </c>
      <c r="K10" s="24">
        <f>SUM(K11:K22)</f>
        <v>0</v>
      </c>
      <c r="L10" s="22">
        <f t="shared" ref="L10" si="10">SUM(L11:L22)</f>
        <v>73360000</v>
      </c>
      <c r="M10" s="24">
        <f>SUM(M11:M22)</f>
        <v>0</v>
      </c>
      <c r="N10" s="22">
        <f t="shared" ref="N10" si="11">SUM(N11:N22)</f>
        <v>64373570</v>
      </c>
      <c r="O10" s="23">
        <f>SUM(O11:O22)</f>
        <v>0</v>
      </c>
    </row>
    <row r="11" spans="2:15" ht="17.100000000000001" customHeight="1" x14ac:dyDescent="0.3">
      <c r="B11" s="51"/>
      <c r="C11" s="5" t="s">
        <v>22</v>
      </c>
      <c r="D11" s="9">
        <v>211694530</v>
      </c>
      <c r="E11" s="12"/>
      <c r="F11" s="18">
        <v>32000000</v>
      </c>
      <c r="G11" s="12" t="str">
        <f>IF(SUMIFS(잔액_2022[결의금액],잔액_2022[통계목],$C11,잔액_2022[분류 항목],"유사량")=0,"",SUMIFS(잔액_2022[결의금액],잔액_2022[통계목],$C11,잔액_2022[분류 항목],"유사량"))</f>
        <v/>
      </c>
      <c r="H11" s="18">
        <v>29160000</v>
      </c>
      <c r="I11" s="12" t="str">
        <f>IF(SUMIFS(잔액_2023[결의금액],잔액_2023[통계목],$C11,잔액_2023[분류 항목],"유사량")=0,"",SUMIFS(잔액_2023[결의금액],잔액_2023[통계목],$C11,잔액_2023[분류 항목],"유사량"))</f>
        <v/>
      </c>
      <c r="J11" s="18">
        <v>38800000</v>
      </c>
      <c r="K11" s="12" t="str">
        <f>IF(SUMIFS(잔액_2024[결의금액],잔액_2024[통계목],$C11,잔액_2024[분류 항목],"유사량")=0,"",SUMIFS(잔액_2024[결의금액],잔액_2024[통계목],$C11,잔액_2024[분류 항목],"유사량"))</f>
        <v/>
      </c>
      <c r="L11" s="18">
        <v>41660000</v>
      </c>
      <c r="M11" s="12" t="str">
        <f>IF(SUMIFS(잔액_2025[결의금액],잔액_2025[통계목],$C11,잔액_2025[분류 항목],"유사량")=0,"",SUMIFS(잔액_2025[결의금액],잔액_2025[통계목],$C11,잔액_2025[분류 항목],"유사량"))</f>
        <v/>
      </c>
      <c r="N11" s="18">
        <v>25853570</v>
      </c>
      <c r="O11" s="9"/>
    </row>
    <row r="12" spans="2:15" ht="17.100000000000001" customHeight="1" x14ac:dyDescent="0.3">
      <c r="B12" s="51"/>
      <c r="C12" s="5" t="s">
        <v>23</v>
      </c>
      <c r="D12" s="9"/>
      <c r="E12" s="12"/>
      <c r="F12" s="18"/>
      <c r="G12" s="12" t="str">
        <f>IF(SUMIFS(잔액_2022[결의금액],잔액_2022[통계목],$C12,잔액_2022[분류 항목],"유사량")=0,"",SUMIFS(잔액_2022[결의금액],잔액_2022[통계목],$C12,잔액_2022[분류 항목],"유사량"))</f>
        <v/>
      </c>
      <c r="H12" s="18">
        <v>100000</v>
      </c>
      <c r="I12" s="12" t="str">
        <f>IF(SUMIFS(잔액_2023[결의금액],잔액_2023[통계목],$C12,잔액_2023[분류 항목],"유사량")=0,"",SUMIFS(잔액_2023[결의금액],잔액_2023[통계목],$C12,잔액_2023[분류 항목],"유사량"))</f>
        <v/>
      </c>
      <c r="J12" s="18"/>
      <c r="K12" s="12" t="str">
        <f>IF(SUMIFS(잔액_2024[결의금액],잔액_2024[통계목],$C12,잔액_2024[분류 항목],"유사량")=0,"",SUMIFS(잔액_2024[결의금액],잔액_2024[통계목],$C12,잔액_2024[분류 항목],"유사량"))</f>
        <v/>
      </c>
      <c r="L12" s="18">
        <v>100000</v>
      </c>
      <c r="M12" s="12" t="str">
        <f>IF(SUMIFS(잔액_2025[결의금액],잔액_2025[통계목],$C12,잔액_2025[분류 항목],"유사량")=0,"",SUMIFS(잔액_2025[결의금액],잔액_2025[통계목],$C12,잔액_2025[분류 항목],"유사량"))</f>
        <v/>
      </c>
      <c r="N12" s="18"/>
      <c r="O12" s="9"/>
    </row>
    <row r="13" spans="2:15" ht="17.100000000000001" customHeight="1" x14ac:dyDescent="0.3">
      <c r="B13" s="51"/>
      <c r="C13" s="5" t="s">
        <v>24</v>
      </c>
      <c r="D13" s="9"/>
      <c r="E13" s="12"/>
      <c r="F13" s="18"/>
      <c r="G13" s="12" t="str">
        <f>IF(SUMIFS(잔액_2022[결의금액],잔액_2022[통계목],$C13,잔액_2022[분류 항목],"유사량")=0,"",SUMIFS(잔액_2022[결의금액],잔액_2022[통계목],$C13,잔액_2022[분류 항목],"유사량"))</f>
        <v/>
      </c>
      <c r="H13" s="18"/>
      <c r="I13" s="12" t="str">
        <f>IF(SUMIFS(잔액_2023[결의금액],잔액_2023[통계목],$C13,잔액_2023[분류 항목],"유사량")=0,"",SUMIFS(잔액_2023[결의금액],잔액_2023[통계목],$C13,잔액_2023[분류 항목],"유사량"))</f>
        <v/>
      </c>
      <c r="J13" s="18"/>
      <c r="K13" s="12" t="str">
        <f>IF(SUMIFS(잔액_2024[결의금액],잔액_2024[통계목],$C13,잔액_2024[분류 항목],"유사량")=0,"",SUMIFS(잔액_2024[결의금액],잔액_2024[통계목],$C13,잔액_2024[분류 항목],"유사량"))</f>
        <v/>
      </c>
      <c r="L13" s="18"/>
      <c r="M13" s="12" t="str">
        <f>IF(SUMIFS(잔액_2025[결의금액],잔액_2025[통계목],$C13,잔액_2025[분류 항목],"유사량")=0,"",SUMIFS(잔액_2025[결의금액],잔액_2025[통계목],$C13,잔액_2025[분류 항목],"유사량"))</f>
        <v/>
      </c>
      <c r="N13" s="18"/>
      <c r="O13" s="9"/>
    </row>
    <row r="14" spans="2:15" ht="17.100000000000001" customHeight="1" x14ac:dyDescent="0.3">
      <c r="B14" s="51"/>
      <c r="C14" s="5" t="s">
        <v>25</v>
      </c>
      <c r="D14" s="9"/>
      <c r="E14" s="12"/>
      <c r="F14" s="18"/>
      <c r="G14" s="12" t="str">
        <f>IF(SUMIFS(잔액_2022[결의금액],잔액_2022[통계목],$C14,잔액_2022[분류 항목],"유사량")=0,"",SUMIFS(잔액_2022[결의금액],잔액_2022[통계목],$C14,잔액_2022[분류 항목],"유사량"))</f>
        <v/>
      </c>
      <c r="H14" s="18"/>
      <c r="I14" s="12" t="str">
        <f>IF(SUMIFS(잔액_2023[결의금액],잔액_2023[통계목],$C14,잔액_2023[분류 항목],"유사량")=0,"",SUMIFS(잔액_2023[결의금액],잔액_2023[통계목],$C14,잔액_2023[분류 항목],"유사량"))</f>
        <v/>
      </c>
      <c r="J14" s="18"/>
      <c r="K14" s="12" t="str">
        <f>IF(SUMIFS(잔액_2024[결의금액],잔액_2024[통계목],$C14,잔액_2024[분류 항목],"유사량")=0,"",SUMIFS(잔액_2024[결의금액],잔액_2024[통계목],$C14,잔액_2024[분류 항목],"유사량"))</f>
        <v/>
      </c>
      <c r="L14" s="18"/>
      <c r="M14" s="12" t="str">
        <f>IF(SUMIFS(잔액_2025[결의금액],잔액_2025[통계목],$C14,잔액_2025[분류 항목],"유사량")=0,"",SUMIFS(잔액_2025[결의금액],잔액_2025[통계목],$C14,잔액_2025[분류 항목],"유사량"))</f>
        <v/>
      </c>
      <c r="N14" s="18"/>
      <c r="O14" s="9"/>
    </row>
    <row r="15" spans="2:15" ht="17.100000000000001" customHeight="1" x14ac:dyDescent="0.3">
      <c r="B15" s="51"/>
      <c r="C15" s="5" t="s">
        <v>26</v>
      </c>
      <c r="D15" s="9"/>
      <c r="E15" s="12"/>
      <c r="F15" s="18">
        <v>87000000</v>
      </c>
      <c r="G15" s="12" t="str">
        <f>IF(SUMIFS(잔액_2022[결의금액],잔액_2022[통계목],$C15,잔액_2022[분류 항목],"유사량")=0,"",SUMIFS(잔액_2022[결의금액],잔액_2022[통계목],$C15,잔액_2022[분류 항목],"유사량"))</f>
        <v/>
      </c>
      <c r="H15" s="18">
        <v>67354800</v>
      </c>
      <c r="I15" s="12" t="str">
        <f>IF(SUMIFS(잔액_2023[결의금액],잔액_2023[통계목],$C15,잔액_2023[분류 항목],"유사량")=0,"",SUMIFS(잔액_2023[결의금액],잔액_2023[통계목],$C15,잔액_2023[분류 항목],"유사량"))</f>
        <v/>
      </c>
      <c r="J15" s="18">
        <v>31000000</v>
      </c>
      <c r="K15" s="12" t="str">
        <f>IF(SUMIFS(잔액_2024[결의금액],잔액_2024[통계목],$C15,잔액_2024[분류 항목],"유사량")=0,"",SUMIFS(잔액_2024[결의금액],잔액_2024[통계목],$C15,잔액_2024[분류 항목],"유사량"))</f>
        <v/>
      </c>
      <c r="L15" s="18">
        <v>21600000</v>
      </c>
      <c r="M15" s="12" t="str">
        <f>IF(SUMIFS(잔액_2025[결의금액],잔액_2025[통계목],$C15,잔액_2025[분류 항목],"유사량")=0,"",SUMIFS(잔액_2025[결의금액],잔액_2025[통계목],$C15,잔액_2025[분류 항목],"유사량"))</f>
        <v/>
      </c>
      <c r="N15" s="18">
        <v>18000000</v>
      </c>
      <c r="O15" s="9"/>
    </row>
    <row r="16" spans="2:15" ht="17.100000000000001" customHeight="1" x14ac:dyDescent="0.3">
      <c r="B16" s="51"/>
      <c r="C16" s="5" t="s">
        <v>27</v>
      </c>
      <c r="D16" s="9">
        <v>3819000</v>
      </c>
      <c r="E16" s="12"/>
      <c r="F16" s="18">
        <v>7000000</v>
      </c>
      <c r="G16" s="12" t="str">
        <f>IF(SUMIFS(잔액_2022[결의금액],잔액_2022[통계목],$C16,잔액_2022[분류 항목],"유사량")=0,"",SUMIFS(잔액_2022[결의금액],잔액_2022[통계목],$C16,잔액_2022[분류 항목],"유사량"))</f>
        <v/>
      </c>
      <c r="H16" s="18">
        <v>6000000</v>
      </c>
      <c r="I16" s="12" t="str">
        <f>IF(SUMIFS(잔액_2023[결의금액],잔액_2023[통계목],$C16,잔액_2023[분류 항목],"유사량")=0,"",SUMIFS(잔액_2023[결의금액],잔액_2023[통계목],$C16,잔액_2023[분류 항목],"유사량"))</f>
        <v/>
      </c>
      <c r="J16" s="18">
        <v>10000000</v>
      </c>
      <c r="K16" s="12" t="str">
        <f>IF(SUMIFS(잔액_2024[결의금액],잔액_2024[통계목],$C16,잔액_2024[분류 항목],"유사량")=0,"",SUMIFS(잔액_2024[결의금액],잔액_2024[통계목],$C16,잔액_2024[분류 항목],"유사량"))</f>
        <v/>
      </c>
      <c r="L16" s="18">
        <v>3000000</v>
      </c>
      <c r="M16" s="12" t="str">
        <f>IF(SUMIFS(잔액_2025[결의금액],잔액_2025[통계목],$C16,잔액_2025[분류 항목],"유사량")=0,"",SUMIFS(잔액_2025[결의금액],잔액_2025[통계목],$C16,잔액_2025[분류 항목],"유사량"))</f>
        <v/>
      </c>
      <c r="N16" s="18">
        <v>1500000</v>
      </c>
      <c r="O16" s="9"/>
    </row>
    <row r="17" spans="2:15" ht="17.100000000000001" customHeight="1" x14ac:dyDescent="0.3">
      <c r="B17" s="51"/>
      <c r="C17" s="5" t="s">
        <v>28</v>
      </c>
      <c r="D17" s="9"/>
      <c r="E17" s="12"/>
      <c r="F17" s="18"/>
      <c r="G17" s="12" t="str">
        <f>IF(SUMIFS(잔액_2022[결의금액],잔액_2022[통계목],$C17,잔액_2022[분류 항목],"유사량")=0,"",SUMIFS(잔액_2022[결의금액],잔액_2022[통계목],$C17,잔액_2022[분류 항목],"유사량"))</f>
        <v/>
      </c>
      <c r="H17" s="18"/>
      <c r="I17" s="12" t="str">
        <f>IF(SUMIFS(잔액_2023[결의금액],잔액_2023[통계목],$C17,잔액_2023[분류 항목],"유사량")=0,"",SUMIFS(잔액_2023[결의금액],잔액_2023[통계목],$C17,잔액_2023[분류 항목],"유사량"))</f>
        <v/>
      </c>
      <c r="J17" s="18"/>
      <c r="K17" s="12" t="str">
        <f>IF(SUMIFS(잔액_2024[결의금액],잔액_2024[통계목],$C17,잔액_2024[분류 항목],"유사량")=0,"",SUMIFS(잔액_2024[결의금액],잔액_2024[통계목],$C17,잔액_2024[분류 항목],"유사량"))</f>
        <v/>
      </c>
      <c r="L17" s="18"/>
      <c r="M17" s="12" t="str">
        <f>IF(SUMIFS(잔액_2025[결의금액],잔액_2025[통계목],$C17,잔액_2025[분류 항목],"유사량")=0,"",SUMIFS(잔액_2025[결의금액],잔액_2025[통계목],$C17,잔액_2025[분류 항목],"유사량"))</f>
        <v/>
      </c>
      <c r="N17" s="18">
        <v>8000000</v>
      </c>
      <c r="O17" s="9"/>
    </row>
    <row r="18" spans="2:15" ht="17.100000000000001" customHeight="1" x14ac:dyDescent="0.3">
      <c r="B18" s="51"/>
      <c r="C18" s="5" t="s">
        <v>29</v>
      </c>
      <c r="D18" s="9"/>
      <c r="E18" s="12"/>
      <c r="F18" s="18">
        <v>13000000</v>
      </c>
      <c r="G18" s="12" t="str">
        <f>IF(SUMIFS(잔액_2022[결의금액],잔액_2022[통계목],$C18,잔액_2022[분류 항목],"유사량")=0,"",SUMIFS(잔액_2022[결의금액],잔액_2022[통계목],$C18,잔액_2022[분류 항목],"유사량"))</f>
        <v/>
      </c>
      <c r="H18" s="18">
        <v>47800000</v>
      </c>
      <c r="I18" s="12" t="str">
        <f>IF(SUMIFS(잔액_2023[결의금액],잔액_2023[통계목],$C18,잔액_2023[분류 항목],"유사량")=0,"",SUMIFS(잔액_2023[결의금액],잔액_2023[통계목],$C18,잔액_2023[분류 항목],"유사량"))</f>
        <v/>
      </c>
      <c r="J18" s="18">
        <v>1496743</v>
      </c>
      <c r="K18" s="12" t="str">
        <f>IF(SUMIFS(잔액_2024[결의금액],잔액_2024[통계목],$C18,잔액_2024[분류 항목],"유사량")=0,"",SUMIFS(잔액_2024[결의금액],잔액_2024[통계목],$C18,잔액_2024[분류 항목],"유사량"))</f>
        <v/>
      </c>
      <c r="L18" s="18">
        <v>7000000</v>
      </c>
      <c r="M18" s="12" t="str">
        <f>IF(SUMIFS(잔액_2025[결의금액],잔액_2025[통계목],$C18,잔액_2025[분류 항목],"유사량")=0,"",SUMIFS(잔액_2025[결의금액],잔액_2025[통계목],$C18,잔액_2025[분류 항목],"유사량"))</f>
        <v/>
      </c>
      <c r="N18" s="18">
        <v>3628000</v>
      </c>
      <c r="O18" s="9"/>
    </row>
    <row r="19" spans="2:15" ht="17.100000000000001" customHeight="1" x14ac:dyDescent="0.3">
      <c r="B19" s="51"/>
      <c r="C19" s="5" t="s">
        <v>30</v>
      </c>
      <c r="D19" s="9"/>
      <c r="E19" s="12"/>
      <c r="F19" s="18"/>
      <c r="G19" s="12" t="str">
        <f>IF(SUMIFS(잔액_2022[결의금액],잔액_2022[통계목],$C19,잔액_2022[분류 항목],"유사량")=0,"",SUMIFS(잔액_2022[결의금액],잔액_2022[통계목],$C19,잔액_2022[분류 항목],"유사량"))</f>
        <v/>
      </c>
      <c r="H19" s="18"/>
      <c r="I19" s="12" t="str">
        <f>IF(SUMIFS(잔액_2023[결의금액],잔액_2023[통계목],$C19,잔액_2023[분류 항목],"유사량")=0,"",SUMIFS(잔액_2023[결의금액],잔액_2023[통계목],$C19,잔액_2023[분류 항목],"유사량"))</f>
        <v/>
      </c>
      <c r="J19" s="18"/>
      <c r="K19" s="12" t="str">
        <f>IF(SUMIFS(잔액_2024[결의금액],잔액_2024[통계목],$C19,잔액_2024[분류 항목],"유사량")=0,"",SUMIFS(잔액_2024[결의금액],잔액_2024[통계목],$C19,잔액_2024[분류 항목],"유사량"))</f>
        <v/>
      </c>
      <c r="L19" s="18"/>
      <c r="M19" s="12" t="str">
        <f>IF(SUMIFS(잔액_2025[결의금액],잔액_2025[통계목],$C19,잔액_2025[분류 항목],"유사량")=0,"",SUMIFS(잔액_2025[결의금액],잔액_2025[통계목],$C19,잔액_2025[분류 항목],"유사량"))</f>
        <v/>
      </c>
      <c r="N19" s="18"/>
      <c r="O19" s="9"/>
    </row>
    <row r="20" spans="2:15" ht="17.100000000000001" customHeight="1" x14ac:dyDescent="0.3">
      <c r="B20" s="51"/>
      <c r="C20" s="5" t="s">
        <v>31</v>
      </c>
      <c r="D20" s="9"/>
      <c r="E20" s="12"/>
      <c r="F20" s="18"/>
      <c r="G20" s="12" t="str">
        <f>IF(SUMIFS(잔액_2022[결의금액],잔액_2022[통계목],$C20,잔액_2022[분류 항목],"유사량")=0,"",SUMIFS(잔액_2022[결의금액],잔액_2022[통계목],$C20,잔액_2022[분류 항목],"유사량"))</f>
        <v/>
      </c>
      <c r="H20" s="18"/>
      <c r="I20" s="12" t="str">
        <f>IF(SUMIFS(잔액_2023[결의금액],잔액_2023[통계목],$C20,잔액_2023[분류 항목],"유사량")=0,"",SUMIFS(잔액_2023[결의금액],잔액_2023[통계목],$C20,잔액_2023[분류 항목],"유사량"))</f>
        <v/>
      </c>
      <c r="J20" s="18"/>
      <c r="K20" s="12" t="str">
        <f>IF(SUMIFS(잔액_2024[결의금액],잔액_2024[통계목],$C20,잔액_2024[분류 항목],"유사량")=0,"",SUMIFS(잔액_2024[결의금액],잔액_2024[통계목],$C20,잔액_2024[분류 항목],"유사량"))</f>
        <v/>
      </c>
      <c r="L20" s="18"/>
      <c r="M20" s="12" t="str">
        <f>IF(SUMIFS(잔액_2025[결의금액],잔액_2025[통계목],$C20,잔액_2025[분류 항목],"유사량")=0,"",SUMIFS(잔액_2025[결의금액],잔액_2025[통계목],$C20,잔액_2025[분류 항목],"유사량"))</f>
        <v/>
      </c>
      <c r="N20" s="18"/>
      <c r="O20" s="9"/>
    </row>
    <row r="21" spans="2:15" ht="17.100000000000001" customHeight="1" x14ac:dyDescent="0.3">
      <c r="B21" s="51"/>
      <c r="C21" s="5" t="s">
        <v>32</v>
      </c>
      <c r="D21" s="9"/>
      <c r="E21" s="12"/>
      <c r="F21" s="18"/>
      <c r="G21" s="12" t="str">
        <f>IF(SUMIFS(잔액_2022[결의금액],잔액_2022[통계목],$C21,잔액_2022[분류 항목],"유사량")=0,"",SUMIFS(잔액_2022[결의금액],잔액_2022[통계목],$C21,잔액_2022[분류 항목],"유사량"))</f>
        <v/>
      </c>
      <c r="H21" s="18"/>
      <c r="I21" s="12" t="str">
        <f>IF(SUMIFS(잔액_2023[결의금액],잔액_2023[통계목],$C21,잔액_2023[분류 항목],"유사량")=0,"",SUMIFS(잔액_2023[결의금액],잔액_2023[통계목],$C21,잔액_2023[분류 항목],"유사량"))</f>
        <v/>
      </c>
      <c r="J21" s="18"/>
      <c r="K21" s="12" t="str">
        <f>IF(SUMIFS(잔액_2024[결의금액],잔액_2024[통계목],$C21,잔액_2024[분류 항목],"유사량")=0,"",SUMIFS(잔액_2024[결의금액],잔액_2024[통계목],$C21,잔액_2024[분류 항목],"유사량"))</f>
        <v/>
      </c>
      <c r="L21" s="18"/>
      <c r="M21" s="12" t="str">
        <f>IF(SUMIFS(잔액_2025[결의금액],잔액_2025[통계목],$C21,잔액_2025[분류 항목],"유사량")=0,"",SUMIFS(잔액_2025[결의금액],잔액_2025[통계목],$C21,잔액_2025[분류 항목],"유사량"))</f>
        <v/>
      </c>
      <c r="N21" s="18">
        <v>7392000</v>
      </c>
      <c r="O21" s="9"/>
    </row>
    <row r="22" spans="2:15" ht="17.100000000000001" customHeight="1" x14ac:dyDescent="0.3">
      <c r="B22" s="51"/>
      <c r="C22" s="6" t="s">
        <v>33</v>
      </c>
      <c r="D22" s="10"/>
      <c r="E22" s="13"/>
      <c r="F22" s="19"/>
      <c r="G22" s="13" t="str">
        <f>IF(SUMIFS(잔액_2022[결의금액],잔액_2022[통계목],$C22,잔액_2022[분류 항목],"유사량")=0,"",SUMIFS(잔액_2022[결의금액],잔액_2022[통계목],$C22,잔액_2022[분류 항목],"유사량"))</f>
        <v/>
      </c>
      <c r="H22" s="19"/>
      <c r="I22" s="13" t="str">
        <f>IF(SUMIFS(잔액_2023[결의금액],잔액_2023[통계목],$C22,잔액_2023[분류 항목],"유사량")=0,"",SUMIFS(잔액_2023[결의금액],잔액_2023[통계목],$C22,잔액_2023[분류 항목],"유사량"))</f>
        <v/>
      </c>
      <c r="J22" s="19"/>
      <c r="K22" s="13" t="str">
        <f>IF(SUMIFS(잔액_2024[결의금액],잔액_2024[통계목],$C22,잔액_2024[분류 항목],"유사량")=0,"",SUMIFS(잔액_2024[결의금액],잔액_2024[통계목],$C22,잔액_2024[분류 항목],"유사량"))</f>
        <v/>
      </c>
      <c r="L22" s="19"/>
      <c r="M22" s="13" t="str">
        <f>IF(SUMIFS(잔액_2025[결의금액],잔액_2025[통계목],$C22,잔액_2025[분류 항목],"유사량")=0,"",SUMIFS(잔액_2025[결의금액],잔액_2025[통계목],$C22,잔액_2025[분류 항목],"유사량"))</f>
        <v/>
      </c>
      <c r="N22" s="19"/>
      <c r="O22" s="10"/>
    </row>
    <row r="23" spans="2:15" ht="17.100000000000001" customHeight="1" x14ac:dyDescent="0.3">
      <c r="B23" s="51" t="s">
        <v>34</v>
      </c>
      <c r="C23" s="21" t="s">
        <v>16</v>
      </c>
      <c r="D23" s="23">
        <f>SUM(D24:D25)</f>
        <v>34452200</v>
      </c>
      <c r="E23" s="24">
        <f>SUM(E24:E25)</f>
        <v>0</v>
      </c>
      <c r="F23" s="22">
        <f t="shared" ref="F23" si="12">SUM(F24:F25)</f>
        <v>45000000</v>
      </c>
      <c r="G23" s="24">
        <f>SUM(G24:G25)</f>
        <v>0</v>
      </c>
      <c r="H23" s="22">
        <f t="shared" ref="H23" si="13">SUM(H24:H25)</f>
        <v>52160000</v>
      </c>
      <c r="I23" s="24">
        <f>SUM(I24:I25)</f>
        <v>0</v>
      </c>
      <c r="J23" s="22">
        <f t="shared" ref="J23" si="14">SUM(J24:J25)</f>
        <v>33160000</v>
      </c>
      <c r="K23" s="24">
        <f>SUM(K24:K25)</f>
        <v>0</v>
      </c>
      <c r="L23" s="22">
        <f t="shared" ref="L23" si="15">SUM(L24:L25)</f>
        <v>24630600</v>
      </c>
      <c r="M23" s="24">
        <f>SUM(M24:M25)</f>
        <v>0</v>
      </c>
      <c r="N23" s="22">
        <f t="shared" ref="N23" si="16">SUM(N24:N25)</f>
        <v>10870000</v>
      </c>
      <c r="O23" s="23">
        <f>SUM(O24:O25)</f>
        <v>0</v>
      </c>
    </row>
    <row r="24" spans="2:15" ht="17.100000000000001" customHeight="1" x14ac:dyDescent="0.3">
      <c r="B24" s="51"/>
      <c r="C24" s="5" t="s">
        <v>35</v>
      </c>
      <c r="D24" s="9">
        <v>34452200</v>
      </c>
      <c r="E24" s="12"/>
      <c r="F24" s="18">
        <v>45000000</v>
      </c>
      <c r="G24" s="12" t="str">
        <f>IF(SUMIFS(잔액_2022[결의금액],잔액_2022[통계목],$C24,잔액_2022[분류 항목],"유사량")=0,"",SUMIFS(잔액_2022[결의금액],잔액_2022[통계목],$C24,잔액_2022[분류 항목],"유사량"))</f>
        <v/>
      </c>
      <c r="H24" s="18">
        <v>52160000</v>
      </c>
      <c r="I24" s="12" t="str">
        <f>IF(SUMIFS(잔액_2023[결의금액],잔액_2023[통계목],$C24,잔액_2023[분류 항목],"유사량")=0,"",SUMIFS(잔액_2023[결의금액],잔액_2023[통계목],$C24,잔액_2023[분류 항목],"유사량"))</f>
        <v/>
      </c>
      <c r="J24" s="18">
        <v>33160000</v>
      </c>
      <c r="K24" s="12" t="str">
        <f>IF(SUMIFS(잔액_2024[결의금액],잔액_2024[통계목],$C24,잔액_2024[분류 항목],"유사량")=0,"",SUMIFS(잔액_2024[결의금액],잔액_2024[통계목],$C24,잔액_2024[분류 항목],"유사량"))</f>
        <v/>
      </c>
      <c r="L24" s="18">
        <v>24630600</v>
      </c>
      <c r="M24" s="12" t="str">
        <f>IF(SUMIFS(잔액_2025[결의금액],잔액_2025[통계목],$C24,잔액_2025[분류 항목],"유사량")=0,"",SUMIFS(잔액_2025[결의금액],잔액_2025[통계목],$C24,잔액_2025[분류 항목],"유사량"))</f>
        <v/>
      </c>
      <c r="N24" s="18">
        <v>10870000</v>
      </c>
      <c r="O24" s="9"/>
    </row>
    <row r="25" spans="2:15" ht="17.100000000000001" customHeight="1" x14ac:dyDescent="0.3">
      <c r="B25" s="51"/>
      <c r="C25" s="6" t="s">
        <v>36</v>
      </c>
      <c r="D25" s="10"/>
      <c r="E25" s="13"/>
      <c r="F25" s="19"/>
      <c r="G25" s="13" t="str">
        <f>IF(SUMIFS(잔액_2022[결의금액],잔액_2022[통계목],$C25,잔액_2022[분류 항목],"유사량")=0,"",SUMIFS(잔액_2022[결의금액],잔액_2022[통계목],$C25,잔액_2022[분류 항목],"유사량"))</f>
        <v/>
      </c>
      <c r="H25" s="19"/>
      <c r="I25" s="13" t="str">
        <f>IF(SUMIFS(잔액_2023[결의금액],잔액_2023[통계목],$C25,잔액_2023[분류 항목],"유사량")=0,"",SUMIFS(잔액_2023[결의금액],잔액_2023[통계목],$C25,잔액_2023[분류 항목],"유사량"))</f>
        <v/>
      </c>
      <c r="J25" s="19"/>
      <c r="K25" s="13" t="str">
        <f>IF(SUMIFS(잔액_2024[결의금액],잔액_2024[통계목],$C25,잔액_2024[분류 항목],"유사량")=0,"",SUMIFS(잔액_2024[결의금액],잔액_2024[통계목],$C25,잔액_2024[분류 항목],"유사량"))</f>
        <v/>
      </c>
      <c r="L25" s="19"/>
      <c r="M25" s="13" t="str">
        <f>IF(SUMIFS(잔액_2025[결의금액],잔액_2025[통계목],$C25,잔액_2025[분류 항목],"유사량")=0,"",SUMIFS(잔액_2025[결의금액],잔액_2025[통계목],$C25,잔액_2025[분류 항목],"유사량"))</f>
        <v/>
      </c>
      <c r="N25" s="19"/>
      <c r="O25" s="10"/>
    </row>
    <row r="26" spans="2:15" ht="17.100000000000001" customHeight="1" x14ac:dyDescent="0.3">
      <c r="B26" s="51" t="s">
        <v>37</v>
      </c>
      <c r="C26" s="21" t="s">
        <v>16</v>
      </c>
      <c r="D26" s="23">
        <f>SUM(D27:D28)</f>
        <v>0</v>
      </c>
      <c r="E26" s="24">
        <f>SUM(E27:E28)</f>
        <v>0</v>
      </c>
      <c r="F26" s="22">
        <f t="shared" ref="F26" si="17">SUM(F27:F28)</f>
        <v>0</v>
      </c>
      <c r="G26" s="24">
        <f>SUM(G27:G28)</f>
        <v>0</v>
      </c>
      <c r="H26" s="22">
        <f t="shared" ref="H26" si="18">SUM(H27:H28)</f>
        <v>0</v>
      </c>
      <c r="I26" s="24">
        <f>SUM(I27:I28)</f>
        <v>0</v>
      </c>
      <c r="J26" s="22">
        <f t="shared" ref="J26" si="19">SUM(J27:J28)</f>
        <v>0</v>
      </c>
      <c r="K26" s="24">
        <f>SUM(K27:K28)</f>
        <v>0</v>
      </c>
      <c r="L26" s="22">
        <f t="shared" ref="L26" si="20">SUM(L27:L28)</f>
        <v>0</v>
      </c>
      <c r="M26" s="24">
        <f>SUM(M27:M28)</f>
        <v>0</v>
      </c>
      <c r="N26" s="22">
        <f t="shared" ref="N26" si="21">SUM(N27:N28)</f>
        <v>0</v>
      </c>
      <c r="O26" s="23">
        <f>SUM(O27:O28)</f>
        <v>0</v>
      </c>
    </row>
    <row r="27" spans="2:15" ht="17.100000000000001" customHeight="1" x14ac:dyDescent="0.3">
      <c r="B27" s="51"/>
      <c r="C27" s="5" t="s">
        <v>38</v>
      </c>
      <c r="D27" s="9"/>
      <c r="E27" s="12"/>
      <c r="F27" s="18"/>
      <c r="G27" s="12" t="str">
        <f>IF(SUMIFS(잔액_2022[결의금액],잔액_2022[통계목],$C27,잔액_2022[분류 항목],"유사량")=0,"",SUMIFS(잔액_2022[결의금액],잔액_2022[통계목],$C27,잔액_2022[분류 항목],"유사량"))</f>
        <v/>
      </c>
      <c r="H27" s="18"/>
      <c r="I27" s="12" t="str">
        <f>IF(SUMIFS(잔액_2023[결의금액],잔액_2023[통계목],$C27,잔액_2023[분류 항목],"유사량")=0,"",SUMIFS(잔액_2023[결의금액],잔액_2023[통계목],$C27,잔액_2023[분류 항목],"유사량"))</f>
        <v/>
      </c>
      <c r="J27" s="18"/>
      <c r="K27" s="12" t="str">
        <f>IF(SUMIFS(잔액_2024[결의금액],잔액_2024[통계목],$C27,잔액_2024[분류 항목],"유사량")=0,"",SUMIFS(잔액_2024[결의금액],잔액_2024[통계목],$C27,잔액_2024[분류 항목],"유사량"))</f>
        <v/>
      </c>
      <c r="L27" s="18"/>
      <c r="M27" s="12" t="str">
        <f>IF(SUMIFS(잔액_2025[결의금액],잔액_2025[통계목],$C27,잔액_2025[분류 항목],"유사량")=0,"",SUMIFS(잔액_2025[결의금액],잔액_2025[통계목],$C27,잔액_2025[분류 항목],"유사량"))</f>
        <v/>
      </c>
      <c r="N27" s="18"/>
      <c r="O27" s="9"/>
    </row>
    <row r="28" spans="2:15" ht="17.100000000000001" customHeight="1" x14ac:dyDescent="0.3">
      <c r="B28" s="51"/>
      <c r="C28" s="6" t="s">
        <v>39</v>
      </c>
      <c r="D28" s="10"/>
      <c r="E28" s="13"/>
      <c r="F28" s="19"/>
      <c r="G28" s="13" t="str">
        <f>IF(SUMIFS(잔액_2022[결의금액],잔액_2022[통계목],$C28,잔액_2022[분류 항목],"유사량")=0,"",SUMIFS(잔액_2022[결의금액],잔액_2022[통계목],$C28,잔액_2022[분류 항목],"유사량"))</f>
        <v/>
      </c>
      <c r="H28" s="19"/>
      <c r="I28" s="13" t="str">
        <f>IF(SUMIFS(잔액_2023[결의금액],잔액_2023[통계목],$C28,잔액_2023[분류 항목],"유사량")=0,"",SUMIFS(잔액_2023[결의금액],잔액_2023[통계목],$C28,잔액_2023[분류 항목],"유사량"))</f>
        <v/>
      </c>
      <c r="J28" s="19"/>
      <c r="K28" s="13" t="str">
        <f>IF(SUMIFS(잔액_2024[결의금액],잔액_2024[통계목],$C28,잔액_2024[분류 항목],"유사량")=0,"",SUMIFS(잔액_2024[결의금액],잔액_2024[통계목],$C28,잔액_2024[분류 항목],"유사량"))</f>
        <v/>
      </c>
      <c r="L28" s="19"/>
      <c r="M28" s="13" t="str">
        <f>IF(SUMIFS(잔액_2025[결의금액],잔액_2025[통계목],$C28,잔액_2025[분류 항목],"유사량")=0,"",SUMIFS(잔액_2025[결의금액],잔액_2025[통계목],$C28,잔액_2025[분류 항목],"유사량"))</f>
        <v/>
      </c>
      <c r="N28" s="19"/>
      <c r="O28" s="10"/>
    </row>
    <row r="29" spans="2:15" ht="17.100000000000001" customHeight="1" x14ac:dyDescent="0.3">
      <c r="B29" s="51" t="s">
        <v>40</v>
      </c>
      <c r="C29" s="21" t="s">
        <v>16</v>
      </c>
      <c r="D29" s="23">
        <f>SUM(D30:D31)</f>
        <v>0</v>
      </c>
      <c r="E29" s="24">
        <f>SUM(E30:E31)</f>
        <v>0</v>
      </c>
      <c r="F29" s="22">
        <f t="shared" ref="F29" si="22">SUM(F30:F31)</f>
        <v>0</v>
      </c>
      <c r="G29" s="24">
        <f>SUM(G30:G31)</f>
        <v>0</v>
      </c>
      <c r="H29" s="22">
        <f t="shared" ref="H29" si="23">SUM(H30:H31)</f>
        <v>0</v>
      </c>
      <c r="I29" s="24">
        <f>SUM(I30:I31)</f>
        <v>0</v>
      </c>
      <c r="J29" s="22">
        <f t="shared" ref="J29" si="24">SUM(J30:J31)</f>
        <v>10000000</v>
      </c>
      <c r="K29" s="24">
        <f>SUM(K30:K31)</f>
        <v>0</v>
      </c>
      <c r="L29" s="22">
        <f t="shared" ref="L29" si="25">SUM(L30:L31)</f>
        <v>0</v>
      </c>
      <c r="M29" s="24">
        <f>SUM(M30:M31)</f>
        <v>0</v>
      </c>
      <c r="N29" s="22">
        <f t="shared" ref="N29" si="26">SUM(N30:N31)</f>
        <v>0</v>
      </c>
      <c r="O29" s="23">
        <f>SUM(O30:O31)</f>
        <v>0</v>
      </c>
    </row>
    <row r="30" spans="2:15" ht="17.100000000000001" customHeight="1" x14ac:dyDescent="0.3">
      <c r="B30" s="51"/>
      <c r="C30" s="5" t="s">
        <v>41</v>
      </c>
      <c r="D30" s="9"/>
      <c r="E30" s="12"/>
      <c r="F30" s="18"/>
      <c r="G30" s="12" t="str">
        <f>IF(SUMIFS(잔액_2022[결의금액],잔액_2022[통계목],$C30,잔액_2022[분류 항목],"유사량")=0,"",SUMIFS(잔액_2022[결의금액],잔액_2022[통계목],$C30,잔액_2022[분류 항목],"유사량"))</f>
        <v/>
      </c>
      <c r="H30" s="18"/>
      <c r="I30" s="12" t="str">
        <f t="array" ref="I30">IFERROR(INDEX(잔액_2023[결의금액],MATCH(1,(잔액_2023[통계목]=$C30)*(잔액_2023[분류 항목]="유사량"),0)),"")</f>
        <v/>
      </c>
      <c r="J30" s="18">
        <v>10000000</v>
      </c>
      <c r="K30" s="12" t="str">
        <f>IF(SUMIFS(잔액_2024[결의금액],잔액_2024[통계목],$C30,잔액_2024[분류 항목],"유사량")=0,"",SUMIFS(잔액_2024[결의금액],잔액_2024[통계목],$C30,잔액_2024[분류 항목],"유사량"))</f>
        <v/>
      </c>
      <c r="L30" s="18"/>
      <c r="M30" s="12" t="str">
        <f>IF(SUMIFS(잔액_2025[결의금액],잔액_2025[통계목],$C30,잔액_2025[분류 항목],"유사량")=0,"",SUMIFS(잔액_2025[결의금액],잔액_2025[통계목],$C30,잔액_2025[분류 항목],"유사량"))</f>
        <v/>
      </c>
      <c r="N30" s="18"/>
      <c r="O30" s="9"/>
    </row>
    <row r="31" spans="2:15" ht="17.100000000000001" customHeight="1" x14ac:dyDescent="0.3">
      <c r="B31" s="51"/>
      <c r="C31" s="6" t="s">
        <v>42</v>
      </c>
      <c r="D31" s="10"/>
      <c r="E31" s="13"/>
      <c r="F31" s="19"/>
      <c r="G31" s="13" t="str">
        <f>IF(SUMIFS(잔액_2022[결의금액],잔액_2022[통계목],$C31,잔액_2022[분류 항목],"유사량")=0,"",SUMIFS(잔액_2022[결의금액],잔액_2022[통계목],$C31,잔액_2022[분류 항목],"유사량"))</f>
        <v/>
      </c>
      <c r="H31" s="19"/>
      <c r="I31" s="13" t="str">
        <f>IF(SUMIFS(잔액_2023[결의금액],잔액_2023[통계목],$C31,잔액_2023[분류 항목],"유사량")=0,"",SUMIFS(잔액_2023[결의금액],잔액_2023[통계목],$C31,잔액_2023[분류 항목],"유사량"))</f>
        <v/>
      </c>
      <c r="J31" s="19"/>
      <c r="K31" s="13" t="str">
        <f>IF(SUMIFS(잔액_2024[결의금액],잔액_2024[통계목],$C31,잔액_2024[분류 항목],"유사량")=0,"",SUMIFS(잔액_2024[결의금액],잔액_2024[통계목],$C31,잔액_2024[분류 항목],"유사량"))</f>
        <v/>
      </c>
      <c r="L31" s="19"/>
      <c r="M31" s="13" t="str">
        <f>IF(SUMIFS(잔액_2025[결의금액],잔액_2025[통계목],$C31,잔액_2025[분류 항목],"유사량")=0,"",SUMIFS(잔액_2025[결의금액],잔액_2025[통계목],$C31,잔액_2025[분류 항목],"유사량"))</f>
        <v/>
      </c>
      <c r="N31" s="19"/>
      <c r="O31" s="10"/>
    </row>
    <row r="32" spans="2:15" ht="17.100000000000001" customHeight="1" x14ac:dyDescent="0.3">
      <c r="B32" s="51" t="s">
        <v>43</v>
      </c>
      <c r="C32" s="21" t="s">
        <v>16</v>
      </c>
      <c r="D32" s="23">
        <f>D33</f>
        <v>0</v>
      </c>
      <c r="E32" s="24">
        <f>E33</f>
        <v>0</v>
      </c>
      <c r="F32" s="22">
        <f t="shared" ref="F32" si="27">F33</f>
        <v>0</v>
      </c>
      <c r="G32" s="24" t="str">
        <f>G33</f>
        <v/>
      </c>
      <c r="H32" s="22">
        <f t="shared" ref="H32" si="28">H33</f>
        <v>0</v>
      </c>
      <c r="I32" s="24" t="str">
        <f>I33</f>
        <v/>
      </c>
      <c r="J32" s="22">
        <f t="shared" ref="J32" si="29">J33</f>
        <v>6975590</v>
      </c>
      <c r="K32" s="24" t="str">
        <f>K33</f>
        <v/>
      </c>
      <c r="L32" s="22">
        <f t="shared" ref="L32" si="30">L33</f>
        <v>6809400</v>
      </c>
      <c r="M32" s="24" t="str">
        <f>M33</f>
        <v/>
      </c>
      <c r="N32" s="22">
        <f t="shared" ref="N32" si="31">N33</f>
        <v>4740930</v>
      </c>
      <c r="O32" s="23">
        <f>O33</f>
        <v>0</v>
      </c>
    </row>
    <row r="33" spans="2:15" ht="17.100000000000001" customHeight="1" x14ac:dyDescent="0.3">
      <c r="B33" s="51"/>
      <c r="C33" s="6" t="s">
        <v>44</v>
      </c>
      <c r="D33" s="10"/>
      <c r="E33" s="13"/>
      <c r="F33" s="19"/>
      <c r="G33" s="13" t="str">
        <f>IF(SUMIFS(잔액_2022[결의금액],잔액_2022[통계목],$C33,잔액_2022[분류 항목],"유사량")=0,"",SUMIFS(잔액_2022[결의금액],잔액_2022[통계목],$C33,잔액_2022[분류 항목],"유사량"))</f>
        <v/>
      </c>
      <c r="H33" s="19"/>
      <c r="I33" s="13" t="str">
        <f>IF(SUMIFS(잔액_2023[결의금액],잔액_2023[통계목],$C33,잔액_2023[분류 항목],"유사량")=0,"",SUMIFS(잔액_2023[결의금액],잔액_2023[통계목],$C33,잔액_2023[분류 항목],"유사량"))</f>
        <v/>
      </c>
      <c r="J33" s="19">
        <v>6975590</v>
      </c>
      <c r="K33" s="13" t="str">
        <f>IF(SUMIFS(잔액_2024[결의금액],잔액_2024[통계목],$C33,잔액_2024[분류 항목],"유사량")=0,"",SUMIFS(잔액_2024[결의금액],잔액_2024[통계목],$C33,잔액_2024[분류 항목],"유사량"))</f>
        <v/>
      </c>
      <c r="L33" s="19">
        <v>6809400</v>
      </c>
      <c r="M33" s="13" t="str">
        <f>IF(SUMIFS(잔액_2025[결의금액],잔액_2025[통계목],$C33,잔액_2025[분류 항목],"유사량")=0,"",SUMIFS(잔액_2025[결의금액],잔액_2025[통계목],$C33,잔액_2025[분류 항목],"유사량"))</f>
        <v/>
      </c>
      <c r="N33" s="19">
        <v>4740930</v>
      </c>
      <c r="O33" s="10"/>
    </row>
    <row r="34" spans="2:15" ht="17.100000000000001" customHeight="1" x14ac:dyDescent="0.3">
      <c r="B34" s="51" t="s">
        <v>45</v>
      </c>
      <c r="C34" s="21" t="s">
        <v>16</v>
      </c>
      <c r="D34" s="23">
        <f>SUM(D35:D39)</f>
        <v>0</v>
      </c>
      <c r="E34" s="24">
        <f>SUM(E35:E39)</f>
        <v>0</v>
      </c>
      <c r="F34" s="22">
        <f t="shared" ref="F34" si="32">SUM(F35:F39)</f>
        <v>6000000</v>
      </c>
      <c r="G34" s="24">
        <f>SUM(G35:G39)</f>
        <v>0</v>
      </c>
      <c r="H34" s="22">
        <f t="shared" ref="H34" si="33">SUM(H35:H39)</f>
        <v>0</v>
      </c>
      <c r="I34" s="24">
        <f>SUM(I35:I39)</f>
        <v>0</v>
      </c>
      <c r="J34" s="22">
        <f t="shared" ref="J34" si="34">SUM(J35:J39)</f>
        <v>0</v>
      </c>
      <c r="K34" s="24">
        <f>SUM(K35:K39)</f>
        <v>0</v>
      </c>
      <c r="L34" s="22">
        <f t="shared" ref="L34" si="35">SUM(L35:L39)</f>
        <v>0</v>
      </c>
      <c r="M34" s="24">
        <f>SUM(M35:M39)</f>
        <v>0</v>
      </c>
      <c r="N34" s="22">
        <f t="shared" ref="N34" si="36">SUM(N35:N39)</f>
        <v>0</v>
      </c>
      <c r="O34" s="23">
        <f>SUM(O35:O39)</f>
        <v>0</v>
      </c>
    </row>
    <row r="35" spans="2:15" ht="17.100000000000001" customHeight="1" x14ac:dyDescent="0.3">
      <c r="B35" s="51"/>
      <c r="C35" s="5" t="s">
        <v>46</v>
      </c>
      <c r="D35" s="9"/>
      <c r="E35" s="12"/>
      <c r="F35" s="18"/>
      <c r="G35" s="12" t="str">
        <f>IF(SUMIFS(잔액_2022[결의금액],잔액_2022[통계목],$C35,잔액_2022[분류 항목],"유사량")=0,"",SUMIFS(잔액_2022[결의금액],잔액_2022[통계목],$C35,잔액_2022[분류 항목],"유사량"))</f>
        <v/>
      </c>
      <c r="H35" s="18"/>
      <c r="I35" s="12" t="str">
        <f>IF(SUMIFS(잔액_2023[결의금액],잔액_2023[통계목],$C35,잔액_2023[분류 항목],"유사량")=0,"",SUMIFS(잔액_2023[결의금액],잔액_2023[통계목],$C35,잔액_2023[분류 항목],"유사량"))</f>
        <v/>
      </c>
      <c r="J35" s="18"/>
      <c r="K35" s="12" t="str">
        <f>IF(SUMIFS(잔액_2024[결의금액],잔액_2024[통계목],$C35,잔액_2024[분류 항목],"유사량")=0,"",SUMIFS(잔액_2024[결의금액],잔액_2024[통계목],$C35,잔액_2024[분류 항목],"유사량"))</f>
        <v/>
      </c>
      <c r="L35" s="18"/>
      <c r="M35" s="12" t="str">
        <f>IF(SUMIFS(잔액_2025[결의금액],잔액_2025[통계목],$C35,잔액_2025[분류 항목],"유사량")=0,"",SUMIFS(잔액_2025[결의금액],잔액_2025[통계목],$C35,잔액_2025[분류 항목],"유사량"))</f>
        <v/>
      </c>
      <c r="N35" s="18"/>
      <c r="O35" s="9"/>
    </row>
    <row r="36" spans="2:15" ht="17.100000000000001" customHeight="1" x14ac:dyDescent="0.3">
      <c r="B36" s="51"/>
      <c r="C36" s="5" t="s">
        <v>47</v>
      </c>
      <c r="D36" s="9"/>
      <c r="E36" s="12"/>
      <c r="F36" s="18"/>
      <c r="G36" s="12" t="str">
        <f>IF(SUMIFS(잔액_2022[결의금액],잔액_2022[통계목],$C36,잔액_2022[분류 항목],"유사량")=0,"",SUMIFS(잔액_2022[결의금액],잔액_2022[통계목],$C36,잔액_2022[분류 항목],"유사량"))</f>
        <v/>
      </c>
      <c r="H36" s="18"/>
      <c r="I36" s="12" t="str">
        <f>IF(SUMIFS(잔액_2023[결의금액],잔액_2023[통계목],$C36,잔액_2023[분류 항목],"유사량")=0,"",SUMIFS(잔액_2023[결의금액],잔액_2023[통계목],$C36,잔액_2023[분류 항목],"유사량"))</f>
        <v/>
      </c>
      <c r="J36" s="18"/>
      <c r="K36" s="12" t="str">
        <f>IF(SUMIFS(잔액_2024[결의금액],잔액_2024[통계목],$C36,잔액_2024[분류 항목],"유사량")=0,"",SUMIFS(잔액_2024[결의금액],잔액_2024[통계목],$C36,잔액_2024[분류 항목],"유사량"))</f>
        <v/>
      </c>
      <c r="L36" s="18"/>
      <c r="M36" s="12" t="str">
        <f>IF(SUMIFS(잔액_2025[결의금액],잔액_2025[통계목],$C36,잔액_2025[분류 항목],"유사량")=0,"",SUMIFS(잔액_2025[결의금액],잔액_2025[통계목],$C36,잔액_2025[분류 항목],"유사량"))</f>
        <v/>
      </c>
      <c r="N36" s="18"/>
      <c r="O36" s="9"/>
    </row>
    <row r="37" spans="2:15" ht="17.100000000000001" customHeight="1" x14ac:dyDescent="0.3">
      <c r="B37" s="51"/>
      <c r="C37" s="5" t="s">
        <v>48</v>
      </c>
      <c r="D37" s="9"/>
      <c r="E37" s="12"/>
      <c r="F37" s="18">
        <v>6000000</v>
      </c>
      <c r="G37" s="12" t="str">
        <f>IF(SUMIFS(잔액_2022[결의금액],잔액_2022[통계목],$C37,잔액_2022[분류 항목],"유사량")=0,"",SUMIFS(잔액_2022[결의금액],잔액_2022[통계목],$C37,잔액_2022[분류 항목],"유사량"))</f>
        <v/>
      </c>
      <c r="H37" s="18"/>
      <c r="I37" s="12" t="str">
        <f>IF(SUMIFS(잔액_2023[결의금액],잔액_2023[통계목],$C37,잔액_2023[분류 항목],"유사량")=0,"",SUMIFS(잔액_2023[결의금액],잔액_2023[통계목],$C37,잔액_2023[분류 항목],"유사량"))</f>
        <v/>
      </c>
      <c r="J37" s="18"/>
      <c r="K37" s="12" t="str">
        <f>IF(SUMIFS(잔액_2024[결의금액],잔액_2024[통계목],$C37,잔액_2024[분류 항목],"유사량")=0,"",SUMIFS(잔액_2024[결의금액],잔액_2024[통계목],$C37,잔액_2024[분류 항목],"유사량"))</f>
        <v/>
      </c>
      <c r="L37" s="18"/>
      <c r="M37" s="12" t="str">
        <f>IF(SUMIFS(잔액_2025[결의금액],잔액_2025[통계목],$C37,잔액_2025[분류 항목],"유사량")=0,"",SUMIFS(잔액_2025[결의금액],잔액_2025[통계목],$C37,잔액_2025[분류 항목],"유사량"))</f>
        <v/>
      </c>
      <c r="N37" s="18"/>
      <c r="O37" s="9"/>
    </row>
    <row r="38" spans="2:15" ht="17.100000000000001" customHeight="1" x14ac:dyDescent="0.3">
      <c r="B38" s="51"/>
      <c r="C38" s="5" t="s">
        <v>49</v>
      </c>
      <c r="D38" s="9"/>
      <c r="E38" s="12"/>
      <c r="F38" s="18"/>
      <c r="G38" s="12" t="str">
        <f>IF(SUMIFS(잔액_2022[결의금액],잔액_2022[통계목],$C38,잔액_2022[분류 항목],"유사량")=0,"",SUMIFS(잔액_2022[결의금액],잔액_2022[통계목],$C38,잔액_2022[분류 항목],"유사량"))</f>
        <v/>
      </c>
      <c r="H38" s="18"/>
      <c r="I38" s="12" t="str">
        <f>IF(SUMIFS(잔액_2023[결의금액],잔액_2023[통계목],$C38,잔액_2023[분류 항목],"유사량")=0,"",SUMIFS(잔액_2023[결의금액],잔액_2023[통계목],$C38,잔액_2023[분류 항목],"유사량"))</f>
        <v/>
      </c>
      <c r="J38" s="18"/>
      <c r="K38" s="12" t="str">
        <f>IF(SUMIFS(잔액_2024[결의금액],잔액_2024[통계목],$C38,잔액_2024[분류 항목],"유사량")=0,"",SUMIFS(잔액_2024[결의금액],잔액_2024[통계목],$C38,잔액_2024[분류 항목],"유사량"))</f>
        <v/>
      </c>
      <c r="L38" s="18"/>
      <c r="M38" s="12" t="str">
        <f>IF(SUMIFS(잔액_2025[결의금액],잔액_2025[통계목],$C38,잔액_2025[분류 항목],"유사량")=0,"",SUMIFS(잔액_2025[결의금액],잔액_2025[통계목],$C38,잔액_2025[분류 항목],"유사량"))</f>
        <v/>
      </c>
      <c r="N38" s="18"/>
      <c r="O38" s="9"/>
    </row>
    <row r="39" spans="2:15" ht="17.100000000000001" customHeight="1" x14ac:dyDescent="0.3">
      <c r="B39" s="51"/>
      <c r="C39" s="6" t="s">
        <v>50</v>
      </c>
      <c r="D39" s="10"/>
      <c r="E39" s="13"/>
      <c r="F39" s="19"/>
      <c r="G39" s="13" t="str">
        <f>IF(SUMIFS(잔액_2022[결의금액],잔액_2022[통계목],$C39,잔액_2022[분류 항목],"유사량")=0,"",SUMIFS(잔액_2022[결의금액],잔액_2022[통계목],$C39,잔액_2022[분류 항목],"유사량"))</f>
        <v/>
      </c>
      <c r="H39" s="19"/>
      <c r="I39" s="13" t="str">
        <f>IF(SUMIFS(잔액_2023[결의금액],잔액_2023[통계목],$C39,잔액_2023[분류 항목],"유사량")=0,"",SUMIFS(잔액_2023[결의금액],잔액_2023[통계목],$C39,잔액_2023[분류 항목],"유사량"))</f>
        <v/>
      </c>
      <c r="J39" s="19"/>
      <c r="K39" s="13" t="str">
        <f>IF(SUMIFS(잔액_2024[결의금액],잔액_2024[통계목],$C39,잔액_2024[분류 항목],"유사량")=0,"",SUMIFS(잔액_2024[결의금액],잔액_2024[통계목],$C39,잔액_2024[분류 항목],"유사량"))</f>
        <v/>
      </c>
      <c r="L39" s="19"/>
      <c r="M39" s="13" t="str">
        <f>IF(SUMIFS(잔액_2025[결의금액],잔액_2025[통계목],$C39,잔액_2025[분류 항목],"유사량")=0,"",SUMIFS(잔액_2025[결의금액],잔액_2025[통계목],$C39,잔액_2025[분류 항목],"유사량"))</f>
        <v/>
      </c>
      <c r="N39" s="19"/>
      <c r="O39" s="10"/>
    </row>
    <row r="40" spans="2:15" ht="17.100000000000001" customHeight="1" x14ac:dyDescent="0.3">
      <c r="B40" s="51" t="s">
        <v>51</v>
      </c>
      <c r="C40" s="21" t="s">
        <v>16</v>
      </c>
      <c r="D40" s="23">
        <f>D41</f>
        <v>0</v>
      </c>
      <c r="E40" s="24">
        <f>E41</f>
        <v>0</v>
      </c>
      <c r="F40" s="22">
        <f t="shared" ref="F40" si="37">F41</f>
        <v>2000000</v>
      </c>
      <c r="G40" s="24">
        <f>G41</f>
        <v>19025280</v>
      </c>
      <c r="H40" s="22">
        <f t="shared" ref="H40" si="38">H41</f>
        <v>0</v>
      </c>
      <c r="I40" s="24">
        <f>I41</f>
        <v>109142000</v>
      </c>
      <c r="J40" s="22">
        <f t="shared" ref="J40" si="39">J41</f>
        <v>37500000</v>
      </c>
      <c r="K40" s="24" t="str">
        <f>K41</f>
        <v/>
      </c>
      <c r="L40" s="22">
        <f t="shared" ref="L40" si="40">L41</f>
        <v>0</v>
      </c>
      <c r="M40" s="24">
        <f>M41</f>
        <v>301246410</v>
      </c>
      <c r="N40" s="22">
        <f t="shared" ref="N40" si="41">N41</f>
        <v>0</v>
      </c>
      <c r="O40" s="23">
        <f>O41</f>
        <v>0</v>
      </c>
    </row>
    <row r="41" spans="2:15" ht="17.100000000000001" customHeight="1" x14ac:dyDescent="0.3">
      <c r="B41" s="51"/>
      <c r="C41" s="6" t="s">
        <v>52</v>
      </c>
      <c r="D41" s="10"/>
      <c r="E41" s="13"/>
      <c r="F41" s="19">
        <v>2000000</v>
      </c>
      <c r="G41" s="13">
        <f>IF(SUMIFS(잔액_2022[결의금액],잔액_2022[통계목],$C41,잔액_2022[분류 항목],"유사량")=0,"",SUMIFS(잔액_2022[결의금액],잔액_2022[통계목],$C41,잔액_2022[분류 항목],"유사량"))</f>
        <v>19025280</v>
      </c>
      <c r="H41" s="19"/>
      <c r="I41" s="13">
        <f>IF(SUMIFS(잔액_2023[결의금액],잔액_2023[통계목],$C41,잔액_2023[분류 항목],"유사량")=0,"",SUMIFS(잔액_2023[결의금액],잔액_2023[통계목],$C41,잔액_2023[분류 항목],"유사량"))</f>
        <v>109142000</v>
      </c>
      <c r="J41" s="19">
        <v>37500000</v>
      </c>
      <c r="K41" s="13" t="str">
        <f>IF(SUMIFS(잔액_2024[결의금액],잔액_2024[통계목],$C41,잔액_2024[분류 항목],"유사량")=0,"",SUMIFS(잔액_2024[결의금액],잔액_2024[통계목],$C41,잔액_2024[분류 항목],"유사량"))</f>
        <v/>
      </c>
      <c r="L41" s="19"/>
      <c r="M41" s="13">
        <f>IF(SUMIFS(잔액_2025[결의금액],잔액_2025[통계목],$C41,잔액_2025[분류 항목],"유사량")=0,"",SUMIFS(잔액_2025[결의금액],잔액_2025[통계목],$C41,잔액_2025[분류 항목],"유사량"))</f>
        <v>301246410</v>
      </c>
      <c r="N41" s="19"/>
      <c r="O41" s="10"/>
    </row>
    <row r="42" spans="2:15" ht="17.100000000000001" customHeight="1" x14ac:dyDescent="0.3">
      <c r="B42" s="51" t="s">
        <v>53</v>
      </c>
      <c r="C42" s="21" t="s">
        <v>16</v>
      </c>
      <c r="D42" s="23">
        <f>D43</f>
        <v>0</v>
      </c>
      <c r="E42" s="24">
        <f>E43</f>
        <v>0</v>
      </c>
      <c r="F42" s="22">
        <f t="shared" ref="F42" si="42">F43</f>
        <v>0</v>
      </c>
      <c r="G42" s="24" t="str">
        <f>G43</f>
        <v/>
      </c>
      <c r="H42" s="22">
        <f t="shared" ref="H42" si="43">H43</f>
        <v>0</v>
      </c>
      <c r="I42" s="24" t="str">
        <f>I43</f>
        <v/>
      </c>
      <c r="J42" s="22">
        <f t="shared" ref="J42" si="44">J43</f>
        <v>0</v>
      </c>
      <c r="K42" s="24" t="str">
        <f>K43</f>
        <v/>
      </c>
      <c r="L42" s="22">
        <f t="shared" ref="L42" si="45">L43</f>
        <v>0</v>
      </c>
      <c r="M42" s="24" t="str">
        <f>M43</f>
        <v/>
      </c>
      <c r="N42" s="22">
        <f t="shared" ref="N42" si="46">N43</f>
        <v>0</v>
      </c>
      <c r="O42" s="23">
        <f>O43</f>
        <v>0</v>
      </c>
    </row>
    <row r="43" spans="2:15" ht="17.100000000000001" customHeight="1" x14ac:dyDescent="0.3">
      <c r="B43" s="51"/>
      <c r="C43" s="6" t="s">
        <v>54</v>
      </c>
      <c r="D43" s="10"/>
      <c r="E43" s="13"/>
      <c r="F43" s="19"/>
      <c r="G43" s="13" t="str">
        <f>IF(SUMIFS(잔액_2022[결의금액],잔액_2022[통계목],$C43,잔액_2022[분류 항목],"유사량")=0,"",SUMIFS(잔액_2022[결의금액],잔액_2022[통계목],$C43,잔액_2022[분류 항목],"유사량"))</f>
        <v/>
      </c>
      <c r="H43" s="19"/>
      <c r="I43" s="13" t="str">
        <f>IF(SUMIFS(잔액_2023[결의금액],잔액_2023[통계목],$C43,잔액_2023[분류 항목],"유사량")=0,"",SUMIFS(잔액_2023[결의금액],잔액_2023[통계목],$C43,잔액_2023[분류 항목],"유사량"))</f>
        <v/>
      </c>
      <c r="J43" s="19"/>
      <c r="K43" s="13" t="str">
        <f>IF(SUMIFS(잔액_2024[결의금액],잔액_2024[통계목],$C43,잔액_2024[분류 항목],"유사량")=0,"",SUMIFS(잔액_2024[결의금액],잔액_2024[통계목],$C43,잔액_2024[분류 항목],"유사량"))</f>
        <v/>
      </c>
      <c r="L43" s="19"/>
      <c r="M43" s="13" t="str">
        <f>IF(SUMIFS(잔액_2025[결의금액],잔액_2025[통계목],$C43,잔액_2025[분류 항목],"유사량")=0,"",SUMIFS(잔액_2025[결의금액],잔액_2025[통계목],$C43,잔액_2025[분류 항목],"유사량"))</f>
        <v/>
      </c>
      <c r="N43" s="19"/>
      <c r="O43" s="10"/>
    </row>
    <row r="44" spans="2:15" ht="17.100000000000001" customHeight="1" x14ac:dyDescent="0.3">
      <c r="B44" s="55" t="s">
        <v>55</v>
      </c>
      <c r="C44" s="21" t="s">
        <v>16</v>
      </c>
      <c r="D44" s="23">
        <f>D45</f>
        <v>0</v>
      </c>
      <c r="E44" s="24">
        <f>E45</f>
        <v>0</v>
      </c>
      <c r="F44" s="22">
        <f t="shared" ref="F44" si="47">F45</f>
        <v>0</v>
      </c>
      <c r="G44" s="24" t="str">
        <f>G45</f>
        <v/>
      </c>
      <c r="H44" s="22">
        <f t="shared" ref="H44" si="48">H45</f>
        <v>0</v>
      </c>
      <c r="I44" s="24" t="str">
        <f>I45</f>
        <v/>
      </c>
      <c r="J44" s="22">
        <f t="shared" ref="J44" si="49">J45</f>
        <v>0</v>
      </c>
      <c r="K44" s="24" t="str">
        <f>K45</f>
        <v/>
      </c>
      <c r="L44" s="22">
        <f t="shared" ref="L44" si="50">L45</f>
        <v>0</v>
      </c>
      <c r="M44" s="24" t="str">
        <f>M45</f>
        <v/>
      </c>
      <c r="N44" s="22">
        <f t="shared" ref="N44" si="51">N45</f>
        <v>0</v>
      </c>
      <c r="O44" s="23">
        <f>O45</f>
        <v>0</v>
      </c>
    </row>
    <row r="45" spans="2:15" ht="17.100000000000001" customHeight="1" x14ac:dyDescent="0.3">
      <c r="B45" s="51"/>
      <c r="C45" s="6" t="s">
        <v>56</v>
      </c>
      <c r="D45" s="10"/>
      <c r="E45" s="13"/>
      <c r="F45" s="19"/>
      <c r="G45" s="13" t="str">
        <f>IF(SUMIFS(잔액_2022[결의금액],잔액_2022[통계목],$C45,잔액_2022[분류 항목],"유사량")=0,"",SUMIFS(잔액_2022[결의금액],잔액_2022[통계목],$C45,잔액_2022[분류 항목],"유사량"))</f>
        <v/>
      </c>
      <c r="H45" s="19"/>
      <c r="I45" s="13" t="str">
        <f>IF(SUMIFS(잔액_2023[결의금액],잔액_2023[통계목],$C45,잔액_2023[분류 항목],"유사량")=0,"",SUMIFS(잔액_2023[결의금액],잔액_2023[통계목],$C45,잔액_2023[분류 항목],"유사량"))</f>
        <v/>
      </c>
      <c r="J45" s="19"/>
      <c r="K45" s="13" t="str">
        <f>IF(SUMIFS(잔액_2024[결의금액],잔액_2024[통계목],$C45,잔액_2024[분류 항목],"유사량")=0,"",SUMIFS(잔액_2024[결의금액],잔액_2024[통계목],$C45,잔액_2024[분류 항목],"유사량"))</f>
        <v/>
      </c>
      <c r="L45" s="19"/>
      <c r="M45" s="13" t="str">
        <f>IF(SUMIFS(잔액_2025[결의금액],잔액_2025[통계목],$C45,잔액_2025[분류 항목],"유사량")=0,"",SUMIFS(잔액_2025[결의금액],잔액_2025[통계목],$C45,잔액_2025[분류 항목],"유사량"))</f>
        <v/>
      </c>
      <c r="N45" s="19"/>
      <c r="O45" s="10"/>
    </row>
    <row r="46" spans="2:15" ht="17.100000000000001" customHeight="1" x14ac:dyDescent="0.3">
      <c r="B46" s="51" t="s">
        <v>57</v>
      </c>
      <c r="C46" s="21" t="s">
        <v>16</v>
      </c>
      <c r="D46" s="23">
        <f>D47</f>
        <v>0</v>
      </c>
      <c r="E46" s="24">
        <f>E47</f>
        <v>0</v>
      </c>
      <c r="F46" s="22">
        <f t="shared" ref="F46" si="52">F47</f>
        <v>0</v>
      </c>
      <c r="G46" s="24" t="str">
        <f>G47</f>
        <v/>
      </c>
      <c r="H46" s="22">
        <f t="shared" ref="H46" si="53">H47</f>
        <v>0</v>
      </c>
      <c r="I46" s="24" t="str">
        <f>I47</f>
        <v/>
      </c>
      <c r="J46" s="22">
        <f t="shared" ref="J46" si="54">J47</f>
        <v>0</v>
      </c>
      <c r="K46" s="24" t="str">
        <f>K47</f>
        <v/>
      </c>
      <c r="L46" s="22">
        <f t="shared" ref="L46" si="55">L47</f>
        <v>0</v>
      </c>
      <c r="M46" s="24" t="str">
        <f>M47</f>
        <v/>
      </c>
      <c r="N46" s="22">
        <f t="shared" ref="N46" si="56">N47</f>
        <v>0</v>
      </c>
      <c r="O46" s="23">
        <f>O47</f>
        <v>0</v>
      </c>
    </row>
    <row r="47" spans="2:15" ht="17.100000000000001" customHeight="1" x14ac:dyDescent="0.3">
      <c r="B47" s="51"/>
      <c r="C47" s="6" t="s">
        <v>58</v>
      </c>
      <c r="D47" s="10"/>
      <c r="E47" s="13"/>
      <c r="F47" s="19"/>
      <c r="G47" s="13" t="str">
        <f>IF(SUMIFS(잔액_2022[결의금액],잔액_2022[통계목],$C47,잔액_2022[분류 항목],"유사량")=0,"",SUMIFS(잔액_2022[결의금액],잔액_2022[통계목],$C47,잔액_2022[분류 항목],"유사량"))</f>
        <v/>
      </c>
      <c r="H47" s="19"/>
      <c r="I47" s="13" t="str">
        <f>IF(SUMIFS(잔액_2023[결의금액],잔액_2023[통계목],$C47,잔액_2023[분류 항목],"유사량")=0,"",SUMIFS(잔액_2023[결의금액],잔액_2023[통계목],$C47,잔액_2023[분류 항목],"유사량"))</f>
        <v/>
      </c>
      <c r="J47" s="19"/>
      <c r="K47" s="13" t="str">
        <f>IF(SUMIFS(잔액_2024[결의금액],잔액_2024[통계목],$C47,잔액_2024[분류 항목],"유사량")=0,"",SUMIFS(잔액_2024[결의금액],잔액_2024[통계목],$C47,잔액_2024[분류 항목],"유사량"))</f>
        <v/>
      </c>
      <c r="L47" s="19"/>
      <c r="M47" s="13" t="str">
        <f>IF(SUMIFS(잔액_2025[결의금액],잔액_2025[통계목],$C47,잔액_2025[분류 항목],"유사량")=0,"",SUMIFS(잔액_2025[결의금액],잔액_2025[통계목],$C47,잔액_2025[분류 항목],"유사량"))</f>
        <v/>
      </c>
      <c r="N47" s="19"/>
      <c r="O47" s="10"/>
    </row>
  </sheetData>
  <mergeCells count="20">
    <mergeCell ref="B44:B45"/>
    <mergeCell ref="B46:B47"/>
    <mergeCell ref="B26:B28"/>
    <mergeCell ref="B29:B31"/>
    <mergeCell ref="B32:B33"/>
    <mergeCell ref="B34:B39"/>
    <mergeCell ref="B40:B41"/>
    <mergeCell ref="B42:B43"/>
    <mergeCell ref="L2:M2"/>
    <mergeCell ref="N2:O2"/>
    <mergeCell ref="B4:C4"/>
    <mergeCell ref="B5:B9"/>
    <mergeCell ref="B10:B22"/>
    <mergeCell ref="H2:I2"/>
    <mergeCell ref="J2:K2"/>
    <mergeCell ref="B23:B25"/>
    <mergeCell ref="B2:B3"/>
    <mergeCell ref="C2:C3"/>
    <mergeCell ref="D2:E2"/>
    <mergeCell ref="F2:G2"/>
  </mergeCells>
  <phoneticPr fontId="2" type="noConversion"/>
  <pageMargins left="0.25" right="0.25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DC1D-9A4F-46D2-BD2E-075FE27C30DE}">
  <sheetPr>
    <pageSetUpPr fitToPage="1"/>
  </sheetPr>
  <dimension ref="B1:O47"/>
  <sheetViews>
    <sheetView zoomScale="80" zoomScaleNormal="80" workbookViewId="0">
      <selection activeCell="E25" sqref="E25"/>
    </sheetView>
  </sheetViews>
  <sheetFormatPr defaultColWidth="10.625" defaultRowHeight="17.100000000000001" customHeight="1" x14ac:dyDescent="0.3"/>
  <cols>
    <col min="1" max="1" width="3.625" style="1" customWidth="1"/>
    <col min="2" max="3" width="14.625" style="1" customWidth="1"/>
    <col min="4" max="4" width="18.625" style="1" customWidth="1"/>
    <col min="5" max="5" width="16.625" style="1" customWidth="1"/>
    <col min="6" max="6" width="18.625" style="1" customWidth="1"/>
    <col min="7" max="7" width="16.625" style="1" customWidth="1"/>
    <col min="8" max="8" width="18.625" style="1" customWidth="1"/>
    <col min="9" max="9" width="16.625" style="1" customWidth="1"/>
    <col min="10" max="10" width="18.625" style="1" customWidth="1"/>
    <col min="11" max="11" width="16.625" style="1" customWidth="1"/>
    <col min="12" max="12" width="18.625" style="1" customWidth="1"/>
    <col min="13" max="13" width="16.625" style="1" customWidth="1"/>
    <col min="14" max="14" width="18.625" style="1" customWidth="1"/>
    <col min="15" max="15" width="16.625" style="1" customWidth="1"/>
    <col min="16" max="16384" width="10.625" style="1"/>
  </cols>
  <sheetData>
    <row r="1" spans="2:15" ht="17.100000000000001" customHeight="1" x14ac:dyDescent="0.3">
      <c r="B1" s="57" t="s">
        <v>194</v>
      </c>
    </row>
    <row r="2" spans="2:15" ht="17.100000000000001" customHeight="1" x14ac:dyDescent="0.3">
      <c r="B2" s="52" t="s">
        <v>12</v>
      </c>
      <c r="C2" s="52" t="s">
        <v>13</v>
      </c>
      <c r="D2" s="52" t="s">
        <v>1</v>
      </c>
      <c r="E2" s="53"/>
      <c r="F2" s="52" t="s">
        <v>3</v>
      </c>
      <c r="G2" s="53"/>
      <c r="H2" s="52" t="s">
        <v>62</v>
      </c>
      <c r="I2" s="53"/>
      <c r="J2" s="52" t="s">
        <v>63</v>
      </c>
      <c r="K2" s="53"/>
      <c r="L2" s="52" t="s">
        <v>64</v>
      </c>
      <c r="M2" s="53"/>
      <c r="N2" s="54" t="s">
        <v>65</v>
      </c>
      <c r="O2" s="52"/>
    </row>
    <row r="3" spans="2:15" ht="17.100000000000001" customHeight="1" x14ac:dyDescent="0.3">
      <c r="B3" s="52"/>
      <c r="C3" s="52"/>
      <c r="D3" s="14" t="s">
        <v>59</v>
      </c>
      <c r="E3" s="15" t="s">
        <v>61</v>
      </c>
      <c r="F3" s="14" t="s">
        <v>59</v>
      </c>
      <c r="G3" s="15" t="s">
        <v>61</v>
      </c>
      <c r="H3" s="14" t="s">
        <v>59</v>
      </c>
      <c r="I3" s="15" t="s">
        <v>61</v>
      </c>
      <c r="J3" s="14" t="s">
        <v>59</v>
      </c>
      <c r="K3" s="15" t="s">
        <v>61</v>
      </c>
      <c r="L3" s="14" t="s">
        <v>59</v>
      </c>
      <c r="M3" s="15" t="s">
        <v>61</v>
      </c>
      <c r="N3" s="20" t="s">
        <v>59</v>
      </c>
      <c r="O3" s="14" t="s">
        <v>61</v>
      </c>
    </row>
    <row r="4" spans="2:15" ht="17.100000000000001" customHeight="1" x14ac:dyDescent="0.3">
      <c r="B4" s="49" t="s">
        <v>14</v>
      </c>
      <c r="C4" s="50"/>
      <c r="D4" s="7">
        <f t="shared" ref="D4" si="0">SUM(D5,D10,D23,D26,D29,D32,D34,D40,D42,D44,D46)</f>
        <v>20453200</v>
      </c>
      <c r="E4" s="11">
        <f t="shared" ref="E4:O4" si="1">SUM(E5,E10,E23,E26,E29,E32,E34,E40,E42,E44,E46)</f>
        <v>0</v>
      </c>
      <c r="F4" s="16">
        <f t="shared" si="1"/>
        <v>26700000</v>
      </c>
      <c r="G4" s="11">
        <f t="shared" si="1"/>
        <v>41525000</v>
      </c>
      <c r="H4" s="16">
        <f t="shared" si="1"/>
        <v>55206400</v>
      </c>
      <c r="I4" s="11">
        <f t="shared" si="1"/>
        <v>0</v>
      </c>
      <c r="J4" s="16">
        <f t="shared" si="1"/>
        <v>30000000</v>
      </c>
      <c r="K4" s="11">
        <f t="shared" si="1"/>
        <v>17392120</v>
      </c>
      <c r="L4" s="16">
        <f t="shared" si="1"/>
        <v>20000000</v>
      </c>
      <c r="M4" s="11">
        <f t="shared" si="1"/>
        <v>44136330</v>
      </c>
      <c r="N4" s="16">
        <f t="shared" si="1"/>
        <v>20000000</v>
      </c>
      <c r="O4" s="7">
        <f t="shared" si="1"/>
        <v>0</v>
      </c>
    </row>
    <row r="5" spans="2:15" ht="17.100000000000001" customHeight="1" x14ac:dyDescent="0.3">
      <c r="B5" s="51" t="s">
        <v>15</v>
      </c>
      <c r="C5" s="21" t="s">
        <v>16</v>
      </c>
      <c r="D5" s="8">
        <f>SUM(D6:D9)</f>
        <v>0</v>
      </c>
      <c r="E5" s="24">
        <f>SUM(E6:E9)</f>
        <v>0</v>
      </c>
      <c r="F5" s="17">
        <f t="shared" ref="F5" si="2">SUM(F6:F9)</f>
        <v>0</v>
      </c>
      <c r="G5" s="24">
        <f>SUM(G6:G9)</f>
        <v>0</v>
      </c>
      <c r="H5" s="17">
        <f t="shared" ref="H5" si="3">SUM(H6:H9)</f>
        <v>11196400</v>
      </c>
      <c r="I5" s="24">
        <f>SUM(I6:I9)</f>
        <v>0</v>
      </c>
      <c r="J5" s="17">
        <f t="shared" ref="J5" si="4">SUM(J6:J9)</f>
        <v>0</v>
      </c>
      <c r="K5" s="24">
        <f>SUM(K6:K9)</f>
        <v>0</v>
      </c>
      <c r="L5" s="17">
        <f t="shared" ref="L5" si="5">SUM(L6:L9)</f>
        <v>0</v>
      </c>
      <c r="M5" s="24">
        <f>SUM(M6:M9)</f>
        <v>0</v>
      </c>
      <c r="N5" s="17">
        <f t="shared" ref="N5" si="6">SUM(N6:N9)</f>
        <v>0</v>
      </c>
      <c r="O5" s="23">
        <f>SUM(O6:O9)</f>
        <v>0</v>
      </c>
    </row>
    <row r="6" spans="2:15" ht="17.100000000000001" customHeight="1" x14ac:dyDescent="0.3">
      <c r="B6" s="51"/>
      <c r="C6" s="5" t="s">
        <v>17</v>
      </c>
      <c r="D6" s="9"/>
      <c r="E6" s="12"/>
      <c r="F6" s="18"/>
      <c r="G6" s="12" t="str">
        <f>IF(SUMIFS(잔액_2022[결의금액],잔액_2022[통계목],$C6,잔액_2022[분류 항목],"토양수분량")=0,"",SUMIFS(잔액_2022[결의금액],잔액_2022[통계목],$C6,잔액_2022[분류 항목],"토양수분량"))</f>
        <v/>
      </c>
      <c r="H6" s="18"/>
      <c r="I6" s="12" t="str">
        <f>IF(SUMIFS(잔액_2023[결의금액],잔액_2023[통계목],$C6,잔액_2023[분류 항목],"토양수분량")=0,"",SUMIFS(잔액_2023[결의금액],잔액_2023[통계목],$C6,잔액_2023[분류 항목],"토양수분량"))</f>
        <v/>
      </c>
      <c r="J6" s="18"/>
      <c r="K6" s="12" t="str">
        <f>IF(SUMIFS(잔액_2024[결의금액],잔액_2024[통계목],$C6,잔액_2024[분류 항목],"토양수분량")=0,"",SUMIFS(잔액_2024[결의금액],잔액_2024[통계목],$C6,잔액_2024[분류 항목],"토양수분량"))</f>
        <v/>
      </c>
      <c r="L6" s="18"/>
      <c r="M6" s="12" t="str">
        <f>IF(SUMIFS(잔액_2025[결의금액],잔액_2025[통계목],$C6,잔액_2025[분류 항목],"토양수분량")=0,"",SUMIFS(잔액_2025[결의금액],잔액_2025[통계목],$C6,잔액_2025[분류 항목],"토양수분량"))</f>
        <v/>
      </c>
      <c r="N6" s="18"/>
      <c r="O6" s="9"/>
    </row>
    <row r="7" spans="2:15" ht="17.100000000000001" customHeight="1" x14ac:dyDescent="0.3">
      <c r="B7" s="51"/>
      <c r="C7" s="5" t="s">
        <v>18</v>
      </c>
      <c r="D7" s="9"/>
      <c r="E7" s="12"/>
      <c r="F7" s="18"/>
      <c r="G7" s="12" t="str">
        <f>IF(SUMIFS(잔액_2022[결의금액],잔액_2022[통계목],$C7,잔액_2022[분류 항목],"토양수분량")=0,"",SUMIFS(잔액_2022[결의금액],잔액_2022[통계목],$C7,잔액_2022[분류 항목],"토양수분량"))</f>
        <v/>
      </c>
      <c r="H7" s="18"/>
      <c r="I7" s="12" t="str">
        <f>IF(SUMIFS(잔액_2023[결의금액],잔액_2023[통계목],$C7,잔액_2023[분류 항목],"토양수분량")=0,"",SUMIFS(잔액_2023[결의금액],잔액_2023[통계목],$C7,잔액_2023[분류 항목],"토양수분량"))</f>
        <v/>
      </c>
      <c r="J7" s="18"/>
      <c r="K7" s="12" t="str">
        <f>IF(SUMIFS(잔액_2024[결의금액],잔액_2024[통계목],$C7,잔액_2024[분류 항목],"토양수분량")=0,"",SUMIFS(잔액_2024[결의금액],잔액_2024[통계목],$C7,잔액_2024[분류 항목],"토양수분량"))</f>
        <v/>
      </c>
      <c r="L7" s="18"/>
      <c r="M7" s="12" t="str">
        <f>IF(SUMIFS(잔액_2025[결의금액],잔액_2025[통계목],$C7,잔액_2025[분류 항목],"토양수분량")=0,"",SUMIFS(잔액_2025[결의금액],잔액_2025[통계목],$C7,잔액_2025[분류 항목],"토양수분량"))</f>
        <v/>
      </c>
      <c r="N7" s="18"/>
      <c r="O7" s="9"/>
    </row>
    <row r="8" spans="2:15" ht="17.100000000000001" customHeight="1" x14ac:dyDescent="0.3">
      <c r="B8" s="51"/>
      <c r="C8" s="5" t="s">
        <v>19</v>
      </c>
      <c r="D8" s="9"/>
      <c r="E8" s="12"/>
      <c r="F8" s="18"/>
      <c r="G8" s="12" t="str">
        <f>IF(SUMIFS(잔액_2022[결의금액],잔액_2022[통계목],$C8,잔액_2022[분류 항목],"토양수분량")=0,"",SUMIFS(잔액_2022[결의금액],잔액_2022[통계목],$C8,잔액_2022[분류 항목],"토양수분량"))</f>
        <v/>
      </c>
      <c r="H8" s="18">
        <v>11196400</v>
      </c>
      <c r="I8" s="12" t="str">
        <f>IF(SUMIFS(잔액_2023[결의금액],잔액_2023[통계목],$C8,잔액_2023[분류 항목],"토양수분량")=0,"",SUMIFS(잔액_2023[결의금액],잔액_2023[통계목],$C8,잔액_2023[분류 항목],"토양수분량"))</f>
        <v/>
      </c>
      <c r="J8" s="18"/>
      <c r="K8" s="12" t="str">
        <f>IF(SUMIFS(잔액_2024[결의금액],잔액_2024[통계목],$C8,잔액_2024[분류 항목],"토양수분량")=0,"",SUMIFS(잔액_2024[결의금액],잔액_2024[통계목],$C8,잔액_2024[분류 항목],"토양수분량"))</f>
        <v/>
      </c>
      <c r="L8" s="18"/>
      <c r="M8" s="12" t="str">
        <f>IF(SUMIFS(잔액_2025[결의금액],잔액_2025[통계목],$C8,잔액_2025[분류 항목],"토양수분량")=0,"",SUMIFS(잔액_2025[결의금액],잔액_2025[통계목],$C8,잔액_2025[분류 항목],"토양수분량"))</f>
        <v/>
      </c>
      <c r="N8" s="18"/>
      <c r="O8" s="9"/>
    </row>
    <row r="9" spans="2:15" ht="17.100000000000001" customHeight="1" x14ac:dyDescent="0.3">
      <c r="B9" s="51"/>
      <c r="C9" s="6" t="s">
        <v>20</v>
      </c>
      <c r="D9" s="10"/>
      <c r="E9" s="13"/>
      <c r="F9" s="19"/>
      <c r="G9" s="13" t="str">
        <f>IF(SUMIFS(잔액_2022[결의금액],잔액_2022[통계목],$C9,잔액_2022[분류 항목],"토양수분량")=0,"",SUMIFS(잔액_2022[결의금액],잔액_2022[통계목],$C9,잔액_2022[분류 항목],"토양수분량"))</f>
        <v/>
      </c>
      <c r="H9" s="19"/>
      <c r="I9" s="13" t="str">
        <f>IF(SUMIFS(잔액_2023[결의금액],잔액_2023[통계목],$C9,잔액_2023[분류 항목],"토양수분량")=0,"",SUMIFS(잔액_2023[결의금액],잔액_2023[통계목],$C9,잔액_2023[분류 항목],"토양수분량"))</f>
        <v/>
      </c>
      <c r="J9" s="19"/>
      <c r="K9" s="13" t="str">
        <f>IF(SUMIFS(잔액_2024[결의금액],잔액_2024[통계목],$C9,잔액_2024[분류 항목],"토양수분량")=0,"",SUMIFS(잔액_2024[결의금액],잔액_2024[통계목],$C9,잔액_2024[분류 항목],"토양수분량"))</f>
        <v/>
      </c>
      <c r="L9" s="19"/>
      <c r="M9" s="13" t="str">
        <f>IF(SUMIFS(잔액_2025[결의금액],잔액_2025[통계목],$C9,잔액_2025[분류 항목],"토양수분량")=0,"",SUMIFS(잔액_2025[결의금액],잔액_2025[통계목],$C9,잔액_2025[분류 항목],"토양수분량"))</f>
        <v/>
      </c>
      <c r="N9" s="19"/>
      <c r="O9" s="10"/>
    </row>
    <row r="10" spans="2:15" ht="17.100000000000001" customHeight="1" x14ac:dyDescent="0.3">
      <c r="B10" s="51" t="s">
        <v>21</v>
      </c>
      <c r="C10" s="21" t="s">
        <v>16</v>
      </c>
      <c r="D10" s="23">
        <f>SUM(D11:D22)</f>
        <v>17184700</v>
      </c>
      <c r="E10" s="24">
        <f>SUM(E11:E22)</f>
        <v>0</v>
      </c>
      <c r="F10" s="22">
        <f t="shared" ref="F10" si="7">SUM(F11:F22)</f>
        <v>20700000</v>
      </c>
      <c r="G10" s="24">
        <f>SUM(G11:G22)</f>
        <v>0</v>
      </c>
      <c r="H10" s="22">
        <f t="shared" ref="H10" si="8">SUM(H11:H22)</f>
        <v>38050000</v>
      </c>
      <c r="I10" s="24">
        <f>SUM(I11:I22)</f>
        <v>0</v>
      </c>
      <c r="J10" s="22">
        <f t="shared" ref="J10" si="9">SUM(J11:J22)</f>
        <v>21560000</v>
      </c>
      <c r="K10" s="24">
        <f>SUM(K11:K22)</f>
        <v>0</v>
      </c>
      <c r="L10" s="22">
        <f t="shared" ref="L10" si="10">SUM(L11:L22)</f>
        <v>10000000</v>
      </c>
      <c r="M10" s="24">
        <f>SUM(M11:M22)</f>
        <v>0</v>
      </c>
      <c r="N10" s="17">
        <f t="shared" ref="N10" si="11">SUM(N11:N22)</f>
        <v>11000000</v>
      </c>
      <c r="O10" s="23">
        <f>SUM(O11:O22)</f>
        <v>0</v>
      </c>
    </row>
    <row r="11" spans="2:15" ht="17.100000000000001" customHeight="1" x14ac:dyDescent="0.3">
      <c r="B11" s="51"/>
      <c r="C11" s="5" t="s">
        <v>22</v>
      </c>
      <c r="D11" s="9">
        <v>16814700</v>
      </c>
      <c r="E11" s="12"/>
      <c r="F11" s="18">
        <v>6000000</v>
      </c>
      <c r="G11" s="12" t="str">
        <f>IF(SUMIFS(잔액_2022[결의금액],잔액_2022[통계목],$C11,잔액_2022[분류 항목],"토양수분량")=0,"",SUMIFS(잔액_2022[결의금액],잔액_2022[통계목],$C11,잔액_2022[분류 항목],"토양수분량"))</f>
        <v/>
      </c>
      <c r="H11" s="18">
        <v>400000</v>
      </c>
      <c r="I11" s="12" t="str">
        <f>IF(SUMIFS(잔액_2023[결의금액],잔액_2023[통계목],$C11,잔액_2023[분류 항목],"토양수분량")=0,"",SUMIFS(잔액_2023[결의금액],잔액_2023[통계목],$C11,잔액_2023[분류 항목],"토양수분량"))</f>
        <v/>
      </c>
      <c r="J11" s="18">
        <v>500000</v>
      </c>
      <c r="K11" s="12" t="str">
        <f>IF(SUMIFS(잔액_2024[결의금액],잔액_2024[통계목],$C11,잔액_2024[분류 항목],"토양수분량")=0,"",SUMIFS(잔액_2024[결의금액],잔액_2024[통계목],$C11,잔액_2024[분류 항목],"토양수분량"))</f>
        <v/>
      </c>
      <c r="L11" s="18"/>
      <c r="M11" s="12" t="str">
        <f>IF(SUMIFS(잔액_2025[결의금액],잔액_2025[통계목],$C11,잔액_2025[분류 항목],"토양수분량")=0,"",SUMIFS(잔액_2025[결의금액],잔액_2025[통계목],$C11,잔액_2025[분류 항목],"토양수분량"))</f>
        <v/>
      </c>
      <c r="N11" s="18"/>
      <c r="O11" s="9"/>
    </row>
    <row r="12" spans="2:15" ht="17.100000000000001" customHeight="1" x14ac:dyDescent="0.3">
      <c r="B12" s="51"/>
      <c r="C12" s="5" t="s">
        <v>23</v>
      </c>
      <c r="D12" s="9"/>
      <c r="E12" s="12"/>
      <c r="F12" s="18">
        <v>4600000</v>
      </c>
      <c r="G12" s="12" t="str">
        <f>IF(SUMIFS(잔액_2022[결의금액],잔액_2022[통계목],$C12,잔액_2022[분류 항목],"토양수분량")=0,"",SUMIFS(잔액_2022[결의금액],잔액_2022[통계목],$C12,잔액_2022[분류 항목],"토양수분량"))</f>
        <v/>
      </c>
      <c r="H12" s="18">
        <v>9550000</v>
      </c>
      <c r="I12" s="12" t="str">
        <f>IF(SUMIFS(잔액_2023[결의금액],잔액_2023[통계목],$C12,잔액_2023[분류 항목],"토양수분량")=0,"",SUMIFS(잔액_2023[결의금액],잔액_2023[통계목],$C12,잔액_2023[분류 항목],"토양수분량"))</f>
        <v/>
      </c>
      <c r="J12" s="18">
        <v>8125000</v>
      </c>
      <c r="K12" s="12" t="str">
        <f>IF(SUMIFS(잔액_2024[결의금액],잔액_2024[통계목],$C12,잔액_2024[분류 항목],"토양수분량")=0,"",SUMIFS(잔액_2024[결의금액],잔액_2024[통계목],$C12,잔액_2024[분류 항목],"토양수분량"))</f>
        <v/>
      </c>
      <c r="L12" s="18"/>
      <c r="M12" s="12" t="str">
        <f>IF(SUMIFS(잔액_2025[결의금액],잔액_2025[통계목],$C12,잔액_2025[분류 항목],"토양수분량")=0,"",SUMIFS(잔액_2025[결의금액],잔액_2025[통계목],$C12,잔액_2025[분류 항목],"토양수분량"))</f>
        <v/>
      </c>
      <c r="N12" s="18">
        <v>8000000</v>
      </c>
      <c r="O12" s="9"/>
    </row>
    <row r="13" spans="2:15" ht="17.100000000000001" customHeight="1" x14ac:dyDescent="0.3">
      <c r="B13" s="51"/>
      <c r="C13" s="5" t="s">
        <v>24</v>
      </c>
      <c r="D13" s="9"/>
      <c r="E13" s="12"/>
      <c r="F13" s="18"/>
      <c r="G13" s="12" t="str">
        <f>IF(SUMIFS(잔액_2022[결의금액],잔액_2022[통계목],$C13,잔액_2022[분류 항목],"토양수분량")=0,"",SUMIFS(잔액_2022[결의금액],잔액_2022[통계목],$C13,잔액_2022[분류 항목],"토양수분량"))</f>
        <v/>
      </c>
      <c r="H13" s="18"/>
      <c r="I13" s="12" t="str">
        <f>IF(SUMIFS(잔액_2023[결의금액],잔액_2023[통계목],$C13,잔액_2023[분류 항목],"토양수분량")=0,"",SUMIFS(잔액_2023[결의금액],잔액_2023[통계목],$C13,잔액_2023[분류 항목],"토양수분량"))</f>
        <v/>
      </c>
      <c r="J13" s="18"/>
      <c r="K13" s="12" t="str">
        <f>IF(SUMIFS(잔액_2024[결의금액],잔액_2024[통계목],$C13,잔액_2024[분류 항목],"토양수분량")=0,"",SUMIFS(잔액_2024[결의금액],잔액_2024[통계목],$C13,잔액_2024[분류 항목],"토양수분량"))</f>
        <v/>
      </c>
      <c r="L13" s="18"/>
      <c r="M13" s="12" t="str">
        <f>IF(SUMIFS(잔액_2025[결의금액],잔액_2025[통계목],$C13,잔액_2025[분류 항목],"토양수분량")=0,"",SUMIFS(잔액_2025[결의금액],잔액_2025[통계목],$C13,잔액_2025[분류 항목],"토양수분량"))</f>
        <v/>
      </c>
      <c r="N13" s="18"/>
      <c r="O13" s="9"/>
    </row>
    <row r="14" spans="2:15" ht="17.100000000000001" customHeight="1" x14ac:dyDescent="0.3">
      <c r="B14" s="51"/>
      <c r="C14" s="5" t="s">
        <v>25</v>
      </c>
      <c r="D14" s="9"/>
      <c r="E14" s="12"/>
      <c r="F14" s="18"/>
      <c r="G14" s="12" t="str">
        <f>IF(SUMIFS(잔액_2022[결의금액],잔액_2022[통계목],$C14,잔액_2022[분류 항목],"토양수분량")=0,"",SUMIFS(잔액_2022[결의금액],잔액_2022[통계목],$C14,잔액_2022[분류 항목],"토양수분량"))</f>
        <v/>
      </c>
      <c r="H14" s="18"/>
      <c r="I14" s="12" t="str">
        <f>IF(SUMIFS(잔액_2023[결의금액],잔액_2023[통계목],$C14,잔액_2023[분류 항목],"토양수분량")=0,"",SUMIFS(잔액_2023[결의금액],잔액_2023[통계목],$C14,잔액_2023[분류 항목],"토양수분량"))</f>
        <v/>
      </c>
      <c r="J14" s="18"/>
      <c r="K14" s="12" t="str">
        <f>IF(SUMIFS(잔액_2024[결의금액],잔액_2024[통계목],$C14,잔액_2024[분류 항목],"토양수분량")=0,"",SUMIFS(잔액_2024[결의금액],잔액_2024[통계목],$C14,잔액_2024[분류 항목],"토양수분량"))</f>
        <v/>
      </c>
      <c r="L14" s="18"/>
      <c r="M14" s="12" t="str">
        <f>IF(SUMIFS(잔액_2025[결의금액],잔액_2025[통계목],$C14,잔액_2025[분류 항목],"토양수분량")=0,"",SUMIFS(잔액_2025[결의금액],잔액_2025[통계목],$C14,잔액_2025[분류 항목],"토양수분량"))</f>
        <v/>
      </c>
      <c r="N14" s="18"/>
      <c r="O14" s="9"/>
    </row>
    <row r="15" spans="2:15" ht="17.100000000000001" customHeight="1" x14ac:dyDescent="0.3">
      <c r="B15" s="51"/>
      <c r="C15" s="5" t="s">
        <v>26</v>
      </c>
      <c r="D15" s="9"/>
      <c r="E15" s="12"/>
      <c r="F15" s="18">
        <v>5000000</v>
      </c>
      <c r="G15" s="12" t="str">
        <f>IF(SUMIFS(잔액_2022[결의금액],잔액_2022[통계목],$C15,잔액_2022[분류 항목],"토양수분량")=0,"",SUMIFS(잔액_2022[결의금액],잔액_2022[통계목],$C15,잔액_2022[분류 항목],"토양수분량"))</f>
        <v/>
      </c>
      <c r="H15" s="18">
        <v>4300000</v>
      </c>
      <c r="I15" s="12" t="str">
        <f>IF(SUMIFS(잔액_2023[결의금액],잔액_2023[통계목],$C15,잔액_2023[분류 항목],"토양수분량")=0,"",SUMIFS(잔액_2023[결의금액],잔액_2023[통계목],$C15,잔액_2023[분류 항목],"토양수분량"))</f>
        <v/>
      </c>
      <c r="J15" s="18"/>
      <c r="K15" s="12" t="str">
        <f>IF(SUMIFS(잔액_2024[결의금액],잔액_2024[통계목],$C15,잔액_2024[분류 항목],"토양수분량")=0,"",SUMIFS(잔액_2024[결의금액],잔액_2024[통계목],$C15,잔액_2024[분류 항목],"토양수분량"))</f>
        <v/>
      </c>
      <c r="L15" s="18"/>
      <c r="M15" s="12" t="str">
        <f>IF(SUMIFS(잔액_2025[결의금액],잔액_2025[통계목],$C15,잔액_2025[분류 항목],"토양수분량")=0,"",SUMIFS(잔액_2025[결의금액],잔액_2025[통계목],$C15,잔액_2025[분류 항목],"토양수분량"))</f>
        <v/>
      </c>
      <c r="N15" s="18"/>
      <c r="O15" s="9"/>
    </row>
    <row r="16" spans="2:15" ht="17.100000000000001" customHeight="1" x14ac:dyDescent="0.3">
      <c r="B16" s="51"/>
      <c r="C16" s="5" t="s">
        <v>27</v>
      </c>
      <c r="D16" s="9">
        <v>370000</v>
      </c>
      <c r="E16" s="12"/>
      <c r="F16" s="18">
        <v>1000000</v>
      </c>
      <c r="G16" s="12" t="str">
        <f>IF(SUMIFS(잔액_2022[결의금액],잔액_2022[통계목],$C16,잔액_2022[분류 항목],"토양수분량")=0,"",SUMIFS(잔액_2022[결의금액],잔액_2022[통계목],$C16,잔액_2022[분류 항목],"토양수분량"))</f>
        <v/>
      </c>
      <c r="H16" s="18">
        <v>1000000</v>
      </c>
      <c r="I16" s="12" t="str">
        <f>IF(SUMIFS(잔액_2023[결의금액],잔액_2023[통계목],$C16,잔액_2023[분류 항목],"토양수분량")=0,"",SUMIFS(잔액_2023[결의금액],잔액_2023[통계목],$C16,잔액_2023[분류 항목],"토양수분량"))</f>
        <v/>
      </c>
      <c r="J16" s="18">
        <v>960000</v>
      </c>
      <c r="K16" s="12" t="str">
        <f>IF(SUMIFS(잔액_2024[결의금액],잔액_2024[통계목],$C16,잔액_2024[분류 항목],"토양수분량")=0,"",SUMIFS(잔액_2024[결의금액],잔액_2024[통계목],$C16,잔액_2024[분류 항목],"토양수분량"))</f>
        <v/>
      </c>
      <c r="L16" s="18"/>
      <c r="M16" s="12" t="str">
        <f>IF(SUMIFS(잔액_2025[결의금액],잔액_2025[통계목],$C16,잔액_2025[분류 항목],"토양수분량")=0,"",SUMIFS(잔액_2025[결의금액],잔액_2025[통계목],$C16,잔액_2025[분류 항목],"토양수분량"))</f>
        <v/>
      </c>
      <c r="N16" s="18"/>
      <c r="O16" s="9"/>
    </row>
    <row r="17" spans="2:15" ht="17.100000000000001" customHeight="1" x14ac:dyDescent="0.3">
      <c r="B17" s="51"/>
      <c r="C17" s="5" t="s">
        <v>28</v>
      </c>
      <c r="D17" s="9"/>
      <c r="E17" s="12"/>
      <c r="F17" s="18">
        <v>4100000</v>
      </c>
      <c r="G17" s="12" t="str">
        <f>IF(SUMIFS(잔액_2022[결의금액],잔액_2022[통계목],$C17,잔액_2022[분류 항목],"토양수분량")=0,"",SUMIFS(잔액_2022[결의금액],잔액_2022[통계목],$C17,잔액_2022[분류 항목],"토양수분량"))</f>
        <v/>
      </c>
      <c r="H17" s="18">
        <v>22800000</v>
      </c>
      <c r="I17" s="12" t="str">
        <f>IF(SUMIFS(잔액_2023[결의금액],잔액_2023[통계목],$C17,잔액_2023[분류 항목],"토양수분량")=0,"",SUMIFS(잔액_2023[결의금액],잔액_2023[통계목],$C17,잔액_2023[분류 항목],"토양수분량"))</f>
        <v/>
      </c>
      <c r="J17" s="18">
        <v>11975000</v>
      </c>
      <c r="K17" s="12" t="str">
        <f>IF(SUMIFS(잔액_2024[결의금액],잔액_2024[통계목],$C17,잔액_2024[분류 항목],"토양수분량")=0,"",SUMIFS(잔액_2024[결의금액],잔액_2024[통계목],$C17,잔액_2024[분류 항목],"토양수분량"))</f>
        <v/>
      </c>
      <c r="L17" s="18">
        <v>8000000</v>
      </c>
      <c r="M17" s="12" t="str">
        <f>IF(SUMIFS(잔액_2025[결의금액],잔액_2025[통계목],$C17,잔액_2025[분류 항목],"토양수분량")=0,"",SUMIFS(잔액_2025[결의금액],잔액_2025[통계목],$C17,잔액_2025[분류 항목],"토양수분량"))</f>
        <v/>
      </c>
      <c r="N17" s="18">
        <v>3000000</v>
      </c>
      <c r="O17" s="9"/>
    </row>
    <row r="18" spans="2:15" ht="17.100000000000001" customHeight="1" x14ac:dyDescent="0.3">
      <c r="B18" s="51"/>
      <c r="C18" s="5" t="s">
        <v>29</v>
      </c>
      <c r="D18" s="9"/>
      <c r="E18" s="12"/>
      <c r="F18" s="18"/>
      <c r="G18" s="12" t="str">
        <f>IF(SUMIFS(잔액_2022[결의금액],잔액_2022[통계목],$C18,잔액_2022[분류 항목],"토양수분량")=0,"",SUMIFS(잔액_2022[결의금액],잔액_2022[통계목],$C18,잔액_2022[분류 항목],"토양수분량"))</f>
        <v/>
      </c>
      <c r="H18" s="18"/>
      <c r="I18" s="12" t="str">
        <f>IF(SUMIFS(잔액_2023[결의금액],잔액_2023[통계목],$C18,잔액_2023[분류 항목],"토양수분량")=0,"",SUMIFS(잔액_2023[결의금액],잔액_2023[통계목],$C18,잔액_2023[분류 항목],"토양수분량"))</f>
        <v/>
      </c>
      <c r="J18" s="18"/>
      <c r="K18" s="12" t="str">
        <f>IF(SUMIFS(잔액_2024[결의금액],잔액_2024[통계목],$C18,잔액_2024[분류 항목],"토양수분량")=0,"",SUMIFS(잔액_2024[결의금액],잔액_2024[통계목],$C18,잔액_2024[분류 항목],"토양수분량"))</f>
        <v/>
      </c>
      <c r="L18" s="18">
        <v>2000000</v>
      </c>
      <c r="M18" s="12" t="str">
        <f>IF(SUMIFS(잔액_2025[결의금액],잔액_2025[통계목],$C18,잔액_2025[분류 항목],"토양수분량")=0,"",SUMIFS(잔액_2025[결의금액],잔액_2025[통계목],$C18,잔액_2025[분류 항목],"토양수분량"))</f>
        <v/>
      </c>
      <c r="N18" s="18"/>
      <c r="O18" s="9"/>
    </row>
    <row r="19" spans="2:15" ht="17.100000000000001" customHeight="1" x14ac:dyDescent="0.3">
      <c r="B19" s="51"/>
      <c r="C19" s="5" t="s">
        <v>30</v>
      </c>
      <c r="D19" s="9"/>
      <c r="E19" s="12"/>
      <c r="F19" s="18"/>
      <c r="G19" s="12" t="str">
        <f>IF(SUMIFS(잔액_2022[결의금액],잔액_2022[통계목],$C19,잔액_2022[분류 항목],"토양수분량")=0,"",SUMIFS(잔액_2022[결의금액],잔액_2022[통계목],$C19,잔액_2022[분류 항목],"토양수분량"))</f>
        <v/>
      </c>
      <c r="H19" s="18"/>
      <c r="I19" s="12" t="str">
        <f>IF(SUMIFS(잔액_2023[결의금액],잔액_2023[통계목],$C19,잔액_2023[분류 항목],"토양수분량")=0,"",SUMIFS(잔액_2023[결의금액],잔액_2023[통계목],$C19,잔액_2023[분류 항목],"토양수분량"))</f>
        <v/>
      </c>
      <c r="J19" s="18"/>
      <c r="K19" s="12" t="str">
        <f>IF(SUMIFS(잔액_2024[결의금액],잔액_2024[통계목],$C19,잔액_2024[분류 항목],"토양수분량")=0,"",SUMIFS(잔액_2024[결의금액],잔액_2024[통계목],$C19,잔액_2024[분류 항목],"토양수분량"))</f>
        <v/>
      </c>
      <c r="L19" s="18"/>
      <c r="M19" s="12" t="str">
        <f>IF(SUMIFS(잔액_2025[결의금액],잔액_2025[통계목],$C19,잔액_2025[분류 항목],"토양수분량")=0,"",SUMIFS(잔액_2025[결의금액],잔액_2025[통계목],$C19,잔액_2025[분류 항목],"토양수분량"))</f>
        <v/>
      </c>
      <c r="N19" s="18"/>
      <c r="O19" s="9"/>
    </row>
    <row r="20" spans="2:15" ht="17.100000000000001" customHeight="1" x14ac:dyDescent="0.3">
      <c r="B20" s="51"/>
      <c r="C20" s="5" t="s">
        <v>31</v>
      </c>
      <c r="D20" s="9"/>
      <c r="E20" s="12"/>
      <c r="F20" s="18"/>
      <c r="G20" s="12" t="str">
        <f>IF(SUMIFS(잔액_2022[결의금액],잔액_2022[통계목],$C20,잔액_2022[분류 항목],"토양수분량")=0,"",SUMIFS(잔액_2022[결의금액],잔액_2022[통계목],$C20,잔액_2022[분류 항목],"토양수분량"))</f>
        <v/>
      </c>
      <c r="H20" s="18"/>
      <c r="I20" s="12" t="str">
        <f>IF(SUMIFS(잔액_2023[결의금액],잔액_2023[통계목],$C20,잔액_2023[분류 항목],"토양수분량")=0,"",SUMIFS(잔액_2023[결의금액],잔액_2023[통계목],$C20,잔액_2023[분류 항목],"토양수분량"))</f>
        <v/>
      </c>
      <c r="J20" s="18"/>
      <c r="K20" s="12" t="str">
        <f>IF(SUMIFS(잔액_2024[결의금액],잔액_2024[통계목],$C20,잔액_2024[분류 항목],"토양수분량")=0,"",SUMIFS(잔액_2024[결의금액],잔액_2024[통계목],$C20,잔액_2024[분류 항목],"토양수분량"))</f>
        <v/>
      </c>
      <c r="L20" s="18"/>
      <c r="M20" s="12" t="str">
        <f>IF(SUMIFS(잔액_2025[결의금액],잔액_2025[통계목],$C20,잔액_2025[분류 항목],"토양수분량")=0,"",SUMIFS(잔액_2025[결의금액],잔액_2025[통계목],$C20,잔액_2025[분류 항목],"토양수분량"))</f>
        <v/>
      </c>
      <c r="N20" s="18"/>
      <c r="O20" s="9"/>
    </row>
    <row r="21" spans="2:15" ht="17.100000000000001" customHeight="1" x14ac:dyDescent="0.3">
      <c r="B21" s="51"/>
      <c r="C21" s="5" t="s">
        <v>32</v>
      </c>
      <c r="D21" s="9"/>
      <c r="E21" s="12"/>
      <c r="F21" s="18"/>
      <c r="G21" s="12" t="str">
        <f>IF(SUMIFS(잔액_2022[결의금액],잔액_2022[통계목],$C21,잔액_2022[분류 항목],"토양수분량")=0,"",SUMIFS(잔액_2022[결의금액],잔액_2022[통계목],$C21,잔액_2022[분류 항목],"토양수분량"))</f>
        <v/>
      </c>
      <c r="H21" s="18"/>
      <c r="I21" s="12" t="str">
        <f>IF(SUMIFS(잔액_2023[결의금액],잔액_2023[통계목],$C21,잔액_2023[분류 항목],"토양수분량")=0,"",SUMIFS(잔액_2023[결의금액],잔액_2023[통계목],$C21,잔액_2023[분류 항목],"토양수분량"))</f>
        <v/>
      </c>
      <c r="J21" s="18"/>
      <c r="K21" s="12" t="str">
        <f>IF(SUMIFS(잔액_2024[결의금액],잔액_2024[통계목],$C21,잔액_2024[분류 항목],"토양수분량")=0,"",SUMIFS(잔액_2024[결의금액],잔액_2024[통계목],$C21,잔액_2024[분류 항목],"토양수분량"))</f>
        <v/>
      </c>
      <c r="L21" s="18"/>
      <c r="M21" s="12" t="str">
        <f>IF(SUMIFS(잔액_2025[결의금액],잔액_2025[통계목],$C21,잔액_2025[분류 항목],"토양수분량")=0,"",SUMIFS(잔액_2025[결의금액],잔액_2025[통계목],$C21,잔액_2025[분류 항목],"토양수분량"))</f>
        <v/>
      </c>
      <c r="N21" s="18"/>
      <c r="O21" s="9"/>
    </row>
    <row r="22" spans="2:15" ht="17.100000000000001" customHeight="1" x14ac:dyDescent="0.3">
      <c r="B22" s="51"/>
      <c r="C22" s="6" t="s">
        <v>33</v>
      </c>
      <c r="D22" s="10"/>
      <c r="E22" s="13"/>
      <c r="F22" s="19"/>
      <c r="G22" s="13" t="str">
        <f>IF(SUMIFS(잔액_2022[결의금액],잔액_2022[통계목],$C22,잔액_2022[분류 항목],"토양수분량")=0,"",SUMIFS(잔액_2022[결의금액],잔액_2022[통계목],$C22,잔액_2022[분류 항목],"토양수분량"))</f>
        <v/>
      </c>
      <c r="H22" s="19"/>
      <c r="I22" s="13" t="str">
        <f>IF(SUMIFS(잔액_2023[결의금액],잔액_2023[통계목],$C22,잔액_2023[분류 항목],"토양수분량")=0,"",SUMIFS(잔액_2023[결의금액],잔액_2023[통계목],$C22,잔액_2023[분류 항목],"토양수분량"))</f>
        <v/>
      </c>
      <c r="J22" s="19"/>
      <c r="K22" s="13" t="str">
        <f>IF(SUMIFS(잔액_2024[결의금액],잔액_2024[통계목],$C22,잔액_2024[분류 항목],"토양수분량")=0,"",SUMIFS(잔액_2024[결의금액],잔액_2024[통계목],$C22,잔액_2024[분류 항목],"토양수분량"))</f>
        <v/>
      </c>
      <c r="L22" s="19"/>
      <c r="M22" s="13" t="str">
        <f>IF(SUMIFS(잔액_2025[결의금액],잔액_2025[통계목],$C22,잔액_2025[분류 항목],"토양수분량")=0,"",SUMIFS(잔액_2025[결의금액],잔액_2025[통계목],$C22,잔액_2025[분류 항목],"토양수분량"))</f>
        <v/>
      </c>
      <c r="N22" s="19"/>
      <c r="O22" s="10"/>
    </row>
    <row r="23" spans="2:15" ht="17.100000000000001" customHeight="1" x14ac:dyDescent="0.3">
      <c r="B23" s="51" t="s">
        <v>34</v>
      </c>
      <c r="C23" s="21" t="s">
        <v>16</v>
      </c>
      <c r="D23" s="23">
        <f>SUM(D24:D25)</f>
        <v>3268500</v>
      </c>
      <c r="E23" s="24">
        <f>SUM(E24:E25)</f>
        <v>0</v>
      </c>
      <c r="F23" s="22">
        <f t="shared" ref="F23" si="12">SUM(F24:F25)</f>
        <v>6000000</v>
      </c>
      <c r="G23" s="24">
        <f>SUM(G24:G25)</f>
        <v>0</v>
      </c>
      <c r="H23" s="22">
        <f t="shared" ref="H23" si="13">SUM(H24:H25)</f>
        <v>5960000</v>
      </c>
      <c r="I23" s="24">
        <f>SUM(I24:I25)</f>
        <v>0</v>
      </c>
      <c r="J23" s="22">
        <f t="shared" ref="J23" si="14">SUM(J24:J25)</f>
        <v>8440000</v>
      </c>
      <c r="K23" s="24">
        <f>SUM(K24:K25)</f>
        <v>0</v>
      </c>
      <c r="L23" s="22">
        <f t="shared" ref="L23" si="15">SUM(L24:L25)</f>
        <v>10000000</v>
      </c>
      <c r="M23" s="24">
        <f>SUM(M24:M25)</f>
        <v>0</v>
      </c>
      <c r="N23" s="17">
        <f t="shared" ref="N23" si="16">SUM(N24:N25)</f>
        <v>9000000</v>
      </c>
      <c r="O23" s="23">
        <f>SUM(O24:O25)</f>
        <v>0</v>
      </c>
    </row>
    <row r="24" spans="2:15" ht="17.100000000000001" customHeight="1" x14ac:dyDescent="0.3">
      <c r="B24" s="51"/>
      <c r="C24" s="5" t="s">
        <v>35</v>
      </c>
      <c r="D24" s="9">
        <v>3268500</v>
      </c>
      <c r="E24" s="12"/>
      <c r="F24" s="18">
        <v>6000000</v>
      </c>
      <c r="G24" s="12" t="str">
        <f>IF(SUMIFS(잔액_2022[결의금액],잔액_2022[통계목],$C24,잔액_2022[분류 항목],"토양수분량")=0,"",SUMIFS(잔액_2022[결의금액],잔액_2022[통계목],$C24,잔액_2022[분류 항목],"토양수분량"))</f>
        <v/>
      </c>
      <c r="H24" s="18">
        <v>5960000</v>
      </c>
      <c r="I24" s="12" t="str">
        <f>IF(SUMIFS(잔액_2023[결의금액],잔액_2023[통계목],$C24,잔액_2023[분류 항목],"토양수분량")=0,"",SUMIFS(잔액_2023[결의금액],잔액_2023[통계목],$C24,잔액_2023[분류 항목],"토양수분량"))</f>
        <v/>
      </c>
      <c r="J24" s="18">
        <v>8440000</v>
      </c>
      <c r="K24" s="12" t="str">
        <f>IF(SUMIFS(잔액_2024[결의금액],잔액_2024[통계목],$C24,잔액_2024[분류 항목],"토양수분량")=0,"",SUMIFS(잔액_2024[결의금액],잔액_2024[통계목],$C24,잔액_2024[분류 항목],"토양수분량"))</f>
        <v/>
      </c>
      <c r="L24" s="18">
        <v>10000000</v>
      </c>
      <c r="M24" s="12" t="str">
        <f>IF(SUMIFS(잔액_2025[결의금액],잔액_2025[통계목],$C24,잔액_2025[분류 항목],"토양수분량")=0,"",SUMIFS(잔액_2025[결의금액],잔액_2025[통계목],$C24,잔액_2025[분류 항목],"토양수분량"))</f>
        <v/>
      </c>
      <c r="N24" s="18">
        <v>9000000</v>
      </c>
      <c r="O24" s="9"/>
    </row>
    <row r="25" spans="2:15" ht="17.100000000000001" customHeight="1" x14ac:dyDescent="0.3">
      <c r="B25" s="51"/>
      <c r="C25" s="6" t="s">
        <v>36</v>
      </c>
      <c r="D25" s="10"/>
      <c r="E25" s="13"/>
      <c r="F25" s="19"/>
      <c r="G25" s="13" t="str">
        <f>IF(SUMIFS(잔액_2022[결의금액],잔액_2022[통계목],$C25,잔액_2022[분류 항목],"토양수분량")=0,"",SUMIFS(잔액_2022[결의금액],잔액_2022[통계목],$C25,잔액_2022[분류 항목],"토양수분량"))</f>
        <v/>
      </c>
      <c r="H25" s="19"/>
      <c r="I25" s="13" t="str">
        <f>IF(SUMIFS(잔액_2023[결의금액],잔액_2023[통계목],$C25,잔액_2023[분류 항목],"토양수분량")=0,"",SUMIFS(잔액_2023[결의금액],잔액_2023[통계목],$C25,잔액_2023[분류 항목],"토양수분량"))</f>
        <v/>
      </c>
      <c r="J25" s="19"/>
      <c r="K25" s="13" t="str">
        <f>IF(SUMIFS(잔액_2024[결의금액],잔액_2024[통계목],$C25,잔액_2024[분류 항목],"토양수분량")=0,"",SUMIFS(잔액_2024[결의금액],잔액_2024[통계목],$C25,잔액_2024[분류 항목],"토양수분량"))</f>
        <v/>
      </c>
      <c r="L25" s="19"/>
      <c r="M25" s="13" t="str">
        <f>IF(SUMIFS(잔액_2025[결의금액],잔액_2025[통계목],$C25,잔액_2025[분류 항목],"토양수분량")=0,"",SUMIFS(잔액_2025[결의금액],잔액_2025[통계목],$C25,잔액_2025[분류 항목],"토양수분량"))</f>
        <v/>
      </c>
      <c r="N25" s="19"/>
      <c r="O25" s="10"/>
    </row>
    <row r="26" spans="2:15" ht="17.100000000000001" customHeight="1" x14ac:dyDescent="0.3">
      <c r="B26" s="51" t="s">
        <v>37</v>
      </c>
      <c r="C26" s="21" t="s">
        <v>16</v>
      </c>
      <c r="D26" s="23">
        <f>SUM(D27:D28)</f>
        <v>0</v>
      </c>
      <c r="E26" s="24">
        <f>SUM(E27:E28)</f>
        <v>0</v>
      </c>
      <c r="F26" s="22">
        <f t="shared" ref="F26" si="17">SUM(F27:F28)</f>
        <v>0</v>
      </c>
      <c r="G26" s="24">
        <f>SUM(G27:G28)</f>
        <v>0</v>
      </c>
      <c r="H26" s="22">
        <f t="shared" ref="H26" si="18">SUM(H27:H28)</f>
        <v>0</v>
      </c>
      <c r="I26" s="24">
        <f>SUM(I27:I28)</f>
        <v>0</v>
      </c>
      <c r="J26" s="22">
        <f t="shared" ref="J26" si="19">SUM(J27:J28)</f>
        <v>0</v>
      </c>
      <c r="K26" s="24">
        <f>SUM(K27:K28)</f>
        <v>0</v>
      </c>
      <c r="L26" s="22">
        <f t="shared" ref="L26" si="20">SUM(L27:L28)</f>
        <v>0</v>
      </c>
      <c r="M26" s="24">
        <f>SUM(M27:M28)</f>
        <v>0</v>
      </c>
      <c r="N26" s="17">
        <f t="shared" ref="N26" si="21">SUM(N27:N28)</f>
        <v>0</v>
      </c>
      <c r="O26" s="23">
        <f>SUM(O27:O28)</f>
        <v>0</v>
      </c>
    </row>
    <row r="27" spans="2:15" ht="17.100000000000001" customHeight="1" x14ac:dyDescent="0.3">
      <c r="B27" s="51"/>
      <c r="C27" s="5" t="s">
        <v>38</v>
      </c>
      <c r="D27" s="9"/>
      <c r="E27" s="12"/>
      <c r="F27" s="18"/>
      <c r="G27" s="12" t="str">
        <f>IF(SUMIFS(잔액_2022[결의금액],잔액_2022[통계목],$C27,잔액_2022[분류 항목],"토양수분량")=0,"",SUMIFS(잔액_2022[결의금액],잔액_2022[통계목],$C27,잔액_2022[분류 항목],"토양수분량"))</f>
        <v/>
      </c>
      <c r="H27" s="18"/>
      <c r="I27" s="12" t="str">
        <f>IF(SUMIFS(잔액_2023[결의금액],잔액_2023[통계목],$C27,잔액_2023[분류 항목],"토양수분량")=0,"",SUMIFS(잔액_2023[결의금액],잔액_2023[통계목],$C27,잔액_2023[분류 항목],"토양수분량"))</f>
        <v/>
      </c>
      <c r="J27" s="18"/>
      <c r="K27" s="12" t="str">
        <f>IF(SUMIFS(잔액_2024[결의금액],잔액_2024[통계목],$C27,잔액_2024[분류 항목],"토양수분량")=0,"",SUMIFS(잔액_2024[결의금액],잔액_2024[통계목],$C27,잔액_2024[분류 항목],"토양수분량"))</f>
        <v/>
      </c>
      <c r="L27" s="18"/>
      <c r="M27" s="12" t="str">
        <f>IF(SUMIFS(잔액_2025[결의금액],잔액_2025[통계목],$C27,잔액_2025[분류 항목],"토양수분량")=0,"",SUMIFS(잔액_2025[결의금액],잔액_2025[통계목],$C27,잔액_2025[분류 항목],"토양수분량"))</f>
        <v/>
      </c>
      <c r="N27" s="18"/>
      <c r="O27" s="9"/>
    </row>
    <row r="28" spans="2:15" ht="17.100000000000001" customHeight="1" x14ac:dyDescent="0.3">
      <c r="B28" s="51"/>
      <c r="C28" s="6" t="s">
        <v>39</v>
      </c>
      <c r="D28" s="10"/>
      <c r="E28" s="13"/>
      <c r="F28" s="19"/>
      <c r="G28" s="13" t="str">
        <f>IF(SUMIFS(잔액_2022[결의금액],잔액_2022[통계목],$C28,잔액_2022[분류 항목],"토양수분량")=0,"",SUMIFS(잔액_2022[결의금액],잔액_2022[통계목],$C28,잔액_2022[분류 항목],"토양수분량"))</f>
        <v/>
      </c>
      <c r="H28" s="19"/>
      <c r="I28" s="13" t="str">
        <f>IF(SUMIFS(잔액_2023[결의금액],잔액_2023[통계목],$C28,잔액_2023[분류 항목],"토양수분량")=0,"",SUMIFS(잔액_2023[결의금액],잔액_2023[통계목],$C28,잔액_2023[분류 항목],"토양수분량"))</f>
        <v/>
      </c>
      <c r="J28" s="19"/>
      <c r="K28" s="13" t="str">
        <f>IF(SUMIFS(잔액_2024[결의금액],잔액_2024[통계목],$C28,잔액_2024[분류 항목],"토양수분량")=0,"",SUMIFS(잔액_2024[결의금액],잔액_2024[통계목],$C28,잔액_2024[분류 항목],"토양수분량"))</f>
        <v/>
      </c>
      <c r="L28" s="19"/>
      <c r="M28" s="13" t="str">
        <f>IF(SUMIFS(잔액_2025[결의금액],잔액_2025[통계목],$C28,잔액_2025[분류 항목],"토양수분량")=0,"",SUMIFS(잔액_2025[결의금액],잔액_2025[통계목],$C28,잔액_2025[분류 항목],"토양수분량"))</f>
        <v/>
      </c>
      <c r="N28" s="19"/>
      <c r="O28" s="10"/>
    </row>
    <row r="29" spans="2:15" ht="17.100000000000001" customHeight="1" x14ac:dyDescent="0.3">
      <c r="B29" s="51" t="s">
        <v>40</v>
      </c>
      <c r="C29" s="21" t="s">
        <v>16</v>
      </c>
      <c r="D29" s="23">
        <f>SUM(D30:D31)</f>
        <v>0</v>
      </c>
      <c r="E29" s="24">
        <f>SUM(E30:E31)</f>
        <v>0</v>
      </c>
      <c r="F29" s="22">
        <f t="shared" ref="F29" si="22">SUM(F30:F31)</f>
        <v>0</v>
      </c>
      <c r="G29" s="24">
        <f>SUM(G30:G31)</f>
        <v>0</v>
      </c>
      <c r="H29" s="22">
        <f t="shared" ref="H29" si="23">SUM(H30:H31)</f>
        <v>0</v>
      </c>
      <c r="I29" s="24">
        <f>SUM(I30:I31)</f>
        <v>0</v>
      </c>
      <c r="J29" s="22">
        <f t="shared" ref="J29" si="24">SUM(J30:J31)</f>
        <v>0</v>
      </c>
      <c r="K29" s="24">
        <f>SUM(K30:K31)</f>
        <v>17392120</v>
      </c>
      <c r="L29" s="22">
        <f t="shared" ref="L29" si="25">SUM(L30:L31)</f>
        <v>0</v>
      </c>
      <c r="M29" s="24">
        <f>SUM(M30:M31)</f>
        <v>28461330</v>
      </c>
      <c r="N29" s="17">
        <f t="shared" ref="N29" si="26">SUM(N30:N31)</f>
        <v>0</v>
      </c>
      <c r="O29" s="23">
        <f>SUM(O30:O31)</f>
        <v>0</v>
      </c>
    </row>
    <row r="30" spans="2:15" ht="17.100000000000001" customHeight="1" x14ac:dyDescent="0.3">
      <c r="B30" s="51"/>
      <c r="C30" s="5" t="s">
        <v>41</v>
      </c>
      <c r="D30" s="9"/>
      <c r="E30" s="12"/>
      <c r="F30" s="18"/>
      <c r="G30" s="12" t="str">
        <f>IF(SUMIFS(잔액_2022[결의금액],잔액_2022[통계목],$C30,잔액_2022[분류 항목],"토양수분량")=0,"",SUMIFS(잔액_2022[결의금액],잔액_2022[통계목],$C30,잔액_2022[분류 항목],"토양수분량"))</f>
        <v/>
      </c>
      <c r="H30" s="18"/>
      <c r="I30" s="12" t="str">
        <f t="array" ref="I30">IFERROR(INDEX(잔액_2023[결의금액],MATCH(1,(잔액_2023[통계목]=$C30)*(잔액_2023[분류 항목]="토양수분량"),0)),"")</f>
        <v/>
      </c>
      <c r="J30" s="18"/>
      <c r="K30" s="12">
        <f>IF(SUMIFS(잔액_2024[결의금액],잔액_2024[통계목],$C30,잔액_2024[분류 항목],"토양수분량")=0,"",SUMIFS(잔액_2024[결의금액],잔액_2024[통계목],$C30,잔액_2024[분류 항목],"토양수분량"))</f>
        <v>17392120</v>
      </c>
      <c r="L30" s="18"/>
      <c r="M30" s="12">
        <f>IF(SUMIFS(잔액_2025[결의금액],잔액_2025[통계목],$C30,잔액_2025[분류 항목],"토양수분량")=0,"",SUMIFS(잔액_2025[결의금액],잔액_2025[통계목],$C30,잔액_2025[분류 항목],"토양수분량"))</f>
        <v>28461330</v>
      </c>
      <c r="N30" s="18"/>
      <c r="O30" s="9"/>
    </row>
    <row r="31" spans="2:15" ht="17.100000000000001" customHeight="1" x14ac:dyDescent="0.3">
      <c r="B31" s="51"/>
      <c r="C31" s="6" t="s">
        <v>42</v>
      </c>
      <c r="D31" s="10"/>
      <c r="E31" s="13"/>
      <c r="F31" s="19"/>
      <c r="G31" s="13" t="str">
        <f>IF(SUMIFS(잔액_2022[결의금액],잔액_2022[통계목],$C31,잔액_2022[분류 항목],"토양수분량")=0,"",SUMIFS(잔액_2022[결의금액],잔액_2022[통계목],$C31,잔액_2022[분류 항목],"토양수분량"))</f>
        <v/>
      </c>
      <c r="H31" s="19"/>
      <c r="I31" s="13" t="str">
        <f>IF(SUMIFS(잔액_2023[결의금액],잔액_2023[통계목],$C31,잔액_2023[분류 항목],"토양수분량")=0,"",SUMIFS(잔액_2023[결의금액],잔액_2023[통계목],$C31,잔액_2023[분류 항목],"토양수분량"))</f>
        <v/>
      </c>
      <c r="J31" s="19"/>
      <c r="K31" s="13" t="str">
        <f>IF(SUMIFS(잔액_2024[결의금액],잔액_2024[통계목],$C31,잔액_2024[분류 항목],"토양수분량")=0,"",SUMIFS(잔액_2024[결의금액],잔액_2024[통계목],$C31,잔액_2024[분류 항목],"토양수분량"))</f>
        <v/>
      </c>
      <c r="L31" s="19"/>
      <c r="M31" s="13" t="str">
        <f>IF(SUMIFS(잔액_2025[결의금액],잔액_2025[통계목],$C31,잔액_2025[분류 항목],"토양수분량")=0,"",SUMIFS(잔액_2025[결의금액],잔액_2025[통계목],$C31,잔액_2025[분류 항목],"토양수분량"))</f>
        <v/>
      </c>
      <c r="N31" s="19"/>
      <c r="O31" s="10"/>
    </row>
    <row r="32" spans="2:15" ht="17.100000000000001" customHeight="1" x14ac:dyDescent="0.3">
      <c r="B32" s="51" t="s">
        <v>43</v>
      </c>
      <c r="C32" s="21" t="s">
        <v>16</v>
      </c>
      <c r="D32" s="23">
        <f>D33</f>
        <v>0</v>
      </c>
      <c r="E32" s="24">
        <f>E33</f>
        <v>0</v>
      </c>
      <c r="F32" s="22">
        <f t="shared" ref="F32" si="27">F33</f>
        <v>0</v>
      </c>
      <c r="G32" s="24" t="str">
        <f>G33</f>
        <v/>
      </c>
      <c r="H32" s="22">
        <f t="shared" ref="H32" si="28">H33</f>
        <v>0</v>
      </c>
      <c r="I32" s="24" t="str">
        <f>I33</f>
        <v/>
      </c>
      <c r="J32" s="22">
        <f t="shared" ref="J32" si="29">J33</f>
        <v>0</v>
      </c>
      <c r="K32" s="24" t="str">
        <f>K33</f>
        <v/>
      </c>
      <c r="L32" s="22">
        <f t="shared" ref="L32" si="30">L33</f>
        <v>0</v>
      </c>
      <c r="M32" s="24" t="str">
        <f>M33</f>
        <v/>
      </c>
      <c r="N32" s="17">
        <f t="shared" ref="N32" si="31">N33</f>
        <v>0</v>
      </c>
      <c r="O32" s="23">
        <f>O33</f>
        <v>0</v>
      </c>
    </row>
    <row r="33" spans="2:15" ht="17.100000000000001" customHeight="1" x14ac:dyDescent="0.3">
      <c r="B33" s="51"/>
      <c r="C33" s="6" t="s">
        <v>44</v>
      </c>
      <c r="D33" s="10"/>
      <c r="E33" s="13"/>
      <c r="F33" s="19"/>
      <c r="G33" s="13" t="str">
        <f>IF(SUMIFS(잔액_2022[결의금액],잔액_2022[통계목],$C33,잔액_2022[분류 항목],"토양수분량")=0,"",SUMIFS(잔액_2022[결의금액],잔액_2022[통계목],$C33,잔액_2022[분류 항목],"토양수분량"))</f>
        <v/>
      </c>
      <c r="H33" s="19"/>
      <c r="I33" s="13" t="str">
        <f>IF(SUMIFS(잔액_2023[결의금액],잔액_2023[통계목],$C33,잔액_2023[분류 항목],"토양수분량")=0,"",SUMIFS(잔액_2023[결의금액],잔액_2023[통계목],$C33,잔액_2023[분류 항목],"토양수분량"))</f>
        <v/>
      </c>
      <c r="J33" s="19"/>
      <c r="K33" s="13" t="str">
        <f>IF(SUMIFS(잔액_2024[결의금액],잔액_2024[통계목],$C33,잔액_2024[분류 항목],"토양수분량")=0,"",SUMIFS(잔액_2024[결의금액],잔액_2024[통계목],$C33,잔액_2024[분류 항목],"토양수분량"))</f>
        <v/>
      </c>
      <c r="L33" s="19"/>
      <c r="M33" s="13" t="str">
        <f>IF(SUMIFS(잔액_2025[결의금액],잔액_2025[통계목],$C33,잔액_2025[분류 항목],"토양수분량")=0,"",SUMIFS(잔액_2025[결의금액],잔액_2025[통계목],$C33,잔액_2025[분류 항목],"토양수분량"))</f>
        <v/>
      </c>
      <c r="N33" s="19"/>
      <c r="O33" s="10"/>
    </row>
    <row r="34" spans="2:15" ht="17.100000000000001" customHeight="1" x14ac:dyDescent="0.3">
      <c r="B34" s="51" t="s">
        <v>45</v>
      </c>
      <c r="C34" s="21" t="s">
        <v>16</v>
      </c>
      <c r="D34" s="23">
        <f>SUM(D35:D39)</f>
        <v>0</v>
      </c>
      <c r="E34" s="24">
        <f>SUM(E35:E39)</f>
        <v>0</v>
      </c>
      <c r="F34" s="22">
        <f t="shared" ref="F34" si="32">SUM(F35:F39)</f>
        <v>0</v>
      </c>
      <c r="G34" s="24">
        <f>SUM(G35:G39)</f>
        <v>0</v>
      </c>
      <c r="H34" s="22">
        <f t="shared" ref="H34" si="33">SUM(H35:H39)</f>
        <v>0</v>
      </c>
      <c r="I34" s="24">
        <f>SUM(I35:I39)</f>
        <v>0</v>
      </c>
      <c r="J34" s="22">
        <f t="shared" ref="J34" si="34">SUM(J35:J39)</f>
        <v>0</v>
      </c>
      <c r="K34" s="24">
        <f>SUM(K35:K39)</f>
        <v>0</v>
      </c>
      <c r="L34" s="22">
        <f t="shared" ref="L34" si="35">SUM(L35:L39)</f>
        <v>0</v>
      </c>
      <c r="M34" s="24">
        <f>SUM(M35:M39)</f>
        <v>0</v>
      </c>
      <c r="N34" s="17">
        <f t="shared" ref="N34" si="36">SUM(N35:N39)</f>
        <v>0</v>
      </c>
      <c r="O34" s="23">
        <f>SUM(O35:O39)</f>
        <v>0</v>
      </c>
    </row>
    <row r="35" spans="2:15" ht="17.100000000000001" customHeight="1" x14ac:dyDescent="0.3">
      <c r="B35" s="51"/>
      <c r="C35" s="5" t="s">
        <v>46</v>
      </c>
      <c r="D35" s="9"/>
      <c r="E35" s="12"/>
      <c r="F35" s="18"/>
      <c r="G35" s="12" t="str">
        <f>IF(SUMIFS(잔액_2022[결의금액],잔액_2022[통계목],$C35,잔액_2022[분류 항목],"토양수분량")=0,"",SUMIFS(잔액_2022[결의금액],잔액_2022[통계목],$C35,잔액_2022[분류 항목],"토양수분량"))</f>
        <v/>
      </c>
      <c r="H35" s="18"/>
      <c r="I35" s="12" t="str">
        <f>IF(SUMIFS(잔액_2023[결의금액],잔액_2023[통계목],$C35,잔액_2023[분류 항목],"토양수분량")=0,"",SUMIFS(잔액_2023[결의금액],잔액_2023[통계목],$C35,잔액_2023[분류 항목],"토양수분량"))</f>
        <v/>
      </c>
      <c r="J35" s="18"/>
      <c r="K35" s="12" t="str">
        <f>IF(SUMIFS(잔액_2024[결의금액],잔액_2024[통계목],$C35,잔액_2024[분류 항목],"토양수분량")=0,"",SUMIFS(잔액_2024[결의금액],잔액_2024[통계목],$C35,잔액_2024[분류 항목],"토양수분량"))</f>
        <v/>
      </c>
      <c r="L35" s="18"/>
      <c r="M35" s="12" t="str">
        <f>IF(SUMIFS(잔액_2025[결의금액],잔액_2025[통계목],$C35,잔액_2025[분류 항목],"토양수분량")=0,"",SUMIFS(잔액_2025[결의금액],잔액_2025[통계목],$C35,잔액_2025[분류 항목],"토양수분량"))</f>
        <v/>
      </c>
      <c r="N35" s="18"/>
      <c r="O35" s="9"/>
    </row>
    <row r="36" spans="2:15" ht="17.100000000000001" customHeight="1" x14ac:dyDescent="0.3">
      <c r="B36" s="51"/>
      <c r="C36" s="5" t="s">
        <v>47</v>
      </c>
      <c r="D36" s="9"/>
      <c r="E36" s="12"/>
      <c r="F36" s="18"/>
      <c r="G36" s="12" t="str">
        <f>IF(SUMIFS(잔액_2022[결의금액],잔액_2022[통계목],$C36,잔액_2022[분류 항목],"토양수분량")=0,"",SUMIFS(잔액_2022[결의금액],잔액_2022[통계목],$C36,잔액_2022[분류 항목],"토양수분량"))</f>
        <v/>
      </c>
      <c r="H36" s="18"/>
      <c r="I36" s="12" t="str">
        <f>IF(SUMIFS(잔액_2023[결의금액],잔액_2023[통계목],$C36,잔액_2023[분류 항목],"토양수분량")=0,"",SUMIFS(잔액_2023[결의금액],잔액_2023[통계목],$C36,잔액_2023[분류 항목],"토양수분량"))</f>
        <v/>
      </c>
      <c r="J36" s="18"/>
      <c r="K36" s="12" t="str">
        <f>IF(SUMIFS(잔액_2024[결의금액],잔액_2024[통계목],$C36,잔액_2024[분류 항목],"토양수분량")=0,"",SUMIFS(잔액_2024[결의금액],잔액_2024[통계목],$C36,잔액_2024[분류 항목],"토양수분량"))</f>
        <v/>
      </c>
      <c r="L36" s="18"/>
      <c r="M36" s="12" t="str">
        <f>IF(SUMIFS(잔액_2025[결의금액],잔액_2025[통계목],$C36,잔액_2025[분류 항목],"토양수분량")=0,"",SUMIFS(잔액_2025[결의금액],잔액_2025[통계목],$C36,잔액_2025[분류 항목],"토양수분량"))</f>
        <v/>
      </c>
      <c r="N36" s="18"/>
      <c r="O36" s="9"/>
    </row>
    <row r="37" spans="2:15" ht="17.100000000000001" customHeight="1" x14ac:dyDescent="0.3">
      <c r="B37" s="51"/>
      <c r="C37" s="5" t="s">
        <v>48</v>
      </c>
      <c r="D37" s="9"/>
      <c r="E37" s="12"/>
      <c r="F37" s="18"/>
      <c r="G37" s="12" t="str">
        <f>IF(SUMIFS(잔액_2022[결의금액],잔액_2022[통계목],$C37,잔액_2022[분류 항목],"토양수분량")=0,"",SUMIFS(잔액_2022[결의금액],잔액_2022[통계목],$C37,잔액_2022[분류 항목],"토양수분량"))</f>
        <v/>
      </c>
      <c r="H37" s="18"/>
      <c r="I37" s="12" t="str">
        <f>IF(SUMIFS(잔액_2023[결의금액],잔액_2023[통계목],$C37,잔액_2023[분류 항목],"토양수분량")=0,"",SUMIFS(잔액_2023[결의금액],잔액_2023[통계목],$C37,잔액_2023[분류 항목],"토양수분량"))</f>
        <v/>
      </c>
      <c r="J37" s="18"/>
      <c r="K37" s="12" t="str">
        <f>IF(SUMIFS(잔액_2024[결의금액],잔액_2024[통계목],$C37,잔액_2024[분류 항목],"토양수분량")=0,"",SUMIFS(잔액_2024[결의금액],잔액_2024[통계목],$C37,잔액_2024[분류 항목],"토양수분량"))</f>
        <v/>
      </c>
      <c r="L37" s="18"/>
      <c r="M37" s="12" t="str">
        <f>IF(SUMIFS(잔액_2025[결의금액],잔액_2025[통계목],$C37,잔액_2025[분류 항목],"토양수분량")=0,"",SUMIFS(잔액_2025[결의금액],잔액_2025[통계목],$C37,잔액_2025[분류 항목],"토양수분량"))</f>
        <v/>
      </c>
      <c r="N37" s="18"/>
      <c r="O37" s="9"/>
    </row>
    <row r="38" spans="2:15" ht="17.100000000000001" customHeight="1" x14ac:dyDescent="0.3">
      <c r="B38" s="51"/>
      <c r="C38" s="5" t="s">
        <v>49</v>
      </c>
      <c r="D38" s="9"/>
      <c r="E38" s="12"/>
      <c r="F38" s="18"/>
      <c r="G38" s="12" t="str">
        <f>IF(SUMIFS(잔액_2022[결의금액],잔액_2022[통계목],$C38,잔액_2022[분류 항목],"토양수분량")=0,"",SUMIFS(잔액_2022[결의금액],잔액_2022[통계목],$C38,잔액_2022[분류 항목],"토양수분량"))</f>
        <v/>
      </c>
      <c r="H38" s="18"/>
      <c r="I38" s="12" t="str">
        <f>IF(SUMIFS(잔액_2023[결의금액],잔액_2023[통계목],$C38,잔액_2023[분류 항목],"토양수분량")=0,"",SUMIFS(잔액_2023[결의금액],잔액_2023[통계목],$C38,잔액_2023[분류 항목],"토양수분량"))</f>
        <v/>
      </c>
      <c r="J38" s="18"/>
      <c r="K38" s="12" t="str">
        <f>IF(SUMIFS(잔액_2024[결의금액],잔액_2024[통계목],$C38,잔액_2024[분류 항목],"토양수분량")=0,"",SUMIFS(잔액_2024[결의금액],잔액_2024[통계목],$C38,잔액_2024[분류 항목],"토양수분량"))</f>
        <v/>
      </c>
      <c r="L38" s="18"/>
      <c r="M38" s="12" t="str">
        <f>IF(SUMIFS(잔액_2025[결의금액],잔액_2025[통계목],$C38,잔액_2025[분류 항목],"토양수분량")=0,"",SUMIFS(잔액_2025[결의금액],잔액_2025[통계목],$C38,잔액_2025[분류 항목],"토양수분량"))</f>
        <v/>
      </c>
      <c r="N38" s="18"/>
      <c r="O38" s="9"/>
    </row>
    <row r="39" spans="2:15" ht="17.100000000000001" customHeight="1" x14ac:dyDescent="0.3">
      <c r="B39" s="51"/>
      <c r="C39" s="6" t="s">
        <v>50</v>
      </c>
      <c r="D39" s="10"/>
      <c r="E39" s="13"/>
      <c r="F39" s="19"/>
      <c r="G39" s="13" t="str">
        <f>IF(SUMIFS(잔액_2022[결의금액],잔액_2022[통계목],$C39,잔액_2022[분류 항목],"토양수분량")=0,"",SUMIFS(잔액_2022[결의금액],잔액_2022[통계목],$C39,잔액_2022[분류 항목],"토양수분량"))</f>
        <v/>
      </c>
      <c r="H39" s="19"/>
      <c r="I39" s="13" t="str">
        <f>IF(SUMIFS(잔액_2023[결의금액],잔액_2023[통계목],$C39,잔액_2023[분류 항목],"토양수분량")=0,"",SUMIFS(잔액_2023[결의금액],잔액_2023[통계목],$C39,잔액_2023[분류 항목],"토양수분량"))</f>
        <v/>
      </c>
      <c r="J39" s="19"/>
      <c r="K39" s="13" t="str">
        <f>IF(SUMIFS(잔액_2024[결의금액],잔액_2024[통계목],$C39,잔액_2024[분류 항목],"토양수분량")=0,"",SUMIFS(잔액_2024[결의금액],잔액_2024[통계목],$C39,잔액_2024[분류 항목],"토양수분량"))</f>
        <v/>
      </c>
      <c r="L39" s="19"/>
      <c r="M39" s="13" t="str">
        <f>IF(SUMIFS(잔액_2025[결의금액],잔액_2025[통계목],$C39,잔액_2025[분류 항목],"토양수분량")=0,"",SUMIFS(잔액_2025[결의금액],잔액_2025[통계목],$C39,잔액_2025[분류 항목],"토양수분량"))</f>
        <v/>
      </c>
      <c r="N39" s="19"/>
      <c r="O39" s="10"/>
    </row>
    <row r="40" spans="2:15" ht="17.100000000000001" customHeight="1" x14ac:dyDescent="0.3">
      <c r="B40" s="51" t="s">
        <v>51</v>
      </c>
      <c r="C40" s="21" t="s">
        <v>16</v>
      </c>
      <c r="D40" s="23">
        <f>D41</f>
        <v>0</v>
      </c>
      <c r="E40" s="24">
        <f>E41</f>
        <v>0</v>
      </c>
      <c r="F40" s="22">
        <f t="shared" ref="F40" si="37">F41</f>
        <v>0</v>
      </c>
      <c r="G40" s="24">
        <f>G41</f>
        <v>41525000</v>
      </c>
      <c r="H40" s="22">
        <f t="shared" ref="H40" si="38">H41</f>
        <v>0</v>
      </c>
      <c r="I40" s="24" t="str">
        <f>I41</f>
        <v/>
      </c>
      <c r="J40" s="22">
        <f t="shared" ref="J40" si="39">J41</f>
        <v>0</v>
      </c>
      <c r="K40" s="24" t="str">
        <f>K41</f>
        <v/>
      </c>
      <c r="L40" s="22">
        <f t="shared" ref="L40" si="40">L41</f>
        <v>0</v>
      </c>
      <c r="M40" s="24">
        <f>M41</f>
        <v>15675000</v>
      </c>
      <c r="N40" s="17">
        <f t="shared" ref="N40" si="41">N41</f>
        <v>0</v>
      </c>
      <c r="O40" s="23">
        <f>O41</f>
        <v>0</v>
      </c>
    </row>
    <row r="41" spans="2:15" ht="17.100000000000001" customHeight="1" x14ac:dyDescent="0.3">
      <c r="B41" s="51"/>
      <c r="C41" s="6" t="s">
        <v>52</v>
      </c>
      <c r="D41" s="10"/>
      <c r="E41" s="13"/>
      <c r="F41" s="19"/>
      <c r="G41" s="13">
        <f>IF(SUMIFS(잔액_2022[결의금액],잔액_2022[통계목],$C41,잔액_2022[분류 항목],"토양수분량")=0,"",SUMIFS(잔액_2022[결의금액],잔액_2022[통계목],$C41,잔액_2022[분류 항목],"토양수분량"))</f>
        <v>41525000</v>
      </c>
      <c r="H41" s="19"/>
      <c r="I41" s="13" t="str">
        <f>IF(SUMIFS(잔액_2023[결의금액],잔액_2023[통계목],$C41,잔액_2023[분류 항목],"토양수분량")=0,"",SUMIFS(잔액_2023[결의금액],잔액_2023[통계목],$C41,잔액_2023[분류 항목],"토양수분량"))</f>
        <v/>
      </c>
      <c r="J41" s="19"/>
      <c r="K41" s="13" t="str">
        <f>IF(SUMIFS(잔액_2024[결의금액],잔액_2024[통계목],$C41,잔액_2024[분류 항목],"토양수분량")=0,"",SUMIFS(잔액_2024[결의금액],잔액_2024[통계목],$C41,잔액_2024[분류 항목],"토양수분량"))</f>
        <v/>
      </c>
      <c r="L41" s="19"/>
      <c r="M41" s="13">
        <f>IF(SUMIFS(잔액_2025[결의금액],잔액_2025[통계목],$C41,잔액_2025[분류 항목],"토양수분량")=0,"",SUMIFS(잔액_2025[결의금액],잔액_2025[통계목],$C41,잔액_2025[분류 항목],"토양수분량"))</f>
        <v>15675000</v>
      </c>
      <c r="N41" s="19"/>
      <c r="O41" s="10"/>
    </row>
    <row r="42" spans="2:15" ht="17.100000000000001" customHeight="1" x14ac:dyDescent="0.3">
      <c r="B42" s="51" t="s">
        <v>53</v>
      </c>
      <c r="C42" s="21" t="s">
        <v>16</v>
      </c>
      <c r="D42" s="23">
        <f>D43</f>
        <v>0</v>
      </c>
      <c r="E42" s="24">
        <f>E43</f>
        <v>0</v>
      </c>
      <c r="F42" s="22">
        <f t="shared" ref="F42" si="42">F43</f>
        <v>0</v>
      </c>
      <c r="G42" s="24" t="str">
        <f>G43</f>
        <v/>
      </c>
      <c r="H42" s="22">
        <f t="shared" ref="H42" si="43">H43</f>
        <v>0</v>
      </c>
      <c r="I42" s="24" t="str">
        <f>I43</f>
        <v/>
      </c>
      <c r="J42" s="22">
        <f t="shared" ref="J42" si="44">J43</f>
        <v>0</v>
      </c>
      <c r="K42" s="24" t="str">
        <f>K43</f>
        <v/>
      </c>
      <c r="L42" s="22">
        <f t="shared" ref="L42" si="45">L43</f>
        <v>0</v>
      </c>
      <c r="M42" s="24" t="str">
        <f>M43</f>
        <v/>
      </c>
      <c r="N42" s="17">
        <f t="shared" ref="N42" si="46">N43</f>
        <v>0</v>
      </c>
      <c r="O42" s="23">
        <f>O43</f>
        <v>0</v>
      </c>
    </row>
    <row r="43" spans="2:15" ht="17.100000000000001" customHeight="1" x14ac:dyDescent="0.3">
      <c r="B43" s="51"/>
      <c r="C43" s="6" t="s">
        <v>54</v>
      </c>
      <c r="D43" s="10"/>
      <c r="E43" s="13"/>
      <c r="F43" s="19"/>
      <c r="G43" s="13" t="str">
        <f>IF(SUMIFS(잔액_2022[결의금액],잔액_2022[통계목],$C43,잔액_2022[분류 항목],"토양수분량")=0,"",SUMIFS(잔액_2022[결의금액],잔액_2022[통계목],$C43,잔액_2022[분류 항목],"토양수분량"))</f>
        <v/>
      </c>
      <c r="H43" s="19"/>
      <c r="I43" s="13" t="str">
        <f>IF(SUMIFS(잔액_2023[결의금액],잔액_2023[통계목],$C43,잔액_2023[분류 항목],"토양수분량")=0,"",SUMIFS(잔액_2023[결의금액],잔액_2023[통계목],$C43,잔액_2023[분류 항목],"토양수분량"))</f>
        <v/>
      </c>
      <c r="J43" s="19"/>
      <c r="K43" s="13" t="str">
        <f>IF(SUMIFS(잔액_2024[결의금액],잔액_2024[통계목],$C43,잔액_2024[분류 항목],"토양수분량")=0,"",SUMIFS(잔액_2024[결의금액],잔액_2024[통계목],$C43,잔액_2024[분류 항목],"토양수분량"))</f>
        <v/>
      </c>
      <c r="L43" s="19"/>
      <c r="M43" s="13" t="str">
        <f>IF(SUMIFS(잔액_2025[결의금액],잔액_2025[통계목],$C43,잔액_2025[분류 항목],"토양수분량")=0,"",SUMIFS(잔액_2025[결의금액],잔액_2025[통계목],$C43,잔액_2025[분류 항목],"토양수분량"))</f>
        <v/>
      </c>
      <c r="N43" s="19"/>
      <c r="O43" s="10"/>
    </row>
    <row r="44" spans="2:15" ht="17.100000000000001" customHeight="1" x14ac:dyDescent="0.3">
      <c r="B44" s="55" t="s">
        <v>55</v>
      </c>
      <c r="C44" s="21" t="s">
        <v>16</v>
      </c>
      <c r="D44" s="23">
        <f>D45</f>
        <v>0</v>
      </c>
      <c r="E44" s="24">
        <f>E45</f>
        <v>0</v>
      </c>
      <c r="F44" s="22">
        <f t="shared" ref="F44" si="47">F45</f>
        <v>0</v>
      </c>
      <c r="G44" s="24" t="str">
        <f>G45</f>
        <v/>
      </c>
      <c r="H44" s="22">
        <f t="shared" ref="H44" si="48">H45</f>
        <v>0</v>
      </c>
      <c r="I44" s="24" t="str">
        <f>I45</f>
        <v/>
      </c>
      <c r="J44" s="22">
        <f t="shared" ref="J44" si="49">J45</f>
        <v>0</v>
      </c>
      <c r="K44" s="24" t="str">
        <f>K45</f>
        <v/>
      </c>
      <c r="L44" s="22">
        <f t="shared" ref="L44" si="50">L45</f>
        <v>0</v>
      </c>
      <c r="M44" s="24" t="str">
        <f>M45</f>
        <v/>
      </c>
      <c r="N44" s="17">
        <f t="shared" ref="N44" si="51">N45</f>
        <v>0</v>
      </c>
      <c r="O44" s="23">
        <f>O45</f>
        <v>0</v>
      </c>
    </row>
    <row r="45" spans="2:15" ht="17.100000000000001" customHeight="1" x14ac:dyDescent="0.3">
      <c r="B45" s="51"/>
      <c r="C45" s="6" t="s">
        <v>56</v>
      </c>
      <c r="D45" s="10"/>
      <c r="E45" s="13"/>
      <c r="F45" s="19"/>
      <c r="G45" s="13" t="str">
        <f>IF(SUMIFS(잔액_2022[결의금액],잔액_2022[통계목],$C45,잔액_2022[분류 항목],"토양수분량")=0,"",SUMIFS(잔액_2022[결의금액],잔액_2022[통계목],$C45,잔액_2022[분류 항목],"토양수분량"))</f>
        <v/>
      </c>
      <c r="H45" s="19"/>
      <c r="I45" s="13" t="str">
        <f>IF(SUMIFS(잔액_2023[결의금액],잔액_2023[통계목],$C45,잔액_2023[분류 항목],"토양수분량")=0,"",SUMIFS(잔액_2023[결의금액],잔액_2023[통계목],$C45,잔액_2023[분류 항목],"토양수분량"))</f>
        <v/>
      </c>
      <c r="J45" s="19"/>
      <c r="K45" s="13" t="str">
        <f>IF(SUMIFS(잔액_2024[결의금액],잔액_2024[통계목],$C45,잔액_2024[분류 항목],"토양수분량")=0,"",SUMIFS(잔액_2024[결의금액],잔액_2024[통계목],$C45,잔액_2024[분류 항목],"토양수분량"))</f>
        <v/>
      </c>
      <c r="L45" s="19"/>
      <c r="M45" s="13" t="str">
        <f>IF(SUMIFS(잔액_2025[결의금액],잔액_2025[통계목],$C45,잔액_2025[분류 항목],"토양수분량")=0,"",SUMIFS(잔액_2025[결의금액],잔액_2025[통계목],$C45,잔액_2025[분류 항목],"토양수분량"))</f>
        <v/>
      </c>
      <c r="N45" s="19"/>
      <c r="O45" s="10"/>
    </row>
    <row r="46" spans="2:15" ht="17.100000000000001" customHeight="1" x14ac:dyDescent="0.3">
      <c r="B46" s="51" t="s">
        <v>57</v>
      </c>
      <c r="C46" s="21" t="s">
        <v>16</v>
      </c>
      <c r="D46" s="23">
        <f>D47</f>
        <v>0</v>
      </c>
      <c r="E46" s="24">
        <f>E47</f>
        <v>0</v>
      </c>
      <c r="F46" s="22">
        <f t="shared" ref="F46" si="52">F47</f>
        <v>0</v>
      </c>
      <c r="G46" s="24" t="str">
        <f>G47</f>
        <v/>
      </c>
      <c r="H46" s="22">
        <f t="shared" ref="H46" si="53">H47</f>
        <v>0</v>
      </c>
      <c r="I46" s="24" t="str">
        <f>I47</f>
        <v/>
      </c>
      <c r="J46" s="22">
        <f t="shared" ref="J46" si="54">J47</f>
        <v>0</v>
      </c>
      <c r="K46" s="24" t="str">
        <f>K47</f>
        <v/>
      </c>
      <c r="L46" s="22">
        <f t="shared" ref="L46" si="55">L47</f>
        <v>0</v>
      </c>
      <c r="M46" s="24" t="str">
        <f>M47</f>
        <v/>
      </c>
      <c r="N46" s="17">
        <f t="shared" ref="N46" si="56">N47</f>
        <v>0</v>
      </c>
      <c r="O46" s="23">
        <f>O47</f>
        <v>0</v>
      </c>
    </row>
    <row r="47" spans="2:15" ht="17.100000000000001" customHeight="1" x14ac:dyDescent="0.3">
      <c r="B47" s="51"/>
      <c r="C47" s="6" t="s">
        <v>58</v>
      </c>
      <c r="D47" s="10"/>
      <c r="E47" s="13"/>
      <c r="F47" s="19"/>
      <c r="G47" s="13" t="str">
        <f>IF(SUMIFS(잔액_2022[결의금액],잔액_2022[통계목],$C47,잔액_2022[분류 항목],"토양수분량")=0,"",SUMIFS(잔액_2022[결의금액],잔액_2022[통계목],$C47,잔액_2022[분류 항목],"토양수분량"))</f>
        <v/>
      </c>
      <c r="H47" s="19"/>
      <c r="I47" s="13" t="str">
        <f>IF(SUMIFS(잔액_2023[결의금액],잔액_2023[통계목],$C47,잔액_2023[분류 항목],"토양수분량")=0,"",SUMIFS(잔액_2023[결의금액],잔액_2023[통계목],$C47,잔액_2023[분류 항목],"토양수분량"))</f>
        <v/>
      </c>
      <c r="J47" s="19"/>
      <c r="K47" s="13" t="str">
        <f>IF(SUMIFS(잔액_2024[결의금액],잔액_2024[통계목],$C47,잔액_2024[분류 항목],"토양수분량")=0,"",SUMIFS(잔액_2024[결의금액],잔액_2024[통계목],$C47,잔액_2024[분류 항목],"토양수분량"))</f>
        <v/>
      </c>
      <c r="L47" s="19"/>
      <c r="M47" s="13" t="str">
        <f>IF(SUMIFS(잔액_2025[결의금액],잔액_2025[통계목],$C47,잔액_2025[분류 항목],"토양수분량")=0,"",SUMIFS(잔액_2025[결의금액],잔액_2025[통계목],$C47,잔액_2025[분류 항목],"토양수분량"))</f>
        <v/>
      </c>
      <c r="N47" s="19"/>
      <c r="O47" s="10"/>
    </row>
  </sheetData>
  <mergeCells count="20">
    <mergeCell ref="B44:B45"/>
    <mergeCell ref="B46:B47"/>
    <mergeCell ref="B26:B28"/>
    <mergeCell ref="B29:B31"/>
    <mergeCell ref="B32:B33"/>
    <mergeCell ref="B34:B39"/>
    <mergeCell ref="B40:B41"/>
    <mergeCell ref="B42:B43"/>
    <mergeCell ref="L2:M2"/>
    <mergeCell ref="N2:O2"/>
    <mergeCell ref="B4:C4"/>
    <mergeCell ref="B5:B9"/>
    <mergeCell ref="B10:B22"/>
    <mergeCell ref="H2:I2"/>
    <mergeCell ref="J2:K2"/>
    <mergeCell ref="B23:B25"/>
    <mergeCell ref="B2:B3"/>
    <mergeCell ref="C2:C3"/>
    <mergeCell ref="D2:E2"/>
    <mergeCell ref="F2:G2"/>
  </mergeCells>
  <phoneticPr fontId="2" type="noConversion"/>
  <pageMargins left="0.25" right="0.25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B1BC-6C62-4F9D-96A0-18A4540CC33B}">
  <sheetPr>
    <pageSetUpPr fitToPage="1"/>
  </sheetPr>
  <dimension ref="B1:O47"/>
  <sheetViews>
    <sheetView zoomScale="80" zoomScaleNormal="80" workbookViewId="0">
      <selection activeCell="B1" sqref="B1"/>
    </sheetView>
  </sheetViews>
  <sheetFormatPr defaultColWidth="10.625" defaultRowHeight="17.100000000000001" customHeight="1" x14ac:dyDescent="0.3"/>
  <cols>
    <col min="1" max="1" width="3.625" style="1" customWidth="1"/>
    <col min="2" max="3" width="14.625" style="1" customWidth="1"/>
    <col min="4" max="4" width="18.625" style="1" customWidth="1"/>
    <col min="5" max="5" width="16.625" style="1" customWidth="1"/>
    <col min="6" max="6" width="18.625" style="1" customWidth="1"/>
    <col min="7" max="7" width="16.625" style="1" customWidth="1"/>
    <col min="8" max="8" width="18.625" style="1" customWidth="1"/>
    <col min="9" max="9" width="16.625" style="1" customWidth="1"/>
    <col min="10" max="10" width="18.625" style="1" customWidth="1"/>
    <col min="11" max="11" width="16.625" style="1" customWidth="1"/>
    <col min="12" max="12" width="18.625" style="1" customWidth="1"/>
    <col min="13" max="13" width="16.625" style="1" customWidth="1"/>
    <col min="14" max="14" width="18.625" style="1" customWidth="1"/>
    <col min="15" max="15" width="16.625" style="1" customWidth="1"/>
    <col min="16" max="16384" width="10.625" style="1"/>
  </cols>
  <sheetData>
    <row r="1" spans="2:15" ht="17.100000000000001" customHeight="1" x14ac:dyDescent="0.3">
      <c r="B1" s="57" t="s">
        <v>195</v>
      </c>
    </row>
    <row r="2" spans="2:15" ht="17.100000000000001" customHeight="1" x14ac:dyDescent="0.3">
      <c r="B2" s="52" t="s">
        <v>12</v>
      </c>
      <c r="C2" s="52" t="s">
        <v>13</v>
      </c>
      <c r="D2" s="52" t="s">
        <v>1</v>
      </c>
      <c r="E2" s="53"/>
      <c r="F2" s="52" t="s">
        <v>3</v>
      </c>
      <c r="G2" s="53"/>
      <c r="H2" s="52" t="s">
        <v>62</v>
      </c>
      <c r="I2" s="53"/>
      <c r="J2" s="52" t="s">
        <v>63</v>
      </c>
      <c r="K2" s="53"/>
      <c r="L2" s="52" t="s">
        <v>64</v>
      </c>
      <c r="M2" s="53"/>
      <c r="N2" s="54" t="s">
        <v>65</v>
      </c>
      <c r="O2" s="52"/>
    </row>
    <row r="3" spans="2:15" ht="17.100000000000001" customHeight="1" x14ac:dyDescent="0.3">
      <c r="B3" s="52"/>
      <c r="C3" s="52"/>
      <c r="D3" s="14" t="s">
        <v>59</v>
      </c>
      <c r="E3" s="15" t="s">
        <v>61</v>
      </c>
      <c r="F3" s="14" t="s">
        <v>59</v>
      </c>
      <c r="G3" s="15" t="s">
        <v>61</v>
      </c>
      <c r="H3" s="14" t="s">
        <v>59</v>
      </c>
      <c r="I3" s="15" t="s">
        <v>61</v>
      </c>
      <c r="J3" s="14" t="s">
        <v>59</v>
      </c>
      <c r="K3" s="15" t="s">
        <v>61</v>
      </c>
      <c r="L3" s="14" t="s">
        <v>59</v>
      </c>
      <c r="M3" s="15" t="s">
        <v>61</v>
      </c>
      <c r="N3" s="20" t="s">
        <v>59</v>
      </c>
      <c r="O3" s="14" t="s">
        <v>61</v>
      </c>
    </row>
    <row r="4" spans="2:15" ht="17.100000000000001" customHeight="1" x14ac:dyDescent="0.3">
      <c r="B4" s="49" t="s">
        <v>14</v>
      </c>
      <c r="C4" s="50"/>
      <c r="D4" s="7">
        <f t="shared" ref="D4" si="0">SUM(D5,D10,D23,D26,D29,D32,D34,D40,D42,D44,D46)</f>
        <v>15943450</v>
      </c>
      <c r="E4" s="11">
        <f t="shared" ref="E4:O4" si="1">SUM(E5,E10,E23,E26,E29,E32,E34,E40,E42,E44,E46)</f>
        <v>0</v>
      </c>
      <c r="F4" s="16">
        <f t="shared" si="1"/>
        <v>29300000</v>
      </c>
      <c r="G4" s="11">
        <f t="shared" si="1"/>
        <v>41525000</v>
      </c>
      <c r="H4" s="16">
        <f t="shared" si="1"/>
        <v>37708400</v>
      </c>
      <c r="I4" s="11">
        <f t="shared" si="1"/>
        <v>0</v>
      </c>
      <c r="J4" s="16">
        <f t="shared" si="1"/>
        <v>30000000</v>
      </c>
      <c r="K4" s="11">
        <f t="shared" si="1"/>
        <v>17392120</v>
      </c>
      <c r="L4" s="16">
        <f t="shared" si="1"/>
        <v>20000000</v>
      </c>
      <c r="M4" s="11">
        <f t="shared" si="1"/>
        <v>44136330</v>
      </c>
      <c r="N4" s="16">
        <f t="shared" si="1"/>
        <v>20000000</v>
      </c>
      <c r="O4" s="7">
        <f t="shared" si="1"/>
        <v>0</v>
      </c>
    </row>
    <row r="5" spans="2:15" ht="17.100000000000001" customHeight="1" x14ac:dyDescent="0.3">
      <c r="B5" s="51" t="s">
        <v>15</v>
      </c>
      <c r="C5" s="21" t="s">
        <v>16</v>
      </c>
      <c r="D5" s="8">
        <f>SUM(D6:D9)</f>
        <v>0</v>
      </c>
      <c r="E5" s="24">
        <f>SUM(E6:E9)</f>
        <v>0</v>
      </c>
      <c r="F5" s="17">
        <f t="shared" ref="F5" si="2">SUM(F6:F9)</f>
        <v>0</v>
      </c>
      <c r="G5" s="24">
        <f>SUM(G6:G9)</f>
        <v>0</v>
      </c>
      <c r="H5" s="17">
        <f t="shared" ref="H5" si="3">SUM(H6:H9)</f>
        <v>696400</v>
      </c>
      <c r="I5" s="24">
        <f>SUM(I6:I9)</f>
        <v>0</v>
      </c>
      <c r="J5" s="17">
        <f t="shared" ref="J5" si="4">SUM(J6:J9)</f>
        <v>0</v>
      </c>
      <c r="K5" s="24">
        <f>SUM(K6:K9)</f>
        <v>0</v>
      </c>
      <c r="L5" s="17">
        <f t="shared" ref="L5" si="5">SUM(L6:L9)</f>
        <v>0</v>
      </c>
      <c r="M5" s="24">
        <f>SUM(M6:M9)</f>
        <v>0</v>
      </c>
      <c r="N5" s="17">
        <f t="shared" ref="N5" si="6">SUM(N6:N9)</f>
        <v>0</v>
      </c>
      <c r="O5" s="23">
        <f>SUM(O6:O9)</f>
        <v>0</v>
      </c>
    </row>
    <row r="6" spans="2:15" ht="17.100000000000001" customHeight="1" x14ac:dyDescent="0.3">
      <c r="B6" s="51"/>
      <c r="C6" s="5" t="s">
        <v>17</v>
      </c>
      <c r="D6" s="9"/>
      <c r="E6" s="12"/>
      <c r="F6" s="18"/>
      <c r="G6" s="12" t="str">
        <f>IF(SUMIFS(잔액_2022[결의금액],잔액_2022[통계목],$C6,잔액_2022[분류 항목],"토양수분량")=0,"",SUMIFS(잔액_2022[결의금액],잔액_2022[통계목],$C6,잔액_2022[분류 항목],"토양수분량"))</f>
        <v/>
      </c>
      <c r="H6" s="18"/>
      <c r="I6" s="12" t="str">
        <f>IF(SUMIFS(잔액_2023[결의금액],잔액_2023[통계목],$C6,잔액_2023[분류 항목],"토양수분량")=0,"",SUMIFS(잔액_2023[결의금액],잔액_2023[통계목],$C6,잔액_2023[분류 항목],"토양수분량"))</f>
        <v/>
      </c>
      <c r="J6" s="18"/>
      <c r="K6" s="12" t="str">
        <f>IF(SUMIFS(잔액_2024[결의금액],잔액_2024[통계목],$C6,잔액_2024[분류 항목],"토양수분량")=0,"",SUMIFS(잔액_2024[결의금액],잔액_2024[통계목],$C6,잔액_2024[분류 항목],"토양수분량"))</f>
        <v/>
      </c>
      <c r="L6" s="18"/>
      <c r="M6" s="12" t="str">
        <f>IF(SUMIFS(잔액_2025[결의금액],잔액_2025[통계목],$C6,잔액_2025[분류 항목],"토양수분량")=0,"",SUMIFS(잔액_2025[결의금액],잔액_2025[통계목],$C6,잔액_2025[분류 항목],"토양수분량"))</f>
        <v/>
      </c>
      <c r="N6" s="18"/>
      <c r="O6" s="9"/>
    </row>
    <row r="7" spans="2:15" ht="17.100000000000001" customHeight="1" x14ac:dyDescent="0.3">
      <c r="B7" s="51"/>
      <c r="C7" s="5" t="s">
        <v>18</v>
      </c>
      <c r="D7" s="9"/>
      <c r="E7" s="12"/>
      <c r="F7" s="18"/>
      <c r="G7" s="12" t="str">
        <f>IF(SUMIFS(잔액_2022[결의금액],잔액_2022[통계목],$C7,잔액_2022[분류 항목],"토양수분량")=0,"",SUMIFS(잔액_2022[결의금액],잔액_2022[통계목],$C7,잔액_2022[분류 항목],"토양수분량"))</f>
        <v/>
      </c>
      <c r="H7" s="18"/>
      <c r="I7" s="12" t="str">
        <f>IF(SUMIFS(잔액_2023[결의금액],잔액_2023[통계목],$C7,잔액_2023[분류 항목],"토양수분량")=0,"",SUMIFS(잔액_2023[결의금액],잔액_2023[통계목],$C7,잔액_2023[분류 항목],"토양수분량"))</f>
        <v/>
      </c>
      <c r="J7" s="18"/>
      <c r="K7" s="12" t="str">
        <f>IF(SUMIFS(잔액_2024[결의금액],잔액_2024[통계목],$C7,잔액_2024[분류 항목],"토양수분량")=0,"",SUMIFS(잔액_2024[결의금액],잔액_2024[통계목],$C7,잔액_2024[분류 항목],"토양수분량"))</f>
        <v/>
      </c>
      <c r="L7" s="18"/>
      <c r="M7" s="12" t="str">
        <f>IF(SUMIFS(잔액_2025[결의금액],잔액_2025[통계목],$C7,잔액_2025[분류 항목],"토양수분량")=0,"",SUMIFS(잔액_2025[결의금액],잔액_2025[통계목],$C7,잔액_2025[분류 항목],"토양수분량"))</f>
        <v/>
      </c>
      <c r="N7" s="18"/>
      <c r="O7" s="9"/>
    </row>
    <row r="8" spans="2:15" ht="17.100000000000001" customHeight="1" x14ac:dyDescent="0.3">
      <c r="B8" s="51"/>
      <c r="C8" s="5" t="s">
        <v>19</v>
      </c>
      <c r="D8" s="9"/>
      <c r="E8" s="12"/>
      <c r="F8" s="18"/>
      <c r="G8" s="12" t="str">
        <f>IF(SUMIFS(잔액_2022[결의금액],잔액_2022[통계목],$C8,잔액_2022[분류 항목],"토양수분량")=0,"",SUMIFS(잔액_2022[결의금액],잔액_2022[통계목],$C8,잔액_2022[분류 항목],"토양수분량"))</f>
        <v/>
      </c>
      <c r="H8" s="18">
        <v>696400</v>
      </c>
      <c r="I8" s="12" t="str">
        <f>IF(SUMIFS(잔액_2023[결의금액],잔액_2023[통계목],$C8,잔액_2023[분류 항목],"토양수분량")=0,"",SUMIFS(잔액_2023[결의금액],잔액_2023[통계목],$C8,잔액_2023[분류 항목],"토양수분량"))</f>
        <v/>
      </c>
      <c r="J8" s="18"/>
      <c r="K8" s="12" t="str">
        <f>IF(SUMIFS(잔액_2024[결의금액],잔액_2024[통계목],$C8,잔액_2024[분류 항목],"토양수분량")=0,"",SUMIFS(잔액_2024[결의금액],잔액_2024[통계목],$C8,잔액_2024[분류 항목],"토양수분량"))</f>
        <v/>
      </c>
      <c r="L8" s="18"/>
      <c r="M8" s="12" t="str">
        <f>IF(SUMIFS(잔액_2025[결의금액],잔액_2025[통계목],$C8,잔액_2025[분류 항목],"토양수분량")=0,"",SUMIFS(잔액_2025[결의금액],잔액_2025[통계목],$C8,잔액_2025[분류 항목],"토양수분량"))</f>
        <v/>
      </c>
      <c r="N8" s="18"/>
      <c r="O8" s="9"/>
    </row>
    <row r="9" spans="2:15" ht="17.100000000000001" customHeight="1" x14ac:dyDescent="0.3">
      <c r="B9" s="51"/>
      <c r="C9" s="6" t="s">
        <v>20</v>
      </c>
      <c r="D9" s="10"/>
      <c r="E9" s="13"/>
      <c r="F9" s="19"/>
      <c r="G9" s="13" t="str">
        <f>IF(SUMIFS(잔액_2022[결의금액],잔액_2022[통계목],$C9,잔액_2022[분류 항목],"토양수분량")=0,"",SUMIFS(잔액_2022[결의금액],잔액_2022[통계목],$C9,잔액_2022[분류 항목],"토양수분량"))</f>
        <v/>
      </c>
      <c r="H9" s="19"/>
      <c r="I9" s="13" t="str">
        <f>IF(SUMIFS(잔액_2023[결의금액],잔액_2023[통계목],$C9,잔액_2023[분류 항목],"토양수분량")=0,"",SUMIFS(잔액_2023[결의금액],잔액_2023[통계목],$C9,잔액_2023[분류 항목],"토양수분량"))</f>
        <v/>
      </c>
      <c r="J9" s="19"/>
      <c r="K9" s="13" t="str">
        <f>IF(SUMIFS(잔액_2024[결의금액],잔액_2024[통계목],$C9,잔액_2024[분류 항목],"토양수분량")=0,"",SUMIFS(잔액_2024[결의금액],잔액_2024[통계목],$C9,잔액_2024[분류 항목],"토양수분량"))</f>
        <v/>
      </c>
      <c r="L9" s="19"/>
      <c r="M9" s="13" t="str">
        <f>IF(SUMIFS(잔액_2025[결의금액],잔액_2025[통계목],$C9,잔액_2025[분류 항목],"토양수분량")=0,"",SUMIFS(잔액_2025[결의금액],잔액_2025[통계목],$C9,잔액_2025[분류 항목],"토양수분량"))</f>
        <v/>
      </c>
      <c r="N9" s="19"/>
      <c r="O9" s="10"/>
    </row>
    <row r="10" spans="2:15" ht="17.100000000000001" customHeight="1" x14ac:dyDescent="0.3">
      <c r="B10" s="51" t="s">
        <v>21</v>
      </c>
      <c r="C10" s="21" t="s">
        <v>16</v>
      </c>
      <c r="D10" s="23">
        <f>SUM(D11:D22)</f>
        <v>14371990</v>
      </c>
      <c r="E10" s="24">
        <f>SUM(E11:E22)</f>
        <v>0</v>
      </c>
      <c r="F10" s="22">
        <f t="shared" ref="F10" si="7">SUM(F11:F22)</f>
        <v>23300000</v>
      </c>
      <c r="G10" s="24">
        <f>SUM(G11:G22)</f>
        <v>0</v>
      </c>
      <c r="H10" s="22">
        <f t="shared" ref="H10" si="8">SUM(H11:H22)</f>
        <v>29860000</v>
      </c>
      <c r="I10" s="24">
        <f>SUM(I11:I22)</f>
        <v>0</v>
      </c>
      <c r="J10" s="22">
        <f t="shared" ref="J10" si="9">SUM(J11:J22)</f>
        <v>19872000</v>
      </c>
      <c r="K10" s="24">
        <f>SUM(K11:K22)</f>
        <v>0</v>
      </c>
      <c r="L10" s="22">
        <f t="shared" ref="L10" si="10">SUM(L11:L22)</f>
        <v>10170000</v>
      </c>
      <c r="M10" s="24">
        <f>SUM(M11:M22)</f>
        <v>0</v>
      </c>
      <c r="N10" s="17">
        <f t="shared" ref="N10" si="11">SUM(N11:N22)</f>
        <v>10590000</v>
      </c>
      <c r="O10" s="23">
        <f>SUM(O11:O22)</f>
        <v>0</v>
      </c>
    </row>
    <row r="11" spans="2:15" ht="17.100000000000001" customHeight="1" x14ac:dyDescent="0.3">
      <c r="B11" s="51"/>
      <c r="C11" s="5" t="s">
        <v>22</v>
      </c>
      <c r="D11" s="9">
        <v>13880990</v>
      </c>
      <c r="E11" s="12"/>
      <c r="F11" s="18">
        <v>11000000</v>
      </c>
      <c r="G11" s="12" t="str">
        <f>IF(SUMIFS(잔액_2022[결의금액],잔액_2022[통계목],$C11,잔액_2022[분류 항목],"토양수분량")=0,"",SUMIFS(잔액_2022[결의금액],잔액_2022[통계목],$C11,잔액_2022[분류 항목],"토양수분량"))</f>
        <v/>
      </c>
      <c r="H11" s="18">
        <v>4600000</v>
      </c>
      <c r="I11" s="12" t="str">
        <f>IF(SUMIFS(잔액_2023[결의금액],잔액_2023[통계목],$C11,잔액_2023[분류 항목],"토양수분량")=0,"",SUMIFS(잔액_2023[결의금액],잔액_2023[통계목],$C11,잔액_2023[분류 항목],"토양수분량"))</f>
        <v/>
      </c>
      <c r="J11" s="18">
        <v>500000</v>
      </c>
      <c r="K11" s="12" t="str">
        <f>IF(SUMIFS(잔액_2024[결의금액],잔액_2024[통계목],$C11,잔액_2024[분류 항목],"토양수분량")=0,"",SUMIFS(잔액_2024[결의금액],잔액_2024[통계목],$C11,잔액_2024[분류 항목],"토양수분량"))</f>
        <v/>
      </c>
      <c r="L11" s="18">
        <v>750000</v>
      </c>
      <c r="M11" s="12" t="str">
        <f>IF(SUMIFS(잔액_2025[결의금액],잔액_2025[통계목],$C11,잔액_2025[분류 항목],"토양수분량")=0,"",SUMIFS(잔액_2025[결의금액],잔액_2025[통계목],$C11,잔액_2025[분류 항목],"토양수분량"))</f>
        <v/>
      </c>
      <c r="N11" s="18"/>
      <c r="O11" s="9"/>
    </row>
    <row r="12" spans="2:15" ht="17.100000000000001" customHeight="1" x14ac:dyDescent="0.3">
      <c r="B12" s="51"/>
      <c r="C12" s="5" t="s">
        <v>23</v>
      </c>
      <c r="D12" s="9"/>
      <c r="E12" s="12"/>
      <c r="F12" s="18">
        <v>2400000</v>
      </c>
      <c r="G12" s="12" t="str">
        <f>IF(SUMIFS(잔액_2022[결의금액],잔액_2022[통계목],$C12,잔액_2022[분류 항목],"토양수분량")=0,"",SUMIFS(잔액_2022[결의금액],잔액_2022[통계목],$C12,잔액_2022[분류 항목],"토양수분량"))</f>
        <v/>
      </c>
      <c r="H12" s="18">
        <v>2760000</v>
      </c>
      <c r="I12" s="12" t="str">
        <f>IF(SUMIFS(잔액_2023[결의금액],잔액_2023[통계목],$C12,잔액_2023[분류 항목],"토양수분량")=0,"",SUMIFS(잔액_2023[결의금액],잔액_2023[통계목],$C12,잔액_2023[분류 항목],"토양수분량"))</f>
        <v/>
      </c>
      <c r="J12" s="18">
        <v>2520000</v>
      </c>
      <c r="K12" s="12" t="str">
        <f>IF(SUMIFS(잔액_2024[결의금액],잔액_2024[통계목],$C12,잔액_2024[분류 항목],"토양수분량")=0,"",SUMIFS(잔액_2024[결의금액],잔액_2024[통계목],$C12,잔액_2024[분류 항목],"토양수분량"))</f>
        <v/>
      </c>
      <c r="L12" s="18">
        <v>4920000</v>
      </c>
      <c r="M12" s="12" t="str">
        <f>IF(SUMIFS(잔액_2025[결의금액],잔액_2025[통계목],$C12,잔액_2025[분류 항목],"토양수분량")=0,"",SUMIFS(잔액_2025[결의금액],잔액_2025[통계목],$C12,잔액_2025[분류 항목],"토양수분량"))</f>
        <v/>
      </c>
      <c r="N12" s="18">
        <v>4920000</v>
      </c>
      <c r="O12" s="9"/>
    </row>
    <row r="13" spans="2:15" ht="17.100000000000001" customHeight="1" x14ac:dyDescent="0.3">
      <c r="B13" s="51"/>
      <c r="C13" s="5" t="s">
        <v>24</v>
      </c>
      <c r="D13" s="9"/>
      <c r="E13" s="12"/>
      <c r="F13" s="18"/>
      <c r="G13" s="12" t="str">
        <f>IF(SUMIFS(잔액_2022[결의금액],잔액_2022[통계목],$C13,잔액_2022[분류 항목],"토양수분량")=0,"",SUMIFS(잔액_2022[결의금액],잔액_2022[통계목],$C13,잔액_2022[분류 항목],"토양수분량"))</f>
        <v/>
      </c>
      <c r="H13" s="18"/>
      <c r="I13" s="12" t="str">
        <f>IF(SUMIFS(잔액_2023[결의금액],잔액_2023[통계목],$C13,잔액_2023[분류 항목],"토양수분량")=0,"",SUMIFS(잔액_2023[결의금액],잔액_2023[통계목],$C13,잔액_2023[분류 항목],"토양수분량"))</f>
        <v/>
      </c>
      <c r="J13" s="18"/>
      <c r="K13" s="12" t="str">
        <f>IF(SUMIFS(잔액_2024[결의금액],잔액_2024[통계목],$C13,잔액_2024[분류 항목],"토양수분량")=0,"",SUMIFS(잔액_2024[결의금액],잔액_2024[통계목],$C13,잔액_2024[분류 항목],"토양수분량"))</f>
        <v/>
      </c>
      <c r="L13" s="18"/>
      <c r="M13" s="12" t="str">
        <f>IF(SUMIFS(잔액_2025[결의금액],잔액_2025[통계목],$C13,잔액_2025[분류 항목],"토양수분량")=0,"",SUMIFS(잔액_2025[결의금액],잔액_2025[통계목],$C13,잔액_2025[분류 항목],"토양수분량"))</f>
        <v/>
      </c>
      <c r="N13" s="18"/>
      <c r="O13" s="9"/>
    </row>
    <row r="14" spans="2:15" ht="17.100000000000001" customHeight="1" x14ac:dyDescent="0.3">
      <c r="B14" s="51"/>
      <c r="C14" s="5" t="s">
        <v>25</v>
      </c>
      <c r="D14" s="9"/>
      <c r="E14" s="12"/>
      <c r="F14" s="18"/>
      <c r="G14" s="12" t="str">
        <f>IF(SUMIFS(잔액_2022[결의금액],잔액_2022[통계목],$C14,잔액_2022[분류 항목],"토양수분량")=0,"",SUMIFS(잔액_2022[결의금액],잔액_2022[통계목],$C14,잔액_2022[분류 항목],"토양수분량"))</f>
        <v/>
      </c>
      <c r="H14" s="18"/>
      <c r="I14" s="12" t="str">
        <f>IF(SUMIFS(잔액_2023[결의금액],잔액_2023[통계목],$C14,잔액_2023[분류 항목],"토양수분량")=0,"",SUMIFS(잔액_2023[결의금액],잔액_2023[통계목],$C14,잔액_2023[분류 항목],"토양수분량"))</f>
        <v/>
      </c>
      <c r="J14" s="18"/>
      <c r="K14" s="12" t="str">
        <f>IF(SUMIFS(잔액_2024[결의금액],잔액_2024[통계목],$C14,잔액_2024[분류 항목],"토양수분량")=0,"",SUMIFS(잔액_2024[결의금액],잔액_2024[통계목],$C14,잔액_2024[분류 항목],"토양수분량"))</f>
        <v/>
      </c>
      <c r="L14" s="18"/>
      <c r="M14" s="12" t="str">
        <f>IF(SUMIFS(잔액_2025[결의금액],잔액_2025[통계목],$C14,잔액_2025[분류 항목],"토양수분량")=0,"",SUMIFS(잔액_2025[결의금액],잔액_2025[통계목],$C14,잔액_2025[분류 항목],"토양수분량"))</f>
        <v/>
      </c>
      <c r="N14" s="18"/>
      <c r="O14" s="9"/>
    </row>
    <row r="15" spans="2:15" ht="17.100000000000001" customHeight="1" x14ac:dyDescent="0.3">
      <c r="B15" s="51"/>
      <c r="C15" s="5" t="s">
        <v>26</v>
      </c>
      <c r="D15" s="9"/>
      <c r="E15" s="12"/>
      <c r="F15" s="18">
        <v>5000000</v>
      </c>
      <c r="G15" s="12" t="str">
        <f>IF(SUMIFS(잔액_2022[결의금액],잔액_2022[통계목],$C15,잔액_2022[분류 항목],"토양수분량")=0,"",SUMIFS(잔액_2022[결의금액],잔액_2022[통계목],$C15,잔액_2022[분류 항목],"토양수분량"))</f>
        <v/>
      </c>
      <c r="H15" s="18">
        <v>4200000</v>
      </c>
      <c r="I15" s="12" t="str">
        <f>IF(SUMIFS(잔액_2023[결의금액],잔액_2023[통계목],$C15,잔액_2023[분류 항목],"토양수분량")=0,"",SUMIFS(잔액_2023[결의금액],잔액_2023[통계목],$C15,잔액_2023[분류 항목],"토양수분량"))</f>
        <v/>
      </c>
      <c r="J15" s="18"/>
      <c r="K15" s="12" t="str">
        <f>IF(SUMIFS(잔액_2024[결의금액],잔액_2024[통계목],$C15,잔액_2024[분류 항목],"토양수분량")=0,"",SUMIFS(잔액_2024[결의금액],잔액_2024[통계목],$C15,잔액_2024[분류 항목],"토양수분량"))</f>
        <v/>
      </c>
      <c r="L15" s="18"/>
      <c r="M15" s="12" t="str">
        <f>IF(SUMIFS(잔액_2025[결의금액],잔액_2025[통계목],$C15,잔액_2025[분류 항목],"토양수분량")=0,"",SUMIFS(잔액_2025[결의금액],잔액_2025[통계목],$C15,잔액_2025[분류 항목],"토양수분량"))</f>
        <v/>
      </c>
      <c r="N15" s="18"/>
      <c r="O15" s="9"/>
    </row>
    <row r="16" spans="2:15" ht="17.100000000000001" customHeight="1" x14ac:dyDescent="0.3">
      <c r="B16" s="51"/>
      <c r="C16" s="5" t="s">
        <v>27</v>
      </c>
      <c r="D16" s="9">
        <v>491000</v>
      </c>
      <c r="E16" s="12"/>
      <c r="F16" s="18">
        <v>1000000</v>
      </c>
      <c r="G16" s="12" t="str">
        <f>IF(SUMIFS(잔액_2022[결의금액],잔액_2022[통계목],$C16,잔액_2022[분류 항목],"토양수분량")=0,"",SUMIFS(잔액_2022[결의금액],잔액_2022[통계목],$C16,잔액_2022[분류 항목],"토양수분량"))</f>
        <v/>
      </c>
      <c r="H16" s="18">
        <v>1100000</v>
      </c>
      <c r="I16" s="12" t="str">
        <f>IF(SUMIFS(잔액_2023[결의금액],잔액_2023[통계목],$C16,잔액_2023[분류 항목],"토양수분량")=0,"",SUMIFS(잔액_2023[결의금액],잔액_2023[통계목],$C16,잔액_2023[분류 항목],"토양수분량"))</f>
        <v/>
      </c>
      <c r="J16" s="18">
        <v>960000</v>
      </c>
      <c r="K16" s="12" t="str">
        <f>IF(SUMIFS(잔액_2024[결의금액],잔액_2024[통계목],$C16,잔액_2024[분류 항목],"토양수분량")=0,"",SUMIFS(잔액_2024[결의금액],잔액_2024[통계목],$C16,잔액_2024[분류 항목],"토양수분량"))</f>
        <v/>
      </c>
      <c r="L16" s="18"/>
      <c r="M16" s="12" t="str">
        <f>IF(SUMIFS(잔액_2025[결의금액],잔액_2025[통계목],$C16,잔액_2025[분류 항목],"토양수분량")=0,"",SUMIFS(잔액_2025[결의금액],잔액_2025[통계목],$C16,잔액_2025[분류 항목],"토양수분량"))</f>
        <v/>
      </c>
      <c r="N16" s="18"/>
      <c r="O16" s="9"/>
    </row>
    <row r="17" spans="2:15" ht="17.100000000000001" customHeight="1" x14ac:dyDescent="0.3">
      <c r="B17" s="51"/>
      <c r="C17" s="5" t="s">
        <v>28</v>
      </c>
      <c r="D17" s="9"/>
      <c r="E17" s="12"/>
      <c r="F17" s="18">
        <v>3900000</v>
      </c>
      <c r="G17" s="12" t="str">
        <f>IF(SUMIFS(잔액_2022[결의금액],잔액_2022[통계목],$C17,잔액_2022[분류 항목],"토양수분량")=0,"",SUMIFS(잔액_2022[결의금액],잔액_2022[통계목],$C17,잔액_2022[분류 항목],"토양수분량"))</f>
        <v/>
      </c>
      <c r="H17" s="18">
        <v>17200000</v>
      </c>
      <c r="I17" s="12" t="str">
        <f>IF(SUMIFS(잔액_2023[결의금액],잔액_2023[통계목],$C17,잔액_2023[분류 항목],"토양수분량")=0,"",SUMIFS(잔액_2023[결의금액],잔액_2023[통계목],$C17,잔액_2023[분류 항목],"토양수분량"))</f>
        <v/>
      </c>
      <c r="J17" s="18">
        <v>15892000</v>
      </c>
      <c r="K17" s="12" t="str">
        <f>IF(SUMIFS(잔액_2024[결의금액],잔액_2024[통계목],$C17,잔액_2024[분류 항목],"토양수분량")=0,"",SUMIFS(잔액_2024[결의금액],잔액_2024[통계목],$C17,잔액_2024[분류 항목],"토양수분량"))</f>
        <v/>
      </c>
      <c r="L17" s="18">
        <v>4500000</v>
      </c>
      <c r="M17" s="12" t="str">
        <f>IF(SUMIFS(잔액_2025[결의금액],잔액_2025[통계목],$C17,잔액_2025[분류 항목],"토양수분량")=0,"",SUMIFS(잔액_2025[결의금액],잔액_2025[통계목],$C17,잔액_2025[분류 항목],"토양수분량"))</f>
        <v/>
      </c>
      <c r="N17" s="18">
        <v>5670000</v>
      </c>
      <c r="O17" s="9"/>
    </row>
    <row r="18" spans="2:15" ht="17.100000000000001" customHeight="1" x14ac:dyDescent="0.3">
      <c r="B18" s="51"/>
      <c r="C18" s="5" t="s">
        <v>29</v>
      </c>
      <c r="D18" s="9"/>
      <c r="E18" s="12"/>
      <c r="F18" s="18"/>
      <c r="G18" s="12" t="str">
        <f>IF(SUMIFS(잔액_2022[결의금액],잔액_2022[통계목],$C18,잔액_2022[분류 항목],"토양수분량")=0,"",SUMIFS(잔액_2022[결의금액],잔액_2022[통계목],$C18,잔액_2022[분류 항목],"토양수분량"))</f>
        <v/>
      </c>
      <c r="H18" s="18"/>
      <c r="I18" s="12" t="str">
        <f>IF(SUMIFS(잔액_2023[결의금액],잔액_2023[통계목],$C18,잔액_2023[분류 항목],"토양수분량")=0,"",SUMIFS(잔액_2023[결의금액],잔액_2023[통계목],$C18,잔액_2023[분류 항목],"토양수분량"))</f>
        <v/>
      </c>
      <c r="J18" s="18"/>
      <c r="K18" s="12" t="str">
        <f>IF(SUMIFS(잔액_2024[결의금액],잔액_2024[통계목],$C18,잔액_2024[분류 항목],"토양수분량")=0,"",SUMIFS(잔액_2024[결의금액],잔액_2024[통계목],$C18,잔액_2024[분류 항목],"토양수분량"))</f>
        <v/>
      </c>
      <c r="L18" s="18"/>
      <c r="M18" s="12" t="str">
        <f>IF(SUMIFS(잔액_2025[결의금액],잔액_2025[통계목],$C18,잔액_2025[분류 항목],"토양수분량")=0,"",SUMIFS(잔액_2025[결의금액],잔액_2025[통계목],$C18,잔액_2025[분류 항목],"토양수분량"))</f>
        <v/>
      </c>
      <c r="N18" s="18"/>
      <c r="O18" s="9"/>
    </row>
    <row r="19" spans="2:15" ht="17.100000000000001" customHeight="1" x14ac:dyDescent="0.3">
      <c r="B19" s="51"/>
      <c r="C19" s="5" t="s">
        <v>30</v>
      </c>
      <c r="D19" s="9"/>
      <c r="E19" s="12"/>
      <c r="F19" s="18"/>
      <c r="G19" s="12" t="str">
        <f>IF(SUMIFS(잔액_2022[결의금액],잔액_2022[통계목],$C19,잔액_2022[분류 항목],"토양수분량")=0,"",SUMIFS(잔액_2022[결의금액],잔액_2022[통계목],$C19,잔액_2022[분류 항목],"토양수분량"))</f>
        <v/>
      </c>
      <c r="H19" s="18"/>
      <c r="I19" s="12" t="str">
        <f>IF(SUMIFS(잔액_2023[결의금액],잔액_2023[통계목],$C19,잔액_2023[분류 항목],"토양수분량")=0,"",SUMIFS(잔액_2023[결의금액],잔액_2023[통계목],$C19,잔액_2023[분류 항목],"토양수분량"))</f>
        <v/>
      </c>
      <c r="J19" s="18"/>
      <c r="K19" s="12" t="str">
        <f>IF(SUMIFS(잔액_2024[결의금액],잔액_2024[통계목],$C19,잔액_2024[분류 항목],"토양수분량")=0,"",SUMIFS(잔액_2024[결의금액],잔액_2024[통계목],$C19,잔액_2024[분류 항목],"토양수분량"))</f>
        <v/>
      </c>
      <c r="L19" s="18"/>
      <c r="M19" s="12" t="str">
        <f>IF(SUMIFS(잔액_2025[결의금액],잔액_2025[통계목],$C19,잔액_2025[분류 항목],"토양수분량")=0,"",SUMIFS(잔액_2025[결의금액],잔액_2025[통계목],$C19,잔액_2025[분류 항목],"토양수분량"))</f>
        <v/>
      </c>
      <c r="N19" s="18"/>
      <c r="O19" s="9"/>
    </row>
    <row r="20" spans="2:15" ht="17.100000000000001" customHeight="1" x14ac:dyDescent="0.3">
      <c r="B20" s="51"/>
      <c r="C20" s="5" t="s">
        <v>31</v>
      </c>
      <c r="D20" s="9"/>
      <c r="E20" s="12"/>
      <c r="F20" s="18"/>
      <c r="G20" s="12" t="str">
        <f>IF(SUMIFS(잔액_2022[결의금액],잔액_2022[통계목],$C20,잔액_2022[분류 항목],"토양수분량")=0,"",SUMIFS(잔액_2022[결의금액],잔액_2022[통계목],$C20,잔액_2022[분류 항목],"토양수분량"))</f>
        <v/>
      </c>
      <c r="H20" s="18"/>
      <c r="I20" s="12" t="str">
        <f>IF(SUMIFS(잔액_2023[결의금액],잔액_2023[통계목],$C20,잔액_2023[분류 항목],"토양수분량")=0,"",SUMIFS(잔액_2023[결의금액],잔액_2023[통계목],$C20,잔액_2023[분류 항목],"토양수분량"))</f>
        <v/>
      </c>
      <c r="J20" s="18"/>
      <c r="K20" s="12" t="str">
        <f>IF(SUMIFS(잔액_2024[결의금액],잔액_2024[통계목],$C20,잔액_2024[분류 항목],"토양수분량")=0,"",SUMIFS(잔액_2024[결의금액],잔액_2024[통계목],$C20,잔액_2024[분류 항목],"토양수분량"))</f>
        <v/>
      </c>
      <c r="L20" s="18"/>
      <c r="M20" s="12" t="str">
        <f>IF(SUMIFS(잔액_2025[결의금액],잔액_2025[통계목],$C20,잔액_2025[분류 항목],"토양수분량")=0,"",SUMIFS(잔액_2025[결의금액],잔액_2025[통계목],$C20,잔액_2025[분류 항목],"토양수분량"))</f>
        <v/>
      </c>
      <c r="N20" s="18"/>
      <c r="O20" s="9"/>
    </row>
    <row r="21" spans="2:15" ht="17.100000000000001" customHeight="1" x14ac:dyDescent="0.3">
      <c r="B21" s="51"/>
      <c r="C21" s="5" t="s">
        <v>32</v>
      </c>
      <c r="D21" s="9"/>
      <c r="E21" s="12"/>
      <c r="F21" s="18"/>
      <c r="G21" s="12" t="str">
        <f>IF(SUMIFS(잔액_2022[결의금액],잔액_2022[통계목],$C21,잔액_2022[분류 항목],"토양수분량")=0,"",SUMIFS(잔액_2022[결의금액],잔액_2022[통계목],$C21,잔액_2022[분류 항목],"토양수분량"))</f>
        <v/>
      </c>
      <c r="H21" s="18"/>
      <c r="I21" s="12" t="str">
        <f>IF(SUMIFS(잔액_2023[결의금액],잔액_2023[통계목],$C21,잔액_2023[분류 항목],"토양수분량")=0,"",SUMIFS(잔액_2023[결의금액],잔액_2023[통계목],$C21,잔액_2023[분류 항목],"토양수분량"))</f>
        <v/>
      </c>
      <c r="J21" s="18"/>
      <c r="K21" s="12" t="str">
        <f>IF(SUMIFS(잔액_2024[결의금액],잔액_2024[통계목],$C21,잔액_2024[분류 항목],"토양수분량")=0,"",SUMIFS(잔액_2024[결의금액],잔액_2024[통계목],$C21,잔액_2024[분류 항목],"토양수분량"))</f>
        <v/>
      </c>
      <c r="L21" s="18"/>
      <c r="M21" s="12" t="str">
        <f>IF(SUMIFS(잔액_2025[결의금액],잔액_2025[통계목],$C21,잔액_2025[분류 항목],"토양수분량")=0,"",SUMIFS(잔액_2025[결의금액],잔액_2025[통계목],$C21,잔액_2025[분류 항목],"토양수분량"))</f>
        <v/>
      </c>
      <c r="N21" s="18"/>
      <c r="O21" s="9"/>
    </row>
    <row r="22" spans="2:15" ht="17.100000000000001" customHeight="1" x14ac:dyDescent="0.3">
      <c r="B22" s="51"/>
      <c r="C22" s="6" t="s">
        <v>33</v>
      </c>
      <c r="D22" s="10"/>
      <c r="E22" s="13"/>
      <c r="F22" s="19"/>
      <c r="G22" s="13" t="str">
        <f>IF(SUMIFS(잔액_2022[결의금액],잔액_2022[통계목],$C22,잔액_2022[분류 항목],"토양수분량")=0,"",SUMIFS(잔액_2022[결의금액],잔액_2022[통계목],$C22,잔액_2022[분류 항목],"토양수분량"))</f>
        <v/>
      </c>
      <c r="H22" s="19"/>
      <c r="I22" s="13" t="str">
        <f>IF(SUMIFS(잔액_2023[결의금액],잔액_2023[통계목],$C22,잔액_2023[분류 항목],"토양수분량")=0,"",SUMIFS(잔액_2023[결의금액],잔액_2023[통계목],$C22,잔액_2023[분류 항목],"토양수분량"))</f>
        <v/>
      </c>
      <c r="J22" s="19"/>
      <c r="K22" s="13" t="str">
        <f>IF(SUMIFS(잔액_2024[결의금액],잔액_2024[통계목],$C22,잔액_2024[분류 항목],"토양수분량")=0,"",SUMIFS(잔액_2024[결의금액],잔액_2024[통계목],$C22,잔액_2024[분류 항목],"토양수분량"))</f>
        <v/>
      </c>
      <c r="L22" s="19"/>
      <c r="M22" s="13" t="str">
        <f>IF(SUMIFS(잔액_2025[결의금액],잔액_2025[통계목],$C22,잔액_2025[분류 항목],"토양수분량")=0,"",SUMIFS(잔액_2025[결의금액],잔액_2025[통계목],$C22,잔액_2025[분류 항목],"토양수분량"))</f>
        <v/>
      </c>
      <c r="N22" s="19"/>
      <c r="O22" s="10"/>
    </row>
    <row r="23" spans="2:15" ht="17.100000000000001" customHeight="1" x14ac:dyDescent="0.3">
      <c r="B23" s="51" t="s">
        <v>34</v>
      </c>
      <c r="C23" s="21" t="s">
        <v>16</v>
      </c>
      <c r="D23" s="23">
        <f>SUM(D24:D25)</f>
        <v>1571460</v>
      </c>
      <c r="E23" s="24">
        <f>SUM(E24:E25)</f>
        <v>0</v>
      </c>
      <c r="F23" s="22">
        <f t="shared" ref="F23" si="12">SUM(F24:F25)</f>
        <v>6000000</v>
      </c>
      <c r="G23" s="24">
        <f>SUM(G24:G25)</f>
        <v>0</v>
      </c>
      <c r="H23" s="22">
        <f t="shared" ref="H23" si="13">SUM(H24:H25)</f>
        <v>7152000</v>
      </c>
      <c r="I23" s="24">
        <f>SUM(I24:I25)</f>
        <v>0</v>
      </c>
      <c r="J23" s="22">
        <f t="shared" ref="J23" si="14">SUM(J24:J25)</f>
        <v>10128000</v>
      </c>
      <c r="K23" s="24">
        <f>SUM(K24:K25)</f>
        <v>0</v>
      </c>
      <c r="L23" s="22">
        <f t="shared" ref="L23" si="15">SUM(L24:L25)</f>
        <v>9830000</v>
      </c>
      <c r="M23" s="24">
        <f>SUM(M24:M25)</f>
        <v>0</v>
      </c>
      <c r="N23" s="17">
        <f t="shared" ref="N23" si="16">SUM(N24:N25)</f>
        <v>9410000</v>
      </c>
      <c r="O23" s="23">
        <f>SUM(O24:O25)</f>
        <v>0</v>
      </c>
    </row>
    <row r="24" spans="2:15" ht="17.100000000000001" customHeight="1" x14ac:dyDescent="0.3">
      <c r="B24" s="51"/>
      <c r="C24" s="5" t="s">
        <v>35</v>
      </c>
      <c r="D24" s="9">
        <v>1571460</v>
      </c>
      <c r="E24" s="12"/>
      <c r="F24" s="18">
        <v>6000000</v>
      </c>
      <c r="G24" s="12" t="str">
        <f>IF(SUMIFS(잔액_2022[결의금액],잔액_2022[통계목],$C24,잔액_2022[분류 항목],"토양수분량")=0,"",SUMIFS(잔액_2022[결의금액],잔액_2022[통계목],$C24,잔액_2022[분류 항목],"토양수분량"))</f>
        <v/>
      </c>
      <c r="H24" s="18">
        <v>7152000</v>
      </c>
      <c r="I24" s="12" t="str">
        <f>IF(SUMIFS(잔액_2023[결의금액],잔액_2023[통계목],$C24,잔액_2023[분류 항목],"토양수분량")=0,"",SUMIFS(잔액_2023[결의금액],잔액_2023[통계목],$C24,잔액_2023[분류 항목],"토양수분량"))</f>
        <v/>
      </c>
      <c r="J24" s="18">
        <v>10128000</v>
      </c>
      <c r="K24" s="12" t="str">
        <f>IF(SUMIFS(잔액_2024[결의금액],잔액_2024[통계목],$C24,잔액_2024[분류 항목],"토양수분량")=0,"",SUMIFS(잔액_2024[결의금액],잔액_2024[통계목],$C24,잔액_2024[분류 항목],"토양수분량"))</f>
        <v/>
      </c>
      <c r="L24" s="18">
        <v>9830000</v>
      </c>
      <c r="M24" s="12" t="str">
        <f>IF(SUMIFS(잔액_2025[결의금액],잔액_2025[통계목],$C24,잔액_2025[분류 항목],"토양수분량")=0,"",SUMIFS(잔액_2025[결의금액],잔액_2025[통계목],$C24,잔액_2025[분류 항목],"토양수분량"))</f>
        <v/>
      </c>
      <c r="N24" s="18">
        <v>9410000</v>
      </c>
      <c r="O24" s="9"/>
    </row>
    <row r="25" spans="2:15" ht="17.100000000000001" customHeight="1" x14ac:dyDescent="0.3">
      <c r="B25" s="51"/>
      <c r="C25" s="6" t="s">
        <v>36</v>
      </c>
      <c r="D25" s="10"/>
      <c r="E25" s="13"/>
      <c r="F25" s="19"/>
      <c r="G25" s="13" t="str">
        <f>IF(SUMIFS(잔액_2022[결의금액],잔액_2022[통계목],$C25,잔액_2022[분류 항목],"토양수분량")=0,"",SUMIFS(잔액_2022[결의금액],잔액_2022[통계목],$C25,잔액_2022[분류 항목],"토양수분량"))</f>
        <v/>
      </c>
      <c r="H25" s="19"/>
      <c r="I25" s="13" t="str">
        <f>IF(SUMIFS(잔액_2023[결의금액],잔액_2023[통계목],$C25,잔액_2023[분류 항목],"토양수분량")=0,"",SUMIFS(잔액_2023[결의금액],잔액_2023[통계목],$C25,잔액_2023[분류 항목],"토양수분량"))</f>
        <v/>
      </c>
      <c r="J25" s="19"/>
      <c r="K25" s="13" t="str">
        <f>IF(SUMIFS(잔액_2024[결의금액],잔액_2024[통계목],$C25,잔액_2024[분류 항목],"토양수분량")=0,"",SUMIFS(잔액_2024[결의금액],잔액_2024[통계목],$C25,잔액_2024[분류 항목],"토양수분량"))</f>
        <v/>
      </c>
      <c r="L25" s="19"/>
      <c r="M25" s="13" t="str">
        <f>IF(SUMIFS(잔액_2025[결의금액],잔액_2025[통계목],$C25,잔액_2025[분류 항목],"토양수분량")=0,"",SUMIFS(잔액_2025[결의금액],잔액_2025[통계목],$C25,잔액_2025[분류 항목],"토양수분량"))</f>
        <v/>
      </c>
      <c r="N25" s="19"/>
      <c r="O25" s="10"/>
    </row>
    <row r="26" spans="2:15" ht="17.100000000000001" customHeight="1" x14ac:dyDescent="0.3">
      <c r="B26" s="51" t="s">
        <v>37</v>
      </c>
      <c r="C26" s="21" t="s">
        <v>16</v>
      </c>
      <c r="D26" s="23">
        <f>SUM(D27:D28)</f>
        <v>0</v>
      </c>
      <c r="E26" s="24">
        <f>SUM(E27:E28)</f>
        <v>0</v>
      </c>
      <c r="F26" s="22">
        <f t="shared" ref="F26" si="17">SUM(F27:F28)</f>
        <v>0</v>
      </c>
      <c r="G26" s="24">
        <f>SUM(G27:G28)</f>
        <v>0</v>
      </c>
      <c r="H26" s="22">
        <f t="shared" ref="H26" si="18">SUM(H27:H28)</f>
        <v>0</v>
      </c>
      <c r="I26" s="24">
        <f>SUM(I27:I28)</f>
        <v>0</v>
      </c>
      <c r="J26" s="22">
        <f t="shared" ref="J26" si="19">SUM(J27:J28)</f>
        <v>0</v>
      </c>
      <c r="K26" s="24">
        <f>SUM(K27:K28)</f>
        <v>0</v>
      </c>
      <c r="L26" s="22">
        <f t="shared" ref="L26" si="20">SUM(L27:L28)</f>
        <v>0</v>
      </c>
      <c r="M26" s="24">
        <f>SUM(M27:M28)</f>
        <v>0</v>
      </c>
      <c r="N26" s="17">
        <f t="shared" ref="N26" si="21">SUM(N27:N28)</f>
        <v>0</v>
      </c>
      <c r="O26" s="23">
        <f>SUM(O27:O28)</f>
        <v>0</v>
      </c>
    </row>
    <row r="27" spans="2:15" ht="17.100000000000001" customHeight="1" x14ac:dyDescent="0.3">
      <c r="B27" s="51"/>
      <c r="C27" s="5" t="s">
        <v>38</v>
      </c>
      <c r="D27" s="9"/>
      <c r="E27" s="12"/>
      <c r="F27" s="18"/>
      <c r="G27" s="12" t="str">
        <f>IF(SUMIFS(잔액_2022[결의금액],잔액_2022[통계목],$C27,잔액_2022[분류 항목],"토양수분량")=0,"",SUMIFS(잔액_2022[결의금액],잔액_2022[통계목],$C27,잔액_2022[분류 항목],"토양수분량"))</f>
        <v/>
      </c>
      <c r="H27" s="18"/>
      <c r="I27" s="12" t="str">
        <f>IF(SUMIFS(잔액_2023[결의금액],잔액_2023[통계목],$C27,잔액_2023[분류 항목],"토양수분량")=0,"",SUMIFS(잔액_2023[결의금액],잔액_2023[통계목],$C27,잔액_2023[분류 항목],"토양수분량"))</f>
        <v/>
      </c>
      <c r="J27" s="18"/>
      <c r="K27" s="12" t="str">
        <f>IF(SUMIFS(잔액_2024[결의금액],잔액_2024[통계목],$C27,잔액_2024[분류 항목],"토양수분량")=0,"",SUMIFS(잔액_2024[결의금액],잔액_2024[통계목],$C27,잔액_2024[분류 항목],"토양수분량"))</f>
        <v/>
      </c>
      <c r="L27" s="18"/>
      <c r="M27" s="12" t="str">
        <f>IF(SUMIFS(잔액_2025[결의금액],잔액_2025[통계목],$C27,잔액_2025[분류 항목],"토양수분량")=0,"",SUMIFS(잔액_2025[결의금액],잔액_2025[통계목],$C27,잔액_2025[분류 항목],"토양수분량"))</f>
        <v/>
      </c>
      <c r="N27" s="18"/>
      <c r="O27" s="9"/>
    </row>
    <row r="28" spans="2:15" ht="17.100000000000001" customHeight="1" x14ac:dyDescent="0.3">
      <c r="B28" s="51"/>
      <c r="C28" s="6" t="s">
        <v>39</v>
      </c>
      <c r="D28" s="10"/>
      <c r="E28" s="13"/>
      <c r="F28" s="19"/>
      <c r="G28" s="13" t="str">
        <f>IF(SUMIFS(잔액_2022[결의금액],잔액_2022[통계목],$C28,잔액_2022[분류 항목],"토양수분량")=0,"",SUMIFS(잔액_2022[결의금액],잔액_2022[통계목],$C28,잔액_2022[분류 항목],"토양수분량"))</f>
        <v/>
      </c>
      <c r="H28" s="19"/>
      <c r="I28" s="13" t="str">
        <f>IF(SUMIFS(잔액_2023[결의금액],잔액_2023[통계목],$C28,잔액_2023[분류 항목],"토양수분량")=0,"",SUMIFS(잔액_2023[결의금액],잔액_2023[통계목],$C28,잔액_2023[분류 항목],"토양수분량"))</f>
        <v/>
      </c>
      <c r="J28" s="19"/>
      <c r="K28" s="13" t="str">
        <f>IF(SUMIFS(잔액_2024[결의금액],잔액_2024[통계목],$C28,잔액_2024[분류 항목],"토양수분량")=0,"",SUMIFS(잔액_2024[결의금액],잔액_2024[통계목],$C28,잔액_2024[분류 항목],"토양수분량"))</f>
        <v/>
      </c>
      <c r="L28" s="19"/>
      <c r="M28" s="13" t="str">
        <f>IF(SUMIFS(잔액_2025[결의금액],잔액_2025[통계목],$C28,잔액_2025[분류 항목],"토양수분량")=0,"",SUMIFS(잔액_2025[결의금액],잔액_2025[통계목],$C28,잔액_2025[분류 항목],"토양수분량"))</f>
        <v/>
      </c>
      <c r="N28" s="19"/>
      <c r="O28" s="10"/>
    </row>
    <row r="29" spans="2:15" ht="17.100000000000001" customHeight="1" x14ac:dyDescent="0.3">
      <c r="B29" s="51" t="s">
        <v>40</v>
      </c>
      <c r="C29" s="21" t="s">
        <v>16</v>
      </c>
      <c r="D29" s="23">
        <f>SUM(D30:D31)</f>
        <v>0</v>
      </c>
      <c r="E29" s="24">
        <f>SUM(E30:E31)</f>
        <v>0</v>
      </c>
      <c r="F29" s="22">
        <f t="shared" ref="F29" si="22">SUM(F30:F31)</f>
        <v>0</v>
      </c>
      <c r="G29" s="24">
        <f>SUM(G30:G31)</f>
        <v>0</v>
      </c>
      <c r="H29" s="22">
        <f t="shared" ref="H29" si="23">SUM(H30:H31)</f>
        <v>0</v>
      </c>
      <c r="I29" s="24">
        <f>SUM(I30:I31)</f>
        <v>0</v>
      </c>
      <c r="J29" s="22">
        <f t="shared" ref="J29" si="24">SUM(J30:J31)</f>
        <v>0</v>
      </c>
      <c r="K29" s="24">
        <f>SUM(K30:K31)</f>
        <v>17392120</v>
      </c>
      <c r="L29" s="22">
        <f t="shared" ref="L29" si="25">SUM(L30:L31)</f>
        <v>0</v>
      </c>
      <c r="M29" s="24">
        <f>SUM(M30:M31)</f>
        <v>28461330</v>
      </c>
      <c r="N29" s="17">
        <f t="shared" ref="N29" si="26">SUM(N30:N31)</f>
        <v>0</v>
      </c>
      <c r="O29" s="23">
        <f>SUM(O30:O31)</f>
        <v>0</v>
      </c>
    </row>
    <row r="30" spans="2:15" ht="17.100000000000001" customHeight="1" x14ac:dyDescent="0.3">
      <c r="B30" s="51"/>
      <c r="C30" s="5" t="s">
        <v>41</v>
      </c>
      <c r="D30" s="9"/>
      <c r="E30" s="12"/>
      <c r="F30" s="18"/>
      <c r="G30" s="12" t="str">
        <f>IF(SUMIFS(잔액_2022[결의금액],잔액_2022[통계목],$C30,잔액_2022[분류 항목],"토양수분량")=0,"",SUMIFS(잔액_2022[결의금액],잔액_2022[통계목],$C30,잔액_2022[분류 항목],"토양수분량"))</f>
        <v/>
      </c>
      <c r="H30" s="18"/>
      <c r="I30" s="12" t="str">
        <f t="array" ref="I30">IFERROR(INDEX(잔액_2023[결의금액],MATCH(1,(잔액_2023[통계목]=$C30)*(잔액_2023[분류 항목]="토양수분량"),0)),"")</f>
        <v/>
      </c>
      <c r="J30" s="18"/>
      <c r="K30" s="12">
        <f>IF(SUMIFS(잔액_2024[결의금액],잔액_2024[통계목],$C30,잔액_2024[분류 항목],"토양수분량")=0,"",SUMIFS(잔액_2024[결의금액],잔액_2024[통계목],$C30,잔액_2024[분류 항목],"토양수분량"))</f>
        <v>17392120</v>
      </c>
      <c r="L30" s="18"/>
      <c r="M30" s="12">
        <f>IF(SUMIFS(잔액_2025[결의금액],잔액_2025[통계목],$C30,잔액_2025[분류 항목],"토양수분량")=0,"",SUMIFS(잔액_2025[결의금액],잔액_2025[통계목],$C30,잔액_2025[분류 항목],"토양수분량"))</f>
        <v>28461330</v>
      </c>
      <c r="N30" s="18"/>
      <c r="O30" s="9"/>
    </row>
    <row r="31" spans="2:15" ht="17.100000000000001" customHeight="1" x14ac:dyDescent="0.3">
      <c r="B31" s="51"/>
      <c r="C31" s="6" t="s">
        <v>42</v>
      </c>
      <c r="D31" s="10"/>
      <c r="E31" s="13"/>
      <c r="F31" s="19"/>
      <c r="G31" s="13" t="str">
        <f>IF(SUMIFS(잔액_2022[결의금액],잔액_2022[통계목],$C31,잔액_2022[분류 항목],"토양수분량")=0,"",SUMIFS(잔액_2022[결의금액],잔액_2022[통계목],$C31,잔액_2022[분류 항목],"토양수분량"))</f>
        <v/>
      </c>
      <c r="H31" s="19"/>
      <c r="I31" s="13" t="str">
        <f>IF(SUMIFS(잔액_2023[결의금액],잔액_2023[통계목],$C31,잔액_2023[분류 항목],"토양수분량")=0,"",SUMIFS(잔액_2023[결의금액],잔액_2023[통계목],$C31,잔액_2023[분류 항목],"토양수분량"))</f>
        <v/>
      </c>
      <c r="J31" s="19"/>
      <c r="K31" s="13" t="str">
        <f>IF(SUMIFS(잔액_2024[결의금액],잔액_2024[통계목],$C31,잔액_2024[분류 항목],"토양수분량")=0,"",SUMIFS(잔액_2024[결의금액],잔액_2024[통계목],$C31,잔액_2024[분류 항목],"토양수분량"))</f>
        <v/>
      </c>
      <c r="L31" s="19"/>
      <c r="M31" s="13" t="str">
        <f>IF(SUMIFS(잔액_2025[결의금액],잔액_2025[통계목],$C31,잔액_2025[분류 항목],"토양수분량")=0,"",SUMIFS(잔액_2025[결의금액],잔액_2025[통계목],$C31,잔액_2025[분류 항목],"토양수분량"))</f>
        <v/>
      </c>
      <c r="N31" s="19"/>
      <c r="O31" s="10"/>
    </row>
    <row r="32" spans="2:15" ht="17.100000000000001" customHeight="1" x14ac:dyDescent="0.3">
      <c r="B32" s="51" t="s">
        <v>43</v>
      </c>
      <c r="C32" s="21" t="s">
        <v>16</v>
      </c>
      <c r="D32" s="23">
        <f>D33</f>
        <v>0</v>
      </c>
      <c r="E32" s="24">
        <f>E33</f>
        <v>0</v>
      </c>
      <c r="F32" s="22">
        <f t="shared" ref="F32" si="27">F33</f>
        <v>0</v>
      </c>
      <c r="G32" s="24" t="str">
        <f>G33</f>
        <v/>
      </c>
      <c r="H32" s="22">
        <f t="shared" ref="H32" si="28">H33</f>
        <v>0</v>
      </c>
      <c r="I32" s="24" t="str">
        <f>I33</f>
        <v/>
      </c>
      <c r="J32" s="22">
        <f t="shared" ref="J32" si="29">J33</f>
        <v>0</v>
      </c>
      <c r="K32" s="24" t="str">
        <f>K33</f>
        <v/>
      </c>
      <c r="L32" s="22">
        <f t="shared" ref="L32" si="30">L33</f>
        <v>0</v>
      </c>
      <c r="M32" s="24" t="str">
        <f>M33</f>
        <v/>
      </c>
      <c r="N32" s="17">
        <f t="shared" ref="N32" si="31">N33</f>
        <v>0</v>
      </c>
      <c r="O32" s="23">
        <f>O33</f>
        <v>0</v>
      </c>
    </row>
    <row r="33" spans="2:15" ht="17.100000000000001" customHeight="1" x14ac:dyDescent="0.3">
      <c r="B33" s="51"/>
      <c r="C33" s="6" t="s">
        <v>44</v>
      </c>
      <c r="D33" s="10"/>
      <c r="E33" s="13"/>
      <c r="F33" s="19"/>
      <c r="G33" s="13" t="str">
        <f>IF(SUMIFS(잔액_2022[결의금액],잔액_2022[통계목],$C33,잔액_2022[분류 항목],"토양수분량")=0,"",SUMIFS(잔액_2022[결의금액],잔액_2022[통계목],$C33,잔액_2022[분류 항목],"토양수분량"))</f>
        <v/>
      </c>
      <c r="H33" s="19"/>
      <c r="I33" s="13" t="str">
        <f>IF(SUMIFS(잔액_2023[결의금액],잔액_2023[통계목],$C33,잔액_2023[분류 항목],"토양수분량")=0,"",SUMIFS(잔액_2023[결의금액],잔액_2023[통계목],$C33,잔액_2023[분류 항목],"토양수분량"))</f>
        <v/>
      </c>
      <c r="J33" s="19"/>
      <c r="K33" s="13" t="str">
        <f>IF(SUMIFS(잔액_2024[결의금액],잔액_2024[통계목],$C33,잔액_2024[분류 항목],"토양수분량")=0,"",SUMIFS(잔액_2024[결의금액],잔액_2024[통계목],$C33,잔액_2024[분류 항목],"토양수분량"))</f>
        <v/>
      </c>
      <c r="L33" s="19"/>
      <c r="M33" s="13" t="str">
        <f>IF(SUMIFS(잔액_2025[결의금액],잔액_2025[통계목],$C33,잔액_2025[분류 항목],"토양수분량")=0,"",SUMIFS(잔액_2025[결의금액],잔액_2025[통계목],$C33,잔액_2025[분류 항목],"토양수분량"))</f>
        <v/>
      </c>
      <c r="N33" s="19"/>
      <c r="O33" s="10"/>
    </row>
    <row r="34" spans="2:15" ht="17.100000000000001" customHeight="1" x14ac:dyDescent="0.3">
      <c r="B34" s="51" t="s">
        <v>45</v>
      </c>
      <c r="C34" s="21" t="s">
        <v>16</v>
      </c>
      <c r="D34" s="23">
        <f>SUM(D35:D39)</f>
        <v>0</v>
      </c>
      <c r="E34" s="24">
        <f>SUM(E35:E39)</f>
        <v>0</v>
      </c>
      <c r="F34" s="22">
        <f t="shared" ref="F34" si="32">SUM(F35:F39)</f>
        <v>0</v>
      </c>
      <c r="G34" s="24">
        <f>SUM(G35:G39)</f>
        <v>0</v>
      </c>
      <c r="H34" s="22">
        <f t="shared" ref="H34" si="33">SUM(H35:H39)</f>
        <v>0</v>
      </c>
      <c r="I34" s="24">
        <f>SUM(I35:I39)</f>
        <v>0</v>
      </c>
      <c r="J34" s="22">
        <f t="shared" ref="J34" si="34">SUM(J35:J39)</f>
        <v>0</v>
      </c>
      <c r="K34" s="24">
        <f>SUM(K35:K39)</f>
        <v>0</v>
      </c>
      <c r="L34" s="22">
        <f t="shared" ref="L34" si="35">SUM(L35:L39)</f>
        <v>0</v>
      </c>
      <c r="M34" s="24">
        <f>SUM(M35:M39)</f>
        <v>0</v>
      </c>
      <c r="N34" s="17">
        <f t="shared" ref="N34" si="36">SUM(N35:N39)</f>
        <v>0</v>
      </c>
      <c r="O34" s="23">
        <f>SUM(O35:O39)</f>
        <v>0</v>
      </c>
    </row>
    <row r="35" spans="2:15" ht="17.100000000000001" customHeight="1" x14ac:dyDescent="0.3">
      <c r="B35" s="51"/>
      <c r="C35" s="5" t="s">
        <v>46</v>
      </c>
      <c r="D35" s="9"/>
      <c r="E35" s="12"/>
      <c r="F35" s="18"/>
      <c r="G35" s="12" t="str">
        <f>IF(SUMIFS(잔액_2022[결의금액],잔액_2022[통계목],$C35,잔액_2022[분류 항목],"토양수분량")=0,"",SUMIFS(잔액_2022[결의금액],잔액_2022[통계목],$C35,잔액_2022[분류 항목],"토양수분량"))</f>
        <v/>
      </c>
      <c r="H35" s="18"/>
      <c r="I35" s="12" t="str">
        <f>IF(SUMIFS(잔액_2023[결의금액],잔액_2023[통계목],$C35,잔액_2023[분류 항목],"토양수분량")=0,"",SUMIFS(잔액_2023[결의금액],잔액_2023[통계목],$C35,잔액_2023[분류 항목],"토양수분량"))</f>
        <v/>
      </c>
      <c r="J35" s="18"/>
      <c r="K35" s="12" t="str">
        <f>IF(SUMIFS(잔액_2024[결의금액],잔액_2024[통계목],$C35,잔액_2024[분류 항목],"토양수분량")=0,"",SUMIFS(잔액_2024[결의금액],잔액_2024[통계목],$C35,잔액_2024[분류 항목],"토양수분량"))</f>
        <v/>
      </c>
      <c r="L35" s="18"/>
      <c r="M35" s="12" t="str">
        <f>IF(SUMIFS(잔액_2025[결의금액],잔액_2025[통계목],$C35,잔액_2025[분류 항목],"토양수분량")=0,"",SUMIFS(잔액_2025[결의금액],잔액_2025[통계목],$C35,잔액_2025[분류 항목],"토양수분량"))</f>
        <v/>
      </c>
      <c r="N35" s="18"/>
      <c r="O35" s="9"/>
    </row>
    <row r="36" spans="2:15" ht="17.100000000000001" customHeight="1" x14ac:dyDescent="0.3">
      <c r="B36" s="51"/>
      <c r="C36" s="5" t="s">
        <v>47</v>
      </c>
      <c r="D36" s="9"/>
      <c r="E36" s="12"/>
      <c r="F36" s="18"/>
      <c r="G36" s="12" t="str">
        <f>IF(SUMIFS(잔액_2022[결의금액],잔액_2022[통계목],$C36,잔액_2022[분류 항목],"토양수분량")=0,"",SUMIFS(잔액_2022[결의금액],잔액_2022[통계목],$C36,잔액_2022[분류 항목],"토양수분량"))</f>
        <v/>
      </c>
      <c r="H36" s="18"/>
      <c r="I36" s="12" t="str">
        <f>IF(SUMIFS(잔액_2023[결의금액],잔액_2023[통계목],$C36,잔액_2023[분류 항목],"토양수분량")=0,"",SUMIFS(잔액_2023[결의금액],잔액_2023[통계목],$C36,잔액_2023[분류 항목],"토양수분량"))</f>
        <v/>
      </c>
      <c r="J36" s="18"/>
      <c r="K36" s="12" t="str">
        <f>IF(SUMIFS(잔액_2024[결의금액],잔액_2024[통계목],$C36,잔액_2024[분류 항목],"토양수분량")=0,"",SUMIFS(잔액_2024[결의금액],잔액_2024[통계목],$C36,잔액_2024[분류 항목],"토양수분량"))</f>
        <v/>
      </c>
      <c r="L36" s="18"/>
      <c r="M36" s="12" t="str">
        <f>IF(SUMIFS(잔액_2025[결의금액],잔액_2025[통계목],$C36,잔액_2025[분류 항목],"토양수분량")=0,"",SUMIFS(잔액_2025[결의금액],잔액_2025[통계목],$C36,잔액_2025[분류 항목],"토양수분량"))</f>
        <v/>
      </c>
      <c r="N36" s="18"/>
      <c r="O36" s="9"/>
    </row>
    <row r="37" spans="2:15" ht="17.100000000000001" customHeight="1" x14ac:dyDescent="0.3">
      <c r="B37" s="51"/>
      <c r="C37" s="5" t="s">
        <v>48</v>
      </c>
      <c r="D37" s="9"/>
      <c r="E37" s="12"/>
      <c r="F37" s="18"/>
      <c r="G37" s="12" t="str">
        <f>IF(SUMIFS(잔액_2022[결의금액],잔액_2022[통계목],$C37,잔액_2022[분류 항목],"토양수분량")=0,"",SUMIFS(잔액_2022[결의금액],잔액_2022[통계목],$C37,잔액_2022[분류 항목],"토양수분량"))</f>
        <v/>
      </c>
      <c r="H37" s="18"/>
      <c r="I37" s="12" t="str">
        <f>IF(SUMIFS(잔액_2023[결의금액],잔액_2023[통계목],$C37,잔액_2023[분류 항목],"토양수분량")=0,"",SUMIFS(잔액_2023[결의금액],잔액_2023[통계목],$C37,잔액_2023[분류 항목],"토양수분량"))</f>
        <v/>
      </c>
      <c r="J37" s="18"/>
      <c r="K37" s="12" t="str">
        <f>IF(SUMIFS(잔액_2024[결의금액],잔액_2024[통계목],$C37,잔액_2024[분류 항목],"토양수분량")=0,"",SUMIFS(잔액_2024[결의금액],잔액_2024[통계목],$C37,잔액_2024[분류 항목],"토양수분량"))</f>
        <v/>
      </c>
      <c r="L37" s="18"/>
      <c r="M37" s="12" t="str">
        <f>IF(SUMIFS(잔액_2025[결의금액],잔액_2025[통계목],$C37,잔액_2025[분류 항목],"토양수분량")=0,"",SUMIFS(잔액_2025[결의금액],잔액_2025[통계목],$C37,잔액_2025[분류 항목],"토양수분량"))</f>
        <v/>
      </c>
      <c r="N37" s="18"/>
      <c r="O37" s="9"/>
    </row>
    <row r="38" spans="2:15" ht="17.100000000000001" customHeight="1" x14ac:dyDescent="0.3">
      <c r="B38" s="51"/>
      <c r="C38" s="5" t="s">
        <v>49</v>
      </c>
      <c r="D38" s="9"/>
      <c r="E38" s="12"/>
      <c r="F38" s="18"/>
      <c r="G38" s="12" t="str">
        <f>IF(SUMIFS(잔액_2022[결의금액],잔액_2022[통계목],$C38,잔액_2022[분류 항목],"토양수분량")=0,"",SUMIFS(잔액_2022[결의금액],잔액_2022[통계목],$C38,잔액_2022[분류 항목],"토양수분량"))</f>
        <v/>
      </c>
      <c r="H38" s="18"/>
      <c r="I38" s="12" t="str">
        <f>IF(SUMIFS(잔액_2023[결의금액],잔액_2023[통계목],$C38,잔액_2023[분류 항목],"토양수분량")=0,"",SUMIFS(잔액_2023[결의금액],잔액_2023[통계목],$C38,잔액_2023[분류 항목],"토양수분량"))</f>
        <v/>
      </c>
      <c r="J38" s="18"/>
      <c r="K38" s="12" t="str">
        <f>IF(SUMIFS(잔액_2024[결의금액],잔액_2024[통계목],$C38,잔액_2024[분류 항목],"토양수분량")=0,"",SUMIFS(잔액_2024[결의금액],잔액_2024[통계목],$C38,잔액_2024[분류 항목],"토양수분량"))</f>
        <v/>
      </c>
      <c r="L38" s="18"/>
      <c r="M38" s="12" t="str">
        <f>IF(SUMIFS(잔액_2025[결의금액],잔액_2025[통계목],$C38,잔액_2025[분류 항목],"토양수분량")=0,"",SUMIFS(잔액_2025[결의금액],잔액_2025[통계목],$C38,잔액_2025[분류 항목],"토양수분량"))</f>
        <v/>
      </c>
      <c r="N38" s="18"/>
      <c r="O38" s="9"/>
    </row>
    <row r="39" spans="2:15" ht="17.100000000000001" customHeight="1" x14ac:dyDescent="0.3">
      <c r="B39" s="51"/>
      <c r="C39" s="6" t="s">
        <v>50</v>
      </c>
      <c r="D39" s="10"/>
      <c r="E39" s="13"/>
      <c r="F39" s="19"/>
      <c r="G39" s="13" t="str">
        <f>IF(SUMIFS(잔액_2022[결의금액],잔액_2022[통계목],$C39,잔액_2022[분류 항목],"토양수분량")=0,"",SUMIFS(잔액_2022[결의금액],잔액_2022[통계목],$C39,잔액_2022[분류 항목],"토양수분량"))</f>
        <v/>
      </c>
      <c r="H39" s="19"/>
      <c r="I39" s="13" t="str">
        <f>IF(SUMIFS(잔액_2023[결의금액],잔액_2023[통계목],$C39,잔액_2023[분류 항목],"토양수분량")=0,"",SUMIFS(잔액_2023[결의금액],잔액_2023[통계목],$C39,잔액_2023[분류 항목],"토양수분량"))</f>
        <v/>
      </c>
      <c r="J39" s="19"/>
      <c r="K39" s="13" t="str">
        <f>IF(SUMIFS(잔액_2024[결의금액],잔액_2024[통계목],$C39,잔액_2024[분류 항목],"토양수분량")=0,"",SUMIFS(잔액_2024[결의금액],잔액_2024[통계목],$C39,잔액_2024[분류 항목],"토양수분량"))</f>
        <v/>
      </c>
      <c r="L39" s="19"/>
      <c r="M39" s="13" t="str">
        <f>IF(SUMIFS(잔액_2025[결의금액],잔액_2025[통계목],$C39,잔액_2025[분류 항목],"토양수분량")=0,"",SUMIFS(잔액_2025[결의금액],잔액_2025[통계목],$C39,잔액_2025[분류 항목],"토양수분량"))</f>
        <v/>
      </c>
      <c r="N39" s="19"/>
      <c r="O39" s="10"/>
    </row>
    <row r="40" spans="2:15" ht="17.100000000000001" customHeight="1" x14ac:dyDescent="0.3">
      <c r="B40" s="51" t="s">
        <v>51</v>
      </c>
      <c r="C40" s="21" t="s">
        <v>16</v>
      </c>
      <c r="D40" s="23">
        <f>D41</f>
        <v>0</v>
      </c>
      <c r="E40" s="24">
        <f>E41</f>
        <v>0</v>
      </c>
      <c r="F40" s="22">
        <f t="shared" ref="F40" si="37">F41</f>
        <v>0</v>
      </c>
      <c r="G40" s="24">
        <f>G41</f>
        <v>41525000</v>
      </c>
      <c r="H40" s="22">
        <f t="shared" ref="H40" si="38">H41</f>
        <v>0</v>
      </c>
      <c r="I40" s="24" t="str">
        <f>I41</f>
        <v/>
      </c>
      <c r="J40" s="22">
        <f t="shared" ref="J40" si="39">J41</f>
        <v>0</v>
      </c>
      <c r="K40" s="24" t="str">
        <f>K41</f>
        <v/>
      </c>
      <c r="L40" s="22">
        <f t="shared" ref="L40" si="40">L41</f>
        <v>0</v>
      </c>
      <c r="M40" s="24">
        <f>M41</f>
        <v>15675000</v>
      </c>
      <c r="N40" s="17">
        <f t="shared" ref="N40" si="41">N41</f>
        <v>0</v>
      </c>
      <c r="O40" s="23">
        <f>O41</f>
        <v>0</v>
      </c>
    </row>
    <row r="41" spans="2:15" ht="17.100000000000001" customHeight="1" x14ac:dyDescent="0.3">
      <c r="B41" s="51"/>
      <c r="C41" s="6" t="s">
        <v>52</v>
      </c>
      <c r="D41" s="10"/>
      <c r="E41" s="13"/>
      <c r="F41" s="19"/>
      <c r="G41" s="13">
        <f>IF(SUMIFS(잔액_2022[결의금액],잔액_2022[통계목],$C41,잔액_2022[분류 항목],"토양수분량")=0,"",SUMIFS(잔액_2022[결의금액],잔액_2022[통계목],$C41,잔액_2022[분류 항목],"토양수분량"))</f>
        <v>41525000</v>
      </c>
      <c r="H41" s="19"/>
      <c r="I41" s="13" t="str">
        <f>IF(SUMIFS(잔액_2023[결의금액],잔액_2023[통계목],$C41,잔액_2023[분류 항목],"토양수분량")=0,"",SUMIFS(잔액_2023[결의금액],잔액_2023[통계목],$C41,잔액_2023[분류 항목],"토양수분량"))</f>
        <v/>
      </c>
      <c r="J41" s="19"/>
      <c r="K41" s="13" t="str">
        <f>IF(SUMIFS(잔액_2024[결의금액],잔액_2024[통계목],$C41,잔액_2024[분류 항목],"토양수분량")=0,"",SUMIFS(잔액_2024[결의금액],잔액_2024[통계목],$C41,잔액_2024[분류 항목],"토양수분량"))</f>
        <v/>
      </c>
      <c r="L41" s="19"/>
      <c r="M41" s="13">
        <f>IF(SUMIFS(잔액_2025[결의금액],잔액_2025[통계목],$C41,잔액_2025[분류 항목],"토양수분량")=0,"",SUMIFS(잔액_2025[결의금액],잔액_2025[통계목],$C41,잔액_2025[분류 항목],"토양수분량"))</f>
        <v>15675000</v>
      </c>
      <c r="N41" s="19"/>
      <c r="O41" s="10"/>
    </row>
    <row r="42" spans="2:15" ht="17.100000000000001" customHeight="1" x14ac:dyDescent="0.3">
      <c r="B42" s="51" t="s">
        <v>53</v>
      </c>
      <c r="C42" s="21" t="s">
        <v>16</v>
      </c>
      <c r="D42" s="23">
        <f>D43</f>
        <v>0</v>
      </c>
      <c r="E42" s="24">
        <f>E43</f>
        <v>0</v>
      </c>
      <c r="F42" s="22">
        <f t="shared" ref="F42" si="42">F43</f>
        <v>0</v>
      </c>
      <c r="G42" s="24" t="str">
        <f>G43</f>
        <v/>
      </c>
      <c r="H42" s="22">
        <f t="shared" ref="H42" si="43">H43</f>
        <v>0</v>
      </c>
      <c r="I42" s="24" t="str">
        <f>I43</f>
        <v/>
      </c>
      <c r="J42" s="22">
        <f t="shared" ref="J42" si="44">J43</f>
        <v>0</v>
      </c>
      <c r="K42" s="24" t="str">
        <f>K43</f>
        <v/>
      </c>
      <c r="L42" s="22">
        <f t="shared" ref="L42" si="45">L43</f>
        <v>0</v>
      </c>
      <c r="M42" s="24" t="str">
        <f>M43</f>
        <v/>
      </c>
      <c r="N42" s="17">
        <f t="shared" ref="N42" si="46">N43</f>
        <v>0</v>
      </c>
      <c r="O42" s="23">
        <f>O43</f>
        <v>0</v>
      </c>
    </row>
    <row r="43" spans="2:15" ht="17.100000000000001" customHeight="1" x14ac:dyDescent="0.3">
      <c r="B43" s="51"/>
      <c r="C43" s="6" t="s">
        <v>54</v>
      </c>
      <c r="D43" s="10"/>
      <c r="E43" s="13"/>
      <c r="F43" s="19"/>
      <c r="G43" s="13" t="str">
        <f>IF(SUMIFS(잔액_2022[결의금액],잔액_2022[통계목],$C43,잔액_2022[분류 항목],"토양수분량")=0,"",SUMIFS(잔액_2022[결의금액],잔액_2022[통계목],$C43,잔액_2022[분류 항목],"토양수분량"))</f>
        <v/>
      </c>
      <c r="H43" s="19"/>
      <c r="I43" s="13" t="str">
        <f>IF(SUMIFS(잔액_2023[결의금액],잔액_2023[통계목],$C43,잔액_2023[분류 항목],"토양수분량")=0,"",SUMIFS(잔액_2023[결의금액],잔액_2023[통계목],$C43,잔액_2023[분류 항목],"토양수분량"))</f>
        <v/>
      </c>
      <c r="J43" s="19"/>
      <c r="K43" s="13" t="str">
        <f>IF(SUMIFS(잔액_2024[결의금액],잔액_2024[통계목],$C43,잔액_2024[분류 항목],"토양수분량")=0,"",SUMIFS(잔액_2024[결의금액],잔액_2024[통계목],$C43,잔액_2024[분류 항목],"토양수분량"))</f>
        <v/>
      </c>
      <c r="L43" s="19"/>
      <c r="M43" s="13" t="str">
        <f>IF(SUMIFS(잔액_2025[결의금액],잔액_2025[통계목],$C43,잔액_2025[분류 항목],"토양수분량")=0,"",SUMIFS(잔액_2025[결의금액],잔액_2025[통계목],$C43,잔액_2025[분류 항목],"토양수분량"))</f>
        <v/>
      </c>
      <c r="N43" s="19"/>
      <c r="O43" s="10"/>
    </row>
    <row r="44" spans="2:15" ht="17.100000000000001" customHeight="1" x14ac:dyDescent="0.3">
      <c r="B44" s="55" t="s">
        <v>55</v>
      </c>
      <c r="C44" s="21" t="s">
        <v>16</v>
      </c>
      <c r="D44" s="23">
        <f>D45</f>
        <v>0</v>
      </c>
      <c r="E44" s="24">
        <f>E45</f>
        <v>0</v>
      </c>
      <c r="F44" s="22">
        <f t="shared" ref="F44" si="47">F45</f>
        <v>0</v>
      </c>
      <c r="G44" s="24" t="str">
        <f>G45</f>
        <v/>
      </c>
      <c r="H44" s="22">
        <f t="shared" ref="H44" si="48">H45</f>
        <v>0</v>
      </c>
      <c r="I44" s="24" t="str">
        <f>I45</f>
        <v/>
      </c>
      <c r="J44" s="22">
        <f t="shared" ref="J44" si="49">J45</f>
        <v>0</v>
      </c>
      <c r="K44" s="24" t="str">
        <f>K45</f>
        <v/>
      </c>
      <c r="L44" s="22">
        <f t="shared" ref="L44" si="50">L45</f>
        <v>0</v>
      </c>
      <c r="M44" s="24" t="str">
        <f>M45</f>
        <v/>
      </c>
      <c r="N44" s="17">
        <f t="shared" ref="N44" si="51">N45</f>
        <v>0</v>
      </c>
      <c r="O44" s="23">
        <f>O45</f>
        <v>0</v>
      </c>
    </row>
    <row r="45" spans="2:15" ht="17.100000000000001" customHeight="1" x14ac:dyDescent="0.3">
      <c r="B45" s="51"/>
      <c r="C45" s="6" t="s">
        <v>56</v>
      </c>
      <c r="D45" s="10"/>
      <c r="E45" s="13"/>
      <c r="F45" s="19"/>
      <c r="G45" s="13" t="str">
        <f>IF(SUMIFS(잔액_2022[결의금액],잔액_2022[통계목],$C45,잔액_2022[분류 항목],"토양수분량")=0,"",SUMIFS(잔액_2022[결의금액],잔액_2022[통계목],$C45,잔액_2022[분류 항목],"토양수분량"))</f>
        <v/>
      </c>
      <c r="H45" s="19"/>
      <c r="I45" s="13" t="str">
        <f>IF(SUMIFS(잔액_2023[결의금액],잔액_2023[통계목],$C45,잔액_2023[분류 항목],"토양수분량")=0,"",SUMIFS(잔액_2023[결의금액],잔액_2023[통계목],$C45,잔액_2023[분류 항목],"토양수분량"))</f>
        <v/>
      </c>
      <c r="J45" s="19"/>
      <c r="K45" s="13" t="str">
        <f>IF(SUMIFS(잔액_2024[결의금액],잔액_2024[통계목],$C45,잔액_2024[분류 항목],"토양수분량")=0,"",SUMIFS(잔액_2024[결의금액],잔액_2024[통계목],$C45,잔액_2024[분류 항목],"토양수분량"))</f>
        <v/>
      </c>
      <c r="L45" s="19"/>
      <c r="M45" s="13" t="str">
        <f>IF(SUMIFS(잔액_2025[결의금액],잔액_2025[통계목],$C45,잔액_2025[분류 항목],"토양수분량")=0,"",SUMIFS(잔액_2025[결의금액],잔액_2025[통계목],$C45,잔액_2025[분류 항목],"토양수분량"))</f>
        <v/>
      </c>
      <c r="N45" s="19"/>
      <c r="O45" s="10"/>
    </row>
    <row r="46" spans="2:15" ht="17.100000000000001" customHeight="1" x14ac:dyDescent="0.3">
      <c r="B46" s="51" t="s">
        <v>57</v>
      </c>
      <c r="C46" s="21" t="s">
        <v>16</v>
      </c>
      <c r="D46" s="23">
        <f>D47</f>
        <v>0</v>
      </c>
      <c r="E46" s="24">
        <f>E47</f>
        <v>0</v>
      </c>
      <c r="F46" s="22">
        <f t="shared" ref="F46" si="52">F47</f>
        <v>0</v>
      </c>
      <c r="G46" s="24" t="str">
        <f>G47</f>
        <v/>
      </c>
      <c r="H46" s="22">
        <f t="shared" ref="H46" si="53">H47</f>
        <v>0</v>
      </c>
      <c r="I46" s="24" t="str">
        <f>I47</f>
        <v/>
      </c>
      <c r="J46" s="22">
        <f t="shared" ref="J46" si="54">J47</f>
        <v>0</v>
      </c>
      <c r="K46" s="24" t="str">
        <f>K47</f>
        <v/>
      </c>
      <c r="L46" s="22">
        <f t="shared" ref="L46" si="55">L47</f>
        <v>0</v>
      </c>
      <c r="M46" s="24" t="str">
        <f>M47</f>
        <v/>
      </c>
      <c r="N46" s="17">
        <f t="shared" ref="N46" si="56">N47</f>
        <v>0</v>
      </c>
      <c r="O46" s="23">
        <f>O47</f>
        <v>0</v>
      </c>
    </row>
    <row r="47" spans="2:15" ht="17.100000000000001" customHeight="1" x14ac:dyDescent="0.3">
      <c r="B47" s="51"/>
      <c r="C47" s="6" t="s">
        <v>58</v>
      </c>
      <c r="D47" s="10"/>
      <c r="E47" s="13"/>
      <c r="F47" s="19"/>
      <c r="G47" s="13" t="str">
        <f>IF(SUMIFS(잔액_2022[결의금액],잔액_2022[통계목],$C47,잔액_2022[분류 항목],"토양수분량")=0,"",SUMIFS(잔액_2022[결의금액],잔액_2022[통계목],$C47,잔액_2022[분류 항목],"토양수분량"))</f>
        <v/>
      </c>
      <c r="H47" s="19"/>
      <c r="I47" s="13" t="str">
        <f>IF(SUMIFS(잔액_2023[결의금액],잔액_2023[통계목],$C47,잔액_2023[분류 항목],"토양수분량")=0,"",SUMIFS(잔액_2023[결의금액],잔액_2023[통계목],$C47,잔액_2023[분류 항목],"토양수분량"))</f>
        <v/>
      </c>
      <c r="J47" s="19"/>
      <c r="K47" s="13" t="str">
        <f>IF(SUMIFS(잔액_2024[결의금액],잔액_2024[통계목],$C47,잔액_2024[분류 항목],"토양수분량")=0,"",SUMIFS(잔액_2024[결의금액],잔액_2024[통계목],$C47,잔액_2024[분류 항목],"토양수분량"))</f>
        <v/>
      </c>
      <c r="L47" s="19"/>
      <c r="M47" s="13" t="str">
        <f>IF(SUMIFS(잔액_2025[결의금액],잔액_2025[통계목],$C47,잔액_2025[분류 항목],"토양수분량")=0,"",SUMIFS(잔액_2025[결의금액],잔액_2025[통계목],$C47,잔액_2025[분류 항목],"토양수분량"))</f>
        <v/>
      </c>
      <c r="N47" s="19"/>
      <c r="O47" s="10"/>
    </row>
  </sheetData>
  <mergeCells count="20">
    <mergeCell ref="B44:B45"/>
    <mergeCell ref="B46:B47"/>
    <mergeCell ref="B26:B28"/>
    <mergeCell ref="B29:B31"/>
    <mergeCell ref="B32:B33"/>
    <mergeCell ref="B34:B39"/>
    <mergeCell ref="B40:B41"/>
    <mergeCell ref="B42:B43"/>
    <mergeCell ref="L2:M2"/>
    <mergeCell ref="N2:O2"/>
    <mergeCell ref="B4:C4"/>
    <mergeCell ref="B5:B9"/>
    <mergeCell ref="B10:B22"/>
    <mergeCell ref="H2:I2"/>
    <mergeCell ref="J2:K2"/>
    <mergeCell ref="B23:B25"/>
    <mergeCell ref="B2:B3"/>
    <mergeCell ref="C2:C3"/>
    <mergeCell ref="D2:E2"/>
    <mergeCell ref="F2:G2"/>
  </mergeCells>
  <phoneticPr fontId="2" type="noConversion"/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8EFD-8A72-4841-A239-EE0D11E1A22E}">
  <sheetPr>
    <pageSetUpPr fitToPage="1"/>
  </sheetPr>
  <dimension ref="B1:O47"/>
  <sheetViews>
    <sheetView zoomScale="80" zoomScaleNormal="80" workbookViewId="0">
      <selection activeCell="B1" sqref="B1"/>
    </sheetView>
  </sheetViews>
  <sheetFormatPr defaultColWidth="10.625" defaultRowHeight="17.100000000000001" customHeight="1" x14ac:dyDescent="0.3"/>
  <cols>
    <col min="1" max="1" width="3.625" style="1" customWidth="1"/>
    <col min="2" max="3" width="14.625" style="1" customWidth="1"/>
    <col min="4" max="4" width="18.625" style="1" customWidth="1"/>
    <col min="5" max="5" width="16.625" style="1" customWidth="1"/>
    <col min="6" max="6" width="18.625" style="1" customWidth="1"/>
    <col min="7" max="7" width="16.625" style="1" customWidth="1"/>
    <col min="8" max="8" width="18.625" style="1" customWidth="1"/>
    <col min="9" max="9" width="16.625" style="1" customWidth="1"/>
    <col min="10" max="10" width="18.625" style="1" customWidth="1"/>
    <col min="11" max="11" width="16.625" style="1" customWidth="1"/>
    <col min="12" max="12" width="18.625" style="1" customWidth="1"/>
    <col min="13" max="13" width="16.625" style="1" customWidth="1"/>
    <col min="14" max="14" width="18.625" style="1" customWidth="1"/>
    <col min="15" max="15" width="16.625" style="1" customWidth="1"/>
    <col min="16" max="16384" width="10.625" style="1"/>
  </cols>
  <sheetData>
    <row r="1" spans="2:15" ht="17.100000000000001" customHeight="1" x14ac:dyDescent="0.3">
      <c r="B1" s="57" t="s">
        <v>11</v>
      </c>
    </row>
    <row r="2" spans="2:15" ht="17.100000000000001" customHeight="1" x14ac:dyDescent="0.3">
      <c r="B2" s="52" t="s">
        <v>12</v>
      </c>
      <c r="C2" s="52" t="s">
        <v>13</v>
      </c>
      <c r="D2" s="52" t="s">
        <v>1</v>
      </c>
      <c r="E2" s="53"/>
      <c r="F2" s="52" t="s">
        <v>3</v>
      </c>
      <c r="G2" s="53"/>
      <c r="H2" s="52" t="s">
        <v>62</v>
      </c>
      <c r="I2" s="53"/>
      <c r="J2" s="52" t="s">
        <v>63</v>
      </c>
      <c r="K2" s="53"/>
      <c r="L2" s="52" t="s">
        <v>64</v>
      </c>
      <c r="M2" s="53"/>
      <c r="N2" s="54" t="s">
        <v>65</v>
      </c>
      <c r="O2" s="52"/>
    </row>
    <row r="3" spans="2:15" ht="17.100000000000001" customHeight="1" x14ac:dyDescent="0.3">
      <c r="B3" s="52"/>
      <c r="C3" s="52"/>
      <c r="D3" s="14" t="s">
        <v>59</v>
      </c>
      <c r="E3" s="15" t="s">
        <v>61</v>
      </c>
      <c r="F3" s="14" t="s">
        <v>59</v>
      </c>
      <c r="G3" s="15" t="s">
        <v>61</v>
      </c>
      <c r="H3" s="14" t="s">
        <v>59</v>
      </c>
      <c r="I3" s="15" t="s">
        <v>61</v>
      </c>
      <c r="J3" s="14" t="s">
        <v>59</v>
      </c>
      <c r="K3" s="15" t="s">
        <v>61</v>
      </c>
      <c r="L3" s="14" t="s">
        <v>59</v>
      </c>
      <c r="M3" s="15" t="s">
        <v>61</v>
      </c>
      <c r="N3" s="20" t="s">
        <v>59</v>
      </c>
      <c r="O3" s="14" t="s">
        <v>61</v>
      </c>
    </row>
    <row r="4" spans="2:15" ht="17.100000000000001" customHeight="1" x14ac:dyDescent="0.3">
      <c r="B4" s="49" t="s">
        <v>14</v>
      </c>
      <c r="C4" s="50"/>
      <c r="D4" s="7">
        <f t="shared" ref="D4" si="0">SUM(D5,D10,D23,D26,D29,D32,D34,D40,D42,D44,D46)</f>
        <v>922911768</v>
      </c>
      <c r="E4" s="11">
        <f t="shared" ref="E4:O4" si="1">SUM(E5,E10,E23,E26,E29,E32,E34,E40,E42,E44,E46)</f>
        <v>0</v>
      </c>
      <c r="F4" s="16">
        <f t="shared" si="1"/>
        <v>5618000000</v>
      </c>
      <c r="G4" s="11">
        <f t="shared" si="1"/>
        <v>41525000</v>
      </c>
      <c r="H4" s="16">
        <f t="shared" si="1"/>
        <v>5377336970</v>
      </c>
      <c r="I4" s="11">
        <f t="shared" si="1"/>
        <v>0</v>
      </c>
      <c r="J4" s="16">
        <f t="shared" si="1"/>
        <v>6912209423</v>
      </c>
      <c r="K4" s="11">
        <f t="shared" si="1"/>
        <v>17392120</v>
      </c>
      <c r="L4" s="16">
        <f t="shared" si="1"/>
        <v>32861000000</v>
      </c>
      <c r="M4" s="11">
        <f t="shared" si="1"/>
        <v>44136330</v>
      </c>
      <c r="N4" s="16">
        <f t="shared" si="1"/>
        <v>16249080000</v>
      </c>
      <c r="O4" s="7">
        <f t="shared" si="1"/>
        <v>0</v>
      </c>
    </row>
    <row r="5" spans="2:15" ht="17.100000000000001" customHeight="1" x14ac:dyDescent="0.3">
      <c r="B5" s="51" t="s">
        <v>15</v>
      </c>
      <c r="C5" s="21" t="s">
        <v>16</v>
      </c>
      <c r="D5" s="8">
        <f>SUM(D6:D9)</f>
        <v>22000000</v>
      </c>
      <c r="E5" s="24">
        <f>SUM(E6:E9)</f>
        <v>0</v>
      </c>
      <c r="F5" s="17">
        <f t="shared" ref="F5" si="2">SUM(F6:F9)</f>
        <v>56000000</v>
      </c>
      <c r="G5" s="24">
        <f>SUM(G6:G9)</f>
        <v>0</v>
      </c>
      <c r="H5" s="17">
        <f t="shared" ref="H5" si="3">SUM(H6:H9)</f>
        <v>65049195</v>
      </c>
      <c r="I5" s="24">
        <f>SUM(I6:I9)</f>
        <v>0</v>
      </c>
      <c r="J5" s="17">
        <f t="shared" ref="J5" si="4">SUM(J6:J9)</f>
        <v>50061407</v>
      </c>
      <c r="K5" s="24">
        <f>SUM(K6:K9)</f>
        <v>0</v>
      </c>
      <c r="L5" s="17">
        <f t="shared" ref="L5" si="5">SUM(L6:L9)</f>
        <v>300581085</v>
      </c>
      <c r="M5" s="24">
        <f>SUM(M6:M9)</f>
        <v>0</v>
      </c>
      <c r="N5" s="17">
        <f t="shared" ref="N5" si="6">SUM(N6:N9)</f>
        <v>0</v>
      </c>
      <c r="O5" s="23">
        <f>SUM(O6:O9)</f>
        <v>0</v>
      </c>
    </row>
    <row r="6" spans="2:15" ht="17.100000000000001" customHeight="1" x14ac:dyDescent="0.3">
      <c r="B6" s="51"/>
      <c r="C6" s="5" t="s">
        <v>17</v>
      </c>
      <c r="D6" s="9"/>
      <c r="E6" s="12"/>
      <c r="F6" s="18"/>
      <c r="G6" s="12" t="str">
        <f>IF(SUMIFS(잔액_2022[결의금액],잔액_2022[통계목],$C6,잔액_2022[분류 항목],"토양수분량")=0,"",SUMIFS(잔액_2022[결의금액],잔액_2022[통계목],$C6,잔액_2022[분류 항목],"토양수분량"))</f>
        <v/>
      </c>
      <c r="H6" s="18"/>
      <c r="I6" s="12" t="str">
        <f>IF(SUMIFS(잔액_2023[결의금액],잔액_2023[통계목],$C6,잔액_2023[분류 항목],"토양수분량")=0,"",SUMIFS(잔액_2023[결의금액],잔액_2023[통계목],$C6,잔액_2023[분류 항목],"토양수분량"))</f>
        <v/>
      </c>
      <c r="J6" s="18"/>
      <c r="K6" s="12" t="str">
        <f>IF(SUMIFS(잔액_2024[결의금액],잔액_2024[통계목],$C6,잔액_2024[분류 항목],"토양수분량")=0,"",SUMIFS(잔액_2024[결의금액],잔액_2024[통계목],$C6,잔액_2024[분류 항목],"토양수분량"))</f>
        <v/>
      </c>
      <c r="L6" s="18"/>
      <c r="M6" s="12" t="str">
        <f>IF(SUMIFS(잔액_2025[결의금액],잔액_2025[통계목],$C6,잔액_2025[분류 항목],"토양수분량")=0,"",SUMIFS(잔액_2025[결의금액],잔액_2025[통계목],$C6,잔액_2025[분류 항목],"토양수분량"))</f>
        <v/>
      </c>
      <c r="N6" s="18"/>
      <c r="O6" s="9"/>
    </row>
    <row r="7" spans="2:15" ht="17.100000000000001" customHeight="1" x14ac:dyDescent="0.3">
      <c r="B7" s="51"/>
      <c r="C7" s="5" t="s">
        <v>18</v>
      </c>
      <c r="D7" s="9"/>
      <c r="E7" s="12"/>
      <c r="F7" s="18"/>
      <c r="G7" s="12" t="str">
        <f>IF(SUMIFS(잔액_2022[결의금액],잔액_2022[통계목],$C7,잔액_2022[분류 항목],"토양수분량")=0,"",SUMIFS(잔액_2022[결의금액],잔액_2022[통계목],$C7,잔액_2022[분류 항목],"토양수분량"))</f>
        <v/>
      </c>
      <c r="H7" s="18"/>
      <c r="I7" s="12" t="str">
        <f>IF(SUMIFS(잔액_2023[결의금액],잔액_2023[통계목],$C7,잔액_2023[분류 항목],"토양수분량")=0,"",SUMIFS(잔액_2023[결의금액],잔액_2023[통계목],$C7,잔액_2023[분류 항목],"토양수분량"))</f>
        <v/>
      </c>
      <c r="J7" s="18"/>
      <c r="K7" s="12" t="str">
        <f>IF(SUMIFS(잔액_2024[결의금액],잔액_2024[통계목],$C7,잔액_2024[분류 항목],"토양수분량")=0,"",SUMIFS(잔액_2024[결의금액],잔액_2024[통계목],$C7,잔액_2024[분류 항목],"토양수분량"))</f>
        <v/>
      </c>
      <c r="L7" s="18"/>
      <c r="M7" s="12" t="str">
        <f>IF(SUMIFS(잔액_2025[결의금액],잔액_2025[통계목],$C7,잔액_2025[분류 항목],"토양수분량")=0,"",SUMIFS(잔액_2025[결의금액],잔액_2025[통계목],$C7,잔액_2025[분류 항목],"토양수분량"))</f>
        <v/>
      </c>
      <c r="N7" s="18"/>
      <c r="O7" s="9"/>
    </row>
    <row r="8" spans="2:15" ht="17.100000000000001" customHeight="1" x14ac:dyDescent="0.3">
      <c r="B8" s="51"/>
      <c r="C8" s="5" t="s">
        <v>19</v>
      </c>
      <c r="D8" s="9"/>
      <c r="E8" s="12"/>
      <c r="F8" s="18">
        <v>56000000</v>
      </c>
      <c r="G8" s="12" t="str">
        <f>IF(SUMIFS(잔액_2022[결의금액],잔액_2022[통계목],$C8,잔액_2022[분류 항목],"토양수분량")=0,"",SUMIFS(잔액_2022[결의금액],잔액_2022[통계목],$C8,잔액_2022[분류 항목],"토양수분량"))</f>
        <v/>
      </c>
      <c r="H8" s="18">
        <v>65049195</v>
      </c>
      <c r="I8" s="12" t="str">
        <f>IF(SUMIFS(잔액_2023[결의금액],잔액_2023[통계목],$C8,잔액_2023[분류 항목],"토양수분량")=0,"",SUMIFS(잔액_2023[결의금액],잔액_2023[통계목],$C8,잔액_2023[분류 항목],"토양수분량"))</f>
        <v/>
      </c>
      <c r="J8" s="18">
        <v>50061407</v>
      </c>
      <c r="K8" s="12" t="str">
        <f>IF(SUMIFS(잔액_2024[결의금액],잔액_2024[통계목],$C8,잔액_2024[분류 항목],"토양수분량")=0,"",SUMIFS(잔액_2024[결의금액],잔액_2024[통계목],$C8,잔액_2024[분류 항목],"토양수분량"))</f>
        <v/>
      </c>
      <c r="L8" s="18">
        <v>300581085</v>
      </c>
      <c r="M8" s="12" t="str">
        <f>IF(SUMIFS(잔액_2025[결의금액],잔액_2025[통계목],$C8,잔액_2025[분류 항목],"토양수분량")=0,"",SUMIFS(잔액_2025[결의금액],잔액_2025[통계목],$C8,잔액_2025[분류 항목],"토양수분량"))</f>
        <v/>
      </c>
      <c r="N8" s="18"/>
      <c r="O8" s="9"/>
    </row>
    <row r="9" spans="2:15" ht="17.100000000000001" customHeight="1" x14ac:dyDescent="0.3">
      <c r="B9" s="51"/>
      <c r="C9" s="6" t="s">
        <v>20</v>
      </c>
      <c r="D9" s="10">
        <v>22000000</v>
      </c>
      <c r="E9" s="13"/>
      <c r="F9" s="19"/>
      <c r="G9" s="13" t="str">
        <f>IF(SUMIFS(잔액_2022[결의금액],잔액_2022[통계목],$C9,잔액_2022[분류 항목],"토양수분량")=0,"",SUMIFS(잔액_2022[결의금액],잔액_2022[통계목],$C9,잔액_2022[분류 항목],"토양수분량"))</f>
        <v/>
      </c>
      <c r="H9" s="19"/>
      <c r="I9" s="13" t="str">
        <f>IF(SUMIFS(잔액_2023[결의금액],잔액_2023[통계목],$C9,잔액_2023[분류 항목],"토양수분량")=0,"",SUMIFS(잔액_2023[결의금액],잔액_2023[통계목],$C9,잔액_2023[분류 항목],"토양수분량"))</f>
        <v/>
      </c>
      <c r="J9" s="19"/>
      <c r="K9" s="13" t="str">
        <f>IF(SUMIFS(잔액_2024[결의금액],잔액_2024[통계목],$C9,잔액_2024[분류 항목],"토양수분량")=0,"",SUMIFS(잔액_2024[결의금액],잔액_2024[통계목],$C9,잔액_2024[분류 항목],"토양수분량"))</f>
        <v/>
      </c>
      <c r="L9" s="19"/>
      <c r="M9" s="13" t="str">
        <f>IF(SUMIFS(잔액_2025[결의금액],잔액_2025[통계목],$C9,잔액_2025[분류 항목],"토양수분량")=0,"",SUMIFS(잔액_2025[결의금액],잔액_2025[통계목],$C9,잔액_2025[분류 항목],"토양수분량"))</f>
        <v/>
      </c>
      <c r="N9" s="19"/>
      <c r="O9" s="10"/>
    </row>
    <row r="10" spans="2:15" ht="17.100000000000001" customHeight="1" x14ac:dyDescent="0.3">
      <c r="B10" s="51" t="s">
        <v>21</v>
      </c>
      <c r="C10" s="21" t="s">
        <v>16</v>
      </c>
      <c r="D10" s="23">
        <f>SUM(D11:D22)</f>
        <v>825222708</v>
      </c>
      <c r="E10" s="24">
        <f>SUM(E11:E22)</f>
        <v>0</v>
      </c>
      <c r="F10" s="22">
        <f t="shared" ref="F10" si="7">SUM(F11:F22)</f>
        <v>4899000000</v>
      </c>
      <c r="G10" s="24">
        <f>SUM(G11:G22)</f>
        <v>0</v>
      </c>
      <c r="H10" s="22">
        <f t="shared" ref="H10" si="8">SUM(H11:H22)</f>
        <v>2747650600</v>
      </c>
      <c r="I10" s="24">
        <f>SUM(I11:I22)</f>
        <v>0</v>
      </c>
      <c r="J10" s="22">
        <f t="shared" ref="J10" si="9">SUM(J11:J22)</f>
        <v>2173967740</v>
      </c>
      <c r="K10" s="24">
        <f>SUM(K11:K22)</f>
        <v>0</v>
      </c>
      <c r="L10" s="22">
        <f t="shared" ref="L10" si="10">SUM(L11:L22)</f>
        <v>3607193400</v>
      </c>
      <c r="M10" s="24">
        <f>SUM(M11:M22)</f>
        <v>0</v>
      </c>
      <c r="N10" s="22">
        <f t="shared" ref="N10" si="11">SUM(N11:N22)</f>
        <v>2914070000</v>
      </c>
      <c r="O10" s="23">
        <f>SUM(O11:O22)</f>
        <v>0</v>
      </c>
    </row>
    <row r="11" spans="2:15" ht="17.100000000000001" customHeight="1" x14ac:dyDescent="0.3">
      <c r="B11" s="51"/>
      <c r="C11" s="5" t="s">
        <v>22</v>
      </c>
      <c r="D11" s="9">
        <v>437203370</v>
      </c>
      <c r="E11" s="12"/>
      <c r="F11" s="18">
        <v>53000000</v>
      </c>
      <c r="G11" s="12" t="str">
        <f>IF(SUMIFS(잔액_2022[결의금액],잔액_2022[통계목],$C11,잔액_2022[분류 항목],"토양수분량")=0,"",SUMIFS(잔액_2022[결의금액],잔액_2022[통계목],$C11,잔액_2022[분류 항목],"토양수분량"))</f>
        <v/>
      </c>
      <c r="H11" s="18">
        <v>77680000</v>
      </c>
      <c r="I11" s="12" t="str">
        <f>IF(SUMIFS(잔액_2023[결의금액],잔액_2023[통계목],$C11,잔액_2023[분류 항목],"토양수분량")=0,"",SUMIFS(잔액_2023[결의금액],잔액_2023[통계목],$C11,잔액_2023[분류 항목],"토양수분량"))</f>
        <v/>
      </c>
      <c r="J11" s="18">
        <v>183523100</v>
      </c>
      <c r="K11" s="12" t="str">
        <f>IF(SUMIFS(잔액_2024[결의금액],잔액_2024[통계목],$C11,잔액_2024[분류 항목],"토양수분량")=0,"",SUMIFS(잔액_2024[결의금액],잔액_2024[통계목],$C11,잔액_2024[분류 항목],"토양수분량"))</f>
        <v/>
      </c>
      <c r="L11" s="18">
        <v>83216000</v>
      </c>
      <c r="M11" s="12" t="str">
        <f>IF(SUMIFS(잔액_2025[결의금액],잔액_2025[통계목],$C11,잔액_2025[분류 항목],"토양수분량")=0,"",SUMIFS(잔액_2025[결의금액],잔액_2025[통계목],$C11,잔액_2025[분류 항목],"토양수분량"))</f>
        <v/>
      </c>
      <c r="N11" s="18">
        <v>24810000</v>
      </c>
      <c r="O11" s="9"/>
    </row>
    <row r="12" spans="2:15" ht="17.100000000000001" customHeight="1" x14ac:dyDescent="0.3">
      <c r="B12" s="51"/>
      <c r="C12" s="5" t="s">
        <v>23</v>
      </c>
      <c r="D12" s="9">
        <v>28774010</v>
      </c>
      <c r="E12" s="12"/>
      <c r="F12" s="18">
        <v>64000000</v>
      </c>
      <c r="G12" s="12" t="str">
        <f>IF(SUMIFS(잔액_2022[결의금액],잔액_2022[통계목],$C12,잔액_2022[분류 항목],"토양수분량")=0,"",SUMIFS(잔액_2022[결의금액],잔액_2022[통계목],$C12,잔액_2022[분류 항목],"토양수분량"))</f>
        <v/>
      </c>
      <c r="H12" s="18">
        <v>69592000</v>
      </c>
      <c r="I12" s="12" t="str">
        <f>IF(SUMIFS(잔액_2023[결의금액],잔액_2023[통계목],$C12,잔액_2023[분류 항목],"토양수분량")=0,"",SUMIFS(잔액_2023[결의금액],잔액_2023[통계목],$C12,잔액_2023[분류 항목],"토양수분량"))</f>
        <v/>
      </c>
      <c r="J12" s="18">
        <v>113802000</v>
      </c>
      <c r="K12" s="12" t="str">
        <f>IF(SUMIFS(잔액_2024[결의금액],잔액_2024[통계목],$C12,잔액_2024[분류 항목],"토양수분량")=0,"",SUMIFS(잔액_2024[결의금액],잔액_2024[통계목],$C12,잔액_2024[분류 항목],"토양수분량"))</f>
        <v/>
      </c>
      <c r="L12" s="18">
        <v>139632000</v>
      </c>
      <c r="M12" s="12" t="str">
        <f>IF(SUMIFS(잔액_2025[결의금액],잔액_2025[통계목],$C12,잔액_2025[분류 항목],"토양수분량")=0,"",SUMIFS(잔액_2025[결의금액],잔액_2025[통계목],$C12,잔액_2025[분류 항목],"토양수분량"))</f>
        <v/>
      </c>
      <c r="N12" s="18">
        <v>198700000</v>
      </c>
      <c r="O12" s="9"/>
    </row>
    <row r="13" spans="2:15" ht="17.100000000000001" customHeight="1" x14ac:dyDescent="0.3">
      <c r="B13" s="51"/>
      <c r="C13" s="5" t="s">
        <v>24</v>
      </c>
      <c r="D13" s="9"/>
      <c r="E13" s="12"/>
      <c r="F13" s="18"/>
      <c r="G13" s="12" t="str">
        <f>IF(SUMIFS(잔액_2022[결의금액],잔액_2022[통계목],$C13,잔액_2022[분류 항목],"토양수분량")=0,"",SUMIFS(잔액_2022[결의금액],잔액_2022[통계목],$C13,잔액_2022[분류 항목],"토양수분량"))</f>
        <v/>
      </c>
      <c r="H13" s="18"/>
      <c r="I13" s="12" t="str">
        <f>IF(SUMIFS(잔액_2023[결의금액],잔액_2023[통계목],$C13,잔액_2023[분류 항목],"토양수분량")=0,"",SUMIFS(잔액_2023[결의금액],잔액_2023[통계목],$C13,잔액_2023[분류 항목],"토양수분량"))</f>
        <v/>
      </c>
      <c r="J13" s="18"/>
      <c r="K13" s="12" t="str">
        <f>IF(SUMIFS(잔액_2024[결의금액],잔액_2024[통계목],$C13,잔액_2024[분류 항목],"토양수분량")=0,"",SUMIFS(잔액_2024[결의금액],잔액_2024[통계목],$C13,잔액_2024[분류 항목],"토양수분량"))</f>
        <v/>
      </c>
      <c r="L13" s="18"/>
      <c r="M13" s="12" t="str">
        <f>IF(SUMIFS(잔액_2025[결의금액],잔액_2025[통계목],$C13,잔액_2025[분류 항목],"토양수분량")=0,"",SUMIFS(잔액_2025[결의금액],잔액_2025[통계목],$C13,잔액_2025[분류 항목],"토양수분량"))</f>
        <v/>
      </c>
      <c r="N13" s="18"/>
      <c r="O13" s="9"/>
    </row>
    <row r="14" spans="2:15" ht="17.100000000000001" customHeight="1" x14ac:dyDescent="0.3">
      <c r="B14" s="51"/>
      <c r="C14" s="5" t="s">
        <v>25</v>
      </c>
      <c r="D14" s="9"/>
      <c r="E14" s="12"/>
      <c r="F14" s="18"/>
      <c r="G14" s="12" t="str">
        <f>IF(SUMIFS(잔액_2022[결의금액],잔액_2022[통계목],$C14,잔액_2022[분류 항목],"토양수분량")=0,"",SUMIFS(잔액_2022[결의금액],잔액_2022[통계목],$C14,잔액_2022[분류 항목],"토양수분량"))</f>
        <v/>
      </c>
      <c r="H14" s="18"/>
      <c r="I14" s="12" t="str">
        <f>IF(SUMIFS(잔액_2023[결의금액],잔액_2023[통계목],$C14,잔액_2023[분류 항목],"토양수분량")=0,"",SUMIFS(잔액_2023[결의금액],잔액_2023[통계목],$C14,잔액_2023[분류 항목],"토양수분량"))</f>
        <v/>
      </c>
      <c r="J14" s="18"/>
      <c r="K14" s="12" t="str">
        <f>IF(SUMIFS(잔액_2024[결의금액],잔액_2024[통계목],$C14,잔액_2024[분류 항목],"토양수분량")=0,"",SUMIFS(잔액_2024[결의금액],잔액_2024[통계목],$C14,잔액_2024[분류 항목],"토양수분량"))</f>
        <v/>
      </c>
      <c r="L14" s="18"/>
      <c r="M14" s="12" t="str">
        <f>IF(SUMIFS(잔액_2025[결의금액],잔액_2025[통계목],$C14,잔액_2025[분류 항목],"토양수분량")=0,"",SUMIFS(잔액_2025[결의금액],잔액_2025[통계목],$C14,잔액_2025[분류 항목],"토양수분량"))</f>
        <v/>
      </c>
      <c r="N14" s="18"/>
      <c r="O14" s="9"/>
    </row>
    <row r="15" spans="2:15" ht="17.100000000000001" customHeight="1" x14ac:dyDescent="0.3">
      <c r="B15" s="51"/>
      <c r="C15" s="5" t="s">
        <v>26</v>
      </c>
      <c r="D15" s="9"/>
      <c r="E15" s="12"/>
      <c r="F15" s="18">
        <v>105000000</v>
      </c>
      <c r="G15" s="12" t="str">
        <f>IF(SUMIFS(잔액_2022[결의금액],잔액_2022[통계목],$C15,잔액_2022[분류 항목],"토양수분량")=0,"",SUMIFS(잔액_2022[결의금액],잔액_2022[통계목],$C15,잔액_2022[분류 항목],"토양수분량"))</f>
        <v/>
      </c>
      <c r="H15" s="18">
        <v>203900000</v>
      </c>
      <c r="I15" s="12" t="str">
        <f>IF(SUMIFS(잔액_2023[결의금액],잔액_2023[통계목],$C15,잔액_2023[분류 항목],"토양수분량")=0,"",SUMIFS(잔액_2023[결의금액],잔액_2023[통계목],$C15,잔액_2023[분류 항목],"토양수분량"))</f>
        <v/>
      </c>
      <c r="J15" s="18">
        <v>228700000</v>
      </c>
      <c r="K15" s="12" t="str">
        <f>IF(SUMIFS(잔액_2024[결의금액],잔액_2024[통계목],$C15,잔액_2024[분류 항목],"토양수분량")=0,"",SUMIFS(잔액_2024[결의금액],잔액_2024[통계목],$C15,잔액_2024[분류 항목],"토양수분량"))</f>
        <v/>
      </c>
      <c r="L15" s="18">
        <v>164795400</v>
      </c>
      <c r="M15" s="12" t="str">
        <f>IF(SUMIFS(잔액_2025[결의금액],잔액_2025[통계목],$C15,잔액_2025[분류 항목],"토양수분량")=0,"",SUMIFS(잔액_2025[결의금액],잔액_2025[통계목],$C15,잔액_2025[분류 항목],"토양수분량"))</f>
        <v/>
      </c>
      <c r="N15" s="18">
        <v>211660000</v>
      </c>
      <c r="O15" s="9"/>
    </row>
    <row r="16" spans="2:15" ht="17.100000000000001" customHeight="1" x14ac:dyDescent="0.3">
      <c r="B16" s="51"/>
      <c r="C16" s="5" t="s">
        <v>27</v>
      </c>
      <c r="D16" s="9">
        <v>13023028</v>
      </c>
      <c r="E16" s="12"/>
      <c r="F16" s="18">
        <v>24000000</v>
      </c>
      <c r="G16" s="12" t="str">
        <f>IF(SUMIFS(잔액_2022[결의금액],잔액_2022[통계목],$C16,잔액_2022[분류 항목],"토양수분량")=0,"",SUMIFS(잔액_2022[결의금액],잔액_2022[통계목],$C16,잔액_2022[분류 항목],"토양수분량"))</f>
        <v/>
      </c>
      <c r="H16" s="18">
        <v>25200000</v>
      </c>
      <c r="I16" s="12" t="str">
        <f>IF(SUMIFS(잔액_2023[결의금액],잔액_2023[통계목],$C16,잔액_2023[분류 항목],"토양수분량")=0,"",SUMIFS(잔액_2023[결의금액],잔액_2023[통계목],$C16,잔액_2023[분류 항목],"토양수분량"))</f>
        <v/>
      </c>
      <c r="J16" s="18">
        <v>25200000</v>
      </c>
      <c r="K16" s="12" t="str">
        <f>IF(SUMIFS(잔액_2024[결의금액],잔액_2024[통계목],$C16,잔액_2024[분류 항목],"토양수분량")=0,"",SUMIFS(잔액_2024[결의금액],잔액_2024[통계목],$C16,잔액_2024[분류 항목],"토양수분량"))</f>
        <v/>
      </c>
      <c r="L16" s="18">
        <v>15600000</v>
      </c>
      <c r="M16" s="12" t="str">
        <f>IF(SUMIFS(잔액_2025[결의금액],잔액_2025[통계목],$C16,잔액_2025[분류 항목],"토양수분량")=0,"",SUMIFS(잔액_2025[결의금액],잔액_2025[통계목],$C16,잔액_2025[분류 항목],"토양수분량"))</f>
        <v/>
      </c>
      <c r="N16" s="18">
        <v>16400000</v>
      </c>
      <c r="O16" s="9"/>
    </row>
    <row r="17" spans="2:15" ht="17.100000000000001" customHeight="1" x14ac:dyDescent="0.3">
      <c r="B17" s="51"/>
      <c r="C17" s="5" t="s">
        <v>28</v>
      </c>
      <c r="D17" s="9">
        <v>346222300</v>
      </c>
      <c r="E17" s="12"/>
      <c r="F17" s="18">
        <v>30000000</v>
      </c>
      <c r="G17" s="12" t="str">
        <f>IF(SUMIFS(잔액_2022[결의금액],잔액_2022[통계목],$C17,잔액_2022[분류 항목],"토양수분량")=0,"",SUMIFS(잔액_2022[결의금액],잔액_2022[통계목],$C17,잔액_2022[분류 항목],"토양수분량"))</f>
        <v/>
      </c>
      <c r="H17" s="18">
        <v>32200000</v>
      </c>
      <c r="I17" s="12" t="str">
        <f>IF(SUMIFS(잔액_2023[결의금액],잔액_2023[통계목],$C17,잔액_2023[분류 항목],"토양수분량")=0,"",SUMIFS(잔액_2023[결의금액],잔액_2023[통계목],$C17,잔액_2023[분류 항목],"토양수분량"))</f>
        <v/>
      </c>
      <c r="J17" s="18">
        <v>32400000</v>
      </c>
      <c r="K17" s="12" t="str">
        <f>IF(SUMIFS(잔액_2024[결의금액],잔액_2024[통계목],$C17,잔액_2024[분류 항목],"토양수분량")=0,"",SUMIFS(잔액_2024[결의금액],잔액_2024[통계목],$C17,잔액_2024[분류 항목],"토양수분량"))</f>
        <v/>
      </c>
      <c r="L17" s="18">
        <v>38200000</v>
      </c>
      <c r="M17" s="12" t="str">
        <f>IF(SUMIFS(잔액_2025[결의금액],잔액_2025[통계목],$C17,잔액_2025[분류 항목],"토양수분량")=0,"",SUMIFS(잔액_2025[결의금액],잔액_2025[통계목],$C17,잔액_2025[분류 항목],"토양수분량"))</f>
        <v/>
      </c>
      <c r="N17" s="18">
        <v>10500000</v>
      </c>
      <c r="O17" s="9"/>
    </row>
    <row r="18" spans="2:15" ht="17.100000000000001" customHeight="1" x14ac:dyDescent="0.3">
      <c r="B18" s="51"/>
      <c r="C18" s="5" t="s">
        <v>29</v>
      </c>
      <c r="D18" s="9"/>
      <c r="E18" s="12"/>
      <c r="F18" s="18"/>
      <c r="G18" s="12" t="str">
        <f>IF(SUMIFS(잔액_2022[결의금액],잔액_2022[통계목],$C18,잔액_2022[분류 항목],"토양수분량")=0,"",SUMIFS(잔액_2022[결의금액],잔액_2022[통계목],$C18,잔액_2022[분류 항목],"토양수분량"))</f>
        <v/>
      </c>
      <c r="H18" s="18"/>
      <c r="I18" s="12" t="str">
        <f>IF(SUMIFS(잔액_2023[결의금액],잔액_2023[통계목],$C18,잔액_2023[분류 항목],"토양수분량")=0,"",SUMIFS(잔액_2023[결의금액],잔액_2023[통계목],$C18,잔액_2023[분류 항목],"토양수분량"))</f>
        <v/>
      </c>
      <c r="J18" s="18">
        <v>27800000</v>
      </c>
      <c r="K18" s="12" t="str">
        <f>IF(SUMIFS(잔액_2024[결의금액],잔액_2024[통계목],$C18,잔액_2024[분류 항목],"토양수분량")=0,"",SUMIFS(잔액_2024[결의금액],잔액_2024[통계목],$C18,잔액_2024[분류 항목],"토양수분량"))</f>
        <v/>
      </c>
      <c r="L18" s="18">
        <v>16250000</v>
      </c>
      <c r="M18" s="12" t="str">
        <f>IF(SUMIFS(잔액_2025[결의금액],잔액_2025[통계목],$C18,잔액_2025[분류 항목],"토양수분량")=0,"",SUMIFS(잔액_2025[결의금액],잔액_2025[통계목],$C18,잔액_2025[분류 항목],"토양수분량"))</f>
        <v/>
      </c>
      <c r="N18" s="18">
        <v>2000000</v>
      </c>
      <c r="O18" s="9"/>
    </row>
    <row r="19" spans="2:15" ht="17.100000000000001" customHeight="1" x14ac:dyDescent="0.3">
      <c r="B19" s="51"/>
      <c r="C19" s="5" t="s">
        <v>30</v>
      </c>
      <c r="D19" s="9"/>
      <c r="E19" s="12"/>
      <c r="F19" s="18"/>
      <c r="G19" s="12" t="str">
        <f>IF(SUMIFS(잔액_2022[결의금액],잔액_2022[통계목],$C19,잔액_2022[분류 항목],"토양수분량")=0,"",SUMIFS(잔액_2022[결의금액],잔액_2022[통계목],$C19,잔액_2022[분류 항목],"토양수분량"))</f>
        <v/>
      </c>
      <c r="H19" s="18"/>
      <c r="I19" s="12" t="str">
        <f>IF(SUMIFS(잔액_2023[결의금액],잔액_2023[통계목],$C19,잔액_2023[분류 항목],"토양수분량")=0,"",SUMIFS(잔액_2023[결의금액],잔액_2023[통계목],$C19,잔액_2023[분류 항목],"토양수분량"))</f>
        <v/>
      </c>
      <c r="J19" s="18"/>
      <c r="K19" s="12" t="str">
        <f>IF(SUMIFS(잔액_2024[결의금액],잔액_2024[통계목],$C19,잔액_2024[분류 항목],"토양수분량")=0,"",SUMIFS(잔액_2024[결의금액],잔액_2024[통계목],$C19,잔액_2024[분류 항목],"토양수분량"))</f>
        <v/>
      </c>
      <c r="L19" s="18"/>
      <c r="M19" s="12" t="str">
        <f>IF(SUMIFS(잔액_2025[결의금액],잔액_2025[통계목],$C19,잔액_2025[분류 항목],"토양수분량")=0,"",SUMIFS(잔액_2025[결의금액],잔액_2025[통계목],$C19,잔액_2025[분류 항목],"토양수분량"))</f>
        <v/>
      </c>
      <c r="N19" s="18"/>
      <c r="O19" s="9"/>
    </row>
    <row r="20" spans="2:15" ht="17.100000000000001" customHeight="1" x14ac:dyDescent="0.3">
      <c r="B20" s="51"/>
      <c r="C20" s="5" t="s">
        <v>31</v>
      </c>
      <c r="D20" s="9"/>
      <c r="E20" s="12"/>
      <c r="F20" s="18"/>
      <c r="G20" s="12" t="str">
        <f>IF(SUMIFS(잔액_2022[결의금액],잔액_2022[통계목],$C20,잔액_2022[분류 항목],"토양수분량")=0,"",SUMIFS(잔액_2022[결의금액],잔액_2022[통계목],$C20,잔액_2022[분류 항목],"토양수분량"))</f>
        <v/>
      </c>
      <c r="H20" s="18"/>
      <c r="I20" s="12" t="str">
        <f>IF(SUMIFS(잔액_2023[결의금액],잔액_2023[통계목],$C20,잔액_2023[분류 항목],"토양수분량")=0,"",SUMIFS(잔액_2023[결의금액],잔액_2023[통계목],$C20,잔액_2023[분류 항목],"토양수분량"))</f>
        <v/>
      </c>
      <c r="J20" s="18"/>
      <c r="K20" s="12" t="str">
        <f>IF(SUMIFS(잔액_2024[결의금액],잔액_2024[통계목],$C20,잔액_2024[분류 항목],"토양수분량")=0,"",SUMIFS(잔액_2024[결의금액],잔액_2024[통계목],$C20,잔액_2024[분류 항목],"토양수분량"))</f>
        <v/>
      </c>
      <c r="L20" s="18">
        <v>100000000</v>
      </c>
      <c r="M20" s="12" t="str">
        <f>IF(SUMIFS(잔액_2025[결의금액],잔액_2025[통계목],$C20,잔액_2025[분류 항목],"토양수분량")=0,"",SUMIFS(잔액_2025[결의금액],잔액_2025[통계목],$C20,잔액_2025[분류 항목],"토양수분량"))</f>
        <v/>
      </c>
      <c r="N20" s="18"/>
      <c r="O20" s="9"/>
    </row>
    <row r="21" spans="2:15" ht="17.100000000000001" customHeight="1" x14ac:dyDescent="0.3">
      <c r="B21" s="51"/>
      <c r="C21" s="5" t="s">
        <v>32</v>
      </c>
      <c r="D21" s="9"/>
      <c r="E21" s="12"/>
      <c r="F21" s="18">
        <v>4623000000</v>
      </c>
      <c r="G21" s="12" t="str">
        <f>IF(SUMIFS(잔액_2022[결의금액],잔액_2022[통계목],$C21,잔액_2022[분류 항목],"토양수분량")=0,"",SUMIFS(잔액_2022[결의금액],잔액_2022[통계목],$C21,잔액_2022[분류 항목],"토양수분량"))</f>
        <v/>
      </c>
      <c r="H21" s="18">
        <v>2339078600</v>
      </c>
      <c r="I21" s="12" t="str">
        <f>IF(SUMIFS(잔액_2023[결의금액],잔액_2023[통계목],$C21,잔액_2023[분류 항목],"토양수분량")=0,"",SUMIFS(잔액_2023[결의금액],잔액_2023[통계목],$C21,잔액_2023[분류 항목],"토양수분량"))</f>
        <v/>
      </c>
      <c r="J21" s="18">
        <v>1562542640</v>
      </c>
      <c r="K21" s="12" t="str">
        <f>IF(SUMIFS(잔액_2024[결의금액],잔액_2024[통계목],$C21,잔액_2024[분류 항목],"토양수분량")=0,"",SUMIFS(잔액_2024[결의금액],잔액_2024[통계목],$C21,잔액_2024[분류 항목],"토양수분량"))</f>
        <v/>
      </c>
      <c r="L21" s="18">
        <v>3049500000</v>
      </c>
      <c r="M21" s="12" t="str">
        <f>IF(SUMIFS(잔액_2025[결의금액],잔액_2025[통계목],$C21,잔액_2025[분류 항목],"토양수분량")=0,"",SUMIFS(잔액_2025[결의금액],잔액_2025[통계목],$C21,잔액_2025[분류 항목],"토양수분량"))</f>
        <v/>
      </c>
      <c r="N21" s="18">
        <v>2450000000</v>
      </c>
      <c r="O21" s="9"/>
    </row>
    <row r="22" spans="2:15" ht="17.100000000000001" customHeight="1" x14ac:dyDescent="0.3">
      <c r="B22" s="51"/>
      <c r="C22" s="6" t="s">
        <v>33</v>
      </c>
      <c r="D22" s="10"/>
      <c r="E22" s="13"/>
      <c r="F22" s="19"/>
      <c r="G22" s="13" t="str">
        <f>IF(SUMIFS(잔액_2022[결의금액],잔액_2022[통계목],$C22,잔액_2022[분류 항목],"토양수분량")=0,"",SUMIFS(잔액_2022[결의금액],잔액_2022[통계목],$C22,잔액_2022[분류 항목],"토양수분량"))</f>
        <v/>
      </c>
      <c r="H22" s="19"/>
      <c r="I22" s="13" t="str">
        <f>IF(SUMIFS(잔액_2023[결의금액],잔액_2023[통계목],$C22,잔액_2023[분류 항목],"토양수분량")=0,"",SUMIFS(잔액_2023[결의금액],잔액_2023[통계목],$C22,잔액_2023[분류 항목],"토양수분량"))</f>
        <v/>
      </c>
      <c r="J22" s="19"/>
      <c r="K22" s="13" t="str">
        <f>IF(SUMIFS(잔액_2024[결의금액],잔액_2024[통계목],$C22,잔액_2024[분류 항목],"토양수분량")=0,"",SUMIFS(잔액_2024[결의금액],잔액_2024[통계목],$C22,잔액_2024[분류 항목],"토양수분량"))</f>
        <v/>
      </c>
      <c r="L22" s="19"/>
      <c r="M22" s="13" t="str">
        <f>IF(SUMIFS(잔액_2025[결의금액],잔액_2025[통계목],$C22,잔액_2025[분류 항목],"토양수분량")=0,"",SUMIFS(잔액_2025[결의금액],잔액_2025[통계목],$C22,잔액_2025[분류 항목],"토양수분량"))</f>
        <v/>
      </c>
      <c r="N22" s="19"/>
      <c r="O22" s="10"/>
    </row>
    <row r="23" spans="2:15" ht="17.100000000000001" customHeight="1" x14ac:dyDescent="0.3">
      <c r="B23" s="51" t="s">
        <v>34</v>
      </c>
      <c r="C23" s="21" t="s">
        <v>16</v>
      </c>
      <c r="D23" s="23">
        <f>SUM(D24:D25)</f>
        <v>75689060</v>
      </c>
      <c r="E23" s="24">
        <f>SUM(E24:E25)</f>
        <v>0</v>
      </c>
      <c r="F23" s="22">
        <f t="shared" ref="F23" si="12">SUM(F24:F25)</f>
        <v>142000000</v>
      </c>
      <c r="G23" s="24">
        <f>SUM(G24:G25)</f>
        <v>0</v>
      </c>
      <c r="H23" s="22">
        <f t="shared" ref="H23" si="13">SUM(H24:H25)</f>
        <v>189000000</v>
      </c>
      <c r="I23" s="24">
        <f>SUM(I24:I25)</f>
        <v>0</v>
      </c>
      <c r="J23" s="22">
        <f t="shared" ref="J23" si="14">SUM(J24:J25)</f>
        <v>233200000</v>
      </c>
      <c r="K23" s="24">
        <f>SUM(K24:K25)</f>
        <v>0</v>
      </c>
      <c r="L23" s="22">
        <f t="shared" ref="L23" si="15">SUM(L24:L25)</f>
        <v>268005320</v>
      </c>
      <c r="M23" s="24">
        <f>SUM(M24:M25)</f>
        <v>0</v>
      </c>
      <c r="N23" s="22">
        <f t="shared" ref="N23" si="16">SUM(N24:N25)</f>
        <v>203010000</v>
      </c>
      <c r="O23" s="23">
        <f>SUM(O24:O25)</f>
        <v>0</v>
      </c>
    </row>
    <row r="24" spans="2:15" ht="17.100000000000001" customHeight="1" x14ac:dyDescent="0.3">
      <c r="B24" s="51"/>
      <c r="C24" s="5" t="s">
        <v>35</v>
      </c>
      <c r="D24" s="9">
        <v>75689060</v>
      </c>
      <c r="E24" s="12"/>
      <c r="F24" s="18">
        <v>142000000</v>
      </c>
      <c r="G24" s="12" t="str">
        <f>IF(SUMIFS(잔액_2022[결의금액],잔액_2022[통계목],$C24,잔액_2022[분류 항목],"토양수분량")=0,"",SUMIFS(잔액_2022[결의금액],잔액_2022[통계목],$C24,잔액_2022[분류 항목],"토양수분량"))</f>
        <v/>
      </c>
      <c r="H24" s="18">
        <v>189000000</v>
      </c>
      <c r="I24" s="12" t="str">
        <f>IF(SUMIFS(잔액_2023[결의금액],잔액_2023[통계목],$C24,잔액_2023[분류 항목],"토양수분량")=0,"",SUMIFS(잔액_2023[결의금액],잔액_2023[통계목],$C24,잔액_2023[분류 항목],"토양수분량"))</f>
        <v/>
      </c>
      <c r="J24" s="18">
        <v>233200000</v>
      </c>
      <c r="K24" s="12" t="str">
        <f>IF(SUMIFS(잔액_2024[결의금액],잔액_2024[통계목],$C24,잔액_2024[분류 항목],"토양수분량")=0,"",SUMIFS(잔액_2024[결의금액],잔액_2024[통계목],$C24,잔액_2024[분류 항목],"토양수분량"))</f>
        <v/>
      </c>
      <c r="L24" s="18">
        <v>268005320</v>
      </c>
      <c r="M24" s="12" t="str">
        <f>IF(SUMIFS(잔액_2025[결의금액],잔액_2025[통계목],$C24,잔액_2025[분류 항목],"토양수분량")=0,"",SUMIFS(잔액_2025[결의금액],잔액_2025[통계목],$C24,잔액_2025[분류 항목],"토양수분량"))</f>
        <v/>
      </c>
      <c r="N24" s="18">
        <v>203010000</v>
      </c>
      <c r="O24" s="9"/>
    </row>
    <row r="25" spans="2:15" ht="17.100000000000001" customHeight="1" x14ac:dyDescent="0.3">
      <c r="B25" s="51"/>
      <c r="C25" s="6" t="s">
        <v>36</v>
      </c>
      <c r="D25" s="10"/>
      <c r="E25" s="13"/>
      <c r="F25" s="19"/>
      <c r="G25" s="13" t="str">
        <f>IF(SUMIFS(잔액_2022[결의금액],잔액_2022[통계목],$C25,잔액_2022[분류 항목],"토양수분량")=0,"",SUMIFS(잔액_2022[결의금액],잔액_2022[통계목],$C25,잔액_2022[분류 항목],"토양수분량"))</f>
        <v/>
      </c>
      <c r="H25" s="19"/>
      <c r="I25" s="13" t="str">
        <f>IF(SUMIFS(잔액_2023[결의금액],잔액_2023[통계목],$C25,잔액_2023[분류 항목],"토양수분량")=0,"",SUMIFS(잔액_2023[결의금액],잔액_2023[통계목],$C25,잔액_2023[분류 항목],"토양수분량"))</f>
        <v/>
      </c>
      <c r="J25" s="19"/>
      <c r="K25" s="13" t="str">
        <f>IF(SUMIFS(잔액_2024[결의금액],잔액_2024[통계목],$C25,잔액_2024[분류 항목],"토양수분량")=0,"",SUMIFS(잔액_2024[결의금액],잔액_2024[통계목],$C25,잔액_2024[분류 항목],"토양수분량"))</f>
        <v/>
      </c>
      <c r="L25" s="19"/>
      <c r="M25" s="13" t="str">
        <f>IF(SUMIFS(잔액_2025[결의금액],잔액_2025[통계목],$C25,잔액_2025[분류 항목],"토양수분량")=0,"",SUMIFS(잔액_2025[결의금액],잔액_2025[통계목],$C25,잔액_2025[분류 항목],"토양수분량"))</f>
        <v/>
      </c>
      <c r="N25" s="19"/>
      <c r="O25" s="10"/>
    </row>
    <row r="26" spans="2:15" ht="17.100000000000001" customHeight="1" x14ac:dyDescent="0.3">
      <c r="B26" s="51" t="s">
        <v>37</v>
      </c>
      <c r="C26" s="21" t="s">
        <v>16</v>
      </c>
      <c r="D26" s="23">
        <f>SUM(D27:D28)</f>
        <v>0</v>
      </c>
      <c r="E26" s="24">
        <f>SUM(E27:E28)</f>
        <v>0</v>
      </c>
      <c r="F26" s="22">
        <f t="shared" ref="F26" si="17">SUM(F27:F28)</f>
        <v>0</v>
      </c>
      <c r="G26" s="24">
        <f>SUM(G27:G28)</f>
        <v>0</v>
      </c>
      <c r="H26" s="22">
        <f t="shared" ref="H26" si="18">SUM(H27:H28)</f>
        <v>1710000</v>
      </c>
      <c r="I26" s="24">
        <f>SUM(I27:I28)</f>
        <v>0</v>
      </c>
      <c r="J26" s="22">
        <f t="shared" ref="J26" si="19">SUM(J27:J28)</f>
        <v>20000000</v>
      </c>
      <c r="K26" s="24">
        <f>SUM(K27:K28)</f>
        <v>0</v>
      </c>
      <c r="L26" s="22">
        <f t="shared" ref="L26" si="20">SUM(L27:L28)</f>
        <v>20000000</v>
      </c>
      <c r="M26" s="24">
        <f>SUM(M27:M28)</f>
        <v>0</v>
      </c>
      <c r="N26" s="22">
        <f t="shared" ref="N26" si="21">SUM(N27:N28)</f>
        <v>34000000</v>
      </c>
      <c r="O26" s="23">
        <f>SUM(O27:O28)</f>
        <v>0</v>
      </c>
    </row>
    <row r="27" spans="2:15" ht="17.100000000000001" customHeight="1" x14ac:dyDescent="0.3">
      <c r="B27" s="51"/>
      <c r="C27" s="5" t="s">
        <v>38</v>
      </c>
      <c r="D27" s="9"/>
      <c r="E27" s="12"/>
      <c r="F27" s="18"/>
      <c r="G27" s="12" t="str">
        <f>IF(SUMIFS(잔액_2022[결의금액],잔액_2022[통계목],$C27,잔액_2022[분류 항목],"토양수분량")=0,"",SUMIFS(잔액_2022[결의금액],잔액_2022[통계목],$C27,잔액_2022[분류 항목],"토양수분량"))</f>
        <v/>
      </c>
      <c r="H27" s="18">
        <v>1710000</v>
      </c>
      <c r="I27" s="12" t="str">
        <f>IF(SUMIFS(잔액_2023[결의금액],잔액_2023[통계목],$C27,잔액_2023[분류 항목],"토양수분량")=0,"",SUMIFS(잔액_2023[결의금액],잔액_2023[통계목],$C27,잔액_2023[분류 항목],"토양수분량"))</f>
        <v/>
      </c>
      <c r="J27" s="18">
        <v>20000000</v>
      </c>
      <c r="K27" s="12" t="str">
        <f>IF(SUMIFS(잔액_2024[결의금액],잔액_2024[통계목],$C27,잔액_2024[분류 항목],"토양수분량")=0,"",SUMIFS(잔액_2024[결의금액],잔액_2024[통계목],$C27,잔액_2024[분류 항목],"토양수분량"))</f>
        <v/>
      </c>
      <c r="L27" s="18">
        <v>20000000</v>
      </c>
      <c r="M27" s="12" t="str">
        <f>IF(SUMIFS(잔액_2025[결의금액],잔액_2025[통계목],$C27,잔액_2025[분류 항목],"토양수분량")=0,"",SUMIFS(잔액_2025[결의금액],잔액_2025[통계목],$C27,잔액_2025[분류 항목],"토양수분량"))</f>
        <v/>
      </c>
      <c r="N27" s="18">
        <v>34000000</v>
      </c>
      <c r="O27" s="9"/>
    </row>
    <row r="28" spans="2:15" ht="17.100000000000001" customHeight="1" x14ac:dyDescent="0.3">
      <c r="B28" s="51"/>
      <c r="C28" s="6" t="s">
        <v>39</v>
      </c>
      <c r="D28" s="10"/>
      <c r="E28" s="13"/>
      <c r="F28" s="19"/>
      <c r="G28" s="13" t="str">
        <f>IF(SUMIFS(잔액_2022[결의금액],잔액_2022[통계목],$C28,잔액_2022[분류 항목],"토양수분량")=0,"",SUMIFS(잔액_2022[결의금액],잔액_2022[통계목],$C28,잔액_2022[분류 항목],"토양수분량"))</f>
        <v/>
      </c>
      <c r="H28" s="19"/>
      <c r="I28" s="13" t="str">
        <f>IF(SUMIFS(잔액_2023[결의금액],잔액_2023[통계목],$C28,잔액_2023[분류 항목],"토양수분량")=0,"",SUMIFS(잔액_2023[결의금액],잔액_2023[통계목],$C28,잔액_2023[분류 항목],"토양수분량"))</f>
        <v/>
      </c>
      <c r="J28" s="19"/>
      <c r="K28" s="13" t="str">
        <f>IF(SUMIFS(잔액_2024[결의금액],잔액_2024[통계목],$C28,잔액_2024[분류 항목],"토양수분량")=0,"",SUMIFS(잔액_2024[결의금액],잔액_2024[통계목],$C28,잔액_2024[분류 항목],"토양수분량"))</f>
        <v/>
      </c>
      <c r="L28" s="19"/>
      <c r="M28" s="13" t="str">
        <f>IF(SUMIFS(잔액_2025[결의금액],잔액_2025[통계목],$C28,잔액_2025[분류 항목],"토양수분량")=0,"",SUMIFS(잔액_2025[결의금액],잔액_2025[통계목],$C28,잔액_2025[분류 항목],"토양수분량"))</f>
        <v/>
      </c>
      <c r="N28" s="19"/>
      <c r="O28" s="10"/>
    </row>
    <row r="29" spans="2:15" ht="17.100000000000001" customHeight="1" x14ac:dyDescent="0.3">
      <c r="B29" s="51" t="s">
        <v>40</v>
      </c>
      <c r="C29" s="21" t="s">
        <v>16</v>
      </c>
      <c r="D29" s="23">
        <f>SUM(D30:D31)</f>
        <v>0</v>
      </c>
      <c r="E29" s="24">
        <f>SUM(E30:E31)</f>
        <v>0</v>
      </c>
      <c r="F29" s="22">
        <f t="shared" ref="F29" si="22">SUM(F30:F31)</f>
        <v>0</v>
      </c>
      <c r="G29" s="24">
        <f>SUM(G30:G31)</f>
        <v>0</v>
      </c>
      <c r="H29" s="22">
        <f t="shared" ref="H29" si="23">SUM(H30:H31)</f>
        <v>0</v>
      </c>
      <c r="I29" s="24">
        <f>SUM(I30:I31)</f>
        <v>0</v>
      </c>
      <c r="J29" s="22">
        <f t="shared" ref="J29" si="24">SUM(J30:J31)</f>
        <v>60000000</v>
      </c>
      <c r="K29" s="24">
        <f>SUM(K30:K31)</f>
        <v>17392120</v>
      </c>
      <c r="L29" s="22">
        <f t="shared" ref="L29" si="25">SUM(L30:L31)</f>
        <v>96100000</v>
      </c>
      <c r="M29" s="24">
        <f>SUM(M30:M31)</f>
        <v>28461330</v>
      </c>
      <c r="N29" s="22">
        <f t="shared" ref="N29" si="26">SUM(N30:N31)</f>
        <v>0</v>
      </c>
      <c r="O29" s="23">
        <f>SUM(O30:O31)</f>
        <v>0</v>
      </c>
    </row>
    <row r="30" spans="2:15" ht="17.100000000000001" customHeight="1" x14ac:dyDescent="0.3">
      <c r="B30" s="51"/>
      <c r="C30" s="5" t="s">
        <v>41</v>
      </c>
      <c r="D30" s="9"/>
      <c r="E30" s="12"/>
      <c r="F30" s="18"/>
      <c r="G30" s="12" t="str">
        <f>IF(SUMIFS(잔액_2022[결의금액],잔액_2022[통계목],$C30,잔액_2022[분류 항목],"토양수분량")=0,"",SUMIFS(잔액_2022[결의금액],잔액_2022[통계목],$C30,잔액_2022[분류 항목],"토양수분량"))</f>
        <v/>
      </c>
      <c r="H30" s="18"/>
      <c r="I30" s="12" t="str">
        <f t="array" ref="I30">IFERROR(INDEX(잔액_2023[결의금액],MATCH(1,(잔액_2023[통계목]=$C30)*(잔액_2023[분류 항목]="토양수분량"),0)),"")</f>
        <v/>
      </c>
      <c r="J30" s="18">
        <v>60000000</v>
      </c>
      <c r="K30" s="12">
        <f>IF(SUMIFS(잔액_2024[결의금액],잔액_2024[통계목],$C30,잔액_2024[분류 항목],"토양수분량")=0,"",SUMIFS(잔액_2024[결의금액],잔액_2024[통계목],$C30,잔액_2024[분류 항목],"토양수분량"))</f>
        <v>17392120</v>
      </c>
      <c r="L30" s="18">
        <v>96100000</v>
      </c>
      <c r="M30" s="12">
        <f>IF(SUMIFS(잔액_2025[결의금액],잔액_2025[통계목],$C30,잔액_2025[분류 항목],"토양수분량")=0,"",SUMIFS(잔액_2025[결의금액],잔액_2025[통계목],$C30,잔액_2025[분류 항목],"토양수분량"))</f>
        <v>28461330</v>
      </c>
      <c r="N30" s="18"/>
      <c r="O30" s="9"/>
    </row>
    <row r="31" spans="2:15" ht="17.100000000000001" customHeight="1" x14ac:dyDescent="0.3">
      <c r="B31" s="51"/>
      <c r="C31" s="6" t="s">
        <v>42</v>
      </c>
      <c r="D31" s="10"/>
      <c r="E31" s="13"/>
      <c r="F31" s="19"/>
      <c r="G31" s="13" t="str">
        <f>IF(SUMIFS(잔액_2022[결의금액],잔액_2022[통계목],$C31,잔액_2022[분류 항목],"토양수분량")=0,"",SUMIFS(잔액_2022[결의금액],잔액_2022[통계목],$C31,잔액_2022[분류 항목],"토양수분량"))</f>
        <v/>
      </c>
      <c r="H31" s="19"/>
      <c r="I31" s="13" t="str">
        <f>IF(SUMIFS(잔액_2023[결의금액],잔액_2023[통계목],$C31,잔액_2023[분류 항목],"토양수분량")=0,"",SUMIFS(잔액_2023[결의금액],잔액_2023[통계목],$C31,잔액_2023[분류 항목],"토양수분량"))</f>
        <v/>
      </c>
      <c r="J31" s="19"/>
      <c r="K31" s="13" t="str">
        <f>IF(SUMIFS(잔액_2024[결의금액],잔액_2024[통계목],$C31,잔액_2024[분류 항목],"토양수분량")=0,"",SUMIFS(잔액_2024[결의금액],잔액_2024[통계목],$C31,잔액_2024[분류 항목],"토양수분량"))</f>
        <v/>
      </c>
      <c r="L31" s="19"/>
      <c r="M31" s="13" t="str">
        <f>IF(SUMIFS(잔액_2025[결의금액],잔액_2025[통계목],$C31,잔액_2025[분류 항목],"토양수분량")=0,"",SUMIFS(잔액_2025[결의금액],잔액_2025[통계목],$C31,잔액_2025[분류 항목],"토양수분량"))</f>
        <v/>
      </c>
      <c r="N31" s="19"/>
      <c r="O31" s="10"/>
    </row>
    <row r="32" spans="2:15" ht="17.100000000000001" customHeight="1" x14ac:dyDescent="0.3">
      <c r="B32" s="51" t="s">
        <v>43</v>
      </c>
      <c r="C32" s="21" t="s">
        <v>16</v>
      </c>
      <c r="D32" s="23">
        <f>D33</f>
        <v>0</v>
      </c>
      <c r="E32" s="24">
        <f>E33</f>
        <v>0</v>
      </c>
      <c r="F32" s="22">
        <f t="shared" ref="F32" si="27">F33</f>
        <v>0</v>
      </c>
      <c r="G32" s="24" t="str">
        <f>G33</f>
        <v/>
      </c>
      <c r="H32" s="22">
        <f t="shared" ref="H32" si="28">H33</f>
        <v>0</v>
      </c>
      <c r="I32" s="24" t="str">
        <f>I33</f>
        <v/>
      </c>
      <c r="J32" s="22">
        <f t="shared" ref="J32" si="29">J33</f>
        <v>12202941</v>
      </c>
      <c r="K32" s="24" t="str">
        <f>K33</f>
        <v/>
      </c>
      <c r="L32" s="22">
        <f t="shared" ref="L32" si="30">L33</f>
        <v>50220195</v>
      </c>
      <c r="M32" s="24" t="str">
        <f>M33</f>
        <v/>
      </c>
      <c r="N32" s="22">
        <f t="shared" ref="N32" si="31">N33</f>
        <v>0</v>
      </c>
      <c r="O32" s="23">
        <f>O33</f>
        <v>0</v>
      </c>
    </row>
    <row r="33" spans="2:15" ht="17.100000000000001" customHeight="1" x14ac:dyDescent="0.3">
      <c r="B33" s="51"/>
      <c r="C33" s="6" t="s">
        <v>44</v>
      </c>
      <c r="D33" s="10"/>
      <c r="E33" s="13"/>
      <c r="F33" s="19"/>
      <c r="G33" s="13" t="str">
        <f>IF(SUMIFS(잔액_2022[결의금액],잔액_2022[통계목],$C33,잔액_2022[분류 항목],"토양수분량")=0,"",SUMIFS(잔액_2022[결의금액],잔액_2022[통계목],$C33,잔액_2022[분류 항목],"토양수분량"))</f>
        <v/>
      </c>
      <c r="H33" s="19"/>
      <c r="I33" s="13" t="str">
        <f>IF(SUMIFS(잔액_2023[결의금액],잔액_2023[통계목],$C33,잔액_2023[분류 항목],"토양수분량")=0,"",SUMIFS(잔액_2023[결의금액],잔액_2023[통계목],$C33,잔액_2023[분류 항목],"토양수분량"))</f>
        <v/>
      </c>
      <c r="J33" s="19">
        <v>12202941</v>
      </c>
      <c r="K33" s="13" t="str">
        <f>IF(SUMIFS(잔액_2024[결의금액],잔액_2024[통계목],$C33,잔액_2024[분류 항목],"토양수분량")=0,"",SUMIFS(잔액_2024[결의금액],잔액_2024[통계목],$C33,잔액_2024[분류 항목],"토양수분량"))</f>
        <v/>
      </c>
      <c r="L33" s="19">
        <v>50220195</v>
      </c>
      <c r="M33" s="13" t="str">
        <f>IF(SUMIFS(잔액_2025[결의금액],잔액_2025[통계목],$C33,잔액_2025[분류 항목],"토양수분량")=0,"",SUMIFS(잔액_2025[결의금액],잔액_2025[통계목],$C33,잔액_2025[분류 항목],"토양수분량"))</f>
        <v/>
      </c>
      <c r="N33" s="19"/>
      <c r="O33" s="10"/>
    </row>
    <row r="34" spans="2:15" ht="17.100000000000001" customHeight="1" x14ac:dyDescent="0.3">
      <c r="B34" s="51" t="s">
        <v>45</v>
      </c>
      <c r="C34" s="21" t="s">
        <v>16</v>
      </c>
      <c r="D34" s="23">
        <f>SUM(D35:D39)</f>
        <v>0</v>
      </c>
      <c r="E34" s="24">
        <f>SUM(E35:E39)</f>
        <v>0</v>
      </c>
      <c r="F34" s="22">
        <f t="shared" ref="F34" si="32">SUM(F35:F39)</f>
        <v>0</v>
      </c>
      <c r="G34" s="24">
        <f>SUM(G35:G39)</f>
        <v>0</v>
      </c>
      <c r="H34" s="22">
        <f t="shared" ref="H34" si="33">SUM(H35:H39)</f>
        <v>1526543995</v>
      </c>
      <c r="I34" s="24">
        <f>SUM(I35:I39)</f>
        <v>0</v>
      </c>
      <c r="J34" s="22">
        <f t="shared" ref="J34" si="34">SUM(J35:J39)</f>
        <v>1740777335</v>
      </c>
      <c r="K34" s="24">
        <f>SUM(K35:K39)</f>
        <v>0</v>
      </c>
      <c r="L34" s="22">
        <f t="shared" ref="L34" si="35">SUM(L35:L39)</f>
        <v>10575963600</v>
      </c>
      <c r="M34" s="24">
        <f>SUM(M35:M39)</f>
        <v>0</v>
      </c>
      <c r="N34" s="22">
        <f t="shared" ref="N34" si="36">SUM(N35:N39)</f>
        <v>4890480000</v>
      </c>
      <c r="O34" s="23">
        <f>SUM(O35:O39)</f>
        <v>0</v>
      </c>
    </row>
    <row r="35" spans="2:15" ht="17.100000000000001" customHeight="1" x14ac:dyDescent="0.3">
      <c r="B35" s="51"/>
      <c r="C35" s="5" t="s">
        <v>46</v>
      </c>
      <c r="D35" s="9"/>
      <c r="E35" s="12"/>
      <c r="F35" s="18"/>
      <c r="G35" s="12" t="str">
        <f>IF(SUMIFS(잔액_2022[결의금액],잔액_2022[통계목],$C35,잔액_2022[분류 항목],"토양수분량")=0,"",SUMIFS(잔액_2022[결의금액],잔액_2022[통계목],$C35,잔액_2022[분류 항목],"토양수분량"))</f>
        <v/>
      </c>
      <c r="H35" s="18"/>
      <c r="I35" s="12" t="str">
        <f>IF(SUMIFS(잔액_2023[결의금액],잔액_2023[통계목],$C35,잔액_2023[분류 항목],"토양수분량")=0,"",SUMIFS(잔액_2023[결의금액],잔액_2023[통계목],$C35,잔액_2023[분류 항목],"토양수분량"))</f>
        <v/>
      </c>
      <c r="J35" s="18"/>
      <c r="K35" s="12" t="str">
        <f>IF(SUMIFS(잔액_2024[결의금액],잔액_2024[통계목],$C35,잔액_2024[분류 항목],"토양수분량")=0,"",SUMIFS(잔액_2024[결의금액],잔액_2024[통계목],$C35,잔액_2024[분류 항목],"토양수분량"))</f>
        <v/>
      </c>
      <c r="L35" s="18"/>
      <c r="M35" s="12" t="str">
        <f>IF(SUMIFS(잔액_2025[결의금액],잔액_2025[통계목],$C35,잔액_2025[분류 항목],"토양수분량")=0,"",SUMIFS(잔액_2025[결의금액],잔액_2025[통계목],$C35,잔액_2025[분류 항목],"토양수분량"))</f>
        <v/>
      </c>
      <c r="N35" s="18"/>
      <c r="O35" s="9"/>
    </row>
    <row r="36" spans="2:15" ht="17.100000000000001" customHeight="1" x14ac:dyDescent="0.3">
      <c r="B36" s="51"/>
      <c r="C36" s="5" t="s">
        <v>47</v>
      </c>
      <c r="D36" s="9"/>
      <c r="E36" s="12"/>
      <c r="F36" s="18"/>
      <c r="G36" s="12" t="str">
        <f>IF(SUMIFS(잔액_2022[결의금액],잔액_2022[통계목],$C36,잔액_2022[분류 항목],"토양수분량")=0,"",SUMIFS(잔액_2022[결의금액],잔액_2022[통계목],$C36,잔액_2022[분류 항목],"토양수분량"))</f>
        <v/>
      </c>
      <c r="H36" s="18">
        <v>296543995</v>
      </c>
      <c r="I36" s="12" t="str">
        <f>IF(SUMIFS(잔액_2023[결의금액],잔액_2023[통계목],$C36,잔액_2023[분류 항목],"토양수분량")=0,"",SUMIFS(잔액_2023[결의금액],잔액_2023[통계목],$C36,잔액_2023[분류 항목],"토양수분량"))</f>
        <v/>
      </c>
      <c r="J36" s="18">
        <v>761209423</v>
      </c>
      <c r="K36" s="12" t="str">
        <f>IF(SUMIFS(잔액_2024[결의금액],잔액_2024[통계목],$C36,잔액_2024[분류 항목],"토양수분량")=0,"",SUMIFS(잔액_2024[결의금액],잔액_2024[통계목],$C36,잔액_2024[분류 항목],"토양수분량"))</f>
        <v/>
      </c>
      <c r="L36" s="18">
        <v>850000000</v>
      </c>
      <c r="M36" s="12" t="str">
        <f>IF(SUMIFS(잔액_2025[결의금액],잔액_2025[통계목],$C36,잔액_2025[분류 항목],"토양수분량")=0,"",SUMIFS(잔액_2025[결의금액],잔액_2025[통계목],$C36,잔액_2025[분류 항목],"토양수분량"))</f>
        <v/>
      </c>
      <c r="N36" s="18"/>
      <c r="O36" s="9"/>
    </row>
    <row r="37" spans="2:15" ht="17.100000000000001" customHeight="1" x14ac:dyDescent="0.3">
      <c r="B37" s="51"/>
      <c r="C37" s="5" t="s">
        <v>48</v>
      </c>
      <c r="D37" s="9"/>
      <c r="E37" s="12"/>
      <c r="F37" s="18"/>
      <c r="G37" s="12" t="str">
        <f>IF(SUMIFS(잔액_2022[결의금액],잔액_2022[통계목],$C37,잔액_2022[분류 항목],"토양수분량")=0,"",SUMIFS(잔액_2022[결의금액],잔액_2022[통계목],$C37,잔액_2022[분류 항목],"토양수분량"))</f>
        <v/>
      </c>
      <c r="H37" s="18">
        <v>1230000000</v>
      </c>
      <c r="I37" s="12" t="str">
        <f>IF(SUMIFS(잔액_2023[결의금액],잔액_2023[통계목],$C37,잔액_2023[분류 항목],"토양수분량")=0,"",SUMIFS(잔액_2023[결의금액],잔액_2023[통계목],$C37,잔액_2023[분류 항목],"토양수분량"))</f>
        <v/>
      </c>
      <c r="J37" s="18">
        <v>979567912</v>
      </c>
      <c r="K37" s="12" t="str">
        <f>IF(SUMIFS(잔액_2024[결의금액],잔액_2024[통계목],$C37,잔액_2024[분류 항목],"토양수분량")=0,"",SUMIFS(잔액_2024[결의금액],잔액_2024[통계목],$C37,잔액_2024[분류 항목],"토양수분량"))</f>
        <v/>
      </c>
      <c r="L37" s="18">
        <v>8725963600</v>
      </c>
      <c r="M37" s="12" t="str">
        <f>IF(SUMIFS(잔액_2025[결의금액],잔액_2025[통계목],$C37,잔액_2025[분류 항목],"토양수분량")=0,"",SUMIFS(잔액_2025[결의금액],잔액_2025[통계목],$C37,잔액_2025[분류 항목],"토양수분량"))</f>
        <v/>
      </c>
      <c r="N37" s="18">
        <v>4376960000</v>
      </c>
      <c r="O37" s="9"/>
    </row>
    <row r="38" spans="2:15" ht="17.100000000000001" customHeight="1" x14ac:dyDescent="0.3">
      <c r="B38" s="51"/>
      <c r="C38" s="5" t="s">
        <v>49</v>
      </c>
      <c r="D38" s="9"/>
      <c r="E38" s="12"/>
      <c r="F38" s="18"/>
      <c r="G38" s="12" t="str">
        <f>IF(SUMIFS(잔액_2022[결의금액],잔액_2022[통계목],$C38,잔액_2022[분류 항목],"토양수분량")=0,"",SUMIFS(잔액_2022[결의금액],잔액_2022[통계목],$C38,잔액_2022[분류 항목],"토양수분량"))</f>
        <v/>
      </c>
      <c r="H38" s="18"/>
      <c r="I38" s="12" t="str">
        <f>IF(SUMIFS(잔액_2023[결의금액],잔액_2023[통계목],$C38,잔액_2023[분류 항목],"토양수분량")=0,"",SUMIFS(잔액_2023[결의금액],잔액_2023[통계목],$C38,잔액_2023[분류 항목],"토양수분량"))</f>
        <v/>
      </c>
      <c r="J38" s="18"/>
      <c r="K38" s="12" t="str">
        <f>IF(SUMIFS(잔액_2024[결의금액],잔액_2024[통계목],$C38,잔액_2024[분류 항목],"토양수분량")=0,"",SUMIFS(잔액_2024[결의금액],잔액_2024[통계목],$C38,잔액_2024[분류 항목],"토양수분량"))</f>
        <v/>
      </c>
      <c r="L38" s="18">
        <v>1000000000</v>
      </c>
      <c r="M38" s="12" t="str">
        <f>IF(SUMIFS(잔액_2025[결의금액],잔액_2025[통계목],$C38,잔액_2025[분류 항목],"토양수분량")=0,"",SUMIFS(잔액_2025[결의금액],잔액_2025[통계목],$C38,잔액_2025[분류 항목],"토양수분량"))</f>
        <v/>
      </c>
      <c r="N38" s="18">
        <v>513520000</v>
      </c>
      <c r="O38" s="9"/>
    </row>
    <row r="39" spans="2:15" ht="17.100000000000001" customHeight="1" x14ac:dyDescent="0.3">
      <c r="B39" s="51"/>
      <c r="C39" s="6" t="s">
        <v>50</v>
      </c>
      <c r="D39" s="10"/>
      <c r="E39" s="13"/>
      <c r="F39" s="19"/>
      <c r="G39" s="13" t="str">
        <f>IF(SUMIFS(잔액_2022[결의금액],잔액_2022[통계목],$C39,잔액_2022[분류 항목],"토양수분량")=0,"",SUMIFS(잔액_2022[결의금액],잔액_2022[통계목],$C39,잔액_2022[분류 항목],"토양수분량"))</f>
        <v/>
      </c>
      <c r="H39" s="19"/>
      <c r="I39" s="13" t="str">
        <f>IF(SUMIFS(잔액_2023[결의금액],잔액_2023[통계목],$C39,잔액_2023[분류 항목],"토양수분량")=0,"",SUMIFS(잔액_2023[결의금액],잔액_2023[통계목],$C39,잔액_2023[분류 항목],"토양수분량"))</f>
        <v/>
      </c>
      <c r="J39" s="19"/>
      <c r="K39" s="13" t="str">
        <f>IF(SUMIFS(잔액_2024[결의금액],잔액_2024[통계목],$C39,잔액_2024[분류 항목],"토양수분량")=0,"",SUMIFS(잔액_2024[결의금액],잔액_2024[통계목],$C39,잔액_2024[분류 항목],"토양수분량"))</f>
        <v/>
      </c>
      <c r="L39" s="19"/>
      <c r="M39" s="13" t="str">
        <f>IF(SUMIFS(잔액_2025[결의금액],잔액_2025[통계목],$C39,잔액_2025[분류 항목],"토양수분량")=0,"",SUMIFS(잔액_2025[결의금액],잔액_2025[통계목],$C39,잔액_2025[분류 항목],"토양수분량"))</f>
        <v/>
      </c>
      <c r="N39" s="19"/>
      <c r="O39" s="10"/>
    </row>
    <row r="40" spans="2:15" ht="17.100000000000001" customHeight="1" x14ac:dyDescent="0.3">
      <c r="B40" s="51" t="s">
        <v>51</v>
      </c>
      <c r="C40" s="21" t="s">
        <v>16</v>
      </c>
      <c r="D40" s="23">
        <f>D41</f>
        <v>0</v>
      </c>
      <c r="E40" s="24">
        <f>E41</f>
        <v>0</v>
      </c>
      <c r="F40" s="22">
        <f t="shared" ref="F40" si="37">F41</f>
        <v>518000000</v>
      </c>
      <c r="G40" s="24">
        <f>G41</f>
        <v>41525000</v>
      </c>
      <c r="H40" s="22">
        <f t="shared" ref="H40" si="38">H41</f>
        <v>847383180</v>
      </c>
      <c r="I40" s="24" t="str">
        <f>I41</f>
        <v/>
      </c>
      <c r="J40" s="22">
        <f t="shared" ref="J40" si="39">J41</f>
        <v>2622000000</v>
      </c>
      <c r="K40" s="24" t="str">
        <f>K41</f>
        <v/>
      </c>
      <c r="L40" s="22">
        <f t="shared" ref="L40" si="40">L41</f>
        <v>17942936400</v>
      </c>
      <c r="M40" s="24">
        <f>M41</f>
        <v>15675000</v>
      </c>
      <c r="N40" s="22">
        <f t="shared" ref="N40" si="41">N41</f>
        <v>8207520000</v>
      </c>
      <c r="O40" s="23">
        <f>O41</f>
        <v>0</v>
      </c>
    </row>
    <row r="41" spans="2:15" ht="17.100000000000001" customHeight="1" x14ac:dyDescent="0.3">
      <c r="B41" s="51"/>
      <c r="C41" s="6" t="s">
        <v>52</v>
      </c>
      <c r="D41" s="10"/>
      <c r="E41" s="13"/>
      <c r="F41" s="19">
        <v>518000000</v>
      </c>
      <c r="G41" s="13">
        <f>IF(SUMIFS(잔액_2022[결의금액],잔액_2022[통계목],$C41,잔액_2022[분류 항목],"토양수분량")=0,"",SUMIFS(잔액_2022[결의금액],잔액_2022[통계목],$C41,잔액_2022[분류 항목],"토양수분량"))</f>
        <v>41525000</v>
      </c>
      <c r="H41" s="19">
        <v>847383180</v>
      </c>
      <c r="I41" s="13" t="str">
        <f>IF(SUMIFS(잔액_2023[결의금액],잔액_2023[통계목],$C41,잔액_2023[분류 항목],"토양수분량")=0,"",SUMIFS(잔액_2023[결의금액],잔액_2023[통계목],$C41,잔액_2023[분류 항목],"토양수분량"))</f>
        <v/>
      </c>
      <c r="J41" s="19">
        <v>2622000000</v>
      </c>
      <c r="K41" s="13" t="str">
        <f>IF(SUMIFS(잔액_2024[결의금액],잔액_2024[통계목],$C41,잔액_2024[분류 항목],"토양수분량")=0,"",SUMIFS(잔액_2024[결의금액],잔액_2024[통계목],$C41,잔액_2024[분류 항목],"토양수분량"))</f>
        <v/>
      </c>
      <c r="L41" s="19">
        <v>17942936400</v>
      </c>
      <c r="M41" s="13">
        <f>IF(SUMIFS(잔액_2025[결의금액],잔액_2025[통계목],$C41,잔액_2025[분류 항목],"토양수분량")=0,"",SUMIFS(잔액_2025[결의금액],잔액_2025[통계목],$C41,잔액_2025[분류 항목],"토양수분량"))</f>
        <v>15675000</v>
      </c>
      <c r="N41" s="19">
        <v>8207520000</v>
      </c>
      <c r="O41" s="10"/>
    </row>
    <row r="42" spans="2:15" ht="17.100000000000001" customHeight="1" x14ac:dyDescent="0.3">
      <c r="B42" s="51" t="s">
        <v>53</v>
      </c>
      <c r="C42" s="21" t="s">
        <v>16</v>
      </c>
      <c r="D42" s="23">
        <f>D43</f>
        <v>0</v>
      </c>
      <c r="E42" s="24">
        <f>E43</f>
        <v>0</v>
      </c>
      <c r="F42" s="22">
        <f t="shared" ref="F42" si="42">F43</f>
        <v>3000000</v>
      </c>
      <c r="G42" s="24" t="str">
        <f>G43</f>
        <v/>
      </c>
      <c r="H42" s="22">
        <f t="shared" ref="H42" si="43">H43</f>
        <v>0</v>
      </c>
      <c r="I42" s="24" t="str">
        <f>I43</f>
        <v/>
      </c>
      <c r="J42" s="22">
        <f t="shared" ref="J42" si="44">J43</f>
        <v>0</v>
      </c>
      <c r="K42" s="24" t="str">
        <f>K43</f>
        <v/>
      </c>
      <c r="L42" s="22">
        <f t="shared" ref="L42" si="45">L43</f>
        <v>0</v>
      </c>
      <c r="M42" s="24" t="str">
        <f>M43</f>
        <v/>
      </c>
      <c r="N42" s="22">
        <f t="shared" ref="N42" si="46">N43</f>
        <v>0</v>
      </c>
      <c r="O42" s="23">
        <f>O43</f>
        <v>0</v>
      </c>
    </row>
    <row r="43" spans="2:15" ht="17.100000000000001" customHeight="1" x14ac:dyDescent="0.3">
      <c r="B43" s="51"/>
      <c r="C43" s="6" t="s">
        <v>54</v>
      </c>
      <c r="D43" s="10"/>
      <c r="E43" s="13"/>
      <c r="F43" s="19">
        <v>3000000</v>
      </c>
      <c r="G43" s="13" t="str">
        <f>IF(SUMIFS(잔액_2022[결의금액],잔액_2022[통계목],$C43,잔액_2022[분류 항목],"토양수분량")=0,"",SUMIFS(잔액_2022[결의금액],잔액_2022[통계목],$C43,잔액_2022[분류 항목],"토양수분량"))</f>
        <v/>
      </c>
      <c r="H43" s="19"/>
      <c r="I43" s="13" t="str">
        <f>IF(SUMIFS(잔액_2023[결의금액],잔액_2023[통계목],$C43,잔액_2023[분류 항목],"토양수분량")=0,"",SUMIFS(잔액_2023[결의금액],잔액_2023[통계목],$C43,잔액_2023[분류 항목],"토양수분량"))</f>
        <v/>
      </c>
      <c r="J43" s="19"/>
      <c r="K43" s="13" t="str">
        <f>IF(SUMIFS(잔액_2024[결의금액],잔액_2024[통계목],$C43,잔액_2024[분류 항목],"토양수분량")=0,"",SUMIFS(잔액_2024[결의금액],잔액_2024[통계목],$C43,잔액_2024[분류 항목],"토양수분량"))</f>
        <v/>
      </c>
      <c r="L43" s="19"/>
      <c r="M43" s="13" t="str">
        <f>IF(SUMIFS(잔액_2025[결의금액],잔액_2025[통계목],$C43,잔액_2025[분류 항목],"토양수분량")=0,"",SUMIFS(잔액_2025[결의금액],잔액_2025[통계목],$C43,잔액_2025[분류 항목],"토양수분량"))</f>
        <v/>
      </c>
      <c r="N43" s="19"/>
      <c r="O43" s="10"/>
    </row>
    <row r="44" spans="2:15" ht="17.100000000000001" customHeight="1" x14ac:dyDescent="0.3">
      <c r="B44" s="55" t="s">
        <v>55</v>
      </c>
      <c r="C44" s="21" t="s">
        <v>16</v>
      </c>
      <c r="D44" s="23">
        <f>D45</f>
        <v>0</v>
      </c>
      <c r="E44" s="24">
        <f>E45</f>
        <v>0</v>
      </c>
      <c r="F44" s="22">
        <f t="shared" ref="F44" si="47">F45</f>
        <v>0</v>
      </c>
      <c r="G44" s="24" t="str">
        <f>G45</f>
        <v/>
      </c>
      <c r="H44" s="22">
        <f t="shared" ref="H44" si="48">H45</f>
        <v>0</v>
      </c>
      <c r="I44" s="24" t="str">
        <f>I45</f>
        <v/>
      </c>
      <c r="J44" s="22">
        <f t="shared" ref="J44" si="49">J45</f>
        <v>0</v>
      </c>
      <c r="K44" s="24" t="str">
        <f>K45</f>
        <v/>
      </c>
      <c r="L44" s="22">
        <f t="shared" ref="L44" si="50">L45</f>
        <v>0</v>
      </c>
      <c r="M44" s="24" t="str">
        <f>M45</f>
        <v/>
      </c>
      <c r="N44" s="22">
        <f t="shared" ref="N44" si="51">N45</f>
        <v>0</v>
      </c>
      <c r="O44" s="23">
        <f>O45</f>
        <v>0</v>
      </c>
    </row>
    <row r="45" spans="2:15" ht="17.100000000000001" customHeight="1" x14ac:dyDescent="0.3">
      <c r="B45" s="51"/>
      <c r="C45" s="6" t="s">
        <v>56</v>
      </c>
      <c r="D45" s="10"/>
      <c r="E45" s="13"/>
      <c r="F45" s="19"/>
      <c r="G45" s="13" t="str">
        <f>IF(SUMIFS(잔액_2022[결의금액],잔액_2022[통계목],$C45,잔액_2022[분류 항목],"토양수분량")=0,"",SUMIFS(잔액_2022[결의금액],잔액_2022[통계목],$C45,잔액_2022[분류 항목],"토양수분량"))</f>
        <v/>
      </c>
      <c r="H45" s="19"/>
      <c r="I45" s="13" t="str">
        <f>IF(SUMIFS(잔액_2023[결의금액],잔액_2023[통계목],$C45,잔액_2023[분류 항목],"토양수분량")=0,"",SUMIFS(잔액_2023[결의금액],잔액_2023[통계목],$C45,잔액_2023[분류 항목],"토양수분량"))</f>
        <v/>
      </c>
      <c r="J45" s="19"/>
      <c r="K45" s="13" t="str">
        <f>IF(SUMIFS(잔액_2024[결의금액],잔액_2024[통계목],$C45,잔액_2024[분류 항목],"토양수분량")=0,"",SUMIFS(잔액_2024[결의금액],잔액_2024[통계목],$C45,잔액_2024[분류 항목],"토양수분량"))</f>
        <v/>
      </c>
      <c r="L45" s="19"/>
      <c r="M45" s="13" t="str">
        <f>IF(SUMIFS(잔액_2025[결의금액],잔액_2025[통계목],$C45,잔액_2025[분류 항목],"토양수분량")=0,"",SUMIFS(잔액_2025[결의금액],잔액_2025[통계목],$C45,잔액_2025[분류 항목],"토양수분량"))</f>
        <v/>
      </c>
      <c r="N45" s="19"/>
      <c r="O45" s="10"/>
    </row>
    <row r="46" spans="2:15" ht="17.100000000000001" customHeight="1" x14ac:dyDescent="0.3">
      <c r="B46" s="51" t="s">
        <v>57</v>
      </c>
      <c r="C46" s="21" t="s">
        <v>16</v>
      </c>
      <c r="D46" s="23">
        <f>D47</f>
        <v>0</v>
      </c>
      <c r="E46" s="24">
        <f>E47</f>
        <v>0</v>
      </c>
      <c r="F46" s="22">
        <f t="shared" ref="F46" si="52">F47</f>
        <v>0</v>
      </c>
      <c r="G46" s="24" t="str">
        <f>G47</f>
        <v/>
      </c>
      <c r="H46" s="22">
        <f t="shared" ref="H46" si="53">H47</f>
        <v>0</v>
      </c>
      <c r="I46" s="24" t="str">
        <f>I47</f>
        <v/>
      </c>
      <c r="J46" s="22">
        <f t="shared" ref="J46" si="54">J47</f>
        <v>0</v>
      </c>
      <c r="K46" s="24" t="str">
        <f>K47</f>
        <v/>
      </c>
      <c r="L46" s="22">
        <f t="shared" ref="L46" si="55">L47</f>
        <v>0</v>
      </c>
      <c r="M46" s="24" t="str">
        <f>M47</f>
        <v/>
      </c>
      <c r="N46" s="22">
        <f t="shared" ref="N46" si="56">N47</f>
        <v>0</v>
      </c>
      <c r="O46" s="23">
        <f>O47</f>
        <v>0</v>
      </c>
    </row>
    <row r="47" spans="2:15" ht="17.100000000000001" customHeight="1" x14ac:dyDescent="0.3">
      <c r="B47" s="51"/>
      <c r="C47" s="6" t="s">
        <v>58</v>
      </c>
      <c r="D47" s="10"/>
      <c r="E47" s="13"/>
      <c r="F47" s="19"/>
      <c r="G47" s="13" t="str">
        <f>IF(SUMIFS(잔액_2022[결의금액],잔액_2022[통계목],$C47,잔액_2022[분류 항목],"토양수분량")=0,"",SUMIFS(잔액_2022[결의금액],잔액_2022[통계목],$C47,잔액_2022[분류 항목],"토양수분량"))</f>
        <v/>
      </c>
      <c r="H47" s="19"/>
      <c r="I47" s="13" t="str">
        <f>IF(SUMIFS(잔액_2023[결의금액],잔액_2023[통계목],$C47,잔액_2023[분류 항목],"토양수분량")=0,"",SUMIFS(잔액_2023[결의금액],잔액_2023[통계목],$C47,잔액_2023[분류 항목],"토양수분량"))</f>
        <v/>
      </c>
      <c r="J47" s="19"/>
      <c r="K47" s="13" t="str">
        <f>IF(SUMIFS(잔액_2024[결의금액],잔액_2024[통계목],$C47,잔액_2024[분류 항목],"토양수분량")=0,"",SUMIFS(잔액_2024[결의금액],잔액_2024[통계목],$C47,잔액_2024[분류 항목],"토양수분량"))</f>
        <v/>
      </c>
      <c r="L47" s="19"/>
      <c r="M47" s="13" t="str">
        <f>IF(SUMIFS(잔액_2025[결의금액],잔액_2025[통계목],$C47,잔액_2025[분류 항목],"토양수분량")=0,"",SUMIFS(잔액_2025[결의금액],잔액_2025[통계목],$C47,잔액_2025[분류 항목],"토양수분량"))</f>
        <v/>
      </c>
      <c r="N47" s="19"/>
      <c r="O47" s="10"/>
    </row>
  </sheetData>
  <mergeCells count="20">
    <mergeCell ref="B23:B25"/>
    <mergeCell ref="B2:B3"/>
    <mergeCell ref="C2:C3"/>
    <mergeCell ref="D2:E2"/>
    <mergeCell ref="F2:G2"/>
    <mergeCell ref="L2:M2"/>
    <mergeCell ref="N2:O2"/>
    <mergeCell ref="B4:C4"/>
    <mergeCell ref="B5:B9"/>
    <mergeCell ref="B10:B22"/>
    <mergeCell ref="H2:I2"/>
    <mergeCell ref="J2:K2"/>
    <mergeCell ref="B44:B45"/>
    <mergeCell ref="B46:B47"/>
    <mergeCell ref="B26:B28"/>
    <mergeCell ref="B29:B31"/>
    <mergeCell ref="B32:B33"/>
    <mergeCell ref="B34:B39"/>
    <mergeCell ref="B40:B41"/>
    <mergeCell ref="B42:B43"/>
  </mergeCells>
  <phoneticPr fontId="2" type="noConversion"/>
  <pageMargins left="0.25" right="0.25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28A5-0420-4E80-8EA6-C69DEB432F2E}">
  <dimension ref="B1:K88"/>
  <sheetViews>
    <sheetView topLeftCell="A23" workbookViewId="0">
      <selection activeCell="A39" sqref="A39"/>
    </sheetView>
  </sheetViews>
  <sheetFormatPr defaultColWidth="10.625" defaultRowHeight="15" customHeight="1" x14ac:dyDescent="0.3"/>
  <cols>
    <col min="1" max="1" width="3.625" style="1" customWidth="1"/>
    <col min="2" max="2" width="14.625" style="1" customWidth="1"/>
    <col min="3" max="3" width="1.625" style="1" customWidth="1"/>
    <col min="4" max="4" width="10.625" style="27" customWidth="1"/>
    <col min="5" max="5" width="86.625" style="27" customWidth="1"/>
    <col min="6" max="6" width="12.625" style="1" customWidth="1"/>
    <col min="7" max="7" width="18.625" style="1" customWidth="1"/>
    <col min="8" max="10" width="12.625" style="1" customWidth="1"/>
    <col min="11" max="11" width="18.625" style="28" customWidth="1"/>
    <col min="12" max="12" width="3.625" style="1" customWidth="1"/>
    <col min="13" max="16384" width="10.625" style="1"/>
  </cols>
  <sheetData>
    <row r="1" spans="2:11" ht="15" customHeight="1" x14ac:dyDescent="0.3">
      <c r="B1" s="57" t="s">
        <v>199</v>
      </c>
      <c r="D1" s="1"/>
      <c r="E1" s="1"/>
      <c r="K1" s="1"/>
    </row>
    <row r="2" spans="2:11" ht="15" customHeight="1" x14ac:dyDescent="0.3">
      <c r="B2" s="14" t="s">
        <v>190</v>
      </c>
      <c r="D2" s="33" t="s">
        <v>185</v>
      </c>
      <c r="E2" s="34" t="s">
        <v>66</v>
      </c>
      <c r="F2" s="34" t="s">
        <v>67</v>
      </c>
      <c r="G2" s="34" t="s">
        <v>68</v>
      </c>
      <c r="H2" s="34" t="s">
        <v>69</v>
      </c>
      <c r="I2" s="34" t="s">
        <v>70</v>
      </c>
      <c r="J2" s="34" t="s">
        <v>71</v>
      </c>
      <c r="K2" s="34" t="s">
        <v>99</v>
      </c>
    </row>
    <row r="3" spans="2:11" ht="15" customHeight="1" x14ac:dyDescent="0.3">
      <c r="B3" s="56" t="s">
        <v>186</v>
      </c>
      <c r="D3" s="29">
        <v>44630</v>
      </c>
      <c r="E3" s="36" t="s">
        <v>72</v>
      </c>
      <c r="F3" s="3" t="s">
        <v>73</v>
      </c>
      <c r="G3" s="3" t="s">
        <v>74</v>
      </c>
      <c r="H3" s="3" t="s">
        <v>75</v>
      </c>
      <c r="I3" s="3" t="s">
        <v>41</v>
      </c>
      <c r="J3" s="26">
        <v>19000000</v>
      </c>
      <c r="K3" s="39" t="s">
        <v>60</v>
      </c>
    </row>
    <row r="4" spans="2:11" ht="15" customHeight="1" x14ac:dyDescent="0.3">
      <c r="B4" s="56"/>
      <c r="D4" s="29">
        <v>44664</v>
      </c>
      <c r="E4" s="35" t="s">
        <v>76</v>
      </c>
      <c r="F4" s="2" t="s">
        <v>73</v>
      </c>
      <c r="G4" s="2" t="s">
        <v>77</v>
      </c>
      <c r="H4" s="2" t="s">
        <v>75</v>
      </c>
      <c r="I4" s="2" t="s">
        <v>41</v>
      </c>
      <c r="J4" s="30">
        <v>10000000</v>
      </c>
      <c r="K4" s="38" t="s">
        <v>78</v>
      </c>
    </row>
    <row r="5" spans="2:11" ht="15" customHeight="1" x14ac:dyDescent="0.3">
      <c r="B5" s="56"/>
      <c r="D5" s="29">
        <v>44699</v>
      </c>
      <c r="E5" s="35" t="s">
        <v>79</v>
      </c>
      <c r="F5" s="2" t="s">
        <v>73</v>
      </c>
      <c r="G5" s="2" t="s">
        <v>80</v>
      </c>
      <c r="H5" s="2" t="s">
        <v>75</v>
      </c>
      <c r="I5" s="2" t="s">
        <v>41</v>
      </c>
      <c r="J5" s="30">
        <v>29018000</v>
      </c>
      <c r="K5" s="38" t="s">
        <v>9</v>
      </c>
    </row>
    <row r="6" spans="2:11" ht="15" customHeight="1" x14ac:dyDescent="0.3">
      <c r="B6" s="56"/>
      <c r="D6" s="29">
        <v>44781</v>
      </c>
      <c r="E6" s="35" t="s">
        <v>81</v>
      </c>
      <c r="F6" s="2" t="s">
        <v>73</v>
      </c>
      <c r="G6" s="2" t="s">
        <v>82</v>
      </c>
      <c r="H6" s="2" t="s">
        <v>75</v>
      </c>
      <c r="I6" s="2" t="s">
        <v>41</v>
      </c>
      <c r="J6" s="30">
        <v>104500000</v>
      </c>
      <c r="K6" s="38" t="s">
        <v>78</v>
      </c>
    </row>
    <row r="7" spans="2:11" ht="15" customHeight="1" x14ac:dyDescent="0.3">
      <c r="B7" s="56"/>
      <c r="D7" s="29">
        <v>44824</v>
      </c>
      <c r="E7" s="35" t="s">
        <v>83</v>
      </c>
      <c r="F7" s="2" t="s">
        <v>73</v>
      </c>
      <c r="G7" s="2" t="s">
        <v>84</v>
      </c>
      <c r="H7" s="2" t="s">
        <v>75</v>
      </c>
      <c r="I7" s="2" t="s">
        <v>41</v>
      </c>
      <c r="J7" s="30">
        <v>90695000</v>
      </c>
      <c r="K7" s="38" t="s">
        <v>78</v>
      </c>
    </row>
    <row r="8" spans="2:11" ht="15" customHeight="1" x14ac:dyDescent="0.3">
      <c r="B8" s="56"/>
      <c r="D8" s="29">
        <v>44627</v>
      </c>
      <c r="E8" s="35" t="s">
        <v>85</v>
      </c>
      <c r="F8" s="2" t="s">
        <v>73</v>
      </c>
      <c r="G8" s="2" t="s">
        <v>86</v>
      </c>
      <c r="H8" s="2" t="s">
        <v>87</v>
      </c>
      <c r="I8" s="2" t="s">
        <v>52</v>
      </c>
      <c r="J8" s="30">
        <v>19390000</v>
      </c>
      <c r="K8" s="38" t="s">
        <v>78</v>
      </c>
    </row>
    <row r="9" spans="2:11" ht="15" customHeight="1" x14ac:dyDescent="0.3">
      <c r="B9" s="56"/>
      <c r="D9" s="29">
        <v>44699</v>
      </c>
      <c r="E9" s="35" t="s">
        <v>88</v>
      </c>
      <c r="F9" s="2" t="s">
        <v>73</v>
      </c>
      <c r="G9" s="2" t="s">
        <v>86</v>
      </c>
      <c r="H9" s="2" t="s">
        <v>87</v>
      </c>
      <c r="I9" s="2" t="s">
        <v>52</v>
      </c>
      <c r="J9" s="30">
        <v>2200000</v>
      </c>
      <c r="K9" s="38" t="s">
        <v>92</v>
      </c>
    </row>
    <row r="10" spans="2:11" ht="15" customHeight="1" x14ac:dyDescent="0.3">
      <c r="B10" s="56"/>
      <c r="D10" s="29">
        <v>44699</v>
      </c>
      <c r="E10" s="35" t="s">
        <v>89</v>
      </c>
      <c r="F10" s="2" t="s">
        <v>73</v>
      </c>
      <c r="G10" s="2" t="s">
        <v>86</v>
      </c>
      <c r="H10" s="2" t="s">
        <v>87</v>
      </c>
      <c r="I10" s="2" t="s">
        <v>52</v>
      </c>
      <c r="J10" s="30">
        <v>1639000</v>
      </c>
      <c r="K10" s="38" t="s">
        <v>92</v>
      </c>
    </row>
    <row r="11" spans="2:11" ht="15" customHeight="1" x14ac:dyDescent="0.3">
      <c r="B11" s="56"/>
      <c r="D11" s="29">
        <v>44699</v>
      </c>
      <c r="E11" s="35" t="s">
        <v>90</v>
      </c>
      <c r="F11" s="2" t="s">
        <v>73</v>
      </c>
      <c r="G11" s="2" t="s">
        <v>86</v>
      </c>
      <c r="H11" s="2" t="s">
        <v>87</v>
      </c>
      <c r="I11" s="2" t="s">
        <v>52</v>
      </c>
      <c r="J11" s="30">
        <v>1639000</v>
      </c>
      <c r="K11" s="38" t="s">
        <v>92</v>
      </c>
    </row>
    <row r="12" spans="2:11" ht="15" customHeight="1" x14ac:dyDescent="0.3">
      <c r="B12" s="56"/>
      <c r="D12" s="29">
        <v>44720</v>
      </c>
      <c r="E12" s="35" t="s">
        <v>91</v>
      </c>
      <c r="F12" s="2" t="s">
        <v>73</v>
      </c>
      <c r="G12" s="2" t="s">
        <v>86</v>
      </c>
      <c r="H12" s="2" t="s">
        <v>87</v>
      </c>
      <c r="I12" s="2" t="s">
        <v>52</v>
      </c>
      <c r="J12" s="30">
        <v>3760000</v>
      </c>
      <c r="K12" s="38" t="s">
        <v>92</v>
      </c>
    </row>
    <row r="13" spans="2:11" ht="15" customHeight="1" x14ac:dyDescent="0.3">
      <c r="B13" s="56"/>
      <c r="D13" s="29">
        <v>44720</v>
      </c>
      <c r="E13" s="35" t="s">
        <v>91</v>
      </c>
      <c r="F13" s="2" t="s">
        <v>73</v>
      </c>
      <c r="G13" s="2" t="s">
        <v>86</v>
      </c>
      <c r="H13" s="2" t="s">
        <v>87</v>
      </c>
      <c r="I13" s="2" t="s">
        <v>52</v>
      </c>
      <c r="J13" s="30">
        <v>19280</v>
      </c>
      <c r="K13" s="38" t="s">
        <v>92</v>
      </c>
    </row>
    <row r="14" spans="2:11" ht="15" customHeight="1" x14ac:dyDescent="0.3">
      <c r="B14" s="56"/>
      <c r="D14" s="29">
        <v>44736</v>
      </c>
      <c r="E14" s="35" t="s">
        <v>93</v>
      </c>
      <c r="F14" s="2" t="s">
        <v>73</v>
      </c>
      <c r="G14" s="2" t="s">
        <v>86</v>
      </c>
      <c r="H14" s="2" t="s">
        <v>87</v>
      </c>
      <c r="I14" s="2" t="s">
        <v>52</v>
      </c>
      <c r="J14" s="30">
        <v>8382000</v>
      </c>
      <c r="K14" s="38" t="s">
        <v>92</v>
      </c>
    </row>
    <row r="15" spans="2:11" ht="15" customHeight="1" x14ac:dyDescent="0.3">
      <c r="B15" s="56"/>
      <c r="D15" s="29">
        <v>44742</v>
      </c>
      <c r="E15" s="35" t="s">
        <v>88</v>
      </c>
      <c r="F15" s="2" t="s">
        <v>73</v>
      </c>
      <c r="G15" s="2" t="s">
        <v>86</v>
      </c>
      <c r="H15" s="2" t="s">
        <v>87</v>
      </c>
      <c r="I15" s="2" t="s">
        <v>52</v>
      </c>
      <c r="J15" s="30">
        <v>1386000</v>
      </c>
      <c r="K15" s="38" t="s">
        <v>92</v>
      </c>
    </row>
    <row r="16" spans="2:11" ht="15" customHeight="1" x14ac:dyDescent="0.3">
      <c r="B16" s="56"/>
      <c r="D16" s="29">
        <v>44806</v>
      </c>
      <c r="E16" s="35" t="s">
        <v>94</v>
      </c>
      <c r="F16" s="2" t="s">
        <v>73</v>
      </c>
      <c r="G16" s="2" t="s">
        <v>95</v>
      </c>
      <c r="H16" s="2" t="s">
        <v>87</v>
      </c>
      <c r="I16" s="2" t="s">
        <v>52</v>
      </c>
      <c r="J16" s="30">
        <v>41525000</v>
      </c>
      <c r="K16" s="38" t="s">
        <v>96</v>
      </c>
    </row>
    <row r="17" spans="2:11" ht="15" customHeight="1" x14ac:dyDescent="0.3">
      <c r="B17" s="56"/>
      <c r="D17" s="31">
        <v>44917</v>
      </c>
      <c r="E17" s="37" t="s">
        <v>97</v>
      </c>
      <c r="F17" s="32" t="s">
        <v>73</v>
      </c>
      <c r="G17" s="32" t="s">
        <v>98</v>
      </c>
      <c r="H17" s="32" t="s">
        <v>87</v>
      </c>
      <c r="I17" s="32" t="s">
        <v>52</v>
      </c>
      <c r="J17" s="25">
        <v>55554873</v>
      </c>
      <c r="K17" s="40" t="s">
        <v>78</v>
      </c>
    </row>
    <row r="18" spans="2:11" ht="15" customHeight="1" x14ac:dyDescent="0.3">
      <c r="B18" s="41"/>
      <c r="D18" s="1"/>
      <c r="E18" s="1"/>
      <c r="K18" s="1"/>
    </row>
    <row r="19" spans="2:11" ht="15" customHeight="1" x14ac:dyDescent="0.3">
      <c r="B19" s="14" t="s">
        <v>190</v>
      </c>
      <c r="D19" s="33" t="s">
        <v>185</v>
      </c>
      <c r="E19" s="34" t="s">
        <v>66</v>
      </c>
      <c r="F19" s="34" t="s">
        <v>67</v>
      </c>
      <c r="G19" s="34" t="s">
        <v>68</v>
      </c>
      <c r="H19" s="34" t="s">
        <v>69</v>
      </c>
      <c r="I19" s="34" t="s">
        <v>70</v>
      </c>
      <c r="J19" s="34" t="s">
        <v>71</v>
      </c>
      <c r="K19" s="34" t="s">
        <v>99</v>
      </c>
    </row>
    <row r="20" spans="2:11" ht="15" customHeight="1" x14ac:dyDescent="0.3">
      <c r="B20" s="56" t="s">
        <v>188</v>
      </c>
      <c r="D20" s="29">
        <v>44956</v>
      </c>
      <c r="E20" s="36" t="s">
        <v>100</v>
      </c>
      <c r="F20" s="3" t="s">
        <v>73</v>
      </c>
      <c r="G20" s="3" t="s">
        <v>101</v>
      </c>
      <c r="H20" s="3" t="s">
        <v>75</v>
      </c>
      <c r="I20" s="3" t="s">
        <v>191</v>
      </c>
      <c r="J20" s="26">
        <v>30960000</v>
      </c>
      <c r="K20" s="39" t="s">
        <v>60</v>
      </c>
    </row>
    <row r="21" spans="2:11" ht="15" customHeight="1" x14ac:dyDescent="0.3">
      <c r="B21" s="56"/>
      <c r="D21" s="29">
        <v>44956</v>
      </c>
      <c r="E21" s="35" t="s">
        <v>102</v>
      </c>
      <c r="F21" s="2" t="s">
        <v>73</v>
      </c>
      <c r="G21" s="2" t="s">
        <v>103</v>
      </c>
      <c r="H21" s="2" t="s">
        <v>75</v>
      </c>
      <c r="I21" s="2" t="s">
        <v>41</v>
      </c>
      <c r="J21" s="30">
        <v>22321230</v>
      </c>
      <c r="K21" s="38" t="s">
        <v>60</v>
      </c>
    </row>
    <row r="22" spans="2:11" ht="15" customHeight="1" x14ac:dyDescent="0.3">
      <c r="B22" s="56"/>
      <c r="D22" s="29">
        <v>44963</v>
      </c>
      <c r="E22" s="35" t="s">
        <v>104</v>
      </c>
      <c r="F22" s="2" t="s">
        <v>73</v>
      </c>
      <c r="G22" s="2" t="s">
        <v>105</v>
      </c>
      <c r="H22" s="2" t="s">
        <v>75</v>
      </c>
      <c r="I22" s="2" t="s">
        <v>41</v>
      </c>
      <c r="J22" s="30">
        <v>13827000</v>
      </c>
      <c r="K22" s="38" t="s">
        <v>60</v>
      </c>
    </row>
    <row r="23" spans="2:11" ht="15" customHeight="1" x14ac:dyDescent="0.3">
      <c r="B23" s="56"/>
      <c r="D23" s="29">
        <v>44970</v>
      </c>
      <c r="E23" s="35" t="s">
        <v>106</v>
      </c>
      <c r="F23" s="2" t="s">
        <v>73</v>
      </c>
      <c r="G23" s="2" t="s">
        <v>107</v>
      </c>
      <c r="H23" s="2" t="s">
        <v>87</v>
      </c>
      <c r="I23" s="2" t="s">
        <v>52</v>
      </c>
      <c r="J23" s="30">
        <v>18062000</v>
      </c>
      <c r="K23" s="38" t="s">
        <v>92</v>
      </c>
    </row>
    <row r="24" spans="2:11" ht="15" customHeight="1" x14ac:dyDescent="0.3">
      <c r="B24" s="56"/>
      <c r="D24" s="29">
        <v>44978</v>
      </c>
      <c r="E24" s="35" t="s">
        <v>108</v>
      </c>
      <c r="F24" s="2" t="s">
        <v>73</v>
      </c>
      <c r="G24" s="2" t="s">
        <v>107</v>
      </c>
      <c r="H24" s="2" t="s">
        <v>87</v>
      </c>
      <c r="I24" s="2" t="s">
        <v>52</v>
      </c>
      <c r="J24" s="30">
        <v>91080000</v>
      </c>
      <c r="K24" s="38" t="s">
        <v>92</v>
      </c>
    </row>
    <row r="25" spans="2:11" ht="15" customHeight="1" x14ac:dyDescent="0.3">
      <c r="B25" s="56"/>
      <c r="D25" s="29">
        <v>45007</v>
      </c>
      <c r="E25" s="35" t="s">
        <v>109</v>
      </c>
      <c r="F25" s="2" t="s">
        <v>73</v>
      </c>
      <c r="G25" s="2" t="s">
        <v>74</v>
      </c>
      <c r="H25" s="2" t="s">
        <v>75</v>
      </c>
      <c r="I25" s="2" t="s">
        <v>41</v>
      </c>
      <c r="J25" s="30">
        <v>8900000</v>
      </c>
      <c r="K25" s="38" t="s">
        <v>60</v>
      </c>
    </row>
    <row r="26" spans="2:11" ht="15" customHeight="1" x14ac:dyDescent="0.3">
      <c r="B26" s="56"/>
      <c r="D26" s="29">
        <v>45037</v>
      </c>
      <c r="E26" s="35" t="s">
        <v>110</v>
      </c>
      <c r="F26" s="2" t="s">
        <v>73</v>
      </c>
      <c r="G26" s="2" t="s">
        <v>111</v>
      </c>
      <c r="H26" s="2" t="s">
        <v>87</v>
      </c>
      <c r="I26" s="2" t="s">
        <v>52</v>
      </c>
      <c r="J26" s="30">
        <v>69045710</v>
      </c>
      <c r="K26" s="38" t="s">
        <v>8</v>
      </c>
    </row>
    <row r="27" spans="2:11" ht="15" customHeight="1" x14ac:dyDescent="0.3">
      <c r="B27" s="56"/>
      <c r="D27" s="29">
        <v>45065</v>
      </c>
      <c r="E27" s="35" t="s">
        <v>112</v>
      </c>
      <c r="F27" s="2" t="s">
        <v>73</v>
      </c>
      <c r="G27" s="2" t="s">
        <v>113</v>
      </c>
      <c r="H27" s="2" t="s">
        <v>75</v>
      </c>
      <c r="I27" s="2" t="s">
        <v>41</v>
      </c>
      <c r="J27" s="30">
        <v>5940000</v>
      </c>
      <c r="K27" s="38" t="s">
        <v>78</v>
      </c>
    </row>
    <row r="28" spans="2:11" ht="15" customHeight="1" x14ac:dyDescent="0.3">
      <c r="B28" s="56"/>
      <c r="D28" s="29">
        <v>45068</v>
      </c>
      <c r="E28" s="35" t="s">
        <v>114</v>
      </c>
      <c r="F28" s="2" t="s">
        <v>73</v>
      </c>
      <c r="G28" s="2" t="s">
        <v>113</v>
      </c>
      <c r="H28" s="2" t="s">
        <v>75</v>
      </c>
      <c r="I28" s="2" t="s">
        <v>41</v>
      </c>
      <c r="J28" s="30">
        <v>56904904</v>
      </c>
      <c r="K28" s="38" t="s">
        <v>60</v>
      </c>
    </row>
    <row r="29" spans="2:11" ht="15" customHeight="1" x14ac:dyDescent="0.3">
      <c r="B29" s="56"/>
      <c r="D29" s="29">
        <v>45069</v>
      </c>
      <c r="E29" s="35" t="s">
        <v>115</v>
      </c>
      <c r="F29" s="2" t="s">
        <v>73</v>
      </c>
      <c r="G29" s="2" t="s">
        <v>116</v>
      </c>
      <c r="H29" s="2" t="s">
        <v>75</v>
      </c>
      <c r="I29" s="2" t="s">
        <v>41</v>
      </c>
      <c r="J29" s="30">
        <v>69366000</v>
      </c>
      <c r="K29" s="38" t="s">
        <v>9</v>
      </c>
    </row>
    <row r="30" spans="2:11" ht="15" customHeight="1" x14ac:dyDescent="0.3">
      <c r="B30" s="56"/>
      <c r="D30" s="29">
        <v>45069</v>
      </c>
      <c r="E30" s="35" t="s">
        <v>117</v>
      </c>
      <c r="F30" s="2" t="s">
        <v>73</v>
      </c>
      <c r="G30" s="2" t="s">
        <v>116</v>
      </c>
      <c r="H30" s="2" t="s">
        <v>75</v>
      </c>
      <c r="I30" s="2" t="s">
        <v>41</v>
      </c>
      <c r="J30" s="30">
        <v>29000000</v>
      </c>
      <c r="K30" s="38" t="s">
        <v>8</v>
      </c>
    </row>
    <row r="31" spans="2:11" ht="15" customHeight="1" x14ac:dyDescent="0.3">
      <c r="B31" s="56"/>
      <c r="D31" s="29">
        <v>45082</v>
      </c>
      <c r="E31" s="35" t="s">
        <v>118</v>
      </c>
      <c r="F31" s="2" t="s">
        <v>73</v>
      </c>
      <c r="G31" s="2" t="s">
        <v>74</v>
      </c>
      <c r="H31" s="2" t="s">
        <v>75</v>
      </c>
      <c r="I31" s="2" t="s">
        <v>41</v>
      </c>
      <c r="J31" s="30">
        <v>26950000</v>
      </c>
      <c r="K31" s="38" t="s">
        <v>60</v>
      </c>
    </row>
    <row r="32" spans="2:11" ht="15" customHeight="1" x14ac:dyDescent="0.3">
      <c r="B32" s="56"/>
      <c r="D32" s="29">
        <v>45084</v>
      </c>
      <c r="E32" s="35" t="s">
        <v>119</v>
      </c>
      <c r="F32" s="2" t="s">
        <v>73</v>
      </c>
      <c r="G32" s="2" t="s">
        <v>111</v>
      </c>
      <c r="H32" s="2" t="s">
        <v>75</v>
      </c>
      <c r="I32" s="2" t="s">
        <v>41</v>
      </c>
      <c r="J32" s="30">
        <v>98525186</v>
      </c>
      <c r="K32" s="38" t="s">
        <v>60</v>
      </c>
    </row>
    <row r="33" spans="2:11" ht="15" customHeight="1" x14ac:dyDescent="0.3">
      <c r="B33" s="56"/>
      <c r="D33" s="29">
        <v>45120</v>
      </c>
      <c r="E33" s="35" t="s">
        <v>120</v>
      </c>
      <c r="F33" s="2" t="s">
        <v>73</v>
      </c>
      <c r="G33" s="2" t="s">
        <v>116</v>
      </c>
      <c r="H33" s="2" t="s">
        <v>75</v>
      </c>
      <c r="I33" s="2" t="s">
        <v>41</v>
      </c>
      <c r="J33" s="30">
        <v>100000000</v>
      </c>
      <c r="K33" s="38" t="s">
        <v>10</v>
      </c>
    </row>
    <row r="34" spans="2:11" ht="15" customHeight="1" x14ac:dyDescent="0.3">
      <c r="B34" s="56"/>
      <c r="D34" s="29">
        <v>45282</v>
      </c>
      <c r="E34" s="35" t="s">
        <v>121</v>
      </c>
      <c r="F34" s="2" t="s">
        <v>73</v>
      </c>
      <c r="G34" s="2" t="s">
        <v>116</v>
      </c>
      <c r="H34" s="2" t="s">
        <v>75</v>
      </c>
      <c r="I34" s="2" t="s">
        <v>41</v>
      </c>
      <c r="J34" s="30">
        <v>142560000</v>
      </c>
      <c r="K34" s="38" t="s">
        <v>8</v>
      </c>
    </row>
    <row r="35" spans="2:11" ht="15" customHeight="1" x14ac:dyDescent="0.3">
      <c r="B35" s="56"/>
      <c r="D35" s="29">
        <v>45288</v>
      </c>
      <c r="E35" s="35" t="s">
        <v>122</v>
      </c>
      <c r="F35" s="2" t="s">
        <v>73</v>
      </c>
      <c r="G35" s="2" t="s">
        <v>123</v>
      </c>
      <c r="H35" s="2" t="s">
        <v>75</v>
      </c>
      <c r="I35" s="2" t="s">
        <v>41</v>
      </c>
      <c r="J35" s="30">
        <v>22488400</v>
      </c>
      <c r="K35" s="38" t="s">
        <v>78</v>
      </c>
    </row>
    <row r="36" spans="2:11" ht="15" customHeight="1" x14ac:dyDescent="0.3">
      <c r="B36" s="56"/>
      <c r="D36" s="29">
        <v>45288</v>
      </c>
      <c r="E36" s="35" t="s">
        <v>124</v>
      </c>
      <c r="F36" s="2" t="s">
        <v>73</v>
      </c>
      <c r="G36" s="2" t="s">
        <v>123</v>
      </c>
      <c r="H36" s="2" t="s">
        <v>75</v>
      </c>
      <c r="I36" s="2" t="s">
        <v>41</v>
      </c>
      <c r="J36" s="30">
        <v>53615390</v>
      </c>
      <c r="K36" s="38" t="s">
        <v>78</v>
      </c>
    </row>
    <row r="37" spans="2:11" ht="15" customHeight="1" x14ac:dyDescent="0.3">
      <c r="B37" s="56"/>
      <c r="D37" s="31">
        <v>45288</v>
      </c>
      <c r="E37" s="37" t="s">
        <v>125</v>
      </c>
      <c r="F37" s="32" t="s">
        <v>73</v>
      </c>
      <c r="G37" s="32" t="s">
        <v>126</v>
      </c>
      <c r="H37" s="32" t="s">
        <v>75</v>
      </c>
      <c r="I37" s="32" t="s">
        <v>41</v>
      </c>
      <c r="J37" s="25">
        <v>129096000</v>
      </c>
      <c r="K37" s="40" t="s">
        <v>8</v>
      </c>
    </row>
    <row r="38" spans="2:11" ht="15" customHeight="1" x14ac:dyDescent="0.3">
      <c r="B38" s="41"/>
      <c r="D38" s="1"/>
      <c r="E38" s="1"/>
      <c r="K38" s="1"/>
    </row>
    <row r="39" spans="2:11" ht="15" customHeight="1" x14ac:dyDescent="0.3">
      <c r="B39" s="14" t="s">
        <v>190</v>
      </c>
      <c r="D39" s="33" t="s">
        <v>185</v>
      </c>
      <c r="E39" s="34" t="s">
        <v>66</v>
      </c>
      <c r="F39" s="34" t="s">
        <v>67</v>
      </c>
      <c r="G39" s="34" t="s">
        <v>68</v>
      </c>
      <c r="H39" s="34" t="s">
        <v>69</v>
      </c>
      <c r="I39" s="34" t="s">
        <v>70</v>
      </c>
      <c r="J39" s="34" t="s">
        <v>71</v>
      </c>
      <c r="K39" s="34" t="s">
        <v>99</v>
      </c>
    </row>
    <row r="40" spans="2:11" ht="15" customHeight="1" x14ac:dyDescent="0.3">
      <c r="B40" s="56" t="s">
        <v>187</v>
      </c>
      <c r="D40" s="29">
        <v>45336</v>
      </c>
      <c r="E40" s="36" t="s">
        <v>127</v>
      </c>
      <c r="F40" s="3" t="s">
        <v>73</v>
      </c>
      <c r="G40" s="3" t="s">
        <v>123</v>
      </c>
      <c r="H40" s="3" t="s">
        <v>87</v>
      </c>
      <c r="I40" s="3" t="s">
        <v>52</v>
      </c>
      <c r="J40" s="26">
        <v>115540040</v>
      </c>
      <c r="K40" s="39" t="s">
        <v>78</v>
      </c>
    </row>
    <row r="41" spans="2:11" ht="15" customHeight="1" x14ac:dyDescent="0.3">
      <c r="B41" s="56"/>
      <c r="D41" s="29">
        <v>45355</v>
      </c>
      <c r="E41" s="35" t="s">
        <v>128</v>
      </c>
      <c r="F41" s="2" t="s">
        <v>73</v>
      </c>
      <c r="G41" s="2" t="s">
        <v>129</v>
      </c>
      <c r="H41" s="2" t="s">
        <v>75</v>
      </c>
      <c r="I41" s="2" t="s">
        <v>41</v>
      </c>
      <c r="J41" s="30">
        <v>17392120</v>
      </c>
      <c r="K41" s="38" t="s">
        <v>96</v>
      </c>
    </row>
    <row r="42" spans="2:11" ht="15" customHeight="1" x14ac:dyDescent="0.3">
      <c r="B42" s="56"/>
      <c r="D42" s="29">
        <v>45378</v>
      </c>
      <c r="E42" s="35" t="s">
        <v>130</v>
      </c>
      <c r="F42" s="2" t="s">
        <v>73</v>
      </c>
      <c r="G42" s="2" t="s">
        <v>131</v>
      </c>
      <c r="H42" s="2" t="s">
        <v>132</v>
      </c>
      <c r="I42" s="2" t="s">
        <v>31</v>
      </c>
      <c r="J42" s="30">
        <v>22660000</v>
      </c>
      <c r="K42" s="38" t="s">
        <v>60</v>
      </c>
    </row>
    <row r="43" spans="2:11" ht="15" customHeight="1" x14ac:dyDescent="0.3">
      <c r="B43" s="56"/>
      <c r="D43" s="29">
        <v>45385</v>
      </c>
      <c r="E43" s="35" t="s">
        <v>133</v>
      </c>
      <c r="F43" s="2" t="s">
        <v>73</v>
      </c>
      <c r="G43" s="2" t="s">
        <v>116</v>
      </c>
      <c r="H43" s="2" t="s">
        <v>75</v>
      </c>
      <c r="I43" s="2" t="s">
        <v>41</v>
      </c>
      <c r="J43" s="30">
        <v>79069800</v>
      </c>
      <c r="K43" s="38" t="s">
        <v>8</v>
      </c>
    </row>
    <row r="44" spans="2:11" ht="15" customHeight="1" x14ac:dyDescent="0.3">
      <c r="B44" s="56"/>
      <c r="D44" s="29">
        <v>45398</v>
      </c>
      <c r="E44" s="35" t="s">
        <v>134</v>
      </c>
      <c r="F44" s="2" t="s">
        <v>73</v>
      </c>
      <c r="G44" s="2" t="s">
        <v>116</v>
      </c>
      <c r="H44" s="2" t="s">
        <v>132</v>
      </c>
      <c r="I44" s="2" t="s">
        <v>32</v>
      </c>
      <c r="J44" s="30">
        <v>47846000</v>
      </c>
      <c r="K44" s="38" t="s">
        <v>10</v>
      </c>
    </row>
    <row r="45" spans="2:11" ht="15" customHeight="1" x14ac:dyDescent="0.3">
      <c r="B45" s="56"/>
      <c r="D45" s="29">
        <v>45436</v>
      </c>
      <c r="E45" s="35" t="s">
        <v>135</v>
      </c>
      <c r="F45" s="2" t="s">
        <v>73</v>
      </c>
      <c r="G45" s="2" t="s">
        <v>136</v>
      </c>
      <c r="H45" s="2" t="s">
        <v>137</v>
      </c>
      <c r="I45" s="2" t="s">
        <v>48</v>
      </c>
      <c r="J45" s="30">
        <v>827389140</v>
      </c>
      <c r="K45" s="38" t="s">
        <v>9</v>
      </c>
    </row>
    <row r="46" spans="2:11" ht="15" customHeight="1" x14ac:dyDescent="0.3">
      <c r="B46" s="56"/>
      <c r="D46" s="29">
        <v>45443</v>
      </c>
      <c r="E46" s="35" t="s">
        <v>138</v>
      </c>
      <c r="F46" s="2" t="s">
        <v>73</v>
      </c>
      <c r="G46" s="2" t="s">
        <v>111</v>
      </c>
      <c r="H46" s="2" t="s">
        <v>75</v>
      </c>
      <c r="I46" s="2" t="s">
        <v>41</v>
      </c>
      <c r="J46" s="30">
        <v>492640000</v>
      </c>
      <c r="K46" s="38" t="s">
        <v>139</v>
      </c>
    </row>
    <row r="47" spans="2:11" ht="15" customHeight="1" x14ac:dyDescent="0.3">
      <c r="B47" s="56"/>
      <c r="D47" s="29">
        <v>45454</v>
      </c>
      <c r="E47" s="35" t="s">
        <v>140</v>
      </c>
      <c r="F47" s="2" t="s">
        <v>73</v>
      </c>
      <c r="G47" s="2" t="s">
        <v>116</v>
      </c>
      <c r="H47" s="2" t="s">
        <v>132</v>
      </c>
      <c r="I47" s="2" t="s">
        <v>32</v>
      </c>
      <c r="J47" s="30">
        <v>117275580</v>
      </c>
      <c r="K47" s="38" t="s">
        <v>10</v>
      </c>
    </row>
    <row r="48" spans="2:11" ht="15" customHeight="1" x14ac:dyDescent="0.3">
      <c r="B48" s="56"/>
      <c r="D48" s="29">
        <v>45468</v>
      </c>
      <c r="E48" s="35" t="s">
        <v>141</v>
      </c>
      <c r="F48" s="2" t="s">
        <v>73</v>
      </c>
      <c r="G48" s="2" t="s">
        <v>136</v>
      </c>
      <c r="H48" s="2" t="s">
        <v>137</v>
      </c>
      <c r="I48" s="2" t="s">
        <v>47</v>
      </c>
      <c r="J48" s="30">
        <v>142370800</v>
      </c>
      <c r="K48" s="38" t="s">
        <v>9</v>
      </c>
    </row>
    <row r="49" spans="2:11" ht="15" customHeight="1" x14ac:dyDescent="0.3">
      <c r="B49" s="56"/>
      <c r="D49" s="31">
        <v>45650</v>
      </c>
      <c r="E49" s="37" t="s">
        <v>142</v>
      </c>
      <c r="F49" s="32" t="s">
        <v>73</v>
      </c>
      <c r="G49" s="32" t="s">
        <v>111</v>
      </c>
      <c r="H49" s="32" t="s">
        <v>87</v>
      </c>
      <c r="I49" s="32" t="s">
        <v>52</v>
      </c>
      <c r="J49" s="25">
        <v>43032815</v>
      </c>
      <c r="K49" s="40" t="s">
        <v>78</v>
      </c>
    </row>
    <row r="50" spans="2:11" ht="15" customHeight="1" x14ac:dyDescent="0.3">
      <c r="B50" s="41"/>
      <c r="D50" s="1"/>
      <c r="E50" s="1"/>
      <c r="K50" s="1"/>
    </row>
    <row r="51" spans="2:11" ht="15" customHeight="1" x14ac:dyDescent="0.3">
      <c r="B51" s="14" t="s">
        <v>190</v>
      </c>
      <c r="D51" s="33" t="s">
        <v>185</v>
      </c>
      <c r="E51" s="34" t="s">
        <v>66</v>
      </c>
      <c r="F51" s="34" t="s">
        <v>67</v>
      </c>
      <c r="G51" s="34" t="s">
        <v>68</v>
      </c>
      <c r="H51" s="34" t="s">
        <v>69</v>
      </c>
      <c r="I51" s="34" t="s">
        <v>70</v>
      </c>
      <c r="J51" s="34" t="s">
        <v>71</v>
      </c>
      <c r="K51" s="34" t="s">
        <v>99</v>
      </c>
    </row>
    <row r="52" spans="2:11" ht="15" customHeight="1" x14ac:dyDescent="0.3">
      <c r="B52" s="56" t="s">
        <v>189</v>
      </c>
      <c r="D52" s="29">
        <v>45680</v>
      </c>
      <c r="E52" s="36" t="s">
        <v>143</v>
      </c>
      <c r="F52" s="3" t="s">
        <v>73</v>
      </c>
      <c r="G52" s="3" t="s">
        <v>131</v>
      </c>
      <c r="H52" s="3" t="s">
        <v>75</v>
      </c>
      <c r="I52" s="3" t="s">
        <v>41</v>
      </c>
      <c r="J52" s="26">
        <v>11400000</v>
      </c>
      <c r="K52" s="39" t="s">
        <v>60</v>
      </c>
    </row>
    <row r="53" spans="2:11" ht="15" customHeight="1" x14ac:dyDescent="0.3">
      <c r="B53" s="56"/>
      <c r="D53" s="29">
        <v>45680</v>
      </c>
      <c r="E53" s="35" t="s">
        <v>144</v>
      </c>
      <c r="F53" s="2" t="s">
        <v>73</v>
      </c>
      <c r="G53" s="2" t="s">
        <v>145</v>
      </c>
      <c r="H53" s="2" t="s">
        <v>87</v>
      </c>
      <c r="I53" s="2" t="s">
        <v>52</v>
      </c>
      <c r="J53" s="30">
        <v>32400000</v>
      </c>
      <c r="K53" s="38" t="s">
        <v>78</v>
      </c>
    </row>
    <row r="54" spans="2:11" ht="15" customHeight="1" x14ac:dyDescent="0.3">
      <c r="B54" s="56"/>
      <c r="D54" s="29">
        <v>45763</v>
      </c>
      <c r="E54" s="35" t="s">
        <v>146</v>
      </c>
      <c r="F54" s="2" t="s">
        <v>73</v>
      </c>
      <c r="G54" s="2" t="s">
        <v>147</v>
      </c>
      <c r="H54" s="2" t="s">
        <v>87</v>
      </c>
      <c r="I54" s="2" t="s">
        <v>52</v>
      </c>
      <c r="J54" s="30">
        <v>7524000</v>
      </c>
      <c r="K54" s="38" t="s">
        <v>78</v>
      </c>
    </row>
    <row r="55" spans="2:11" ht="15" customHeight="1" x14ac:dyDescent="0.3">
      <c r="B55" s="56"/>
      <c r="D55" s="29">
        <v>45763</v>
      </c>
      <c r="E55" s="35" t="s">
        <v>146</v>
      </c>
      <c r="F55" s="2" t="s">
        <v>73</v>
      </c>
      <c r="G55" s="2" t="s">
        <v>147</v>
      </c>
      <c r="H55" s="2" t="s">
        <v>87</v>
      </c>
      <c r="I55" s="2" t="s">
        <v>52</v>
      </c>
      <c r="J55" s="30">
        <v>32500</v>
      </c>
      <c r="K55" s="38" t="s">
        <v>78</v>
      </c>
    </row>
    <row r="56" spans="2:11" ht="15" customHeight="1" x14ac:dyDescent="0.3">
      <c r="B56" s="56"/>
      <c r="D56" s="29">
        <v>45768</v>
      </c>
      <c r="E56" s="35" t="s">
        <v>148</v>
      </c>
      <c r="F56" s="2" t="s">
        <v>73</v>
      </c>
      <c r="G56" s="2" t="s">
        <v>116</v>
      </c>
      <c r="H56" s="2" t="s">
        <v>132</v>
      </c>
      <c r="I56" s="2" t="s">
        <v>32</v>
      </c>
      <c r="J56" s="30">
        <v>179412470</v>
      </c>
      <c r="K56" s="38" t="s">
        <v>10</v>
      </c>
    </row>
    <row r="57" spans="2:11" ht="15" customHeight="1" x14ac:dyDescent="0.3">
      <c r="B57" s="56"/>
      <c r="D57" s="29">
        <v>45768</v>
      </c>
      <c r="E57" s="35" t="s">
        <v>149</v>
      </c>
      <c r="F57" s="2" t="s">
        <v>73</v>
      </c>
      <c r="G57" s="2" t="s">
        <v>116</v>
      </c>
      <c r="H57" s="2" t="s">
        <v>132</v>
      </c>
      <c r="I57" s="2" t="s">
        <v>32</v>
      </c>
      <c r="J57" s="30">
        <v>43427490</v>
      </c>
      <c r="K57" s="38" t="s">
        <v>10</v>
      </c>
    </row>
    <row r="58" spans="2:11" ht="15" customHeight="1" x14ac:dyDescent="0.3">
      <c r="B58" s="56"/>
      <c r="D58" s="29">
        <v>45770</v>
      </c>
      <c r="E58" s="35" t="s">
        <v>150</v>
      </c>
      <c r="F58" s="2" t="s">
        <v>73</v>
      </c>
      <c r="G58" s="2" t="s">
        <v>116</v>
      </c>
      <c r="H58" s="2" t="s">
        <v>75</v>
      </c>
      <c r="I58" s="2" t="s">
        <v>41</v>
      </c>
      <c r="J58" s="30">
        <v>51212810</v>
      </c>
      <c r="K58" s="38" t="s">
        <v>8</v>
      </c>
    </row>
    <row r="59" spans="2:11" ht="15" customHeight="1" x14ac:dyDescent="0.3">
      <c r="B59" s="56"/>
      <c r="D59" s="29">
        <v>45804</v>
      </c>
      <c r="E59" s="35" t="s">
        <v>151</v>
      </c>
      <c r="F59" s="2" t="s">
        <v>73</v>
      </c>
      <c r="G59" s="2" t="s">
        <v>145</v>
      </c>
      <c r="H59" s="2" t="s">
        <v>87</v>
      </c>
      <c r="I59" s="2" t="s">
        <v>52</v>
      </c>
      <c r="J59" s="30">
        <v>120000000</v>
      </c>
      <c r="K59" s="38" t="s">
        <v>78</v>
      </c>
    </row>
    <row r="60" spans="2:11" ht="15" customHeight="1" x14ac:dyDescent="0.3">
      <c r="B60" s="56"/>
      <c r="D60" s="29">
        <v>45810</v>
      </c>
      <c r="E60" s="35" t="s">
        <v>152</v>
      </c>
      <c r="F60" s="2" t="s">
        <v>73</v>
      </c>
      <c r="G60" s="2" t="s">
        <v>153</v>
      </c>
      <c r="H60" s="2" t="s">
        <v>75</v>
      </c>
      <c r="I60" s="2" t="s">
        <v>41</v>
      </c>
      <c r="J60" s="30">
        <v>230000000</v>
      </c>
      <c r="K60" s="38" t="s">
        <v>60</v>
      </c>
    </row>
    <row r="61" spans="2:11" ht="15" customHeight="1" x14ac:dyDescent="0.3">
      <c r="B61" s="56"/>
      <c r="D61" s="29">
        <v>45818</v>
      </c>
      <c r="E61" s="35" t="s">
        <v>154</v>
      </c>
      <c r="F61" s="2" t="s">
        <v>73</v>
      </c>
      <c r="G61" s="2" t="s">
        <v>155</v>
      </c>
      <c r="H61" s="2" t="s">
        <v>87</v>
      </c>
      <c r="I61" s="2" t="s">
        <v>52</v>
      </c>
      <c r="J61" s="30">
        <v>3949000</v>
      </c>
      <c r="K61" s="38" t="s">
        <v>78</v>
      </c>
    </row>
    <row r="62" spans="2:11" ht="15" customHeight="1" x14ac:dyDescent="0.3">
      <c r="B62" s="56"/>
      <c r="D62" s="29">
        <v>45825</v>
      </c>
      <c r="E62" s="35" t="s">
        <v>156</v>
      </c>
      <c r="F62" s="2" t="s">
        <v>73</v>
      </c>
      <c r="G62" s="2" t="s">
        <v>111</v>
      </c>
      <c r="H62" s="2" t="s">
        <v>87</v>
      </c>
      <c r="I62" s="2" t="s">
        <v>52</v>
      </c>
      <c r="J62" s="30">
        <v>104006000</v>
      </c>
      <c r="K62" s="38" t="s">
        <v>78</v>
      </c>
    </row>
    <row r="63" spans="2:11" ht="15" customHeight="1" x14ac:dyDescent="0.3">
      <c r="B63" s="56"/>
      <c r="D63" s="29">
        <v>45859</v>
      </c>
      <c r="E63" s="35" t="s">
        <v>157</v>
      </c>
      <c r="F63" s="2" t="s">
        <v>73</v>
      </c>
      <c r="G63" s="2" t="s">
        <v>131</v>
      </c>
      <c r="H63" s="2" t="s">
        <v>75</v>
      </c>
      <c r="I63" s="2" t="s">
        <v>41</v>
      </c>
      <c r="J63" s="30">
        <v>28461330</v>
      </c>
      <c r="K63" s="38" t="s">
        <v>96</v>
      </c>
    </row>
    <row r="64" spans="2:11" ht="15" customHeight="1" x14ac:dyDescent="0.3">
      <c r="B64" s="56"/>
      <c r="D64" s="29">
        <v>45882</v>
      </c>
      <c r="E64" s="35" t="s">
        <v>158</v>
      </c>
      <c r="F64" s="2" t="s">
        <v>73</v>
      </c>
      <c r="G64" s="2" t="s">
        <v>131</v>
      </c>
      <c r="H64" s="2" t="s">
        <v>75</v>
      </c>
      <c r="I64" s="2" t="s">
        <v>41</v>
      </c>
      <c r="J64" s="30">
        <v>23712241</v>
      </c>
      <c r="K64" s="38" t="s">
        <v>159</v>
      </c>
    </row>
    <row r="65" spans="2:11" ht="15" customHeight="1" x14ac:dyDescent="0.3">
      <c r="B65" s="56"/>
      <c r="D65" s="29">
        <v>45882</v>
      </c>
      <c r="E65" s="35" t="s">
        <v>158</v>
      </c>
      <c r="F65" s="2" t="s">
        <v>73</v>
      </c>
      <c r="G65" s="2" t="s">
        <v>131</v>
      </c>
      <c r="H65" s="2" t="s">
        <v>75</v>
      </c>
      <c r="I65" s="2" t="s">
        <v>41</v>
      </c>
      <c r="J65" s="30">
        <v>20278064</v>
      </c>
      <c r="K65" s="38" t="s">
        <v>159</v>
      </c>
    </row>
    <row r="66" spans="2:11" ht="15" customHeight="1" x14ac:dyDescent="0.3">
      <c r="B66" s="56"/>
      <c r="D66" s="29">
        <v>45923</v>
      </c>
      <c r="E66" s="35" t="s">
        <v>160</v>
      </c>
      <c r="F66" s="2" t="s">
        <v>73</v>
      </c>
      <c r="G66" s="2" t="s">
        <v>145</v>
      </c>
      <c r="H66" s="2" t="s">
        <v>87</v>
      </c>
      <c r="I66" s="2" t="s">
        <v>52</v>
      </c>
      <c r="J66" s="30">
        <v>-120000000</v>
      </c>
      <c r="K66" s="38" t="s">
        <v>78</v>
      </c>
    </row>
    <row r="67" spans="2:11" ht="15" customHeight="1" x14ac:dyDescent="0.3">
      <c r="B67" s="56"/>
      <c r="D67" s="29">
        <v>45923</v>
      </c>
      <c r="E67" s="35" t="s">
        <v>160</v>
      </c>
      <c r="F67" s="2" t="s">
        <v>73</v>
      </c>
      <c r="G67" s="2" t="s">
        <v>145</v>
      </c>
      <c r="H67" s="2" t="s">
        <v>87</v>
      </c>
      <c r="I67" s="2" t="s">
        <v>52</v>
      </c>
      <c r="J67" s="30">
        <v>230000000</v>
      </c>
      <c r="K67" s="38" t="s">
        <v>78</v>
      </c>
    </row>
    <row r="68" spans="2:11" ht="15" customHeight="1" x14ac:dyDescent="0.3">
      <c r="B68" s="56"/>
      <c r="D68" s="29">
        <v>45945</v>
      </c>
      <c r="E68" s="35" t="s">
        <v>161</v>
      </c>
      <c r="F68" s="2" t="s">
        <v>73</v>
      </c>
      <c r="G68" s="2" t="s">
        <v>111</v>
      </c>
      <c r="H68" s="2" t="s">
        <v>87</v>
      </c>
      <c r="I68" s="2" t="s">
        <v>52</v>
      </c>
      <c r="J68" s="30">
        <v>46423660</v>
      </c>
      <c r="K68" s="38" t="s">
        <v>60</v>
      </c>
    </row>
    <row r="69" spans="2:11" ht="15" customHeight="1" x14ac:dyDescent="0.3">
      <c r="B69" s="56"/>
      <c r="D69" s="29">
        <v>45950</v>
      </c>
      <c r="E69" s="35" t="s">
        <v>162</v>
      </c>
      <c r="F69" s="2" t="s">
        <v>73</v>
      </c>
      <c r="G69" s="2" t="s">
        <v>116</v>
      </c>
      <c r="H69" s="2" t="s">
        <v>75</v>
      </c>
      <c r="I69" s="2" t="s">
        <v>41</v>
      </c>
      <c r="J69" s="30">
        <v>150920000</v>
      </c>
      <c r="K69" s="38" t="s">
        <v>8</v>
      </c>
    </row>
    <row r="70" spans="2:11" ht="15" customHeight="1" x14ac:dyDescent="0.3">
      <c r="B70" s="56"/>
      <c r="D70" s="29">
        <v>45964</v>
      </c>
      <c r="E70" s="35" t="s">
        <v>163</v>
      </c>
      <c r="F70" s="2" t="s">
        <v>73</v>
      </c>
      <c r="G70" s="2" t="s">
        <v>131</v>
      </c>
      <c r="H70" s="2" t="s">
        <v>87</v>
      </c>
      <c r="I70" s="2" t="s">
        <v>52</v>
      </c>
      <c r="J70" s="30">
        <v>15675000</v>
      </c>
      <c r="K70" s="38" t="s">
        <v>96</v>
      </c>
    </row>
    <row r="71" spans="2:11" ht="15" customHeight="1" x14ac:dyDescent="0.3">
      <c r="B71" s="56"/>
      <c r="D71" s="29">
        <v>45967</v>
      </c>
      <c r="E71" s="35" t="s">
        <v>164</v>
      </c>
      <c r="F71" s="2" t="s">
        <v>73</v>
      </c>
      <c r="G71" s="2" t="s">
        <v>113</v>
      </c>
      <c r="H71" s="2" t="s">
        <v>87</v>
      </c>
      <c r="I71" s="2" t="s">
        <v>52</v>
      </c>
      <c r="J71" s="30">
        <v>203695500</v>
      </c>
      <c r="K71" s="38" t="s">
        <v>92</v>
      </c>
    </row>
    <row r="72" spans="2:11" ht="15" customHeight="1" x14ac:dyDescent="0.3">
      <c r="B72" s="56"/>
      <c r="D72" s="29">
        <v>45967</v>
      </c>
      <c r="E72" s="35" t="s">
        <v>165</v>
      </c>
      <c r="F72" s="2" t="s">
        <v>73</v>
      </c>
      <c r="G72" s="2" t="s">
        <v>113</v>
      </c>
      <c r="H72" s="2" t="s">
        <v>87</v>
      </c>
      <c r="I72" s="2" t="s">
        <v>52</v>
      </c>
      <c r="J72" s="30">
        <v>41338500</v>
      </c>
      <c r="K72" s="38" t="s">
        <v>92</v>
      </c>
    </row>
    <row r="73" spans="2:11" ht="15" customHeight="1" x14ac:dyDescent="0.3">
      <c r="B73" s="56"/>
      <c r="D73" s="29">
        <v>45967</v>
      </c>
      <c r="E73" s="35" t="s">
        <v>166</v>
      </c>
      <c r="F73" s="2" t="s">
        <v>73</v>
      </c>
      <c r="G73" s="2" t="s">
        <v>113</v>
      </c>
      <c r="H73" s="2" t="s">
        <v>87</v>
      </c>
      <c r="I73" s="2" t="s">
        <v>52</v>
      </c>
      <c r="J73" s="30">
        <v>18892500</v>
      </c>
      <c r="K73" s="38" t="s">
        <v>92</v>
      </c>
    </row>
    <row r="74" spans="2:11" ht="15" customHeight="1" x14ac:dyDescent="0.3">
      <c r="B74" s="56"/>
      <c r="D74" s="29">
        <v>45967</v>
      </c>
      <c r="E74" s="35" t="s">
        <v>167</v>
      </c>
      <c r="F74" s="2" t="s">
        <v>73</v>
      </c>
      <c r="G74" s="2" t="s">
        <v>113</v>
      </c>
      <c r="H74" s="2" t="s">
        <v>87</v>
      </c>
      <c r="I74" s="2" t="s">
        <v>52</v>
      </c>
      <c r="J74" s="30">
        <v>15351600</v>
      </c>
      <c r="K74" s="38" t="s">
        <v>92</v>
      </c>
    </row>
    <row r="75" spans="2:11" ht="15" customHeight="1" x14ac:dyDescent="0.3">
      <c r="B75" s="56"/>
      <c r="D75" s="29">
        <v>45967</v>
      </c>
      <c r="E75" s="35" t="s">
        <v>168</v>
      </c>
      <c r="F75" s="2" t="s">
        <v>73</v>
      </c>
      <c r="G75" s="2" t="s">
        <v>113</v>
      </c>
      <c r="H75" s="2" t="s">
        <v>87</v>
      </c>
      <c r="I75" s="2" t="s">
        <v>52</v>
      </c>
      <c r="J75" s="30">
        <v>2984300</v>
      </c>
      <c r="K75" s="38" t="s">
        <v>92</v>
      </c>
    </row>
    <row r="76" spans="2:11" ht="15" customHeight="1" x14ac:dyDescent="0.3">
      <c r="B76" s="56"/>
      <c r="D76" s="29">
        <v>45967</v>
      </c>
      <c r="E76" s="35" t="s">
        <v>169</v>
      </c>
      <c r="F76" s="2" t="s">
        <v>73</v>
      </c>
      <c r="G76" s="2" t="s">
        <v>113</v>
      </c>
      <c r="H76" s="2" t="s">
        <v>87</v>
      </c>
      <c r="I76" s="2" t="s">
        <v>52</v>
      </c>
      <c r="J76" s="30">
        <v>7436000</v>
      </c>
      <c r="K76" s="38" t="s">
        <v>92</v>
      </c>
    </row>
    <row r="77" spans="2:11" ht="15" customHeight="1" x14ac:dyDescent="0.3">
      <c r="B77" s="56"/>
      <c r="D77" s="29">
        <v>45967</v>
      </c>
      <c r="E77" s="35" t="s">
        <v>170</v>
      </c>
      <c r="F77" s="2" t="s">
        <v>73</v>
      </c>
      <c r="G77" s="2" t="s">
        <v>113</v>
      </c>
      <c r="H77" s="2" t="s">
        <v>87</v>
      </c>
      <c r="I77" s="2" t="s">
        <v>52</v>
      </c>
      <c r="J77" s="30">
        <v>4552010</v>
      </c>
      <c r="K77" s="38" t="s">
        <v>92</v>
      </c>
    </row>
    <row r="78" spans="2:11" ht="15" customHeight="1" x14ac:dyDescent="0.3">
      <c r="B78" s="56"/>
      <c r="D78" s="29">
        <v>45967</v>
      </c>
      <c r="E78" s="35" t="s">
        <v>171</v>
      </c>
      <c r="F78" s="2" t="s">
        <v>73</v>
      </c>
      <c r="G78" s="2" t="s">
        <v>113</v>
      </c>
      <c r="H78" s="2" t="s">
        <v>87</v>
      </c>
      <c r="I78" s="2" t="s">
        <v>52</v>
      </c>
      <c r="J78" s="30">
        <v>6996000</v>
      </c>
      <c r="K78" s="38" t="s">
        <v>92</v>
      </c>
    </row>
    <row r="79" spans="2:11" ht="15" customHeight="1" x14ac:dyDescent="0.3">
      <c r="B79" s="56"/>
      <c r="D79" s="29">
        <v>45982</v>
      </c>
      <c r="E79" s="35" t="s">
        <v>172</v>
      </c>
      <c r="F79" s="2" t="s">
        <v>73</v>
      </c>
      <c r="G79" s="2" t="s">
        <v>173</v>
      </c>
      <c r="H79" s="2" t="s">
        <v>137</v>
      </c>
      <c r="I79" s="2" t="s">
        <v>47</v>
      </c>
      <c r="J79" s="30">
        <v>782872000</v>
      </c>
      <c r="K79" s="38" t="s">
        <v>9</v>
      </c>
    </row>
    <row r="80" spans="2:11" ht="15" customHeight="1" x14ac:dyDescent="0.3">
      <c r="B80" s="56"/>
      <c r="D80" s="29">
        <v>45996</v>
      </c>
      <c r="E80" s="35" t="s">
        <v>174</v>
      </c>
      <c r="F80" s="2" t="s">
        <v>73</v>
      </c>
      <c r="G80" s="2" t="s">
        <v>116</v>
      </c>
      <c r="H80" s="2" t="s">
        <v>87</v>
      </c>
      <c r="I80" s="2" t="s">
        <v>52</v>
      </c>
      <c r="J80" s="30">
        <v>240000000</v>
      </c>
      <c r="K80" s="38" t="s">
        <v>9</v>
      </c>
    </row>
    <row r="81" spans="2:11" ht="15" customHeight="1" x14ac:dyDescent="0.3">
      <c r="B81" s="56"/>
      <c r="D81" s="29">
        <v>46001</v>
      </c>
      <c r="E81" s="35" t="s">
        <v>175</v>
      </c>
      <c r="F81" s="2" t="s">
        <v>73</v>
      </c>
      <c r="G81" s="2" t="s">
        <v>147</v>
      </c>
      <c r="H81" s="2" t="s">
        <v>87</v>
      </c>
      <c r="I81" s="2" t="s">
        <v>52</v>
      </c>
      <c r="J81" s="30">
        <v>3480970</v>
      </c>
      <c r="K81" s="38" t="s">
        <v>60</v>
      </c>
    </row>
    <row r="82" spans="2:11" ht="15" customHeight="1" x14ac:dyDescent="0.3">
      <c r="B82" s="56"/>
      <c r="D82" s="29">
        <v>46010</v>
      </c>
      <c r="E82" s="35" t="s">
        <v>176</v>
      </c>
      <c r="F82" s="2" t="s">
        <v>73</v>
      </c>
      <c r="G82" s="2" t="s">
        <v>177</v>
      </c>
      <c r="H82" s="2" t="s">
        <v>132</v>
      </c>
      <c r="I82" s="2" t="s">
        <v>31</v>
      </c>
      <c r="J82" s="30">
        <v>94710000</v>
      </c>
      <c r="K82" s="38" t="s">
        <v>60</v>
      </c>
    </row>
    <row r="83" spans="2:11" ht="15" customHeight="1" x14ac:dyDescent="0.3">
      <c r="B83" s="56"/>
      <c r="D83" s="29">
        <v>46015</v>
      </c>
      <c r="E83" s="35" t="s">
        <v>178</v>
      </c>
      <c r="F83" s="2" t="s">
        <v>73</v>
      </c>
      <c r="G83" s="2" t="s">
        <v>179</v>
      </c>
      <c r="H83" s="2" t="s">
        <v>87</v>
      </c>
      <c r="I83" s="2" t="s">
        <v>52</v>
      </c>
      <c r="J83" s="30">
        <v>5940000</v>
      </c>
      <c r="K83" s="38" t="s">
        <v>78</v>
      </c>
    </row>
    <row r="84" spans="2:11" ht="15" customHeight="1" x14ac:dyDescent="0.3">
      <c r="B84" s="56"/>
      <c r="D84" s="29">
        <v>46017</v>
      </c>
      <c r="E84" s="35" t="s">
        <v>180</v>
      </c>
      <c r="F84" s="2" t="s">
        <v>73</v>
      </c>
      <c r="G84" s="2" t="s">
        <v>111</v>
      </c>
      <c r="H84" s="2" t="s">
        <v>75</v>
      </c>
      <c r="I84" s="2" t="s">
        <v>41</v>
      </c>
      <c r="J84" s="30">
        <v>200000000</v>
      </c>
      <c r="K84" s="38" t="s">
        <v>60</v>
      </c>
    </row>
    <row r="85" spans="2:11" ht="15" customHeight="1" x14ac:dyDescent="0.3">
      <c r="B85" s="56"/>
      <c r="D85" s="29">
        <v>46021</v>
      </c>
      <c r="E85" s="35" t="s">
        <v>181</v>
      </c>
      <c r="F85" s="2" t="s">
        <v>73</v>
      </c>
      <c r="G85" s="2" t="s">
        <v>116</v>
      </c>
      <c r="H85" s="2" t="s">
        <v>75</v>
      </c>
      <c r="I85" s="2" t="s">
        <v>41</v>
      </c>
      <c r="J85" s="30">
        <v>60693000</v>
      </c>
      <c r="K85" s="38" t="s">
        <v>8</v>
      </c>
    </row>
    <row r="86" spans="2:11" ht="15" customHeight="1" x14ac:dyDescent="0.3">
      <c r="B86" s="56"/>
      <c r="D86" s="29">
        <v>46021</v>
      </c>
      <c r="E86" s="35" t="s">
        <v>182</v>
      </c>
      <c r="F86" s="2" t="s">
        <v>73</v>
      </c>
      <c r="G86" s="2" t="s">
        <v>116</v>
      </c>
      <c r="H86" s="2" t="s">
        <v>87</v>
      </c>
      <c r="I86" s="2" t="s">
        <v>52</v>
      </c>
      <c r="J86" s="30">
        <v>159213229</v>
      </c>
      <c r="K86" s="38" t="s">
        <v>8</v>
      </c>
    </row>
    <row r="87" spans="2:11" ht="15" customHeight="1" x14ac:dyDescent="0.3">
      <c r="B87" s="56"/>
      <c r="D87" s="29">
        <v>46021</v>
      </c>
      <c r="E87" s="35" t="s">
        <v>183</v>
      </c>
      <c r="F87" s="2" t="s">
        <v>73</v>
      </c>
      <c r="G87" s="2" t="s">
        <v>111</v>
      </c>
      <c r="H87" s="2" t="s">
        <v>87</v>
      </c>
      <c r="I87" s="2" t="s">
        <v>52</v>
      </c>
      <c r="J87" s="30">
        <v>15598000</v>
      </c>
      <c r="K87" s="38" t="s">
        <v>60</v>
      </c>
    </row>
    <row r="88" spans="2:11" ht="15" customHeight="1" x14ac:dyDescent="0.3">
      <c r="B88" s="56"/>
      <c r="D88" s="31">
        <v>46021</v>
      </c>
      <c r="E88" s="37" t="s">
        <v>184</v>
      </c>
      <c r="F88" s="32" t="s">
        <v>73</v>
      </c>
      <c r="G88" s="32" t="s">
        <v>155</v>
      </c>
      <c r="H88" s="32" t="s">
        <v>87</v>
      </c>
      <c r="I88" s="32" t="s">
        <v>52</v>
      </c>
      <c r="J88" s="25">
        <v>86042000</v>
      </c>
      <c r="K88" s="40" t="s">
        <v>78</v>
      </c>
    </row>
  </sheetData>
  <mergeCells count="4">
    <mergeCell ref="B3:B17"/>
    <mergeCell ref="B20:B37"/>
    <mergeCell ref="B40:B49"/>
    <mergeCell ref="B52:B88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0" orientation="landscape" r:id="rId1"/>
  <rowBreaks count="1" manualBreakCount="1">
    <brk id="38" max="16383" man="1"/>
  </rowBreaks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항목별예산</vt:lpstr>
      <vt:lpstr>유량</vt:lpstr>
      <vt:lpstr>유사량</vt:lpstr>
      <vt:lpstr>토양수분량</vt:lpstr>
      <vt:lpstr>증발산량</vt:lpstr>
      <vt:lpstr>자동유량</vt:lpstr>
      <vt:lpstr>잔액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승훈 편</cp:lastModifiedBy>
  <cp:lastPrinted>2026-06-22T05:11:16Z</cp:lastPrinted>
  <dcterms:created xsi:type="dcterms:W3CDTF">2026-04-14T04:58:43Z</dcterms:created>
  <dcterms:modified xsi:type="dcterms:W3CDTF">2026-06-22T05:27:09Z</dcterms:modified>
</cp:coreProperties>
</file>