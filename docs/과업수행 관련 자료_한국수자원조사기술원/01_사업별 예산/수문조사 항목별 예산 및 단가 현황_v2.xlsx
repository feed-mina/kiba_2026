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배병권\수문조사\과업수행 관련 자료_한국수자원조사기술원\01_사업별 예산\"/>
    </mc:Choice>
  </mc:AlternateContent>
  <xr:revisionPtr revIDLastSave="0" documentId="13_ncr:1_{D78C0563-B181-4D1D-A50C-C44C376906EC}" xr6:coauthVersionLast="47" xr6:coauthVersionMax="47" xr10:uidLastSave="{00000000-0000-0000-0000-000000000000}"/>
  <bookViews>
    <workbookView xWindow="-120" yWindow="-120" windowWidth="29040" windowHeight="15720" tabRatio="845" xr2:uid="{3BBEFE96-5BCF-4DBE-9E9E-3A3EF18DBBC6}"/>
  </bookViews>
  <sheets>
    <sheet name="현황" sheetId="2" r:id="rId1"/>
    <sheet name="단가" sheetId="26" r:id="rId2"/>
    <sheet name="항목별예산" sheetId="18" r:id="rId3"/>
    <sheet name="유량" sheetId="23" r:id="rId4"/>
    <sheet name="유사량" sheetId="35" r:id="rId5"/>
    <sheet name="토양수분량" sheetId="36" r:id="rId6"/>
    <sheet name="증발산량" sheetId="37" r:id="rId7"/>
    <sheet name="자동유량" sheetId="38" r:id="rId8"/>
    <sheet name="총예산_01" sheetId="42" r:id="rId9"/>
    <sheet name="총예산_02" sheetId="4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" i="42" l="1"/>
  <c r="U22" i="42"/>
  <c r="V19" i="42"/>
  <c r="U19" i="42"/>
  <c r="V16" i="42"/>
  <c r="U16" i="42"/>
  <c r="V13" i="42"/>
  <c r="U13" i="42"/>
  <c r="V10" i="42"/>
  <c r="U10" i="42"/>
  <c r="V7" i="42"/>
  <c r="U7" i="42"/>
  <c r="K22" i="42"/>
  <c r="J22" i="42"/>
  <c r="K19" i="42"/>
  <c r="J19" i="42"/>
  <c r="K16" i="42"/>
  <c r="J16" i="42"/>
  <c r="K13" i="42"/>
  <c r="J13" i="42"/>
  <c r="K10" i="42"/>
  <c r="J10" i="42"/>
  <c r="J7" i="42"/>
  <c r="K7" i="42"/>
  <c r="B40" i="38"/>
  <c r="B39" i="38"/>
  <c r="B38" i="38"/>
  <c r="K37" i="38"/>
  <c r="K36" i="38"/>
  <c r="G37" i="38"/>
  <c r="G36" i="38"/>
  <c r="K33" i="38"/>
  <c r="K32" i="38"/>
  <c r="G33" i="38"/>
  <c r="G32" i="38"/>
  <c r="E29" i="38"/>
  <c r="E28" i="38"/>
  <c r="E27" i="38"/>
  <c r="E25" i="38"/>
  <c r="E24" i="38"/>
  <c r="E23" i="38"/>
  <c r="E21" i="38"/>
  <c r="E20" i="38"/>
  <c r="E19" i="38"/>
  <c r="E17" i="38"/>
  <c r="E16" i="38"/>
  <c r="E15" i="38"/>
  <c r="E13" i="38"/>
  <c r="E12" i="38"/>
  <c r="E11" i="38"/>
  <c r="E9" i="38"/>
  <c r="E8" i="38"/>
  <c r="E7" i="38"/>
  <c r="D29" i="38"/>
  <c r="F29" i="38" s="1"/>
  <c r="D28" i="38"/>
  <c r="F28" i="38" s="1"/>
  <c r="D27" i="38"/>
  <c r="F27" i="38" s="1"/>
  <c r="D25" i="38"/>
  <c r="F25" i="38" s="1"/>
  <c r="D24" i="38"/>
  <c r="F24" i="38" s="1"/>
  <c r="D23" i="38"/>
  <c r="F23" i="38" s="1"/>
  <c r="D21" i="38"/>
  <c r="F21" i="38" s="1"/>
  <c r="D20" i="38"/>
  <c r="F20" i="38" s="1"/>
  <c r="D19" i="38"/>
  <c r="F19" i="38" s="1"/>
  <c r="D17" i="38"/>
  <c r="F17" i="38" s="1"/>
  <c r="D16" i="38"/>
  <c r="F16" i="38" s="1"/>
  <c r="D15" i="38"/>
  <c r="F15" i="38" s="1"/>
  <c r="D13" i="38"/>
  <c r="F13" i="38" s="1"/>
  <c r="D12" i="38"/>
  <c r="F12" i="38" s="1"/>
  <c r="D11" i="38"/>
  <c r="F11" i="38" s="1"/>
  <c r="D9" i="38"/>
  <c r="F9" i="38" s="1"/>
  <c r="D8" i="38"/>
  <c r="F8" i="38" s="1"/>
  <c r="D7" i="38"/>
  <c r="F7" i="38" s="1"/>
  <c r="B2" i="38"/>
  <c r="B14" i="37"/>
  <c r="D11" i="37"/>
  <c r="C11" i="37"/>
  <c r="E11" i="37" s="1"/>
  <c r="D10" i="37"/>
  <c r="C10" i="37"/>
  <c r="E10" i="37" s="1"/>
  <c r="D9" i="37"/>
  <c r="C9" i="37"/>
  <c r="D8" i="37"/>
  <c r="C8" i="37"/>
  <c r="D7" i="37"/>
  <c r="C7" i="37"/>
  <c r="E7" i="37" s="1"/>
  <c r="D6" i="37"/>
  <c r="C6" i="37"/>
  <c r="B2" i="37"/>
  <c r="B14" i="36"/>
  <c r="D11" i="36"/>
  <c r="C11" i="36"/>
  <c r="D10" i="36"/>
  <c r="C10" i="36"/>
  <c r="E10" i="36" s="1"/>
  <c r="D9" i="36"/>
  <c r="C9" i="36"/>
  <c r="D8" i="36"/>
  <c r="C8" i="36"/>
  <c r="D7" i="36"/>
  <c r="C7" i="36"/>
  <c r="D6" i="36"/>
  <c r="C6" i="36"/>
  <c r="B2" i="36"/>
  <c r="B14" i="35"/>
  <c r="D11" i="35"/>
  <c r="C11" i="35"/>
  <c r="D10" i="35"/>
  <c r="C10" i="35"/>
  <c r="D9" i="35"/>
  <c r="C9" i="35"/>
  <c r="E9" i="35" s="1"/>
  <c r="D8" i="35"/>
  <c r="C8" i="35"/>
  <c r="D7" i="35"/>
  <c r="C7" i="35"/>
  <c r="D6" i="35"/>
  <c r="C6" i="35"/>
  <c r="B2" i="35"/>
  <c r="B14" i="23"/>
  <c r="D7" i="23"/>
  <c r="D8" i="23"/>
  <c r="D9" i="23"/>
  <c r="D10" i="23"/>
  <c r="D11" i="23"/>
  <c r="D6" i="23"/>
  <c r="C7" i="23"/>
  <c r="C8" i="23"/>
  <c r="C9" i="23"/>
  <c r="C10" i="23"/>
  <c r="E10" i="23" s="1"/>
  <c r="C11" i="23"/>
  <c r="C6" i="23"/>
  <c r="E6" i="23" s="1"/>
  <c r="B2" i="23"/>
  <c r="H29" i="38" l="1"/>
  <c r="L29" i="38"/>
  <c r="I12" i="38"/>
  <c r="H12" i="38"/>
  <c r="H13" i="38"/>
  <c r="M13" i="38"/>
  <c r="V11" i="42" s="1"/>
  <c r="V9" i="42" s="1"/>
  <c r="L13" i="38"/>
  <c r="L9" i="38"/>
  <c r="H9" i="38"/>
  <c r="E11" i="35"/>
  <c r="E6" i="36"/>
  <c r="E9" i="36"/>
  <c r="E8" i="36"/>
  <c r="E11" i="36"/>
  <c r="E6" i="37"/>
  <c r="E9" i="37"/>
  <c r="K15" i="42"/>
  <c r="J18" i="42"/>
  <c r="L20" i="38"/>
  <c r="H20" i="38"/>
  <c r="M20" i="38"/>
  <c r="I20" i="38"/>
  <c r="J17" i="42" s="1"/>
  <c r="J15" i="42" s="1"/>
  <c r="J20" i="38"/>
  <c r="L25" i="38"/>
  <c r="H25" i="38"/>
  <c r="M25" i="38"/>
  <c r="N25" i="38" s="1"/>
  <c r="I25" i="38"/>
  <c r="J25" i="38"/>
  <c r="M28" i="38"/>
  <c r="H28" i="38"/>
  <c r="I28" i="38"/>
  <c r="N28" i="38"/>
  <c r="L28" i="38"/>
  <c r="F14" i="38"/>
  <c r="L21" i="38"/>
  <c r="H21" i="38"/>
  <c r="M21" i="38"/>
  <c r="I21" i="38"/>
  <c r="K17" i="42" s="1"/>
  <c r="J21" i="38"/>
  <c r="F22" i="38"/>
  <c r="L24" i="38"/>
  <c r="H24" i="38"/>
  <c r="M24" i="38"/>
  <c r="U20" i="42" s="1"/>
  <c r="U18" i="42" s="1"/>
  <c r="I24" i="38"/>
  <c r="J20" i="42" s="1"/>
  <c r="F26" i="38"/>
  <c r="F6" i="38"/>
  <c r="L8" i="38"/>
  <c r="N8" i="38"/>
  <c r="H8" i="38"/>
  <c r="M8" i="38"/>
  <c r="U8" i="42" s="1"/>
  <c r="U6" i="42" s="1"/>
  <c r="J8" i="38"/>
  <c r="I8" i="38"/>
  <c r="J8" i="42" s="1"/>
  <c r="J6" i="42" s="1"/>
  <c r="M16" i="38"/>
  <c r="I16" i="38"/>
  <c r="L16" i="38"/>
  <c r="H16" i="38"/>
  <c r="N16" i="38"/>
  <c r="M17" i="38"/>
  <c r="I17" i="38"/>
  <c r="K14" i="42" s="1"/>
  <c r="K12" i="42" s="1"/>
  <c r="L17" i="38"/>
  <c r="H17" i="38"/>
  <c r="F18" i="38"/>
  <c r="I29" i="38"/>
  <c r="J29" i="38" s="1"/>
  <c r="F10" i="38"/>
  <c r="M29" i="38"/>
  <c r="L12" i="38"/>
  <c r="I13" i="38"/>
  <c r="J9" i="38"/>
  <c r="M12" i="38"/>
  <c r="I9" i="38"/>
  <c r="K8" i="42" s="1"/>
  <c r="K6" i="42" s="1"/>
  <c r="M9" i="38"/>
  <c r="J12" i="38"/>
  <c r="J13" i="38"/>
  <c r="N9" i="38"/>
  <c r="E7" i="35"/>
  <c r="N13" i="38"/>
  <c r="E8" i="37"/>
  <c r="E7" i="36"/>
  <c r="E6" i="35"/>
  <c r="E10" i="35"/>
  <c r="E8" i="35"/>
  <c r="E11" i="23"/>
  <c r="E8" i="23"/>
  <c r="E9" i="23"/>
  <c r="E7" i="23"/>
  <c r="N17" i="38" l="1"/>
  <c r="V14" i="42"/>
  <c r="V12" i="42" s="1"/>
  <c r="V17" i="42"/>
  <c r="V15" i="42" s="1"/>
  <c r="N12" i="38"/>
  <c r="U11" i="42"/>
  <c r="U9" i="42" s="1"/>
  <c r="M36" i="38"/>
  <c r="I36" i="38"/>
  <c r="J11" i="42"/>
  <c r="J9" i="42" s="1"/>
  <c r="J17" i="38"/>
  <c r="J14" i="42"/>
  <c r="J12" i="42" s="1"/>
  <c r="N24" i="38"/>
  <c r="K11" i="42"/>
  <c r="K9" i="42" s="1"/>
  <c r="U14" i="42"/>
  <c r="U12" i="42" s="1"/>
  <c r="N20" i="38"/>
  <c r="U17" i="42"/>
  <c r="U15" i="42" s="1"/>
  <c r="V8" i="42"/>
  <c r="V6" i="42" s="1"/>
  <c r="J24" i="38"/>
  <c r="M32" i="38"/>
  <c r="U23" i="42"/>
  <c r="U21" i="42" s="1"/>
  <c r="J28" i="38"/>
  <c r="J23" i="42"/>
  <c r="J21" i="42" s="1"/>
  <c r="I32" i="38"/>
  <c r="F32" i="38" s="1"/>
  <c r="M37" i="38"/>
  <c r="V20" i="42"/>
  <c r="V18" i="42" s="1"/>
  <c r="K20" i="42"/>
  <c r="K18" i="42" s="1"/>
  <c r="I37" i="38"/>
  <c r="N29" i="38"/>
  <c r="V23" i="42"/>
  <c r="V21" i="42" s="1"/>
  <c r="M33" i="38"/>
  <c r="I33" i="38"/>
  <c r="F33" i="38" s="1"/>
  <c r="K23" i="42"/>
  <c r="K21" i="42" s="1"/>
  <c r="J16" i="38"/>
  <c r="N21" i="38"/>
  <c r="N32" i="38" l="1"/>
  <c r="L32" i="38"/>
  <c r="J32" i="38"/>
  <c r="H32" i="38"/>
  <c r="H33" i="38"/>
  <c r="N33" i="38"/>
  <c r="L33" i="38"/>
  <c r="J33" i="38"/>
  <c r="P19" i="18"/>
  <c r="L11" i="37" s="1"/>
  <c r="O19" i="18"/>
  <c r="L10" i="37" s="1"/>
  <c r="N19" i="18"/>
  <c r="L9" i="37" s="1"/>
  <c r="M19" i="18"/>
  <c r="L8" i="37" s="1"/>
  <c r="L19" i="18"/>
  <c r="L7" i="37" s="1"/>
  <c r="K19" i="18"/>
  <c r="L6" i="37" s="1"/>
  <c r="P18" i="18"/>
  <c r="L11" i="36" s="1"/>
  <c r="O18" i="18"/>
  <c r="L10" i="36" s="1"/>
  <c r="N18" i="18"/>
  <c r="L9" i="36" s="1"/>
  <c r="M18" i="18"/>
  <c r="L8" i="36" s="1"/>
  <c r="L18" i="18"/>
  <c r="L7" i="36" s="1"/>
  <c r="K18" i="18"/>
  <c r="L6" i="36" s="1"/>
  <c r="P17" i="18"/>
  <c r="L11" i="35" s="1"/>
  <c r="O17" i="18"/>
  <c r="L10" i="35" s="1"/>
  <c r="N17" i="18"/>
  <c r="L9" i="35" s="1"/>
  <c r="M17" i="18"/>
  <c r="L8" i="35" s="1"/>
  <c r="L17" i="18"/>
  <c r="L7" i="35" s="1"/>
  <c r="K17" i="18"/>
  <c r="L6" i="35" s="1"/>
  <c r="P16" i="18"/>
  <c r="M26" i="38" s="1"/>
  <c r="O16" i="18"/>
  <c r="M22" i="38" s="1"/>
  <c r="N16" i="18"/>
  <c r="M18" i="38" s="1"/>
  <c r="M16" i="18"/>
  <c r="M14" i="38" s="1"/>
  <c r="L16" i="18"/>
  <c r="M10" i="38" s="1"/>
  <c r="K16" i="18"/>
  <c r="M6" i="38" s="1"/>
  <c r="P15" i="18"/>
  <c r="L11" i="23" s="1"/>
  <c r="O15" i="18"/>
  <c r="N15" i="18"/>
  <c r="L9" i="23" s="1"/>
  <c r="M15" i="18"/>
  <c r="L8" i="23" s="1"/>
  <c r="L15" i="18"/>
  <c r="K15" i="18"/>
  <c r="L6" i="23" s="1"/>
  <c r="H19" i="18"/>
  <c r="H11" i="37" s="1"/>
  <c r="G19" i="18"/>
  <c r="H10" i="37" s="1"/>
  <c r="F19" i="18"/>
  <c r="H9" i="37" s="1"/>
  <c r="E19" i="18"/>
  <c r="H8" i="37" s="1"/>
  <c r="D19" i="18"/>
  <c r="H7" i="37" s="1"/>
  <c r="C19" i="18"/>
  <c r="H6" i="37" s="1"/>
  <c r="H18" i="18"/>
  <c r="H11" i="36" s="1"/>
  <c r="G18" i="18"/>
  <c r="H10" i="36" s="1"/>
  <c r="F18" i="18"/>
  <c r="H9" i="36" s="1"/>
  <c r="E18" i="18"/>
  <c r="H8" i="36" s="1"/>
  <c r="D18" i="18"/>
  <c r="H7" i="36" s="1"/>
  <c r="C18" i="18"/>
  <c r="H6" i="36" s="1"/>
  <c r="H17" i="18"/>
  <c r="H11" i="35" s="1"/>
  <c r="G17" i="18"/>
  <c r="H10" i="35" s="1"/>
  <c r="F17" i="18"/>
  <c r="H9" i="35" s="1"/>
  <c r="E17" i="18"/>
  <c r="H8" i="35" s="1"/>
  <c r="D17" i="18"/>
  <c r="H7" i="35" s="1"/>
  <c r="C17" i="18"/>
  <c r="H6" i="35" s="1"/>
  <c r="H16" i="18"/>
  <c r="I26" i="38" s="1"/>
  <c r="G16" i="18"/>
  <c r="I22" i="38" s="1"/>
  <c r="F16" i="18"/>
  <c r="I18" i="38" s="1"/>
  <c r="E16" i="18"/>
  <c r="I14" i="38" s="1"/>
  <c r="D16" i="18"/>
  <c r="I10" i="38" s="1"/>
  <c r="C16" i="18"/>
  <c r="I6" i="38" s="1"/>
  <c r="H15" i="18"/>
  <c r="H11" i="23" s="1"/>
  <c r="G15" i="18"/>
  <c r="F15" i="18"/>
  <c r="H9" i="23" s="1"/>
  <c r="E15" i="18"/>
  <c r="D15" i="18"/>
  <c r="H7" i="23" s="1"/>
  <c r="C15" i="18"/>
  <c r="H6" i="23" s="1"/>
  <c r="N5" i="18"/>
  <c r="L5" i="18"/>
  <c r="K5" i="18"/>
  <c r="H5" i="18"/>
  <c r="G5" i="18"/>
  <c r="F5" i="18"/>
  <c r="E5" i="18"/>
  <c r="D5" i="18"/>
  <c r="C5" i="18"/>
  <c r="P5" i="18"/>
  <c r="O5" i="18"/>
  <c r="M5" i="18"/>
  <c r="I30" i="38" l="1"/>
  <c r="I7" i="38"/>
  <c r="J6" i="38"/>
  <c r="G6" i="38"/>
  <c r="H8" i="42"/>
  <c r="H12" i="37"/>
  <c r="I6" i="37"/>
  <c r="F6" i="37"/>
  <c r="P8" i="42"/>
  <c r="M6" i="23"/>
  <c r="J6" i="23"/>
  <c r="M30" i="38"/>
  <c r="M7" i="38"/>
  <c r="N6" i="38"/>
  <c r="K6" i="38"/>
  <c r="Q8" i="42"/>
  <c r="M6" i="35"/>
  <c r="L12" i="35"/>
  <c r="J6" i="35"/>
  <c r="R8" i="42"/>
  <c r="J6" i="36"/>
  <c r="M6" i="36"/>
  <c r="L12" i="36"/>
  <c r="S8" i="42"/>
  <c r="L12" i="37"/>
  <c r="M6" i="37"/>
  <c r="J6" i="37"/>
  <c r="F8" i="42"/>
  <c r="I6" i="35"/>
  <c r="H12" i="35"/>
  <c r="F6" i="35"/>
  <c r="E11" i="42"/>
  <c r="F7" i="23"/>
  <c r="I7" i="23"/>
  <c r="I34" i="38"/>
  <c r="J10" i="38"/>
  <c r="G10" i="38"/>
  <c r="I11" i="38"/>
  <c r="F11" i="42"/>
  <c r="H13" i="35"/>
  <c r="I7" i="35"/>
  <c r="F7" i="35"/>
  <c r="G11" i="42"/>
  <c r="H13" i="36"/>
  <c r="I7" i="36"/>
  <c r="F7" i="36"/>
  <c r="H11" i="42"/>
  <c r="I7" i="37"/>
  <c r="H13" i="37"/>
  <c r="F7" i="37"/>
  <c r="L14" i="18"/>
  <c r="L7" i="23"/>
  <c r="M34" i="38"/>
  <c r="M11" i="38"/>
  <c r="N10" i="38"/>
  <c r="K10" i="38"/>
  <c r="Q11" i="42"/>
  <c r="L13" i="35"/>
  <c r="M7" i="35"/>
  <c r="J7" i="35"/>
  <c r="R11" i="42"/>
  <c r="L13" i="36"/>
  <c r="M7" i="36"/>
  <c r="J7" i="36"/>
  <c r="S11" i="42"/>
  <c r="J7" i="37"/>
  <c r="M7" i="37"/>
  <c r="L13" i="37"/>
  <c r="G8" i="42"/>
  <c r="I6" i="36"/>
  <c r="F6" i="36"/>
  <c r="H12" i="36"/>
  <c r="E14" i="18"/>
  <c r="H8" i="23"/>
  <c r="G14" i="38"/>
  <c r="J14" i="38"/>
  <c r="I15" i="38"/>
  <c r="F14" i="42"/>
  <c r="I8" i="35"/>
  <c r="F8" i="35"/>
  <c r="I8" i="36"/>
  <c r="G14" i="42"/>
  <c r="F8" i="36"/>
  <c r="H14" i="42"/>
  <c r="F8" i="37"/>
  <c r="I8" i="37"/>
  <c r="P14" i="42"/>
  <c r="J8" i="23"/>
  <c r="M8" i="23"/>
  <c r="K14" i="38"/>
  <c r="M15" i="38"/>
  <c r="N14" i="38"/>
  <c r="Q14" i="42"/>
  <c r="J8" i="35"/>
  <c r="M8" i="35"/>
  <c r="R14" i="42"/>
  <c r="M8" i="36"/>
  <c r="J8" i="36"/>
  <c r="S14" i="42"/>
  <c r="M8" i="37"/>
  <c r="J8" i="37"/>
  <c r="E8" i="42"/>
  <c r="I6" i="23"/>
  <c r="F6" i="23"/>
  <c r="E17" i="42"/>
  <c r="I9" i="23"/>
  <c r="F9" i="23"/>
  <c r="I19" i="38"/>
  <c r="G18" i="38"/>
  <c r="J18" i="38"/>
  <c r="F17" i="42"/>
  <c r="I9" i="35"/>
  <c r="F9" i="35"/>
  <c r="G17" i="42"/>
  <c r="I9" i="36"/>
  <c r="F9" i="36"/>
  <c r="H17" i="42"/>
  <c r="F9" i="37"/>
  <c r="I9" i="37"/>
  <c r="P17" i="42"/>
  <c r="J9" i="23"/>
  <c r="M9" i="23"/>
  <c r="M19" i="38"/>
  <c r="K18" i="38"/>
  <c r="N18" i="38"/>
  <c r="Q17" i="42"/>
  <c r="J9" i="35"/>
  <c r="M9" i="35"/>
  <c r="R17" i="42"/>
  <c r="M9" i="36"/>
  <c r="J9" i="36"/>
  <c r="S17" i="42"/>
  <c r="J9" i="37"/>
  <c r="M9" i="37"/>
  <c r="G22" i="38"/>
  <c r="I23" i="38"/>
  <c r="J22" i="38"/>
  <c r="F20" i="42"/>
  <c r="I10" i="35"/>
  <c r="F10" i="35"/>
  <c r="O14" i="18"/>
  <c r="L10" i="23"/>
  <c r="K22" i="38"/>
  <c r="M23" i="38"/>
  <c r="N22" i="38"/>
  <c r="Q20" i="42"/>
  <c r="J10" i="35"/>
  <c r="M10" i="35"/>
  <c r="R20" i="42"/>
  <c r="J10" i="36"/>
  <c r="M10" i="36"/>
  <c r="S20" i="42"/>
  <c r="J10" i="37"/>
  <c r="M10" i="37"/>
  <c r="G14" i="18"/>
  <c r="H10" i="23"/>
  <c r="H12" i="23" s="1"/>
  <c r="G20" i="42"/>
  <c r="I10" i="36"/>
  <c r="F10" i="36"/>
  <c r="H20" i="42"/>
  <c r="F10" i="37"/>
  <c r="I10" i="37"/>
  <c r="E23" i="42"/>
  <c r="F11" i="23"/>
  <c r="I11" i="23"/>
  <c r="I27" i="38"/>
  <c r="J26" i="38"/>
  <c r="G26" i="38"/>
  <c r="F23" i="42"/>
  <c r="I11" i="35"/>
  <c r="F11" i="35"/>
  <c r="G23" i="42"/>
  <c r="F11" i="36"/>
  <c r="I11" i="36"/>
  <c r="H23" i="42"/>
  <c r="I11" i="37"/>
  <c r="F11" i="37"/>
  <c r="P23" i="42"/>
  <c r="J11" i="23"/>
  <c r="M11" i="23"/>
  <c r="N26" i="38"/>
  <c r="M27" i="38"/>
  <c r="K26" i="38"/>
  <c r="Q23" i="42"/>
  <c r="J11" i="35"/>
  <c r="M11" i="35"/>
  <c r="R23" i="42"/>
  <c r="M11" i="36"/>
  <c r="J11" i="36"/>
  <c r="S23" i="42"/>
  <c r="J11" i="37"/>
  <c r="M11" i="37"/>
  <c r="K14" i="18"/>
  <c r="M14" i="18"/>
  <c r="D14" i="18"/>
  <c r="N14" i="18"/>
  <c r="F14" i="18"/>
  <c r="P14" i="18"/>
  <c r="H14" i="18"/>
  <c r="C14" i="18"/>
  <c r="J23" i="38" l="1"/>
  <c r="I20" i="42"/>
  <c r="K8" i="37"/>
  <c r="S13" i="42"/>
  <c r="S12" i="42" s="1"/>
  <c r="G8" i="36"/>
  <c r="G13" i="42"/>
  <c r="G12" i="42" s="1"/>
  <c r="I14" i="42"/>
  <c r="J15" i="38"/>
  <c r="K11" i="36"/>
  <c r="R22" i="42"/>
  <c r="R21" i="42" s="1"/>
  <c r="K27" i="38"/>
  <c r="L26" i="38"/>
  <c r="G11" i="37"/>
  <c r="H22" i="42"/>
  <c r="H21" i="42" s="1"/>
  <c r="G11" i="35"/>
  <c r="F22" i="42"/>
  <c r="F21" i="42" s="1"/>
  <c r="G10" i="36"/>
  <c r="G19" i="42"/>
  <c r="G18" i="42" s="1"/>
  <c r="K10" i="37"/>
  <c r="S19" i="42"/>
  <c r="S18" i="42" s="1"/>
  <c r="K10" i="35"/>
  <c r="Q19" i="42"/>
  <c r="Q18" i="42" s="1"/>
  <c r="G34" i="38"/>
  <c r="H22" i="38"/>
  <c r="G23" i="38"/>
  <c r="N19" i="38"/>
  <c r="T17" i="42"/>
  <c r="K8" i="35"/>
  <c r="Q13" i="42"/>
  <c r="Q12" i="42" s="1"/>
  <c r="K8" i="23"/>
  <c r="P13" i="42"/>
  <c r="R10" i="42"/>
  <c r="R9" i="42" s="1"/>
  <c r="J13" i="36"/>
  <c r="K7" i="36"/>
  <c r="P11" i="42"/>
  <c r="L13" i="23"/>
  <c r="J7" i="23"/>
  <c r="J12" i="23" s="1"/>
  <c r="M7" i="23"/>
  <c r="G10" i="42"/>
  <c r="G9" i="42" s="1"/>
  <c r="G7" i="36"/>
  <c r="F13" i="36"/>
  <c r="P7" i="42"/>
  <c r="K6" i="23"/>
  <c r="J27" i="38"/>
  <c r="I23" i="42"/>
  <c r="D23" i="42" s="1"/>
  <c r="F11" i="41" s="1"/>
  <c r="G9" i="37"/>
  <c r="H16" i="42"/>
  <c r="H15" i="42" s="1"/>
  <c r="T23" i="42"/>
  <c r="O23" i="42" s="1"/>
  <c r="J11" i="41" s="1"/>
  <c r="N27" i="38"/>
  <c r="G11" i="23"/>
  <c r="E22" i="42"/>
  <c r="G10" i="35"/>
  <c r="F19" i="42"/>
  <c r="F18" i="42" s="1"/>
  <c r="G9" i="36"/>
  <c r="G16" i="42"/>
  <c r="G15" i="42" s="1"/>
  <c r="G15" i="38"/>
  <c r="H14" i="38"/>
  <c r="E10" i="42"/>
  <c r="G7" i="23"/>
  <c r="L12" i="23"/>
  <c r="P20" i="42"/>
  <c r="M10" i="23"/>
  <c r="J10" i="23"/>
  <c r="K19" i="38"/>
  <c r="L18" i="38"/>
  <c r="G7" i="42"/>
  <c r="G6" i="42" s="1"/>
  <c r="F12" i="36"/>
  <c r="E12" i="36" s="1"/>
  <c r="G6" i="36"/>
  <c r="K9" i="37"/>
  <c r="S16" i="42"/>
  <c r="S15" i="42" s="1"/>
  <c r="K9" i="35"/>
  <c r="Q16" i="42"/>
  <c r="Q15" i="42" s="1"/>
  <c r="K9" i="23"/>
  <c r="P16" i="42"/>
  <c r="G19" i="38"/>
  <c r="H18" i="38"/>
  <c r="E7" i="42"/>
  <c r="G6" i="23"/>
  <c r="K8" i="36"/>
  <c r="R13" i="42"/>
  <c r="R12" i="42" s="1"/>
  <c r="G8" i="35"/>
  <c r="F13" i="42"/>
  <c r="F12" i="42" s="1"/>
  <c r="E14" i="42"/>
  <c r="D14" i="42" s="1"/>
  <c r="F8" i="41" s="1"/>
  <c r="I8" i="23"/>
  <c r="F8" i="23"/>
  <c r="F13" i="23" s="1"/>
  <c r="L10" i="38"/>
  <c r="K11" i="38"/>
  <c r="K34" i="38"/>
  <c r="H10" i="42"/>
  <c r="H9" i="42" s="1"/>
  <c r="F13" i="37"/>
  <c r="E13" i="37" s="1"/>
  <c r="G7" i="37"/>
  <c r="I11" i="42"/>
  <c r="D11" i="42" s="1"/>
  <c r="J11" i="38"/>
  <c r="I35" i="38"/>
  <c r="H13" i="23"/>
  <c r="S7" i="42"/>
  <c r="S6" i="42" s="1"/>
  <c r="K6" i="37"/>
  <c r="J12" i="37"/>
  <c r="R7" i="42"/>
  <c r="R6" i="42" s="1"/>
  <c r="K6" i="36"/>
  <c r="J12" i="36"/>
  <c r="K12" i="36" s="1"/>
  <c r="K7" i="38"/>
  <c r="L6" i="38"/>
  <c r="K30" i="38"/>
  <c r="L30" i="38" s="1"/>
  <c r="G7" i="38"/>
  <c r="H6" i="38"/>
  <c r="G30" i="38"/>
  <c r="F30" i="38" s="1"/>
  <c r="E20" i="42"/>
  <c r="I10" i="23"/>
  <c r="F10" i="23"/>
  <c r="K10" i="36"/>
  <c r="R19" i="42"/>
  <c r="R18" i="42" s="1"/>
  <c r="N23" i="38"/>
  <c r="T20" i="42"/>
  <c r="O20" i="42" s="1"/>
  <c r="J10" i="41" s="1"/>
  <c r="O17" i="42"/>
  <c r="J9" i="41" s="1"/>
  <c r="J19" i="38"/>
  <c r="I17" i="42"/>
  <c r="D17" i="42" s="1"/>
  <c r="F9" i="41" s="1"/>
  <c r="N15" i="38"/>
  <c r="T14" i="42"/>
  <c r="O14" i="42" s="1"/>
  <c r="J8" i="41" s="1"/>
  <c r="G8" i="37"/>
  <c r="H13" i="42"/>
  <c r="H12" i="42" s="1"/>
  <c r="G11" i="38"/>
  <c r="H10" i="38"/>
  <c r="H26" i="38"/>
  <c r="G27" i="38"/>
  <c r="K11" i="37"/>
  <c r="S22" i="42"/>
  <c r="S21" i="42" s="1"/>
  <c r="K11" i="35"/>
  <c r="Q22" i="42"/>
  <c r="Q21" i="42" s="1"/>
  <c r="K11" i="23"/>
  <c r="P22" i="42"/>
  <c r="G11" i="36"/>
  <c r="G22" i="42"/>
  <c r="G21" i="42" s="1"/>
  <c r="G10" i="37"/>
  <c r="H19" i="42"/>
  <c r="H18" i="42" s="1"/>
  <c r="K23" i="38"/>
  <c r="L22" i="38"/>
  <c r="K9" i="36"/>
  <c r="R16" i="42"/>
  <c r="R15" i="42" s="1"/>
  <c r="G9" i="35"/>
  <c r="F16" i="42"/>
  <c r="F15" i="42" s="1"/>
  <c r="G9" i="23"/>
  <c r="E16" i="42"/>
  <c r="L14" i="38"/>
  <c r="K15" i="38"/>
  <c r="S10" i="42"/>
  <c r="S9" i="42" s="1"/>
  <c r="J13" i="37"/>
  <c r="K13" i="37" s="1"/>
  <c r="K7" i="37"/>
  <c r="Q10" i="42"/>
  <c r="Q9" i="42" s="1"/>
  <c r="K7" i="35"/>
  <c r="J13" i="35"/>
  <c r="T11" i="42"/>
  <c r="N11" i="38"/>
  <c r="M35" i="38"/>
  <c r="F10" i="42"/>
  <c r="F9" i="42" s="1"/>
  <c r="G7" i="35"/>
  <c r="F13" i="35"/>
  <c r="E13" i="35" s="1"/>
  <c r="F7" i="42"/>
  <c r="F6" i="42" s="1"/>
  <c r="F12" i="35"/>
  <c r="G6" i="35"/>
  <c r="Q7" i="42"/>
  <c r="Q6" i="42" s="1"/>
  <c r="K6" i="35"/>
  <c r="J12" i="35"/>
  <c r="N7" i="38"/>
  <c r="T8" i="42"/>
  <c r="O8" i="42" s="1"/>
  <c r="J6" i="41" s="1"/>
  <c r="M31" i="38"/>
  <c r="H7" i="42"/>
  <c r="H6" i="42" s="1"/>
  <c r="G6" i="37"/>
  <c r="F12" i="37"/>
  <c r="J7" i="38"/>
  <c r="I8" i="42"/>
  <c r="D8" i="42" s="1"/>
  <c r="F6" i="41" s="1"/>
  <c r="I31" i="38"/>
  <c r="F34" i="38"/>
  <c r="E13" i="23" l="1"/>
  <c r="G13" i="23"/>
  <c r="F7" i="41"/>
  <c r="T10" i="42"/>
  <c r="T9" i="42" s="1"/>
  <c r="L11" i="38"/>
  <c r="K35" i="38"/>
  <c r="E15" i="42"/>
  <c r="L7" i="38"/>
  <c r="T7" i="42"/>
  <c r="T6" i="42" s="1"/>
  <c r="K31" i="38"/>
  <c r="G13" i="37"/>
  <c r="M13" i="37"/>
  <c r="I13" i="37"/>
  <c r="F12" i="23"/>
  <c r="E12" i="23" s="1"/>
  <c r="G12" i="36"/>
  <c r="I12" i="36"/>
  <c r="M12" i="36"/>
  <c r="H15" i="38"/>
  <c r="I13" i="42"/>
  <c r="I12" i="42" s="1"/>
  <c r="E21" i="42"/>
  <c r="L27" i="38"/>
  <c r="T22" i="42"/>
  <c r="T21" i="42" s="1"/>
  <c r="K13" i="35"/>
  <c r="P21" i="42"/>
  <c r="O22" i="42"/>
  <c r="E12" i="35"/>
  <c r="H30" i="38"/>
  <c r="N30" i="38"/>
  <c r="J30" i="38"/>
  <c r="I13" i="23"/>
  <c r="G13" i="35"/>
  <c r="M13" i="35"/>
  <c r="I13" i="35"/>
  <c r="L15" i="38"/>
  <c r="T13" i="42"/>
  <c r="T12" i="42" s="1"/>
  <c r="H7" i="38"/>
  <c r="I7" i="42"/>
  <c r="I6" i="42" s="1"/>
  <c r="G31" i="38"/>
  <c r="F31" i="38" s="1"/>
  <c r="H27" i="38"/>
  <c r="I22" i="42"/>
  <c r="I21" i="42" s="1"/>
  <c r="L23" i="38"/>
  <c r="T19" i="42"/>
  <c r="T18" i="42" s="1"/>
  <c r="E6" i="42"/>
  <c r="L19" i="38"/>
  <c r="T16" i="42"/>
  <c r="T15" i="42" s="1"/>
  <c r="P10" i="42"/>
  <c r="J13" i="23"/>
  <c r="K13" i="23" s="1"/>
  <c r="K7" i="23"/>
  <c r="P12" i="42"/>
  <c r="O13" i="42"/>
  <c r="D20" i="42"/>
  <c r="F10" i="41" s="1"/>
  <c r="K12" i="35"/>
  <c r="H11" i="38"/>
  <c r="I10" i="42"/>
  <c r="I9" i="42" s="1"/>
  <c r="G35" i="38"/>
  <c r="G10" i="23"/>
  <c r="E19" i="42"/>
  <c r="H19" i="38"/>
  <c r="I16" i="42"/>
  <c r="I15" i="42" s="1"/>
  <c r="K10" i="23"/>
  <c r="P19" i="42"/>
  <c r="E9" i="42"/>
  <c r="D10" i="42"/>
  <c r="D7" i="41" s="1"/>
  <c r="P6" i="42"/>
  <c r="O7" i="42"/>
  <c r="M13" i="23"/>
  <c r="H23" i="38"/>
  <c r="I19" i="42"/>
  <c r="I18" i="42" s="1"/>
  <c r="E12" i="37"/>
  <c r="G8" i="23"/>
  <c r="E13" i="42"/>
  <c r="P15" i="42"/>
  <c r="O16" i="42"/>
  <c r="E13" i="36"/>
  <c r="G13" i="36" s="1"/>
  <c r="O11" i="42"/>
  <c r="J7" i="41" s="1"/>
  <c r="J12" i="41" s="1"/>
  <c r="H34" i="38"/>
  <c r="N34" i="38"/>
  <c r="L34" i="38"/>
  <c r="J34" i="38"/>
  <c r="F37" i="38"/>
  <c r="F35" i="38"/>
  <c r="F36" i="38"/>
  <c r="H36" i="38" s="1"/>
  <c r="O15" i="42" l="1"/>
  <c r="H9" i="41"/>
  <c r="O6" i="42"/>
  <c r="H6" i="41"/>
  <c r="D7" i="42"/>
  <c r="I12" i="35"/>
  <c r="M12" i="35"/>
  <c r="I12" i="37"/>
  <c r="M12" i="37"/>
  <c r="K12" i="37"/>
  <c r="M13" i="36"/>
  <c r="I13" i="36"/>
  <c r="G12" i="37"/>
  <c r="O21" i="42"/>
  <c r="H11" i="41"/>
  <c r="D22" i="42"/>
  <c r="G12" i="23"/>
  <c r="I12" i="23"/>
  <c r="K12" i="23"/>
  <c r="N36" i="38"/>
  <c r="L36" i="38"/>
  <c r="F13" i="41"/>
  <c r="G7" i="41"/>
  <c r="P9" i="42"/>
  <c r="O10" i="42"/>
  <c r="E12" i="42"/>
  <c r="D13" i="42"/>
  <c r="P18" i="42"/>
  <c r="O19" i="42"/>
  <c r="O12" i="42"/>
  <c r="H8" i="41"/>
  <c r="K13" i="36"/>
  <c r="D9" i="42"/>
  <c r="E7" i="41"/>
  <c r="C7" i="41"/>
  <c r="L31" i="38"/>
  <c r="H31" i="38"/>
  <c r="J31" i="38"/>
  <c r="N31" i="38"/>
  <c r="E18" i="42"/>
  <c r="D19" i="42"/>
  <c r="K7" i="41"/>
  <c r="J13" i="41"/>
  <c r="M12" i="23"/>
  <c r="G12" i="35"/>
  <c r="D16" i="42"/>
  <c r="F12" i="41"/>
  <c r="N37" i="38"/>
  <c r="L37" i="38"/>
  <c r="H35" i="38"/>
  <c r="N35" i="38"/>
  <c r="L35" i="38"/>
  <c r="J35" i="38"/>
  <c r="J37" i="38"/>
  <c r="H37" i="38"/>
  <c r="J36" i="38"/>
  <c r="D6" i="42" l="1"/>
  <c r="D6" i="41"/>
  <c r="O18" i="42"/>
  <c r="H10" i="41"/>
  <c r="D21" i="42"/>
  <c r="D11" i="41"/>
  <c r="O9" i="42"/>
  <c r="H7" i="41"/>
  <c r="D9" i="41"/>
  <c r="D15" i="42"/>
  <c r="D8" i="41"/>
  <c r="D12" i="42"/>
  <c r="D18" i="42"/>
  <c r="D10" i="41"/>
  <c r="I7" i="41" l="1"/>
  <c r="H13" i="41"/>
  <c r="H12" i="41"/>
  <c r="C10" i="41"/>
  <c r="E10" i="41" s="1"/>
  <c r="E8" i="41"/>
  <c r="C8" i="41"/>
  <c r="D13" i="41"/>
  <c r="E11" i="41"/>
  <c r="C11" i="41"/>
  <c r="E6" i="41"/>
  <c r="D12" i="41"/>
  <c r="C6" i="41"/>
  <c r="C9" i="41"/>
  <c r="E9" i="41"/>
  <c r="I10" i="41"/>
  <c r="C12" i="41" l="1"/>
  <c r="E12" i="41"/>
  <c r="K11" i="41"/>
  <c r="G11" i="41"/>
  <c r="I11" i="41"/>
  <c r="K10" i="41"/>
  <c r="G10" i="41"/>
  <c r="I12" i="41"/>
  <c r="G9" i="41"/>
  <c r="K9" i="41"/>
  <c r="I9" i="41"/>
  <c r="C13" i="41"/>
  <c r="I13" i="41"/>
  <c r="K6" i="41"/>
  <c r="G6" i="41"/>
  <c r="I6" i="41"/>
  <c r="K8" i="41"/>
  <c r="G8" i="41"/>
  <c r="I8" i="41"/>
  <c r="G13" i="41" l="1"/>
  <c r="K13" i="41"/>
  <c r="E13" i="41"/>
  <c r="K12" i="41"/>
  <c r="G12" i="41"/>
</calcChain>
</file>

<file path=xl/sharedStrings.xml><?xml version="1.0" encoding="utf-8"?>
<sst xmlns="http://schemas.openxmlformats.org/spreadsheetml/2006/main" count="345" uniqueCount="59">
  <si>
    <t>구분</t>
    <phoneticPr fontId="2" type="noConversion"/>
  </si>
  <si>
    <t>항목</t>
    <phoneticPr fontId="2" type="noConversion"/>
  </si>
  <si>
    <t>2021년</t>
    <phoneticPr fontId="2" type="noConversion"/>
  </si>
  <si>
    <t>2022년</t>
  </si>
  <si>
    <t>2022년</t>
    <phoneticPr fontId="2" type="noConversion"/>
  </si>
  <si>
    <t>2023년</t>
  </si>
  <si>
    <t>2024년</t>
  </si>
  <si>
    <t>2025년</t>
  </si>
  <si>
    <t>2026년</t>
  </si>
  <si>
    <t>운영</t>
    <phoneticPr fontId="2" type="noConversion"/>
  </si>
  <si>
    <t>유지관리</t>
    <phoneticPr fontId="2" type="noConversion"/>
  </si>
  <si>
    <t>수문조사</t>
    <phoneticPr fontId="2" type="noConversion"/>
  </si>
  <si>
    <t>자동유량</t>
    <phoneticPr fontId="2" type="noConversion"/>
  </si>
  <si>
    <t>수문정보 인프라 확충 관련 현황</t>
    <phoneticPr fontId="2" type="noConversion"/>
  </si>
  <si>
    <t>[단위 : 개소]</t>
    <phoneticPr fontId="2" type="noConversion"/>
  </si>
  <si>
    <t>유지보수</t>
    <phoneticPr fontId="2" type="noConversion"/>
  </si>
  <si>
    <r>
      <t>* [출처] 세부시행계획서(수문정보 인프라확충 사업)_</t>
    </r>
    <r>
      <rPr>
        <b/>
        <sz val="10"/>
        <color theme="1"/>
        <rFont val="돋움"/>
        <family val="3"/>
        <charset val="129"/>
      </rPr>
      <t>변경후</t>
    </r>
    <phoneticPr fontId="2" type="noConversion"/>
  </si>
  <si>
    <r>
      <t>* [출처] 세부시행계획서(수문정보 인프라확충 사업)_</t>
    </r>
    <r>
      <rPr>
        <b/>
        <sz val="10"/>
        <color theme="1"/>
        <rFont val="돋움"/>
        <family val="3"/>
        <charset val="129"/>
      </rPr>
      <t>변경전</t>
    </r>
    <phoneticPr fontId="2" type="noConversion"/>
  </si>
  <si>
    <t>소계</t>
    <phoneticPr fontId="2" type="noConversion"/>
  </si>
  <si>
    <t>2023년</t>
    <phoneticPr fontId="2" type="noConversion"/>
  </si>
  <si>
    <t>2024년</t>
    <phoneticPr fontId="2" type="noConversion"/>
  </si>
  <si>
    <t>2025년</t>
    <phoneticPr fontId="2" type="noConversion"/>
  </si>
  <si>
    <t>2026년</t>
    <phoneticPr fontId="2" type="noConversion"/>
  </si>
  <si>
    <t>총계</t>
    <phoneticPr fontId="2" type="noConversion"/>
  </si>
  <si>
    <t>(단위 : 개소, 백만원)</t>
    <phoneticPr fontId="2" type="noConversion"/>
  </si>
  <si>
    <t>증발산량</t>
  </si>
  <si>
    <t>유량</t>
    <phoneticPr fontId="2" type="noConversion"/>
  </si>
  <si>
    <t>유사량</t>
    <phoneticPr fontId="2" type="noConversion"/>
  </si>
  <si>
    <t>토양수분량</t>
    <phoneticPr fontId="2" type="noConversion"/>
  </si>
  <si>
    <t>증발산량</t>
    <phoneticPr fontId="2" type="noConversion"/>
  </si>
  <si>
    <t>계</t>
    <phoneticPr fontId="2" type="noConversion"/>
  </si>
  <si>
    <t>수문조사 항목별 예산 현황</t>
    <phoneticPr fontId="2" type="noConversion"/>
  </si>
  <si>
    <r>
      <t>수문조사 항목별 예산 현황</t>
    </r>
    <r>
      <rPr>
        <b/>
        <sz val="12"/>
        <color theme="1"/>
        <rFont val="돋움"/>
        <family val="3"/>
        <charset val="129"/>
      </rPr>
      <t>(전년도 잔액 예산 반영)</t>
    </r>
    <phoneticPr fontId="2" type="noConversion"/>
  </si>
  <si>
    <t>기관운영</t>
    <phoneticPr fontId="2" type="noConversion"/>
  </si>
  <si>
    <t>사업</t>
    <phoneticPr fontId="2" type="noConversion"/>
  </si>
  <si>
    <t>수량</t>
    <phoneticPr fontId="2" type="noConversion"/>
  </si>
  <si>
    <t>단가</t>
    <phoneticPr fontId="2" type="noConversion"/>
  </si>
  <si>
    <t>수문정보 인프라 확충 관련 단가 현황</t>
    <phoneticPr fontId="2" type="noConversion"/>
  </si>
  <si>
    <t>[단위 : 원]</t>
    <phoneticPr fontId="2" type="noConversion"/>
  </si>
  <si>
    <t>[단위 : 백만원]</t>
    <phoneticPr fontId="2" type="noConversion"/>
  </si>
  <si>
    <t>[단위 : 백만원]</t>
    <phoneticPr fontId="2" type="noConversion"/>
  </si>
  <si>
    <t>운영</t>
  </si>
  <si>
    <t>유지관리</t>
  </si>
  <si>
    <t>설치</t>
  </si>
  <si>
    <t>설치</t>
    <phoneticPr fontId="2" type="noConversion"/>
  </si>
  <si>
    <t>기관운영</t>
    <phoneticPr fontId="2" type="noConversion"/>
  </si>
  <si>
    <t>사업</t>
    <phoneticPr fontId="2" type="noConversion"/>
  </si>
  <si>
    <t>실행예산</t>
    <phoneticPr fontId="2" type="noConversion"/>
  </si>
  <si>
    <t>실행예산 (잔액 포함)</t>
    <phoneticPr fontId="2" type="noConversion"/>
  </si>
  <si>
    <t>2021년</t>
    <phoneticPr fontId="2" type="noConversion"/>
  </si>
  <si>
    <t>평균
(전체)</t>
    <phoneticPr fontId="2" type="noConversion"/>
  </si>
  <si>
    <t>평균
('22년~'25년)</t>
    <phoneticPr fontId="2" type="noConversion"/>
  </si>
  <si>
    <t>유량조사 등 수문조사</t>
    <phoneticPr fontId="2" type="noConversion"/>
  </si>
  <si>
    <t>자동유량 운영 및 설치 등</t>
    <phoneticPr fontId="2" type="noConversion"/>
  </si>
  <si>
    <t>연도</t>
    <phoneticPr fontId="2" type="noConversion"/>
  </si>
  <si>
    <t>(단위 : 백만원)</t>
    <phoneticPr fontId="2" type="noConversion"/>
  </si>
  <si>
    <t>수문정보 인프라 확충 관련 총예산</t>
    <phoneticPr fontId="2" type="noConversion"/>
  </si>
  <si>
    <t>수문정보 인프라 확충 관련 예산 현황</t>
    <phoneticPr fontId="2" type="noConversion"/>
  </si>
  <si>
    <r>
      <rPr>
        <b/>
        <sz val="14"/>
        <color theme="1"/>
        <rFont val="돋움"/>
        <family val="3"/>
        <charset val="129"/>
      </rPr>
      <t>수문정보 인프라 확충 관련 예산 현황</t>
    </r>
    <r>
      <rPr>
        <b/>
        <sz val="12"/>
        <color theme="1"/>
        <rFont val="돋움"/>
        <family val="3"/>
        <charset val="129"/>
      </rPr>
      <t>(전년도 잔액 예산 반영)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</si>
</sst>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0_ "/>
    <numFmt numFmtId="177" formatCode="0_ ;\-0_ ;\-_ ;@_ "/>
    <numFmt numFmtId="178" formatCode="\(0.0&quot;%&quot;\)_ ;\(\-0.0&quot;%&quot;\)_ ;\(\-\)_ ;@_ "/>
    <numFmt numFmtId="179" formatCode="&quot;* ('26년 기준) 유량관측소 지점당 단가 &quot;General&quot;백만원&quot;"/>
    <numFmt numFmtId="180" formatCode="&quot;* ('26년 기준) 유사량관측소 지점당 단가 &quot;General&quot;백만원&quot;"/>
    <numFmt numFmtId="181" formatCode="&quot;* ('26년 기준) 토양수분량관측소 지점당 단가 &quot;General&quot;백만원&quot;"/>
    <numFmt numFmtId="182" formatCode="&quot;* ('26년 기준) 증발산량관측소 지점당 단가 &quot;General&quot;백만원&quot;"/>
    <numFmt numFmtId="183" formatCode="#,##0_ ;\-#,##0_ ;\-_ ;@_ "/>
    <numFmt numFmtId="184" formatCode="&quot;* ('26년 기준) 자동유량 운영 지점당 단가 &quot;General&quot;백만원&quot;"/>
    <numFmt numFmtId="185" formatCode="&quot;* ('26년 기준) 자동유량 설치 지점당 단가 &quot;General&quot;백만원&quot;"/>
    <numFmt numFmtId="186" formatCode="&quot;* ('26년 기준) 자동유량 유지관리 지점당 단가 &quot;General&quot;백만원&quot;"/>
  </numFmts>
  <fonts count="1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10"/>
      <name val="돋움"/>
      <family val="3"/>
      <charset val="129"/>
    </font>
    <font>
      <b/>
      <sz val="10"/>
      <color rgb="FFFF0000"/>
      <name val="돋움"/>
      <family val="3"/>
      <charset val="129"/>
    </font>
    <font>
      <b/>
      <sz val="14"/>
      <color theme="1"/>
      <name val="돋움"/>
      <family val="3"/>
      <charset val="129"/>
    </font>
    <font>
      <sz val="10"/>
      <color theme="2" tint="-0.499984740745262"/>
      <name val="돋움"/>
      <family val="3"/>
      <charset val="129"/>
    </font>
    <font>
      <b/>
      <sz val="10"/>
      <color theme="2" tint="-0.499984740745262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77" fontId="1" fillId="2" borderId="15" xfId="0" applyNumberFormat="1" applyFont="1" applyFill="1" applyBorder="1" applyAlignment="1">
      <alignment horizontal="right" vertical="center"/>
    </xf>
    <xf numFmtId="177" fontId="1" fillId="2" borderId="16" xfId="0" applyNumberFormat="1" applyFont="1" applyFill="1" applyBorder="1" applyAlignment="1">
      <alignment horizontal="right" vertical="center"/>
    </xf>
    <xf numFmtId="0" fontId="3" fillId="2" borderId="17" xfId="0" applyFont="1" applyFill="1" applyBorder="1" applyAlignment="1">
      <alignment horizontal="center" vertical="center"/>
    </xf>
    <xf numFmtId="177" fontId="1" fillId="2" borderId="17" xfId="0" applyNumberFormat="1" applyFont="1" applyFill="1" applyBorder="1" applyAlignment="1">
      <alignment horizontal="right" vertical="center"/>
    </xf>
    <xf numFmtId="177" fontId="1" fillId="2" borderId="18" xfId="0" applyNumberFormat="1" applyFont="1" applyFill="1" applyBorder="1" applyAlignment="1">
      <alignment horizontal="right" vertical="center"/>
    </xf>
    <xf numFmtId="0" fontId="3" fillId="2" borderId="19" xfId="0" applyFont="1" applyFill="1" applyBorder="1" applyAlignment="1">
      <alignment horizontal="center" vertical="center"/>
    </xf>
    <xf numFmtId="177" fontId="1" fillId="2" borderId="19" xfId="0" applyNumberFormat="1" applyFont="1" applyFill="1" applyBorder="1" applyAlignment="1">
      <alignment horizontal="right" vertical="center"/>
    </xf>
    <xf numFmtId="177" fontId="1" fillId="2" borderId="20" xfId="0" applyNumberFormat="1" applyFont="1" applyFill="1" applyBorder="1" applyAlignment="1">
      <alignment horizontal="right" vertical="center"/>
    </xf>
    <xf numFmtId="0" fontId="3" fillId="2" borderId="21" xfId="0" applyFont="1" applyFill="1" applyBorder="1" applyAlignment="1">
      <alignment horizontal="center" vertical="center"/>
    </xf>
    <xf numFmtId="177" fontId="1" fillId="2" borderId="21" xfId="0" applyNumberFormat="1" applyFont="1" applyFill="1" applyBorder="1" applyAlignment="1">
      <alignment horizontal="right" vertical="center"/>
    </xf>
    <xf numFmtId="177" fontId="1" fillId="2" borderId="22" xfId="0" applyNumberFormat="1" applyFont="1" applyFill="1" applyBorder="1" applyAlignment="1">
      <alignment horizontal="right" vertical="center"/>
    </xf>
    <xf numFmtId="0" fontId="3" fillId="2" borderId="23" xfId="0" applyFont="1" applyFill="1" applyBorder="1" applyAlignment="1">
      <alignment horizontal="center" vertical="center"/>
    </xf>
    <xf numFmtId="177" fontId="5" fillId="2" borderId="23" xfId="0" applyNumberFormat="1" applyFont="1" applyFill="1" applyBorder="1" applyAlignment="1">
      <alignment horizontal="right" vertical="center"/>
    </xf>
    <xf numFmtId="177" fontId="5" fillId="2" borderId="24" xfId="0" applyNumberFormat="1" applyFont="1" applyFill="1" applyBorder="1" applyAlignment="1">
      <alignment horizontal="right" vertical="center"/>
    </xf>
    <xf numFmtId="177" fontId="6" fillId="2" borderId="17" xfId="0" applyNumberFormat="1" applyFont="1" applyFill="1" applyBorder="1" applyAlignment="1">
      <alignment horizontal="right" vertical="center"/>
    </xf>
    <xf numFmtId="177" fontId="6" fillId="2" borderId="21" xfId="0" applyNumberFormat="1" applyFont="1" applyFill="1" applyBorder="1" applyAlignment="1">
      <alignment horizontal="right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177" fontId="5" fillId="2" borderId="33" xfId="0" applyNumberFormat="1" applyFont="1" applyFill="1" applyBorder="1" applyAlignment="1">
      <alignment horizontal="right" vertical="center"/>
    </xf>
    <xf numFmtId="177" fontId="5" fillId="2" borderId="34" xfId="0" applyNumberFormat="1" applyFont="1" applyFill="1" applyBorder="1" applyAlignment="1">
      <alignment horizontal="righ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41" fontId="1" fillId="2" borderId="3" xfId="0" applyNumberFormat="1" applyFont="1" applyFill="1" applyBorder="1" applyAlignment="1">
      <alignment horizontal="center" vertical="center"/>
    </xf>
    <xf numFmtId="41" fontId="1" fillId="2" borderId="38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1" fontId="1" fillId="2" borderId="35" xfId="0" applyNumberFormat="1" applyFont="1" applyFill="1" applyBorder="1" applyAlignment="1">
      <alignment horizontal="center" vertical="center"/>
    </xf>
    <xf numFmtId="41" fontId="1" fillId="2" borderId="1" xfId="0" applyNumberFormat="1" applyFont="1" applyFill="1" applyBorder="1" applyAlignment="1">
      <alignment horizontal="center" vertical="center"/>
    </xf>
    <xf numFmtId="41" fontId="3" fillId="6" borderId="1" xfId="0" applyNumberFormat="1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41" fontId="3" fillId="6" borderId="3" xfId="0" applyNumberFormat="1" applyFont="1" applyFill="1" applyBorder="1" applyAlignment="1">
      <alignment horizontal="center" vertical="center"/>
    </xf>
    <xf numFmtId="41" fontId="1" fillId="2" borderId="42" xfId="0" applyNumberFormat="1" applyFont="1" applyFill="1" applyBorder="1" applyAlignment="1">
      <alignment horizontal="center" vertical="center"/>
    </xf>
    <xf numFmtId="41" fontId="1" fillId="2" borderId="43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177" fontId="6" fillId="2" borderId="33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Continuous" vertical="center"/>
    </xf>
    <xf numFmtId="176" fontId="1" fillId="2" borderId="1" xfId="0" applyNumberFormat="1" applyFont="1" applyFill="1" applyBorder="1">
      <alignment vertical="center"/>
    </xf>
    <xf numFmtId="0" fontId="3" fillId="3" borderId="3" xfId="0" applyFont="1" applyFill="1" applyBorder="1" applyAlignment="1">
      <alignment horizontal="centerContinuous" vertical="center"/>
    </xf>
    <xf numFmtId="176" fontId="1" fillId="2" borderId="42" xfId="0" applyNumberFormat="1" applyFont="1" applyFill="1" applyBorder="1">
      <alignment vertical="center"/>
    </xf>
    <xf numFmtId="0" fontId="3" fillId="3" borderId="2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183" fontId="1" fillId="2" borderId="3" xfId="0" applyNumberFormat="1" applyFont="1" applyFill="1" applyBorder="1" applyAlignment="1">
      <alignment horizontal="right" vertical="center"/>
    </xf>
    <xf numFmtId="183" fontId="1" fillId="2" borderId="43" xfId="0" applyNumberFormat="1" applyFont="1" applyFill="1" applyBorder="1" applyAlignment="1">
      <alignment horizontal="right" vertical="center"/>
    </xf>
    <xf numFmtId="183" fontId="1" fillId="2" borderId="0" xfId="0" applyNumberFormat="1" applyFont="1" applyFill="1" applyAlignment="1">
      <alignment horizontal="center" vertical="center"/>
    </xf>
    <xf numFmtId="183" fontId="1" fillId="2" borderId="45" xfId="0" applyNumberFormat="1" applyFont="1" applyFill="1" applyBorder="1" applyAlignment="1">
      <alignment horizontal="right" vertical="center"/>
    </xf>
    <xf numFmtId="183" fontId="1" fillId="2" borderId="53" xfId="0" applyNumberFormat="1" applyFont="1" applyFill="1" applyBorder="1" applyAlignment="1">
      <alignment horizontal="right" vertical="center"/>
    </xf>
    <xf numFmtId="183" fontId="1" fillId="2" borderId="44" xfId="0" applyNumberFormat="1" applyFont="1" applyFill="1" applyBorder="1" applyAlignment="1">
      <alignment horizontal="right" vertical="center"/>
    </xf>
    <xf numFmtId="183" fontId="1" fillId="2" borderId="55" xfId="0" applyNumberFormat="1" applyFont="1" applyFill="1" applyBorder="1" applyAlignment="1">
      <alignment horizontal="right" vertical="center"/>
    </xf>
    <xf numFmtId="183" fontId="1" fillId="2" borderId="47" xfId="0" applyNumberFormat="1" applyFont="1" applyFill="1" applyBorder="1" applyAlignment="1">
      <alignment horizontal="right" vertical="center"/>
    </xf>
    <xf numFmtId="183" fontId="1" fillId="2" borderId="51" xfId="0" applyNumberFormat="1" applyFont="1" applyFill="1" applyBorder="1" applyAlignment="1">
      <alignment horizontal="right" vertical="center"/>
    </xf>
    <xf numFmtId="183" fontId="1" fillId="2" borderId="63" xfId="0" applyNumberFormat="1" applyFont="1" applyFill="1" applyBorder="1" applyAlignment="1">
      <alignment horizontal="right" vertical="center"/>
    </xf>
    <xf numFmtId="183" fontId="1" fillId="2" borderId="64" xfId="0" applyNumberFormat="1" applyFont="1" applyFill="1" applyBorder="1" applyAlignment="1">
      <alignment horizontal="right" vertical="center"/>
    </xf>
    <xf numFmtId="0" fontId="3" fillId="6" borderId="39" xfId="0" applyFont="1" applyFill="1" applyBorder="1" applyAlignment="1">
      <alignment horizontal="center" vertical="center" wrapText="1"/>
    </xf>
    <xf numFmtId="0" fontId="3" fillId="6" borderId="40" xfId="0" applyFont="1" applyFill="1" applyBorder="1" applyAlignment="1">
      <alignment horizontal="center" vertical="center"/>
    </xf>
    <xf numFmtId="183" fontId="3" fillId="6" borderId="41" xfId="0" applyNumberFormat="1" applyFont="1" applyFill="1" applyBorder="1" applyAlignment="1">
      <alignment horizontal="right" vertical="center"/>
    </xf>
    <xf numFmtId="183" fontId="3" fillId="6" borderId="54" xfId="0" applyNumberFormat="1" applyFont="1" applyFill="1" applyBorder="1" applyAlignment="1">
      <alignment horizontal="right" vertical="center"/>
    </xf>
    <xf numFmtId="183" fontId="3" fillId="6" borderId="62" xfId="0" applyNumberFormat="1" applyFont="1" applyFill="1" applyBorder="1" applyAlignment="1">
      <alignment horizontal="right" vertical="center"/>
    </xf>
    <xf numFmtId="183" fontId="3" fillId="6" borderId="56" xfId="0" applyNumberFormat="1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42" xfId="0" applyFont="1" applyFill="1" applyBorder="1" applyAlignment="1">
      <alignment horizontal="center" vertical="center"/>
    </xf>
    <xf numFmtId="183" fontId="3" fillId="6" borderId="43" xfId="0" applyNumberFormat="1" applyFont="1" applyFill="1" applyBorder="1" applyAlignment="1">
      <alignment horizontal="right" vertical="center"/>
    </xf>
    <xf numFmtId="183" fontId="3" fillId="6" borderId="53" xfId="0" applyNumberFormat="1" applyFont="1" applyFill="1" applyBorder="1" applyAlignment="1">
      <alignment horizontal="right" vertical="center"/>
    </xf>
    <xf numFmtId="183" fontId="3" fillId="6" borderId="51" xfId="0" applyNumberFormat="1" applyFont="1" applyFill="1" applyBorder="1" applyAlignment="1">
      <alignment horizontal="right" vertical="center"/>
    </xf>
    <xf numFmtId="183" fontId="3" fillId="6" borderId="55" xfId="0" applyNumberFormat="1" applyFont="1" applyFill="1" applyBorder="1" applyAlignment="1">
      <alignment horizontal="right" vertical="center"/>
    </xf>
    <xf numFmtId="178" fontId="8" fillId="2" borderId="59" xfId="0" applyNumberFormat="1" applyFont="1" applyFill="1" applyBorder="1" applyAlignment="1">
      <alignment horizontal="right" vertical="center"/>
    </xf>
    <xf numFmtId="178" fontId="8" fillId="2" borderId="60" xfId="0" applyNumberFormat="1" applyFont="1" applyFill="1" applyBorder="1" applyAlignment="1">
      <alignment horizontal="right" vertical="center"/>
    </xf>
    <xf numFmtId="178" fontId="9" fillId="6" borderId="61" xfId="0" applyNumberFormat="1" applyFont="1" applyFill="1" applyBorder="1" applyAlignment="1">
      <alignment horizontal="right" vertical="center"/>
    </xf>
    <xf numFmtId="178" fontId="9" fillId="6" borderId="52" xfId="0" applyNumberFormat="1" applyFont="1" applyFill="1" applyBorder="1" applyAlignment="1">
      <alignment horizontal="right" vertical="center"/>
    </xf>
    <xf numFmtId="178" fontId="8" fillId="2" borderId="46" xfId="0" applyNumberFormat="1" applyFont="1" applyFill="1" applyBorder="1" applyAlignment="1">
      <alignment horizontal="right" vertical="center"/>
    </xf>
    <xf numFmtId="178" fontId="8" fillId="2" borderId="57" xfId="0" applyNumberFormat="1" applyFont="1" applyFill="1" applyBorder="1" applyAlignment="1">
      <alignment horizontal="right" vertical="center"/>
    </xf>
    <xf numFmtId="178" fontId="9" fillId="6" borderId="58" xfId="0" applyNumberFormat="1" applyFont="1" applyFill="1" applyBorder="1" applyAlignment="1">
      <alignment horizontal="right" vertical="center"/>
    </xf>
    <xf numFmtId="178" fontId="9" fillId="6" borderId="57" xfId="0" applyNumberFormat="1" applyFont="1" applyFill="1" applyBorder="1" applyAlignment="1">
      <alignment horizontal="right" vertical="center"/>
    </xf>
    <xf numFmtId="178" fontId="8" fillId="2" borderId="48" xfId="0" applyNumberFormat="1" applyFont="1" applyFill="1" applyBorder="1" applyAlignment="1">
      <alignment horizontal="right" vertical="center"/>
    </xf>
    <xf numFmtId="178" fontId="8" fillId="2" borderId="52" xfId="0" applyNumberFormat="1" applyFont="1" applyFill="1" applyBorder="1" applyAlignment="1">
      <alignment horizontal="right" vertical="center"/>
    </xf>
    <xf numFmtId="178" fontId="8" fillId="2" borderId="44" xfId="0" applyNumberFormat="1" applyFont="1" applyFill="1" applyBorder="1" applyAlignment="1">
      <alignment horizontal="right" vertical="center"/>
    </xf>
    <xf numFmtId="178" fontId="8" fillId="2" borderId="55" xfId="0" applyNumberFormat="1" applyFont="1" applyFill="1" applyBorder="1" applyAlignment="1">
      <alignment horizontal="right" vertical="center"/>
    </xf>
    <xf numFmtId="178" fontId="9" fillId="6" borderId="56" xfId="0" applyNumberFormat="1" applyFont="1" applyFill="1" applyBorder="1" applyAlignment="1">
      <alignment horizontal="right" vertical="center"/>
    </xf>
    <xf numFmtId="178" fontId="9" fillId="6" borderId="55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83" fontId="1" fillId="2" borderId="18" xfId="0" applyNumberFormat="1" applyFont="1" applyFill="1" applyBorder="1" applyAlignment="1">
      <alignment horizontal="right" vertical="center"/>
    </xf>
    <xf numFmtId="183" fontId="1" fillId="2" borderId="73" xfId="0" applyNumberFormat="1" applyFont="1" applyFill="1" applyBorder="1" applyAlignment="1">
      <alignment horizontal="right" vertical="center"/>
    </xf>
    <xf numFmtId="178" fontId="8" fillId="2" borderId="74" xfId="0" applyNumberFormat="1" applyFont="1" applyFill="1" applyBorder="1" applyAlignment="1">
      <alignment horizontal="right" vertical="center"/>
    </xf>
    <xf numFmtId="183" fontId="1" fillId="2" borderId="75" xfId="0" applyNumberFormat="1" applyFont="1" applyFill="1" applyBorder="1" applyAlignment="1">
      <alignment horizontal="right" vertical="center"/>
    </xf>
    <xf numFmtId="178" fontId="8" fillId="2" borderId="76" xfId="0" applyNumberFormat="1" applyFont="1" applyFill="1" applyBorder="1" applyAlignment="1">
      <alignment horizontal="right" vertical="center"/>
    </xf>
    <xf numFmtId="183" fontId="1" fillId="2" borderId="77" xfId="0" applyNumberFormat="1" applyFont="1" applyFill="1" applyBorder="1" applyAlignment="1">
      <alignment horizontal="right" vertical="center"/>
    </xf>
    <xf numFmtId="178" fontId="8" fillId="2" borderId="78" xfId="0" applyNumberFormat="1" applyFont="1" applyFill="1" applyBorder="1" applyAlignment="1">
      <alignment horizontal="right" vertical="center"/>
    </xf>
    <xf numFmtId="183" fontId="1" fillId="2" borderId="79" xfId="0" applyNumberFormat="1" applyFont="1" applyFill="1" applyBorder="1" applyAlignment="1">
      <alignment horizontal="right" vertical="center"/>
    </xf>
    <xf numFmtId="178" fontId="8" fillId="2" borderId="77" xfId="0" applyNumberFormat="1" applyFont="1" applyFill="1" applyBorder="1" applyAlignment="1">
      <alignment horizontal="right" vertical="center"/>
    </xf>
    <xf numFmtId="0" fontId="1" fillId="2" borderId="19" xfId="0" applyFont="1" applyFill="1" applyBorder="1" applyAlignment="1">
      <alignment horizontal="center" vertical="center"/>
    </xf>
    <xf numFmtId="183" fontId="1" fillId="2" borderId="20" xfId="0" applyNumberFormat="1" applyFont="1" applyFill="1" applyBorder="1" applyAlignment="1">
      <alignment horizontal="right" vertical="center"/>
    </xf>
    <xf numFmtId="183" fontId="1" fillId="2" borderId="80" xfId="0" applyNumberFormat="1" applyFont="1" applyFill="1" applyBorder="1" applyAlignment="1">
      <alignment horizontal="right" vertical="center"/>
    </xf>
    <xf numFmtId="178" fontId="8" fillId="2" borderId="81" xfId="0" applyNumberFormat="1" applyFont="1" applyFill="1" applyBorder="1" applyAlignment="1">
      <alignment horizontal="right" vertical="center"/>
    </xf>
    <xf numFmtId="183" fontId="1" fillId="2" borderId="82" xfId="0" applyNumberFormat="1" applyFont="1" applyFill="1" applyBorder="1" applyAlignment="1">
      <alignment horizontal="right" vertical="center"/>
    </xf>
    <xf numFmtId="178" fontId="8" fillId="2" borderId="83" xfId="0" applyNumberFormat="1" applyFont="1" applyFill="1" applyBorder="1" applyAlignment="1">
      <alignment horizontal="right" vertical="center"/>
    </xf>
    <xf numFmtId="183" fontId="1" fillId="2" borderId="84" xfId="0" applyNumberFormat="1" applyFont="1" applyFill="1" applyBorder="1" applyAlignment="1">
      <alignment horizontal="right" vertical="center"/>
    </xf>
    <xf numFmtId="178" fontId="8" fillId="2" borderId="85" xfId="0" applyNumberFormat="1" applyFont="1" applyFill="1" applyBorder="1" applyAlignment="1">
      <alignment horizontal="right" vertical="center"/>
    </xf>
    <xf numFmtId="183" fontId="1" fillId="2" borderId="86" xfId="0" applyNumberFormat="1" applyFont="1" applyFill="1" applyBorder="1" applyAlignment="1">
      <alignment horizontal="right" vertical="center"/>
    </xf>
    <xf numFmtId="178" fontId="8" fillId="2" borderId="84" xfId="0" applyNumberFormat="1" applyFont="1" applyFill="1" applyBorder="1" applyAlignment="1">
      <alignment horizontal="right" vertical="center"/>
    </xf>
    <xf numFmtId="0" fontId="1" fillId="2" borderId="33" xfId="0" applyFont="1" applyFill="1" applyBorder="1" applyAlignment="1">
      <alignment horizontal="center" vertical="center"/>
    </xf>
    <xf numFmtId="183" fontId="1" fillId="2" borderId="34" xfId="0" applyNumberFormat="1" applyFont="1" applyFill="1" applyBorder="1" applyAlignment="1">
      <alignment horizontal="right" vertical="center"/>
    </xf>
    <xf numFmtId="183" fontId="1" fillId="2" borderId="87" xfId="0" applyNumberFormat="1" applyFont="1" applyFill="1" applyBorder="1" applyAlignment="1">
      <alignment horizontal="right" vertical="center"/>
    </xf>
    <xf numFmtId="178" fontId="8" fillId="2" borderId="88" xfId="0" applyNumberFormat="1" applyFont="1" applyFill="1" applyBorder="1" applyAlignment="1">
      <alignment horizontal="right" vertical="center"/>
    </xf>
    <xf numFmtId="183" fontId="1" fillId="2" borderId="89" xfId="0" applyNumberFormat="1" applyFont="1" applyFill="1" applyBorder="1" applyAlignment="1">
      <alignment horizontal="right" vertical="center"/>
    </xf>
    <xf numFmtId="178" fontId="8" fillId="2" borderId="90" xfId="0" applyNumberFormat="1" applyFont="1" applyFill="1" applyBorder="1" applyAlignment="1">
      <alignment horizontal="right" vertical="center"/>
    </xf>
    <xf numFmtId="183" fontId="1" fillId="2" borderId="91" xfId="0" applyNumberFormat="1" applyFont="1" applyFill="1" applyBorder="1" applyAlignment="1">
      <alignment horizontal="right" vertical="center"/>
    </xf>
    <xf numFmtId="178" fontId="8" fillId="2" borderId="92" xfId="0" applyNumberFormat="1" applyFont="1" applyFill="1" applyBorder="1" applyAlignment="1">
      <alignment horizontal="right" vertical="center"/>
    </xf>
    <xf numFmtId="183" fontId="1" fillId="2" borderId="93" xfId="0" applyNumberFormat="1" applyFont="1" applyFill="1" applyBorder="1" applyAlignment="1">
      <alignment horizontal="right" vertical="center"/>
    </xf>
    <xf numFmtId="178" fontId="8" fillId="2" borderId="91" xfId="0" applyNumberFormat="1" applyFont="1" applyFill="1" applyBorder="1" applyAlignment="1">
      <alignment horizontal="right" vertical="center"/>
    </xf>
    <xf numFmtId="0" fontId="3" fillId="7" borderId="21" xfId="0" applyFont="1" applyFill="1" applyBorder="1" applyAlignment="1">
      <alignment horizontal="center" vertical="center"/>
    </xf>
    <xf numFmtId="183" fontId="3" fillId="7" borderId="22" xfId="0" applyNumberFormat="1" applyFont="1" applyFill="1" applyBorder="1" applyAlignment="1">
      <alignment horizontal="right" vertical="center"/>
    </xf>
    <xf numFmtId="183" fontId="3" fillId="7" borderId="66" xfId="0" applyNumberFormat="1" applyFont="1" applyFill="1" applyBorder="1" applyAlignment="1">
      <alignment horizontal="right" vertical="center"/>
    </xf>
    <xf numFmtId="178" fontId="9" fillId="7" borderId="67" xfId="0" applyNumberFormat="1" applyFont="1" applyFill="1" applyBorder="1" applyAlignment="1">
      <alignment horizontal="right" vertical="center"/>
    </xf>
    <xf numFmtId="183" fontId="3" fillId="7" borderId="68" xfId="0" applyNumberFormat="1" applyFont="1" applyFill="1" applyBorder="1" applyAlignment="1">
      <alignment horizontal="right" vertical="center"/>
    </xf>
    <xf numFmtId="178" fontId="9" fillId="7" borderId="69" xfId="0" applyNumberFormat="1" applyFont="1" applyFill="1" applyBorder="1" applyAlignment="1">
      <alignment horizontal="right" vertical="center"/>
    </xf>
    <xf numFmtId="178" fontId="9" fillId="7" borderId="71" xfId="0" applyNumberFormat="1" applyFont="1" applyFill="1" applyBorder="1" applyAlignment="1">
      <alignment horizontal="right" vertical="center"/>
    </xf>
    <xf numFmtId="183" fontId="3" fillId="7" borderId="72" xfId="0" applyNumberFormat="1" applyFont="1" applyFill="1" applyBorder="1" applyAlignment="1">
      <alignment horizontal="right" vertical="center"/>
    </xf>
    <xf numFmtId="178" fontId="9" fillId="7" borderId="70" xfId="0" applyNumberFormat="1" applyFont="1" applyFill="1" applyBorder="1" applyAlignment="1">
      <alignment horizontal="right" vertical="center"/>
    </xf>
    <xf numFmtId="183" fontId="3" fillId="7" borderId="21" xfId="0" applyNumberFormat="1" applyFont="1" applyFill="1" applyBorder="1" applyAlignment="1">
      <alignment horizontal="right" vertical="center"/>
    </xf>
    <xf numFmtId="183" fontId="1" fillId="2" borderId="17" xfId="0" applyNumberFormat="1" applyFont="1" applyFill="1" applyBorder="1" applyAlignment="1">
      <alignment horizontal="right" vertical="center"/>
    </xf>
    <xf numFmtId="183" fontId="1" fillId="2" borderId="19" xfId="0" applyNumberFormat="1" applyFont="1" applyFill="1" applyBorder="1" applyAlignment="1">
      <alignment horizontal="right" vertical="center"/>
    </xf>
    <xf numFmtId="183" fontId="1" fillId="2" borderId="33" xfId="0" applyNumberFormat="1" applyFont="1" applyFill="1" applyBorder="1" applyAlignment="1">
      <alignment horizontal="right" vertical="center"/>
    </xf>
    <xf numFmtId="0" fontId="3" fillId="6" borderId="96" xfId="0" applyFont="1" applyFill="1" applyBorder="1" applyAlignment="1">
      <alignment horizontal="center" vertical="center"/>
    </xf>
    <xf numFmtId="183" fontId="3" fillId="6" borderId="96" xfId="0" applyNumberFormat="1" applyFont="1" applyFill="1" applyBorder="1" applyAlignment="1">
      <alignment horizontal="right" vertical="center"/>
    </xf>
    <xf numFmtId="183" fontId="3" fillId="6" borderId="97" xfId="0" applyNumberFormat="1" applyFont="1" applyFill="1" applyBorder="1" applyAlignment="1">
      <alignment horizontal="right" vertical="center"/>
    </xf>
    <xf numFmtId="183" fontId="3" fillId="6" borderId="98" xfId="0" applyNumberFormat="1" applyFont="1" applyFill="1" applyBorder="1" applyAlignment="1">
      <alignment horizontal="right" vertical="center"/>
    </xf>
    <xf numFmtId="178" fontId="9" fillId="6" borderId="99" xfId="0" applyNumberFormat="1" applyFont="1" applyFill="1" applyBorder="1" applyAlignment="1">
      <alignment horizontal="right" vertical="center"/>
    </xf>
    <xf numFmtId="183" fontId="3" fillId="6" borderId="100" xfId="0" applyNumberFormat="1" applyFont="1" applyFill="1" applyBorder="1" applyAlignment="1">
      <alignment horizontal="right" vertical="center"/>
    </xf>
    <xf numFmtId="178" fontId="9" fillId="6" borderId="101" xfId="0" applyNumberFormat="1" applyFont="1" applyFill="1" applyBorder="1" applyAlignment="1">
      <alignment horizontal="right" vertical="center"/>
    </xf>
    <xf numFmtId="178" fontId="9" fillId="6" borderId="102" xfId="0" applyNumberFormat="1" applyFont="1" applyFill="1" applyBorder="1" applyAlignment="1">
      <alignment horizontal="right" vertical="center"/>
    </xf>
    <xf numFmtId="183" fontId="3" fillId="6" borderId="103" xfId="0" applyNumberFormat="1" applyFont="1" applyFill="1" applyBorder="1" applyAlignment="1">
      <alignment horizontal="right" vertical="center"/>
    </xf>
    <xf numFmtId="178" fontId="9" fillId="6" borderId="104" xfId="0" applyNumberFormat="1" applyFont="1" applyFill="1" applyBorder="1" applyAlignment="1">
      <alignment horizontal="right" vertical="center"/>
    </xf>
    <xf numFmtId="0" fontId="1" fillId="6" borderId="17" xfId="0" applyFont="1" applyFill="1" applyBorder="1" applyAlignment="1">
      <alignment horizontal="center" vertical="center"/>
    </xf>
    <xf numFmtId="183" fontId="1" fillId="6" borderId="17" xfId="0" applyNumberFormat="1" applyFont="1" applyFill="1" applyBorder="1" applyAlignment="1">
      <alignment horizontal="right" vertical="center"/>
    </xf>
    <xf numFmtId="183" fontId="1" fillId="6" borderId="18" xfId="0" applyNumberFormat="1" applyFont="1" applyFill="1" applyBorder="1" applyAlignment="1">
      <alignment horizontal="right" vertical="center"/>
    </xf>
    <xf numFmtId="183" fontId="1" fillId="6" borderId="73" xfId="0" applyNumberFormat="1" applyFont="1" applyFill="1" applyBorder="1" applyAlignment="1">
      <alignment horizontal="right" vertical="center"/>
    </xf>
    <xf numFmtId="178" fontId="8" fillId="6" borderId="74" xfId="0" applyNumberFormat="1" applyFont="1" applyFill="1" applyBorder="1" applyAlignment="1">
      <alignment horizontal="right" vertical="center"/>
    </xf>
    <xf numFmtId="183" fontId="1" fillId="6" borderId="75" xfId="0" applyNumberFormat="1" applyFont="1" applyFill="1" applyBorder="1" applyAlignment="1">
      <alignment horizontal="right" vertical="center"/>
    </xf>
    <xf numFmtId="178" fontId="8" fillId="6" borderId="76" xfId="0" applyNumberFormat="1" applyFont="1" applyFill="1" applyBorder="1" applyAlignment="1">
      <alignment horizontal="right" vertical="center"/>
    </xf>
    <xf numFmtId="183" fontId="1" fillId="6" borderId="77" xfId="0" applyNumberFormat="1" applyFont="1" applyFill="1" applyBorder="1" applyAlignment="1">
      <alignment horizontal="right" vertical="center"/>
    </xf>
    <xf numFmtId="178" fontId="8" fillId="6" borderId="78" xfId="0" applyNumberFormat="1" applyFont="1" applyFill="1" applyBorder="1" applyAlignment="1">
      <alignment horizontal="right" vertical="center"/>
    </xf>
    <xf numFmtId="183" fontId="1" fillId="6" borderId="79" xfId="0" applyNumberFormat="1" applyFont="1" applyFill="1" applyBorder="1" applyAlignment="1">
      <alignment horizontal="right" vertical="center"/>
    </xf>
    <xf numFmtId="178" fontId="8" fillId="6" borderId="77" xfId="0" applyNumberFormat="1" applyFont="1" applyFill="1" applyBorder="1" applyAlignment="1">
      <alignment horizontal="right" vertical="center"/>
    </xf>
    <xf numFmtId="0" fontId="1" fillId="6" borderId="19" xfId="0" applyFont="1" applyFill="1" applyBorder="1" applyAlignment="1">
      <alignment horizontal="center" vertical="center"/>
    </xf>
    <xf numFmtId="183" fontId="1" fillId="6" borderId="19" xfId="0" applyNumberFormat="1" applyFont="1" applyFill="1" applyBorder="1" applyAlignment="1">
      <alignment horizontal="right" vertical="center"/>
    </xf>
    <xf numFmtId="183" fontId="1" fillId="6" borderId="20" xfId="0" applyNumberFormat="1" applyFont="1" applyFill="1" applyBorder="1" applyAlignment="1">
      <alignment horizontal="right" vertical="center"/>
    </xf>
    <xf numFmtId="183" fontId="1" fillId="6" borderId="80" xfId="0" applyNumberFormat="1" applyFont="1" applyFill="1" applyBorder="1" applyAlignment="1">
      <alignment horizontal="right" vertical="center"/>
    </xf>
    <xf numFmtId="178" fontId="8" fillId="6" borderId="81" xfId="0" applyNumberFormat="1" applyFont="1" applyFill="1" applyBorder="1" applyAlignment="1">
      <alignment horizontal="right" vertical="center"/>
    </xf>
    <xf numFmtId="183" fontId="1" fillId="6" borderId="82" xfId="0" applyNumberFormat="1" applyFont="1" applyFill="1" applyBorder="1" applyAlignment="1">
      <alignment horizontal="right" vertical="center"/>
    </xf>
    <xf numFmtId="178" fontId="8" fillId="6" borderId="83" xfId="0" applyNumberFormat="1" applyFont="1" applyFill="1" applyBorder="1" applyAlignment="1">
      <alignment horizontal="right" vertical="center"/>
    </xf>
    <xf numFmtId="183" fontId="1" fillId="6" borderId="84" xfId="0" applyNumberFormat="1" applyFont="1" applyFill="1" applyBorder="1" applyAlignment="1">
      <alignment horizontal="right" vertical="center"/>
    </xf>
    <xf numFmtId="178" fontId="8" fillId="6" borderId="85" xfId="0" applyNumberFormat="1" applyFont="1" applyFill="1" applyBorder="1" applyAlignment="1">
      <alignment horizontal="right" vertical="center"/>
    </xf>
    <xf numFmtId="183" fontId="1" fillId="6" borderId="86" xfId="0" applyNumberFormat="1" applyFont="1" applyFill="1" applyBorder="1" applyAlignment="1">
      <alignment horizontal="right" vertical="center"/>
    </xf>
    <xf numFmtId="178" fontId="8" fillId="6" borderId="84" xfId="0" applyNumberFormat="1" applyFont="1" applyFill="1" applyBorder="1" applyAlignment="1">
      <alignment horizontal="right" vertical="center"/>
    </xf>
    <xf numFmtId="0" fontId="3" fillId="6" borderId="21" xfId="0" applyFont="1" applyFill="1" applyBorder="1" applyAlignment="1">
      <alignment horizontal="center" vertical="center"/>
    </xf>
    <xf numFmtId="183" fontId="3" fillId="6" borderId="21" xfId="0" applyNumberFormat="1" applyFont="1" applyFill="1" applyBorder="1" applyAlignment="1">
      <alignment horizontal="right" vertical="center"/>
    </xf>
    <xf numFmtId="183" fontId="3" fillId="6" borderId="22" xfId="0" applyNumberFormat="1" applyFont="1" applyFill="1" applyBorder="1" applyAlignment="1">
      <alignment horizontal="right" vertical="center"/>
    </xf>
    <xf numFmtId="183" fontId="3" fillId="6" borderId="66" xfId="0" applyNumberFormat="1" applyFont="1" applyFill="1" applyBorder="1" applyAlignment="1">
      <alignment horizontal="right" vertical="center"/>
    </xf>
    <xf numFmtId="178" fontId="9" fillId="6" borderId="67" xfId="0" applyNumberFormat="1" applyFont="1" applyFill="1" applyBorder="1" applyAlignment="1">
      <alignment horizontal="right" vertical="center"/>
    </xf>
    <xf numFmtId="183" fontId="3" fillId="6" borderId="68" xfId="0" applyNumberFormat="1" applyFont="1" applyFill="1" applyBorder="1" applyAlignment="1">
      <alignment horizontal="right" vertical="center"/>
    </xf>
    <xf numFmtId="178" fontId="9" fillId="6" borderId="69" xfId="0" applyNumberFormat="1" applyFont="1" applyFill="1" applyBorder="1" applyAlignment="1">
      <alignment horizontal="right" vertical="center"/>
    </xf>
    <xf numFmtId="178" fontId="9" fillId="6" borderId="71" xfId="0" applyNumberFormat="1" applyFont="1" applyFill="1" applyBorder="1" applyAlignment="1">
      <alignment horizontal="right" vertical="center"/>
    </xf>
    <xf numFmtId="183" fontId="3" fillId="6" borderId="72" xfId="0" applyNumberFormat="1" applyFont="1" applyFill="1" applyBorder="1" applyAlignment="1">
      <alignment horizontal="right" vertical="center"/>
    </xf>
    <xf numFmtId="178" fontId="9" fillId="6" borderId="70" xfId="0" applyNumberFormat="1" applyFont="1" applyFill="1" applyBorder="1" applyAlignment="1">
      <alignment horizontal="right" vertical="center"/>
    </xf>
    <xf numFmtId="183" fontId="1" fillId="6" borderId="87" xfId="0" applyNumberFormat="1" applyFont="1" applyFill="1" applyBorder="1" applyAlignment="1">
      <alignment horizontal="right" vertical="center"/>
    </xf>
    <xf numFmtId="183" fontId="3" fillId="6" borderId="105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83" fontId="1" fillId="2" borderId="17" xfId="0" quotePrefix="1" applyNumberFormat="1" applyFont="1" applyFill="1" applyBorder="1" applyAlignment="1">
      <alignment horizontal="right" vertical="center"/>
    </xf>
    <xf numFmtId="183" fontId="1" fillId="2" borderId="38" xfId="0" applyNumberFormat="1" applyFont="1" applyFill="1" applyBorder="1" applyAlignment="1">
      <alignment horizontal="right" vertical="center"/>
    </xf>
    <xf numFmtId="183" fontId="1" fillId="2" borderId="108" xfId="0" applyNumberFormat="1" applyFont="1" applyFill="1" applyBorder="1" applyAlignment="1">
      <alignment horizontal="right" vertical="center"/>
    </xf>
    <xf numFmtId="183" fontId="1" fillId="2" borderId="109" xfId="0" applyNumberFormat="1" applyFont="1" applyFill="1" applyBorder="1" applyAlignment="1">
      <alignment horizontal="right" vertical="center"/>
    </xf>
    <xf numFmtId="183" fontId="1" fillId="2" borderId="110" xfId="0" applyNumberFormat="1" applyFont="1" applyFill="1" applyBorder="1" applyAlignment="1">
      <alignment horizontal="right" vertical="center"/>
    </xf>
    <xf numFmtId="178" fontId="8" fillId="2" borderId="107" xfId="0" applyNumberFormat="1" applyFont="1" applyFill="1" applyBorder="1" applyAlignment="1">
      <alignment horizontal="right" vertical="center"/>
    </xf>
    <xf numFmtId="178" fontId="8" fillId="2" borderId="111" xfId="0" applyNumberFormat="1" applyFont="1" applyFill="1" applyBorder="1" applyAlignment="1">
      <alignment horizontal="right" vertical="center"/>
    </xf>
    <xf numFmtId="178" fontId="8" fillId="2" borderId="109" xfId="0" applyNumberFormat="1" applyFont="1" applyFill="1" applyBorder="1" applyAlignment="1">
      <alignment horizontal="right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2" borderId="36" xfId="0" applyFont="1" applyFill="1" applyBorder="1" applyAlignment="1">
      <alignment horizontal="right" vertical="center"/>
    </xf>
    <xf numFmtId="0" fontId="1" fillId="2" borderId="14" xfId="0" applyFont="1" applyFill="1" applyBorder="1">
      <alignment vertical="center"/>
    </xf>
    <xf numFmtId="0" fontId="4" fillId="5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79" fontId="1" fillId="2" borderId="14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80" fontId="1" fillId="2" borderId="14" xfId="0" applyNumberFormat="1" applyFont="1" applyFill="1" applyBorder="1" applyAlignment="1">
      <alignment horizontal="left" vertical="center"/>
    </xf>
    <xf numFmtId="181" fontId="1" fillId="2" borderId="14" xfId="0" applyNumberFormat="1" applyFont="1" applyFill="1" applyBorder="1" applyAlignment="1">
      <alignment horizontal="left" vertical="center"/>
    </xf>
    <xf numFmtId="182" fontId="1" fillId="2" borderId="14" xfId="0" applyNumberFormat="1" applyFont="1" applyFill="1" applyBorder="1" applyAlignment="1">
      <alignment horizontal="left" vertical="center"/>
    </xf>
    <xf numFmtId="185" fontId="1" fillId="2" borderId="0" xfId="0" applyNumberFormat="1" applyFont="1" applyFill="1" applyAlignment="1">
      <alignment horizontal="left" vertical="center"/>
    </xf>
    <xf numFmtId="186" fontId="1" fillId="2" borderId="0" xfId="0" applyNumberFormat="1" applyFont="1" applyFill="1" applyAlignment="1">
      <alignment horizontal="lef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84" fontId="1" fillId="2" borderId="14" xfId="0" applyNumberFormat="1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6" borderId="95" xfId="0" applyFont="1" applyFill="1" applyBorder="1" applyAlignment="1">
      <alignment horizontal="center" vertical="center" wrapText="1"/>
    </xf>
    <xf numFmtId="0" fontId="3" fillId="6" borderId="6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37" xfId="0" applyFont="1" applyFill="1" applyBorder="1" applyAlignment="1">
      <alignment horizontal="center" vertical="center" wrapText="1"/>
    </xf>
    <xf numFmtId="0" fontId="3" fillId="6" borderId="9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/>
    </xf>
    <xf numFmtId="0" fontId="3" fillId="2" borderId="10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77" formatCode="0_ ;\-0_ ;\-_ ;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77" formatCode="0_ ;\-0_ ;\-_ ;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77" formatCode="0_ ;\-0_ ;\-_ ;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77" formatCode="0_ ;\-0_ ;\-_ ;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77" formatCode="0_ ;\-0_ ;\-_ ;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77" formatCode="0_ ;\-0_ ;\-_ ;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left style="thin">
          <color auto="1"/>
        </lef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돋움"/>
        <family val="3"/>
        <charset val="129"/>
        <scheme val="none"/>
      </font>
      <fill>
        <patternFill patternType="solid">
          <fgColor rgb="FF000000"/>
          <bgColor rgb="FFFFFFFF"/>
        </patternFill>
      </fill>
      <alignment horizontal="right" vertical="center" textRotation="0" wrapText="0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77" formatCode="0_ ;\-0_ ;\-_ ;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77" formatCode="0_ ;\-0_ ;\-_ ;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77" formatCode="0_ ;\-0_ ;\-_ ;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77" formatCode="0_ ;\-0_ ;\-_ ;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77" formatCode="0_ ;\-0_ ;\-_ ;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numFmt numFmtId="177" formatCode="0_ ;\-0_ ;\-_ ;@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left style="thin">
          <color auto="1"/>
        </lef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"/>
        <family val="3"/>
        <charset val="129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0000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8D760-34FD-4335-9406-C8649832A754}" name="지점현황" displayName="지점현황" ref="C4:I11" totalsRowShown="0" headerRowDxfId="45" dataDxfId="43" headerRowBorderDxfId="44" tableBorderDxfId="42">
  <tableColumns count="7">
    <tableColumn id="1" xr3:uid="{85828BC3-08AE-4A37-8AF3-D8B35B2C405F}" name="항목" dataDxfId="41"/>
    <tableColumn id="2" xr3:uid="{742B0FD8-6F35-4B0A-B6C1-9B4196067FA9}" name="2021년" dataDxfId="40"/>
    <tableColumn id="3" xr3:uid="{9E273374-C675-4643-BF1F-B9415BF6989B}" name="2022년" dataDxfId="39"/>
    <tableColumn id="4" xr3:uid="{9D8EF3EB-7A97-400F-9B66-174B4624A06F}" name="2023년" dataDxfId="38"/>
    <tableColumn id="5" xr3:uid="{D3DA8091-8425-4A36-818D-0A4F103CE625}" name="2024년" dataDxfId="37"/>
    <tableColumn id="6" xr3:uid="{03A86E66-1971-414C-9055-1B5923698017}" name="2025년" dataDxfId="36"/>
    <tableColumn id="7" xr3:uid="{94AC9995-8A03-4901-B9B8-089FAF968035}" name="2026년" dataDxfId="3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BC532C-BAC7-41B6-AD64-BB39835933EC}" name="단가" displayName="단가" ref="C4:I11" totalsRowShown="0" headerRowDxfId="34" dataDxfId="32" headerRowBorderDxfId="33" tableBorderDxfId="31">
  <tableColumns count="7">
    <tableColumn id="1" xr3:uid="{A6C627B5-04D0-4B72-BF03-57F36A5F7D58}" name="항목" dataDxfId="30"/>
    <tableColumn id="2" xr3:uid="{2EC0C5A9-D9D3-424E-9084-1A13CD5E6A93}" name="2021년" dataDxfId="29"/>
    <tableColumn id="3" xr3:uid="{77A28EA7-9FD4-4B8E-BDE1-161F27D7B5F5}" name="2022년" dataDxfId="28"/>
    <tableColumn id="4" xr3:uid="{C6EE01B5-D80E-4E8A-AFCC-333CC567C899}" name="2023년" dataDxfId="27"/>
    <tableColumn id="5" xr3:uid="{41D09B33-2BD2-4CFC-A1A0-84A21B547E10}" name="2024년" dataDxfId="26"/>
    <tableColumn id="6" xr3:uid="{D9E9E04A-6605-4D81-9F66-8D440BDDD20C}" name="2025년" dataDxfId="25"/>
    <tableColumn id="7" xr3:uid="{AD15FD79-F110-4860-8288-4EF53B671C9F}" name="2026년" dataDxfId="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8D612E-0C08-4BF8-B2AB-AE447D15D9BD}" name="실행예산" displayName="실행예산" ref="B13:H19" totalsRowShown="0" headerRowDxfId="23" dataDxfId="21" headerRowBorderDxfId="22" tableBorderDxfId="20" totalsRowBorderDxfId="19">
  <tableColumns count="7">
    <tableColumn id="1" xr3:uid="{2C9F4258-48E6-4C2E-9E26-BB23E60B214D}" name="구분" dataDxfId="18"/>
    <tableColumn id="2" xr3:uid="{BB9962E2-BCFF-483C-BCBA-41BF1F849C2A}" name="2021년" dataDxfId="17"/>
    <tableColumn id="3" xr3:uid="{52E73E85-888B-4EF5-9A40-DE4240616785}" name="2022년" dataDxfId="16"/>
    <tableColumn id="4" xr3:uid="{E04441AF-E0DE-4233-80A2-5F4C7D941DE2}" name="2023년" dataDxfId="15"/>
    <tableColumn id="5" xr3:uid="{C3D2EBAB-5E35-46DE-88D6-87A61B00A305}" name="2024년" dataDxfId="14"/>
    <tableColumn id="6" xr3:uid="{D667F17E-8FD2-4F63-A817-4CC44B251D88}" name="2025년" dataDxfId="13"/>
    <tableColumn id="7" xr3:uid="{BFF4DF22-D02B-4467-98F8-20D044E03C62}" name="2026년" dataDxfId="1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9FDC805-BF60-458A-9006-59704686CE8F}" name="예산" displayName="예산" ref="J13:P19" totalsRowShown="0" headerRowDxfId="11" dataDxfId="9" headerRowBorderDxfId="10" tableBorderDxfId="8" totalsRowBorderDxfId="7">
  <tableColumns count="7">
    <tableColumn id="1" xr3:uid="{D3C4DA07-C556-44EB-80D3-E8969A6ED4B5}" name="구분" dataDxfId="6"/>
    <tableColumn id="2" xr3:uid="{5FFC71E6-58C8-41F2-9788-FD9C935E3251}" name="2021년" dataDxfId="5"/>
    <tableColumn id="3" xr3:uid="{0EAA4AEE-4E30-4342-8212-45D12367C5D6}" name="2022년" dataDxfId="4"/>
    <tableColumn id="4" xr3:uid="{798136ED-9685-474F-B75B-AC96187AD0CC}" name="2023년" dataDxfId="3"/>
    <tableColumn id="5" xr3:uid="{2F001DBB-B3CF-4B61-A3A4-64C9912159E2}" name="2024년" dataDxfId="2"/>
    <tableColumn id="6" xr3:uid="{312C2D38-0D83-4832-9905-2D35C193CAA8}" name="2025년" dataDxfId="1"/>
    <tableColumn id="7" xr3:uid="{A4D73464-30E3-4344-9F12-9F6ABDDC8745}" name="2026년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B6CF-5406-4EE8-B0E4-AC1C4F749B6E}">
  <sheetPr>
    <pageSetUpPr fitToPage="1"/>
  </sheetPr>
  <dimension ref="B2:R15"/>
  <sheetViews>
    <sheetView tabSelected="1" workbookViewId="0">
      <selection activeCell="F20" sqref="F20"/>
    </sheetView>
  </sheetViews>
  <sheetFormatPr defaultColWidth="10.625" defaultRowHeight="20.100000000000001" customHeight="1" x14ac:dyDescent="0.3"/>
  <cols>
    <col min="1" max="1" width="3.625" style="1" customWidth="1"/>
    <col min="2" max="2" width="10.625" style="1"/>
    <col min="3" max="3" width="14.625" style="1" customWidth="1"/>
    <col min="4" max="9" width="10.625" style="1"/>
    <col min="10" max="10" width="5.625" style="1" customWidth="1"/>
    <col min="11" max="11" width="10.625" style="1"/>
    <col min="12" max="12" width="14.625" style="1" customWidth="1"/>
    <col min="13" max="16384" width="10.625" style="1"/>
  </cols>
  <sheetData>
    <row r="2" spans="2:18" ht="30" customHeight="1" x14ac:dyDescent="0.3">
      <c r="B2" s="208" t="s">
        <v>13</v>
      </c>
      <c r="C2" s="208"/>
      <c r="D2" s="208"/>
      <c r="E2" s="208"/>
      <c r="F2" s="208"/>
      <c r="G2" s="208"/>
      <c r="H2" s="208"/>
      <c r="I2" s="208"/>
      <c r="K2" s="203" t="s">
        <v>13</v>
      </c>
      <c r="L2" s="203"/>
      <c r="M2" s="203"/>
      <c r="N2" s="203"/>
      <c r="O2" s="203"/>
      <c r="P2" s="203"/>
      <c r="Q2" s="203"/>
      <c r="R2" s="203"/>
    </row>
    <row r="3" spans="2:18" ht="20.100000000000001" customHeight="1" thickBot="1" x14ac:dyDescent="0.35">
      <c r="B3" s="204" t="s">
        <v>14</v>
      </c>
      <c r="C3" s="204"/>
      <c r="D3" s="204"/>
      <c r="E3" s="204"/>
      <c r="F3" s="204"/>
      <c r="G3" s="204"/>
      <c r="H3" s="204"/>
      <c r="I3" s="204"/>
      <c r="K3" s="204" t="s">
        <v>14</v>
      </c>
      <c r="L3" s="204"/>
      <c r="M3" s="204"/>
      <c r="N3" s="204"/>
      <c r="O3" s="204"/>
      <c r="P3" s="204"/>
      <c r="Q3" s="204"/>
      <c r="R3" s="204"/>
    </row>
    <row r="4" spans="2:18" ht="20.100000000000001" customHeight="1" thickBot="1" x14ac:dyDescent="0.35">
      <c r="B4" s="2" t="s">
        <v>0</v>
      </c>
      <c r="C4" s="26" t="s">
        <v>1</v>
      </c>
      <c r="D4" s="27" t="s">
        <v>2</v>
      </c>
      <c r="E4" s="27" t="s">
        <v>4</v>
      </c>
      <c r="F4" s="27" t="s">
        <v>5</v>
      </c>
      <c r="G4" s="27" t="s">
        <v>6</v>
      </c>
      <c r="H4" s="27" t="s">
        <v>7</v>
      </c>
      <c r="I4" s="28" t="s">
        <v>8</v>
      </c>
      <c r="K4" s="2" t="s">
        <v>0</v>
      </c>
      <c r="L4" s="3" t="s">
        <v>1</v>
      </c>
      <c r="M4" s="3" t="s">
        <v>2</v>
      </c>
      <c r="N4" s="3" t="s">
        <v>4</v>
      </c>
      <c r="O4" s="3" t="s">
        <v>5</v>
      </c>
      <c r="P4" s="3" t="s">
        <v>6</v>
      </c>
      <c r="Q4" s="3" t="s">
        <v>7</v>
      </c>
      <c r="R4" s="4" t="s">
        <v>8</v>
      </c>
    </row>
    <row r="5" spans="2:18" ht="20.100000000000001" customHeight="1" thickTop="1" x14ac:dyDescent="0.3">
      <c r="B5" s="205" t="s">
        <v>11</v>
      </c>
      <c r="C5" s="22" t="s">
        <v>26</v>
      </c>
      <c r="D5" s="6">
        <v>194</v>
      </c>
      <c r="E5" s="6">
        <v>244</v>
      </c>
      <c r="F5" s="6">
        <v>244</v>
      </c>
      <c r="G5" s="6">
        <v>284</v>
      </c>
      <c r="H5" s="6">
        <v>186</v>
      </c>
      <c r="I5" s="7">
        <v>144</v>
      </c>
      <c r="K5" s="205" t="s">
        <v>11</v>
      </c>
      <c r="L5" s="5" t="s">
        <v>26</v>
      </c>
      <c r="M5" s="6">
        <v>194</v>
      </c>
      <c r="N5" s="6">
        <v>244</v>
      </c>
      <c r="O5" s="6">
        <v>244</v>
      </c>
      <c r="P5" s="6">
        <v>284</v>
      </c>
      <c r="Q5" s="6">
        <v>186</v>
      </c>
      <c r="R5" s="7">
        <v>144</v>
      </c>
    </row>
    <row r="6" spans="2:18" ht="20.100000000000001" customHeight="1" x14ac:dyDescent="0.3">
      <c r="B6" s="206"/>
      <c r="C6" s="23" t="s">
        <v>27</v>
      </c>
      <c r="D6" s="9">
        <v>24</v>
      </c>
      <c r="E6" s="9">
        <v>25</v>
      </c>
      <c r="F6" s="9">
        <v>25</v>
      </c>
      <c r="G6" s="9">
        <v>25</v>
      </c>
      <c r="H6" s="9">
        <v>25</v>
      </c>
      <c r="I6" s="10">
        <v>30</v>
      </c>
      <c r="K6" s="206"/>
      <c r="L6" s="8" t="s">
        <v>27</v>
      </c>
      <c r="M6" s="20">
        <v>27</v>
      </c>
      <c r="N6" s="9">
        <v>25</v>
      </c>
      <c r="O6" s="9">
        <v>25</v>
      </c>
      <c r="P6" s="20">
        <v>26</v>
      </c>
      <c r="Q6" s="20">
        <v>27</v>
      </c>
      <c r="R6" s="10">
        <v>30</v>
      </c>
    </row>
    <row r="7" spans="2:18" ht="20.100000000000001" customHeight="1" x14ac:dyDescent="0.3">
      <c r="B7" s="206"/>
      <c r="C7" s="23" t="s">
        <v>28</v>
      </c>
      <c r="D7" s="9">
        <v>2</v>
      </c>
      <c r="E7" s="9">
        <v>2</v>
      </c>
      <c r="F7" s="9">
        <v>2</v>
      </c>
      <c r="G7" s="9">
        <v>2</v>
      </c>
      <c r="H7" s="9">
        <v>2</v>
      </c>
      <c r="I7" s="10">
        <v>2</v>
      </c>
      <c r="K7" s="206"/>
      <c r="L7" s="8" t="s">
        <v>28</v>
      </c>
      <c r="M7" s="9">
        <v>2</v>
      </c>
      <c r="N7" s="9">
        <v>2</v>
      </c>
      <c r="O7" s="9">
        <v>2</v>
      </c>
      <c r="P7" s="9">
        <v>2</v>
      </c>
      <c r="Q7" s="9">
        <v>2</v>
      </c>
      <c r="R7" s="10">
        <v>2</v>
      </c>
    </row>
    <row r="8" spans="2:18" ht="20.100000000000001" customHeight="1" x14ac:dyDescent="0.3">
      <c r="B8" s="206"/>
      <c r="C8" s="24" t="s">
        <v>29</v>
      </c>
      <c r="D8" s="12">
        <v>2</v>
      </c>
      <c r="E8" s="12">
        <v>2</v>
      </c>
      <c r="F8" s="12">
        <v>2</v>
      </c>
      <c r="G8" s="12">
        <v>2</v>
      </c>
      <c r="H8" s="12">
        <v>2</v>
      </c>
      <c r="I8" s="13">
        <v>2</v>
      </c>
      <c r="K8" s="206"/>
      <c r="L8" s="11" t="s">
        <v>29</v>
      </c>
      <c r="M8" s="12">
        <v>2</v>
      </c>
      <c r="N8" s="12">
        <v>2</v>
      </c>
      <c r="O8" s="12">
        <v>2</v>
      </c>
      <c r="P8" s="12">
        <v>2</v>
      </c>
      <c r="Q8" s="12">
        <v>2</v>
      </c>
      <c r="R8" s="13">
        <v>2</v>
      </c>
    </row>
    <row r="9" spans="2:18" ht="20.100000000000001" customHeight="1" x14ac:dyDescent="0.3">
      <c r="B9" s="206" t="s">
        <v>12</v>
      </c>
      <c r="C9" s="25" t="s">
        <v>9</v>
      </c>
      <c r="D9" s="15">
        <v>64</v>
      </c>
      <c r="E9" s="15">
        <v>67</v>
      </c>
      <c r="F9" s="15">
        <v>71</v>
      </c>
      <c r="G9" s="15">
        <v>76</v>
      </c>
      <c r="H9" s="15">
        <v>176</v>
      </c>
      <c r="I9" s="16">
        <v>218</v>
      </c>
      <c r="K9" s="206" t="s">
        <v>12</v>
      </c>
      <c r="L9" s="14" t="s">
        <v>9</v>
      </c>
      <c r="M9" s="15">
        <v>64</v>
      </c>
      <c r="N9" s="15">
        <v>67</v>
      </c>
      <c r="O9" s="21">
        <v>72</v>
      </c>
      <c r="P9" s="15">
        <v>76</v>
      </c>
      <c r="Q9" s="15">
        <v>176</v>
      </c>
      <c r="R9" s="16">
        <v>218</v>
      </c>
    </row>
    <row r="10" spans="2:18" ht="20.100000000000001" customHeight="1" x14ac:dyDescent="0.3">
      <c r="B10" s="206"/>
      <c r="C10" s="23" t="s">
        <v>44</v>
      </c>
      <c r="D10" s="9">
        <v>0</v>
      </c>
      <c r="E10" s="9">
        <v>4</v>
      </c>
      <c r="F10" s="9">
        <v>3</v>
      </c>
      <c r="G10" s="20">
        <v>10</v>
      </c>
      <c r="H10" s="9">
        <v>75</v>
      </c>
      <c r="I10" s="10">
        <v>42</v>
      </c>
      <c r="K10" s="206"/>
      <c r="L10" s="8" t="s">
        <v>44</v>
      </c>
      <c r="M10" s="9">
        <v>0</v>
      </c>
      <c r="N10" s="9">
        <v>4</v>
      </c>
      <c r="O10" s="20">
        <v>4</v>
      </c>
      <c r="P10" s="9">
        <v>25</v>
      </c>
      <c r="Q10" s="9">
        <v>75</v>
      </c>
      <c r="R10" s="10">
        <v>42</v>
      </c>
    </row>
    <row r="11" spans="2:18" ht="20.100000000000001" customHeight="1" thickBot="1" x14ac:dyDescent="0.35">
      <c r="B11" s="207"/>
      <c r="C11" s="29" t="s">
        <v>10</v>
      </c>
      <c r="D11" s="50">
        <v>0</v>
      </c>
      <c r="E11" s="50">
        <v>10</v>
      </c>
      <c r="F11" s="50">
        <v>10</v>
      </c>
      <c r="G11" s="30">
        <v>17</v>
      </c>
      <c r="H11" s="30">
        <v>25</v>
      </c>
      <c r="I11" s="31">
        <v>25</v>
      </c>
      <c r="K11" s="207"/>
      <c r="L11" s="17" t="s">
        <v>10</v>
      </c>
      <c r="M11" s="18">
        <v>10</v>
      </c>
      <c r="N11" s="18">
        <v>10</v>
      </c>
      <c r="O11" s="18">
        <v>10</v>
      </c>
      <c r="P11" s="18">
        <v>17</v>
      </c>
      <c r="Q11" s="18">
        <v>25</v>
      </c>
      <c r="R11" s="19">
        <v>25</v>
      </c>
    </row>
    <row r="12" spans="2:18" ht="20.100000000000001" customHeight="1" x14ac:dyDescent="0.3">
      <c r="B12" s="202" t="s">
        <v>17</v>
      </c>
      <c r="C12" s="202"/>
      <c r="D12" s="202"/>
      <c r="E12" s="202"/>
      <c r="F12" s="202"/>
      <c r="G12" s="202"/>
      <c r="H12" s="202"/>
      <c r="I12" s="202"/>
      <c r="K12" s="202" t="s">
        <v>16</v>
      </c>
      <c r="L12" s="202"/>
      <c r="M12" s="202"/>
      <c r="N12" s="202"/>
      <c r="O12" s="202"/>
      <c r="P12" s="202"/>
      <c r="Q12" s="202"/>
      <c r="R12" s="202"/>
    </row>
    <row r="14" spans="2:18" ht="20.100000000000001" customHeight="1" x14ac:dyDescent="0.3">
      <c r="C14" s="1" t="s">
        <v>44</v>
      </c>
      <c r="G14" s="1">
        <v>25</v>
      </c>
      <c r="H14" s="1">
        <v>75</v>
      </c>
      <c r="I14" s="1">
        <v>42</v>
      </c>
      <c r="L14" s="1" t="s">
        <v>44</v>
      </c>
      <c r="P14" s="1">
        <v>25</v>
      </c>
      <c r="Q14" s="1">
        <v>75</v>
      </c>
      <c r="R14" s="1">
        <v>42</v>
      </c>
    </row>
    <row r="15" spans="2:18" ht="20.100000000000001" customHeight="1" x14ac:dyDescent="0.3">
      <c r="C15" s="1" t="s">
        <v>15</v>
      </c>
      <c r="E15" s="1">
        <v>20</v>
      </c>
      <c r="F15" s="1">
        <v>4</v>
      </c>
      <c r="G15" s="1">
        <v>16</v>
      </c>
      <c r="H15" s="1">
        <v>16</v>
      </c>
      <c r="I15" s="1">
        <v>7</v>
      </c>
      <c r="L15" s="1" t="s">
        <v>15</v>
      </c>
      <c r="N15" s="1">
        <v>20</v>
      </c>
      <c r="O15" s="1">
        <v>4</v>
      </c>
      <c r="P15" s="1">
        <v>16</v>
      </c>
      <c r="Q15" s="1">
        <v>16</v>
      </c>
      <c r="R15" s="1">
        <v>7</v>
      </c>
    </row>
  </sheetData>
  <mergeCells count="10">
    <mergeCell ref="B12:I12"/>
    <mergeCell ref="K2:R2"/>
    <mergeCell ref="K3:R3"/>
    <mergeCell ref="K5:K8"/>
    <mergeCell ref="K9:K11"/>
    <mergeCell ref="K12:R12"/>
    <mergeCell ref="B9:B11"/>
    <mergeCell ref="B5:B8"/>
    <mergeCell ref="B2:I2"/>
    <mergeCell ref="B3:I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4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769E-93FF-41E3-B71F-81653DB7CD96}">
  <sheetPr>
    <pageSetUpPr fitToPage="1"/>
  </sheetPr>
  <dimension ref="B2:I11"/>
  <sheetViews>
    <sheetView workbookViewId="0">
      <selection activeCell="B2" sqref="B2:I2"/>
    </sheetView>
  </sheetViews>
  <sheetFormatPr defaultColWidth="10.625" defaultRowHeight="20.100000000000001" customHeight="1" x14ac:dyDescent="0.3"/>
  <cols>
    <col min="1" max="1" width="3.625" style="1" customWidth="1"/>
    <col min="2" max="2" width="10.625" style="1"/>
    <col min="3" max="3" width="14.625" style="1" customWidth="1"/>
    <col min="4" max="16384" width="10.625" style="1"/>
  </cols>
  <sheetData>
    <row r="2" spans="2:9" ht="30" customHeight="1" x14ac:dyDescent="0.3">
      <c r="B2" s="208" t="s">
        <v>37</v>
      </c>
      <c r="C2" s="208"/>
      <c r="D2" s="208"/>
      <c r="E2" s="208"/>
      <c r="F2" s="208"/>
      <c r="G2" s="208"/>
      <c r="H2" s="208"/>
      <c r="I2" s="208"/>
    </row>
    <row r="3" spans="2:9" ht="20.100000000000001" customHeight="1" thickBot="1" x14ac:dyDescent="0.35">
      <c r="B3" s="204" t="s">
        <v>40</v>
      </c>
      <c r="C3" s="204"/>
      <c r="D3" s="204"/>
      <c r="E3" s="204"/>
      <c r="F3" s="204"/>
      <c r="G3" s="204"/>
      <c r="H3" s="204"/>
      <c r="I3" s="204"/>
    </row>
    <row r="4" spans="2:9" ht="20.100000000000001" customHeight="1" thickBot="1" x14ac:dyDescent="0.35">
      <c r="B4" s="2" t="s">
        <v>0</v>
      </c>
      <c r="C4" s="26" t="s">
        <v>1</v>
      </c>
      <c r="D4" s="27" t="s">
        <v>2</v>
      </c>
      <c r="E4" s="27" t="s">
        <v>4</v>
      </c>
      <c r="F4" s="27" t="s">
        <v>5</v>
      </c>
      <c r="G4" s="27" t="s">
        <v>6</v>
      </c>
      <c r="H4" s="27" t="s">
        <v>7</v>
      </c>
      <c r="I4" s="28" t="s">
        <v>8</v>
      </c>
    </row>
    <row r="5" spans="2:9" ht="20.100000000000001" customHeight="1" thickTop="1" x14ac:dyDescent="0.3">
      <c r="B5" s="205" t="s">
        <v>11</v>
      </c>
      <c r="C5" s="22" t="s">
        <v>26</v>
      </c>
      <c r="D5" s="6">
        <v>84</v>
      </c>
      <c r="E5" s="6">
        <v>84</v>
      </c>
      <c r="F5" s="6">
        <v>84</v>
      </c>
      <c r="G5" s="6">
        <v>84</v>
      </c>
      <c r="H5" s="6">
        <v>84</v>
      </c>
      <c r="I5" s="7">
        <v>84</v>
      </c>
    </row>
    <row r="6" spans="2:9" ht="20.100000000000001" customHeight="1" x14ac:dyDescent="0.3">
      <c r="B6" s="206"/>
      <c r="C6" s="23" t="s">
        <v>27</v>
      </c>
      <c r="D6" s="9">
        <v>50</v>
      </c>
      <c r="E6" s="9">
        <v>50</v>
      </c>
      <c r="F6" s="9">
        <v>50</v>
      </c>
      <c r="G6" s="9">
        <v>50</v>
      </c>
      <c r="H6" s="9">
        <v>50</v>
      </c>
      <c r="I6" s="10">
        <v>50</v>
      </c>
    </row>
    <row r="7" spans="2:9" ht="20.100000000000001" customHeight="1" x14ac:dyDescent="0.3">
      <c r="B7" s="206"/>
      <c r="C7" s="23" t="s">
        <v>28</v>
      </c>
      <c r="D7" s="9">
        <v>50</v>
      </c>
      <c r="E7" s="9">
        <v>50</v>
      </c>
      <c r="F7" s="9">
        <v>50</v>
      </c>
      <c r="G7" s="9">
        <v>50</v>
      </c>
      <c r="H7" s="9">
        <v>50</v>
      </c>
      <c r="I7" s="10">
        <v>50</v>
      </c>
    </row>
    <row r="8" spans="2:9" ht="20.100000000000001" customHeight="1" x14ac:dyDescent="0.3">
      <c r="B8" s="206"/>
      <c r="C8" s="24" t="s">
        <v>29</v>
      </c>
      <c r="D8" s="12">
        <v>50</v>
      </c>
      <c r="E8" s="12">
        <v>50</v>
      </c>
      <c r="F8" s="12">
        <v>50</v>
      </c>
      <c r="G8" s="12">
        <v>50</v>
      </c>
      <c r="H8" s="12">
        <v>50</v>
      </c>
      <c r="I8" s="13">
        <v>50</v>
      </c>
    </row>
    <row r="9" spans="2:9" ht="20.100000000000001" customHeight="1" x14ac:dyDescent="0.3">
      <c r="B9" s="206" t="s">
        <v>12</v>
      </c>
      <c r="C9" s="25" t="s">
        <v>9</v>
      </c>
      <c r="D9" s="15">
        <v>49</v>
      </c>
      <c r="E9" s="15">
        <v>49</v>
      </c>
      <c r="F9" s="15">
        <v>49</v>
      </c>
      <c r="G9" s="15">
        <v>49</v>
      </c>
      <c r="H9" s="15">
        <v>49</v>
      </c>
      <c r="I9" s="16">
        <v>51</v>
      </c>
    </row>
    <row r="10" spans="2:9" ht="20.100000000000001" customHeight="1" x14ac:dyDescent="0.3">
      <c r="B10" s="206"/>
      <c r="C10" s="23" t="s">
        <v>44</v>
      </c>
      <c r="D10" s="9">
        <v>420</v>
      </c>
      <c r="E10" s="9">
        <v>420</v>
      </c>
      <c r="F10" s="9">
        <v>420</v>
      </c>
      <c r="G10" s="9">
        <v>420</v>
      </c>
      <c r="H10" s="9">
        <v>373</v>
      </c>
      <c r="I10" s="10">
        <v>299</v>
      </c>
    </row>
    <row r="11" spans="2:9" ht="20.100000000000001" customHeight="1" thickBot="1" x14ac:dyDescent="0.35">
      <c r="B11" s="207"/>
      <c r="C11" s="29" t="s">
        <v>10</v>
      </c>
      <c r="D11" s="30">
        <v>120</v>
      </c>
      <c r="E11" s="30">
        <v>120</v>
      </c>
      <c r="F11" s="30">
        <v>120</v>
      </c>
      <c r="G11" s="30">
        <v>120</v>
      </c>
      <c r="H11" s="30">
        <v>120</v>
      </c>
      <c r="I11" s="31">
        <v>120</v>
      </c>
    </row>
  </sheetData>
  <mergeCells count="4">
    <mergeCell ref="B9:B11"/>
    <mergeCell ref="B2:I2"/>
    <mergeCell ref="B3:I3"/>
    <mergeCell ref="B5:B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FB4A-9049-4F51-8B9B-C8339B3ABACE}">
  <dimension ref="B2:P19"/>
  <sheetViews>
    <sheetView zoomScaleNormal="100" workbookViewId="0">
      <selection activeCell="J2" sqref="J2:P2"/>
    </sheetView>
  </sheetViews>
  <sheetFormatPr defaultColWidth="10.625" defaultRowHeight="20.100000000000001" customHeight="1" x14ac:dyDescent="0.3"/>
  <cols>
    <col min="1" max="1" width="3.625" style="1" customWidth="1"/>
    <col min="2" max="2" width="10.625" style="1"/>
    <col min="3" max="8" width="14.625" style="1" customWidth="1"/>
    <col min="9" max="10" width="10.625" style="1"/>
    <col min="11" max="16" width="14.625" style="1" customWidth="1"/>
    <col min="17" max="16384" width="10.625" style="1"/>
  </cols>
  <sheetData>
    <row r="2" spans="2:16" ht="30" customHeight="1" x14ac:dyDescent="0.3">
      <c r="B2" s="200" t="s">
        <v>31</v>
      </c>
      <c r="C2" s="200"/>
      <c r="D2" s="200"/>
      <c r="E2" s="200"/>
      <c r="F2" s="200"/>
      <c r="G2" s="200"/>
      <c r="H2" s="200"/>
      <c r="J2" s="209" t="s">
        <v>32</v>
      </c>
      <c r="K2" s="209"/>
      <c r="L2" s="209"/>
      <c r="M2" s="209"/>
      <c r="N2" s="209"/>
      <c r="O2" s="209"/>
      <c r="P2" s="209"/>
    </row>
    <row r="3" spans="2:16" ht="20.100000000000001" hidden="1" customHeight="1" thickBot="1" x14ac:dyDescent="0.35">
      <c r="B3" s="210" t="s">
        <v>38</v>
      </c>
      <c r="C3" s="210"/>
      <c r="D3" s="210"/>
      <c r="E3" s="210"/>
      <c r="F3" s="210"/>
      <c r="G3" s="210"/>
      <c r="H3" s="210"/>
      <c r="J3" s="210" t="s">
        <v>38</v>
      </c>
      <c r="K3" s="210"/>
      <c r="L3" s="210"/>
      <c r="M3" s="210"/>
      <c r="N3" s="210"/>
      <c r="O3" s="210"/>
      <c r="P3" s="210"/>
    </row>
    <row r="4" spans="2:16" ht="20.100000000000001" hidden="1" customHeight="1" x14ac:dyDescent="0.3">
      <c r="B4" s="41" t="s">
        <v>0</v>
      </c>
      <c r="C4" s="42" t="s">
        <v>2</v>
      </c>
      <c r="D4" s="42" t="s">
        <v>3</v>
      </c>
      <c r="E4" s="42" t="s">
        <v>5</v>
      </c>
      <c r="F4" s="42" t="s">
        <v>6</v>
      </c>
      <c r="G4" s="42" t="s">
        <v>7</v>
      </c>
      <c r="H4" s="43" t="s">
        <v>8</v>
      </c>
      <c r="J4" s="41" t="s">
        <v>0</v>
      </c>
      <c r="K4" s="42" t="s">
        <v>2</v>
      </c>
      <c r="L4" s="42" t="s">
        <v>3</v>
      </c>
      <c r="M4" s="42" t="s">
        <v>5</v>
      </c>
      <c r="N4" s="42" t="s">
        <v>6</v>
      </c>
      <c r="O4" s="42" t="s">
        <v>7</v>
      </c>
      <c r="P4" s="43" t="s">
        <v>8</v>
      </c>
    </row>
    <row r="5" spans="2:16" ht="20.100000000000001" hidden="1" customHeight="1" x14ac:dyDescent="0.3">
      <c r="B5" s="44" t="s">
        <v>30</v>
      </c>
      <c r="C5" s="40">
        <f>SUM(C6:C10)</f>
        <v>2487456225</v>
      </c>
      <c r="D5" s="40">
        <f t="shared" ref="D5:H5" si="0">SUM(D6:D10)</f>
        <v>9520000000</v>
      </c>
      <c r="E5" s="40">
        <f t="shared" si="0"/>
        <v>8475000000</v>
      </c>
      <c r="F5" s="40">
        <f t="shared" si="0"/>
        <v>10985000000</v>
      </c>
      <c r="G5" s="40">
        <f t="shared" si="0"/>
        <v>35704000000</v>
      </c>
      <c r="H5" s="45">
        <f t="shared" si="0"/>
        <v>18488000000</v>
      </c>
      <c r="J5" s="44" t="s">
        <v>30</v>
      </c>
      <c r="K5" s="40">
        <f>SUM(K6:K10)</f>
        <v>2487456225</v>
      </c>
      <c r="L5" s="40">
        <f t="shared" ref="L5:P5" si="1">SUM(L6:L10)</f>
        <v>9943740153</v>
      </c>
      <c r="M5" s="40">
        <f t="shared" si="1"/>
        <v>8590082000</v>
      </c>
      <c r="N5" s="40">
        <f t="shared" si="1"/>
        <v>11195749215</v>
      </c>
      <c r="O5" s="40">
        <f t="shared" si="1"/>
        <v>36607548900</v>
      </c>
      <c r="P5" s="45">
        <f t="shared" si="1"/>
        <v>18488000000</v>
      </c>
    </row>
    <row r="6" spans="2:16" ht="20.100000000000001" hidden="1" customHeight="1" x14ac:dyDescent="0.3">
      <c r="B6" s="36" t="s">
        <v>26</v>
      </c>
      <c r="C6" s="39">
        <v>1190182077</v>
      </c>
      <c r="D6" s="39">
        <v>3490000000</v>
      </c>
      <c r="E6" s="39">
        <v>2588664990</v>
      </c>
      <c r="F6" s="39">
        <v>3791790577</v>
      </c>
      <c r="G6" s="39">
        <v>2628000000</v>
      </c>
      <c r="H6" s="34">
        <v>2039920000</v>
      </c>
      <c r="J6" s="36" t="s">
        <v>26</v>
      </c>
      <c r="K6" s="39">
        <v>1190182077</v>
      </c>
      <c r="L6" s="39">
        <v>3770139873</v>
      </c>
      <c r="M6" s="39">
        <v>2594604990</v>
      </c>
      <c r="N6" s="39">
        <v>3950363432</v>
      </c>
      <c r="O6" s="39">
        <v>3097893500</v>
      </c>
      <c r="P6" s="34">
        <v>2039920000</v>
      </c>
    </row>
    <row r="7" spans="2:16" ht="20.100000000000001" hidden="1" customHeight="1" x14ac:dyDescent="0.3">
      <c r="B7" s="36" t="s">
        <v>12</v>
      </c>
      <c r="C7" s="39">
        <v>922911768</v>
      </c>
      <c r="D7" s="39">
        <v>5618000000</v>
      </c>
      <c r="E7" s="39">
        <v>5377336970</v>
      </c>
      <c r="F7" s="39">
        <v>6912209423</v>
      </c>
      <c r="G7" s="39">
        <v>32861000000</v>
      </c>
      <c r="H7" s="34">
        <v>16249080000</v>
      </c>
      <c r="J7" s="36" t="s">
        <v>12</v>
      </c>
      <c r="K7" s="39">
        <v>922911768</v>
      </c>
      <c r="L7" s="39">
        <v>5659525000</v>
      </c>
      <c r="M7" s="39">
        <v>5377336970</v>
      </c>
      <c r="N7" s="39">
        <v>6929601543</v>
      </c>
      <c r="O7" s="39">
        <v>32905136330</v>
      </c>
      <c r="P7" s="34">
        <v>16249080000</v>
      </c>
    </row>
    <row r="8" spans="2:16" ht="20.100000000000001" hidden="1" customHeight="1" x14ac:dyDescent="0.3">
      <c r="B8" s="36" t="s">
        <v>27</v>
      </c>
      <c r="C8" s="39">
        <v>337965730</v>
      </c>
      <c r="D8" s="39">
        <v>356000000</v>
      </c>
      <c r="E8" s="39">
        <v>416083240</v>
      </c>
      <c r="F8" s="39">
        <v>221000000</v>
      </c>
      <c r="G8" s="39">
        <v>175000000</v>
      </c>
      <c r="H8" s="34">
        <v>159000000</v>
      </c>
      <c r="J8" s="36" t="s">
        <v>27</v>
      </c>
      <c r="K8" s="39">
        <v>337965730</v>
      </c>
      <c r="L8" s="39">
        <v>375025280</v>
      </c>
      <c r="M8" s="39">
        <v>525225240</v>
      </c>
      <c r="N8" s="39">
        <v>221000000</v>
      </c>
      <c r="O8" s="39">
        <v>476246410</v>
      </c>
      <c r="P8" s="34">
        <v>159000000</v>
      </c>
    </row>
    <row r="9" spans="2:16" ht="20.100000000000001" hidden="1" customHeight="1" x14ac:dyDescent="0.3">
      <c r="B9" s="36" t="s">
        <v>28</v>
      </c>
      <c r="C9" s="39">
        <v>20453200</v>
      </c>
      <c r="D9" s="39">
        <v>26700000</v>
      </c>
      <c r="E9" s="39">
        <v>55206400</v>
      </c>
      <c r="F9" s="39">
        <v>30000000</v>
      </c>
      <c r="G9" s="39">
        <v>20000000</v>
      </c>
      <c r="H9" s="34">
        <v>20000000</v>
      </c>
      <c r="J9" s="36" t="s">
        <v>28</v>
      </c>
      <c r="K9" s="39">
        <v>20453200</v>
      </c>
      <c r="L9" s="39">
        <v>68225000</v>
      </c>
      <c r="M9" s="39">
        <v>55206400</v>
      </c>
      <c r="N9" s="39">
        <v>47392120</v>
      </c>
      <c r="O9" s="39">
        <v>64136330</v>
      </c>
      <c r="P9" s="34">
        <v>20000000</v>
      </c>
    </row>
    <row r="10" spans="2:16" ht="20.100000000000001" hidden="1" customHeight="1" thickBot="1" x14ac:dyDescent="0.35">
      <c r="B10" s="37" t="s">
        <v>29</v>
      </c>
      <c r="C10" s="46">
        <v>15943450</v>
      </c>
      <c r="D10" s="46">
        <v>29300000</v>
      </c>
      <c r="E10" s="46">
        <v>37708400</v>
      </c>
      <c r="F10" s="46">
        <v>30000000</v>
      </c>
      <c r="G10" s="46">
        <v>20000000</v>
      </c>
      <c r="H10" s="47">
        <v>20000000</v>
      </c>
      <c r="J10" s="37" t="s">
        <v>29</v>
      </c>
      <c r="K10" s="46">
        <v>15943450</v>
      </c>
      <c r="L10" s="46">
        <v>70825000</v>
      </c>
      <c r="M10" s="46">
        <v>37708400</v>
      </c>
      <c r="N10" s="46">
        <v>47392120</v>
      </c>
      <c r="O10" s="46">
        <v>64136330</v>
      </c>
      <c r="P10" s="47">
        <v>20000000</v>
      </c>
    </row>
    <row r="11" spans="2:16" ht="20.100000000000001" hidden="1" customHeight="1" x14ac:dyDescent="0.3"/>
    <row r="12" spans="2:16" ht="20.100000000000001" customHeight="1" x14ac:dyDescent="0.3">
      <c r="B12" s="210" t="s">
        <v>39</v>
      </c>
      <c r="C12" s="210"/>
      <c r="D12" s="210"/>
      <c r="E12" s="210"/>
      <c r="F12" s="210"/>
      <c r="G12" s="210"/>
      <c r="H12" s="210"/>
      <c r="J12" s="210" t="s">
        <v>39</v>
      </c>
      <c r="K12" s="210"/>
      <c r="L12" s="210"/>
      <c r="M12" s="210"/>
      <c r="N12" s="210"/>
      <c r="O12" s="210"/>
      <c r="P12" s="210"/>
    </row>
    <row r="13" spans="2:16" ht="20.100000000000001" customHeight="1" x14ac:dyDescent="0.3">
      <c r="B13" s="32" t="s">
        <v>0</v>
      </c>
      <c r="C13" s="33" t="s">
        <v>2</v>
      </c>
      <c r="D13" s="33" t="s">
        <v>3</v>
      </c>
      <c r="E13" s="33" t="s">
        <v>5</v>
      </c>
      <c r="F13" s="33" t="s">
        <v>6</v>
      </c>
      <c r="G13" s="33" t="s">
        <v>7</v>
      </c>
      <c r="H13" s="48" t="s">
        <v>8</v>
      </c>
      <c r="J13" s="32" t="s">
        <v>0</v>
      </c>
      <c r="K13" s="33" t="s">
        <v>2</v>
      </c>
      <c r="L13" s="33" t="s">
        <v>3</v>
      </c>
      <c r="M13" s="33" t="s">
        <v>5</v>
      </c>
      <c r="N13" s="33" t="s">
        <v>6</v>
      </c>
      <c r="O13" s="33" t="s">
        <v>7</v>
      </c>
      <c r="P13" s="48" t="s">
        <v>8</v>
      </c>
    </row>
    <row r="14" spans="2:16" ht="20.100000000000001" customHeight="1" x14ac:dyDescent="0.3">
      <c r="B14" s="44" t="s">
        <v>30</v>
      </c>
      <c r="C14" s="40">
        <f>SUM(C15:C19)</f>
        <v>2487</v>
      </c>
      <c r="D14" s="40">
        <f t="shared" ref="D14" si="2">SUM(D15:D19)</f>
        <v>9520</v>
      </c>
      <c r="E14" s="40">
        <f t="shared" ref="E14" si="3">SUM(E15:E19)</f>
        <v>8475</v>
      </c>
      <c r="F14" s="40">
        <f t="shared" ref="F14" si="4">SUM(F15:F19)</f>
        <v>10985</v>
      </c>
      <c r="G14" s="40">
        <f t="shared" ref="G14" si="5">SUM(G15:G19)</f>
        <v>35704</v>
      </c>
      <c r="H14" s="45">
        <f t="shared" ref="H14" si="6">SUM(H15:H19)</f>
        <v>18488</v>
      </c>
      <c r="J14" s="44" t="s">
        <v>30</v>
      </c>
      <c r="K14" s="40">
        <f>SUM(K15:K19)</f>
        <v>2487</v>
      </c>
      <c r="L14" s="40">
        <f t="shared" ref="L14" si="7">SUM(L15:L19)</f>
        <v>9944</v>
      </c>
      <c r="M14" s="40">
        <f t="shared" ref="M14" si="8">SUM(M15:M19)</f>
        <v>8590</v>
      </c>
      <c r="N14" s="40">
        <f t="shared" ref="N14" si="9">SUM(N15:N19)</f>
        <v>11195</v>
      </c>
      <c r="O14" s="40">
        <f t="shared" ref="O14" si="10">SUM(O15:O19)</f>
        <v>36607</v>
      </c>
      <c r="P14" s="45">
        <f t="shared" ref="P14" si="11">SUM(P15:P19)</f>
        <v>18488</v>
      </c>
    </row>
    <row r="15" spans="2:16" ht="20.100000000000001" customHeight="1" x14ac:dyDescent="0.3">
      <c r="B15" s="36" t="s">
        <v>26</v>
      </c>
      <c r="C15" s="39">
        <f>ROUND(C6/1000000,0)</f>
        <v>1190</v>
      </c>
      <c r="D15" s="39">
        <f t="shared" ref="D15:H15" si="12">ROUND(D6/1000000,0)</f>
        <v>3490</v>
      </c>
      <c r="E15" s="39">
        <f t="shared" si="12"/>
        <v>2589</v>
      </c>
      <c r="F15" s="39">
        <f t="shared" si="12"/>
        <v>3792</v>
      </c>
      <c r="G15" s="39">
        <f t="shared" si="12"/>
        <v>2628</v>
      </c>
      <c r="H15" s="34">
        <f t="shared" si="12"/>
        <v>2040</v>
      </c>
      <c r="J15" s="36" t="s">
        <v>26</v>
      </c>
      <c r="K15" s="39">
        <f t="shared" ref="K15:P15" si="13">ROUND(K6/1000000,0)</f>
        <v>1190</v>
      </c>
      <c r="L15" s="39">
        <f t="shared" si="13"/>
        <v>3770</v>
      </c>
      <c r="M15" s="39">
        <f t="shared" si="13"/>
        <v>2595</v>
      </c>
      <c r="N15" s="39">
        <f t="shared" si="13"/>
        <v>3950</v>
      </c>
      <c r="O15" s="39">
        <f t="shared" si="13"/>
        <v>3098</v>
      </c>
      <c r="P15" s="34">
        <f t="shared" si="13"/>
        <v>2040</v>
      </c>
    </row>
    <row r="16" spans="2:16" ht="20.100000000000001" customHeight="1" x14ac:dyDescent="0.3">
      <c r="B16" s="36" t="s">
        <v>12</v>
      </c>
      <c r="C16" s="39">
        <f t="shared" ref="C16:H16" si="14">ROUND(C7/1000000,0)</f>
        <v>923</v>
      </c>
      <c r="D16" s="39">
        <f t="shared" si="14"/>
        <v>5618</v>
      </c>
      <c r="E16" s="39">
        <f t="shared" si="14"/>
        <v>5377</v>
      </c>
      <c r="F16" s="39">
        <f t="shared" si="14"/>
        <v>6912</v>
      </c>
      <c r="G16" s="39">
        <f t="shared" si="14"/>
        <v>32861</v>
      </c>
      <c r="H16" s="34">
        <f t="shared" si="14"/>
        <v>16249</v>
      </c>
      <c r="J16" s="36" t="s">
        <v>12</v>
      </c>
      <c r="K16" s="39">
        <f t="shared" ref="K16:P16" si="15">ROUND(K7/1000000,0)</f>
        <v>923</v>
      </c>
      <c r="L16" s="39">
        <f t="shared" si="15"/>
        <v>5660</v>
      </c>
      <c r="M16" s="39">
        <f t="shared" si="15"/>
        <v>5377</v>
      </c>
      <c r="N16" s="39">
        <f t="shared" si="15"/>
        <v>6930</v>
      </c>
      <c r="O16" s="39">
        <f t="shared" si="15"/>
        <v>32905</v>
      </c>
      <c r="P16" s="34">
        <f t="shared" si="15"/>
        <v>16249</v>
      </c>
    </row>
    <row r="17" spans="2:16" ht="20.100000000000001" customHeight="1" x14ac:dyDescent="0.3">
      <c r="B17" s="36" t="s">
        <v>27</v>
      </c>
      <c r="C17" s="39">
        <f t="shared" ref="C17:H17" si="16">ROUND(C8/1000000,0)</f>
        <v>338</v>
      </c>
      <c r="D17" s="39">
        <f t="shared" si="16"/>
        <v>356</v>
      </c>
      <c r="E17" s="39">
        <f t="shared" si="16"/>
        <v>416</v>
      </c>
      <c r="F17" s="39">
        <f t="shared" si="16"/>
        <v>221</v>
      </c>
      <c r="G17" s="39">
        <f t="shared" si="16"/>
        <v>175</v>
      </c>
      <c r="H17" s="34">
        <f t="shared" si="16"/>
        <v>159</v>
      </c>
      <c r="J17" s="36" t="s">
        <v>27</v>
      </c>
      <c r="K17" s="39">
        <f t="shared" ref="K17:P17" si="17">ROUND(K8/1000000,0)</f>
        <v>338</v>
      </c>
      <c r="L17" s="39">
        <f t="shared" si="17"/>
        <v>375</v>
      </c>
      <c r="M17" s="39">
        <f t="shared" si="17"/>
        <v>525</v>
      </c>
      <c r="N17" s="39">
        <f t="shared" si="17"/>
        <v>221</v>
      </c>
      <c r="O17" s="39">
        <f t="shared" si="17"/>
        <v>476</v>
      </c>
      <c r="P17" s="34">
        <f t="shared" si="17"/>
        <v>159</v>
      </c>
    </row>
    <row r="18" spans="2:16" ht="20.100000000000001" customHeight="1" x14ac:dyDescent="0.3">
      <c r="B18" s="36" t="s">
        <v>28</v>
      </c>
      <c r="C18" s="39">
        <f t="shared" ref="C18:H18" si="18">ROUND(C9/1000000,0)</f>
        <v>20</v>
      </c>
      <c r="D18" s="39">
        <f t="shared" si="18"/>
        <v>27</v>
      </c>
      <c r="E18" s="39">
        <f t="shared" si="18"/>
        <v>55</v>
      </c>
      <c r="F18" s="39">
        <f t="shared" si="18"/>
        <v>30</v>
      </c>
      <c r="G18" s="39">
        <f t="shared" si="18"/>
        <v>20</v>
      </c>
      <c r="H18" s="34">
        <f t="shared" si="18"/>
        <v>20</v>
      </c>
      <c r="J18" s="36" t="s">
        <v>28</v>
      </c>
      <c r="K18" s="39">
        <f t="shared" ref="K18:P18" si="19">ROUND(K9/1000000,0)</f>
        <v>20</v>
      </c>
      <c r="L18" s="39">
        <f t="shared" si="19"/>
        <v>68</v>
      </c>
      <c r="M18" s="39">
        <f t="shared" si="19"/>
        <v>55</v>
      </c>
      <c r="N18" s="39">
        <f t="shared" si="19"/>
        <v>47</v>
      </c>
      <c r="O18" s="39">
        <f t="shared" si="19"/>
        <v>64</v>
      </c>
      <c r="P18" s="34">
        <f t="shared" si="19"/>
        <v>20</v>
      </c>
    </row>
    <row r="19" spans="2:16" ht="20.100000000000001" customHeight="1" x14ac:dyDescent="0.3">
      <c r="B19" s="49" t="s">
        <v>29</v>
      </c>
      <c r="C19" s="38">
        <f t="shared" ref="C19:H19" si="20">ROUND(C10/1000000,0)</f>
        <v>16</v>
      </c>
      <c r="D19" s="38">
        <f t="shared" si="20"/>
        <v>29</v>
      </c>
      <c r="E19" s="38">
        <f t="shared" si="20"/>
        <v>38</v>
      </c>
      <c r="F19" s="38">
        <f t="shared" si="20"/>
        <v>30</v>
      </c>
      <c r="G19" s="38">
        <f t="shared" si="20"/>
        <v>20</v>
      </c>
      <c r="H19" s="35">
        <f t="shared" si="20"/>
        <v>20</v>
      </c>
      <c r="J19" s="49" t="s">
        <v>29</v>
      </c>
      <c r="K19" s="38">
        <f t="shared" ref="K19:P19" si="21">ROUND(K10/1000000,0)</f>
        <v>16</v>
      </c>
      <c r="L19" s="38">
        <f t="shared" si="21"/>
        <v>71</v>
      </c>
      <c r="M19" s="38">
        <f t="shared" si="21"/>
        <v>38</v>
      </c>
      <c r="N19" s="38">
        <f t="shared" si="21"/>
        <v>47</v>
      </c>
      <c r="O19" s="38">
        <f t="shared" si="21"/>
        <v>64</v>
      </c>
      <c r="P19" s="35">
        <f t="shared" si="21"/>
        <v>20</v>
      </c>
    </row>
  </sheetData>
  <mergeCells count="6">
    <mergeCell ref="B2:H2"/>
    <mergeCell ref="J2:P2"/>
    <mergeCell ref="B3:H3"/>
    <mergeCell ref="J3:P3"/>
    <mergeCell ref="B12:H12"/>
    <mergeCell ref="J12:P12"/>
  </mergeCells>
  <phoneticPr fontId="2" type="noConversion"/>
  <pageMargins left="0.7" right="0.7" top="0.75" bottom="0.75" header="0.3" footer="0.3"/>
  <pageSetup paperSize="9" orientation="landscape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328C-95B7-4E31-A281-4569EF88BA9D}">
  <sheetPr>
    <tabColor theme="4" tint="0.59999389629810485"/>
    <pageSetUpPr fitToPage="1"/>
  </sheetPr>
  <dimension ref="B2:M16"/>
  <sheetViews>
    <sheetView zoomScale="85" zoomScaleNormal="85" workbookViewId="0">
      <selection activeCell="G7" sqref="G7"/>
    </sheetView>
  </sheetViews>
  <sheetFormatPr defaultColWidth="10.625" defaultRowHeight="20.100000000000001" customHeight="1" x14ac:dyDescent="0.3"/>
  <cols>
    <col min="1" max="1" width="3.625" style="1" customWidth="1"/>
    <col min="2" max="2" width="14.625" style="1" customWidth="1"/>
    <col min="3" max="4" width="10.625" style="1"/>
    <col min="5" max="6" width="12.625" style="1" customWidth="1"/>
    <col min="7" max="7" width="8.625" style="1" customWidth="1"/>
    <col min="8" max="8" width="12.625" style="1" customWidth="1"/>
    <col min="9" max="9" width="8.625" style="1" customWidth="1"/>
    <col min="10" max="10" width="12.625" style="1" customWidth="1"/>
    <col min="11" max="11" width="8.625" style="1" customWidth="1"/>
    <col min="12" max="12" width="12.625" style="1" customWidth="1"/>
    <col min="13" max="13" width="8.625" style="1" customWidth="1"/>
    <col min="14" max="16384" width="10.625" style="1"/>
  </cols>
  <sheetData>
    <row r="2" spans="2:13" ht="30" customHeight="1" x14ac:dyDescent="0.3">
      <c r="B2" s="200" t="str">
        <f>B3&amp;"조사 항목 예산 현황"</f>
        <v>유량조사 항목 예산 현황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pans="2:13" ht="20.100000000000001" customHeight="1" thickBot="1" x14ac:dyDescent="0.35">
      <c r="B3" s="95" t="s">
        <v>26</v>
      </c>
      <c r="C3" s="204" t="s">
        <v>24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</row>
    <row r="4" spans="2:13" ht="30" customHeight="1" x14ac:dyDescent="0.3">
      <c r="B4" s="197" t="s">
        <v>0</v>
      </c>
      <c r="C4" s="195" t="s">
        <v>35</v>
      </c>
      <c r="D4" s="195" t="s">
        <v>36</v>
      </c>
      <c r="E4" s="192" t="s">
        <v>23</v>
      </c>
      <c r="F4" s="194" t="s">
        <v>47</v>
      </c>
      <c r="G4" s="195"/>
      <c r="H4" s="195"/>
      <c r="I4" s="196"/>
      <c r="J4" s="197" t="s">
        <v>48</v>
      </c>
      <c r="K4" s="195"/>
      <c r="L4" s="195"/>
      <c r="M4" s="192"/>
    </row>
    <row r="5" spans="2:13" ht="30" customHeight="1" x14ac:dyDescent="0.3">
      <c r="B5" s="212"/>
      <c r="C5" s="213"/>
      <c r="D5" s="213"/>
      <c r="E5" s="193"/>
      <c r="F5" s="56" t="s">
        <v>45</v>
      </c>
      <c r="G5" s="51"/>
      <c r="H5" s="51" t="s">
        <v>46</v>
      </c>
      <c r="I5" s="57"/>
      <c r="J5" s="55" t="s">
        <v>45</v>
      </c>
      <c r="K5" s="51"/>
      <c r="L5" s="51" t="s">
        <v>46</v>
      </c>
      <c r="M5" s="53"/>
    </row>
    <row r="6" spans="2:13" ht="30" customHeight="1" x14ac:dyDescent="0.3">
      <c r="B6" s="36" t="s">
        <v>49</v>
      </c>
      <c r="C6" s="52">
        <f>INDEX(지점현황[[2021년]:[2026년]],MATCH($B$3,지점현황[항목],0),MATCH(B6,지점현황[[#Headers],[2021년]:[2026년]],0))</f>
        <v>194</v>
      </c>
      <c r="D6" s="52">
        <f>INDEX(단가[[2021년]:[2026년]],MATCH($B$3,단가[항목],0),MATCH($B6,단가[[#Headers],[2021년]:[2026년]],0))</f>
        <v>84</v>
      </c>
      <c r="E6" s="58">
        <f>$C6*$D6</f>
        <v>16296</v>
      </c>
      <c r="F6" s="61">
        <f>$E6-H6</f>
        <v>15106</v>
      </c>
      <c r="G6" s="81">
        <f>ROUND(F6/$E6*100,2)</f>
        <v>92.7</v>
      </c>
      <c r="H6" s="65">
        <f>INDEX(실행예산[[2021년]:[2026년]],MATCH($B$3,실행예산[구분],0),MATCH($B6,실행예산[[#Headers],[2021년]:[2026년]],0))</f>
        <v>1190</v>
      </c>
      <c r="I6" s="85">
        <f>ROUND(H6/$E6*100,2)</f>
        <v>7.3</v>
      </c>
      <c r="J6" s="63">
        <f>$E6-L6</f>
        <v>15106</v>
      </c>
      <c r="K6" s="89">
        <f>ROUND(J6/$E6*100,2)</f>
        <v>92.7</v>
      </c>
      <c r="L6" s="67">
        <f>INDEX(예산[[2021년]:[2026년]],MATCH($B$3,예산[구분],0),MATCH($B6,예산[[#Headers],[2021년]:[2026년]],0))</f>
        <v>1190</v>
      </c>
      <c r="M6" s="91">
        <f>ROUND(L6/$E6*100,2)</f>
        <v>7.3</v>
      </c>
    </row>
    <row r="7" spans="2:13" ht="30" customHeight="1" x14ac:dyDescent="0.3">
      <c r="B7" s="36" t="s">
        <v>3</v>
      </c>
      <c r="C7" s="52">
        <f>INDEX(지점현황[[2021년]:[2026년]],MATCH($B$3,지점현황[항목],0),MATCH(B7,지점현황[[#Headers],[2021년]:[2026년]],0))</f>
        <v>244</v>
      </c>
      <c r="D7" s="52">
        <f>INDEX(단가[[2021년]:[2026년]],MATCH($B$3,단가[항목],0),MATCH($B7,단가[[#Headers],[2021년]:[2026년]],0))</f>
        <v>84</v>
      </c>
      <c r="E7" s="58">
        <f t="shared" ref="E7:E11" si="0">$C7*$D7</f>
        <v>20496</v>
      </c>
      <c r="F7" s="61">
        <f t="shared" ref="F7:F11" si="1">E7-H7</f>
        <v>17006</v>
      </c>
      <c r="G7" s="81">
        <f t="shared" ref="G7:I13" si="2">ROUND(F7/$E7*100,2)</f>
        <v>82.97</v>
      </c>
      <c r="H7" s="65">
        <f>INDEX(실행예산[[2021년]:[2026년]],MATCH($B$3,실행예산[구분],0),MATCH($B7,실행예산[[#Headers],[2021년]:[2026년]],0))</f>
        <v>3490</v>
      </c>
      <c r="I7" s="85">
        <f t="shared" si="2"/>
        <v>17.03</v>
      </c>
      <c r="J7" s="63">
        <f t="shared" ref="J7:J11" si="3">$E7-L7</f>
        <v>16726</v>
      </c>
      <c r="K7" s="89">
        <f t="shared" ref="K7" si="4">ROUND(J7/$E7*100,2)</f>
        <v>81.61</v>
      </c>
      <c r="L7" s="67">
        <f>INDEX(예산[[2021년]:[2026년]],MATCH($B$3,예산[구분],0),MATCH($B7,예산[[#Headers],[2021년]:[2026년]],0))</f>
        <v>3770</v>
      </c>
      <c r="M7" s="91">
        <f t="shared" ref="M7" si="5">ROUND(L7/$E7*100,2)</f>
        <v>18.39</v>
      </c>
    </row>
    <row r="8" spans="2:13" ht="30" customHeight="1" x14ac:dyDescent="0.3">
      <c r="B8" s="36" t="s">
        <v>5</v>
      </c>
      <c r="C8" s="52">
        <f>INDEX(지점현황[[2021년]:[2026년]],MATCH($B$3,지점현황[항목],0),MATCH(B8,지점현황[[#Headers],[2021년]:[2026년]],0))</f>
        <v>244</v>
      </c>
      <c r="D8" s="52">
        <f>INDEX(단가[[2021년]:[2026년]],MATCH($B$3,단가[항목],0),MATCH($B8,단가[[#Headers],[2021년]:[2026년]],0))</f>
        <v>84</v>
      </c>
      <c r="E8" s="58">
        <f t="shared" si="0"/>
        <v>20496</v>
      </c>
      <c r="F8" s="61">
        <f t="shared" si="1"/>
        <v>17907</v>
      </c>
      <c r="G8" s="81">
        <f t="shared" si="2"/>
        <v>87.37</v>
      </c>
      <c r="H8" s="65">
        <f>INDEX(실행예산[[2021년]:[2026년]],MATCH($B$3,실행예산[구분],0),MATCH($B8,실행예산[[#Headers],[2021년]:[2026년]],0))</f>
        <v>2589</v>
      </c>
      <c r="I8" s="85">
        <f t="shared" si="2"/>
        <v>12.63</v>
      </c>
      <c r="J8" s="63">
        <f t="shared" si="3"/>
        <v>17901</v>
      </c>
      <c r="K8" s="89">
        <f t="shared" ref="K8" si="6">ROUND(J8/$E8*100,2)</f>
        <v>87.34</v>
      </c>
      <c r="L8" s="67">
        <f>INDEX(예산[[2021년]:[2026년]],MATCH($B$3,예산[구분],0),MATCH($B8,예산[[#Headers],[2021년]:[2026년]],0))</f>
        <v>2595</v>
      </c>
      <c r="M8" s="91">
        <f t="shared" ref="M8" si="7">ROUND(L8/$E8*100,2)</f>
        <v>12.66</v>
      </c>
    </row>
    <row r="9" spans="2:13" ht="30" customHeight="1" x14ac:dyDescent="0.3">
      <c r="B9" s="36" t="s">
        <v>6</v>
      </c>
      <c r="C9" s="52">
        <f>INDEX(지점현황[[2021년]:[2026년]],MATCH($B$3,지점현황[항목],0),MATCH(B9,지점현황[[#Headers],[2021년]:[2026년]],0))</f>
        <v>284</v>
      </c>
      <c r="D9" s="52">
        <f>INDEX(단가[[2021년]:[2026년]],MATCH($B$3,단가[항목],0),MATCH($B9,단가[[#Headers],[2021년]:[2026년]],0))</f>
        <v>84</v>
      </c>
      <c r="E9" s="58">
        <f t="shared" si="0"/>
        <v>23856</v>
      </c>
      <c r="F9" s="61">
        <f t="shared" si="1"/>
        <v>20064</v>
      </c>
      <c r="G9" s="81">
        <f t="shared" si="2"/>
        <v>84.1</v>
      </c>
      <c r="H9" s="65">
        <f>INDEX(실행예산[[2021년]:[2026년]],MATCH($B$3,실행예산[구분],0),MATCH($B9,실행예산[[#Headers],[2021년]:[2026년]],0))</f>
        <v>3792</v>
      </c>
      <c r="I9" s="85">
        <f t="shared" si="2"/>
        <v>15.9</v>
      </c>
      <c r="J9" s="63">
        <f t="shared" si="3"/>
        <v>19906</v>
      </c>
      <c r="K9" s="89">
        <f t="shared" ref="K9" si="8">ROUND(J9/$E9*100,2)</f>
        <v>83.44</v>
      </c>
      <c r="L9" s="67">
        <f>INDEX(예산[[2021년]:[2026년]],MATCH($B$3,예산[구분],0),MATCH($B9,예산[[#Headers],[2021년]:[2026년]],0))</f>
        <v>3950</v>
      </c>
      <c r="M9" s="91">
        <f t="shared" ref="M9" si="9">ROUND(L9/$E9*100,2)</f>
        <v>16.559999999999999</v>
      </c>
    </row>
    <row r="10" spans="2:13" ht="30" customHeight="1" x14ac:dyDescent="0.3">
      <c r="B10" s="36" t="s">
        <v>7</v>
      </c>
      <c r="C10" s="52">
        <f>INDEX(지점현황[[2021년]:[2026년]],MATCH($B$3,지점현황[항목],0),MATCH(B10,지점현황[[#Headers],[2021년]:[2026년]],0))</f>
        <v>186</v>
      </c>
      <c r="D10" s="52">
        <f>INDEX(단가[[2021년]:[2026년]],MATCH($B$3,단가[항목],0),MATCH($B10,단가[[#Headers],[2021년]:[2026년]],0))</f>
        <v>84</v>
      </c>
      <c r="E10" s="58">
        <f t="shared" si="0"/>
        <v>15624</v>
      </c>
      <c r="F10" s="61">
        <f t="shared" si="1"/>
        <v>12996</v>
      </c>
      <c r="G10" s="81">
        <f t="shared" si="2"/>
        <v>83.18</v>
      </c>
      <c r="H10" s="65">
        <f>INDEX(실행예산[[2021년]:[2026년]],MATCH($B$3,실행예산[구분],0),MATCH($B10,실행예산[[#Headers],[2021년]:[2026년]],0))</f>
        <v>2628</v>
      </c>
      <c r="I10" s="85">
        <f t="shared" si="2"/>
        <v>16.82</v>
      </c>
      <c r="J10" s="63">
        <f t="shared" si="3"/>
        <v>12526</v>
      </c>
      <c r="K10" s="89">
        <f t="shared" ref="K10" si="10">ROUND(J10/$E10*100,2)</f>
        <v>80.17</v>
      </c>
      <c r="L10" s="67">
        <f>INDEX(예산[[2021년]:[2026년]],MATCH($B$3,예산[구분],0),MATCH($B10,예산[[#Headers],[2021년]:[2026년]],0))</f>
        <v>3098</v>
      </c>
      <c r="M10" s="91">
        <f t="shared" ref="M10" si="11">ROUND(L10/$E10*100,2)</f>
        <v>19.829999999999998</v>
      </c>
    </row>
    <row r="11" spans="2:13" ht="30" customHeight="1" thickBot="1" x14ac:dyDescent="0.35">
      <c r="B11" s="37" t="s">
        <v>8</v>
      </c>
      <c r="C11" s="54">
        <f>INDEX(지점현황[[2021년]:[2026년]],MATCH($B$3,지점현황[항목],0),MATCH(B11,지점현황[[#Headers],[2021년]:[2026년]],0))</f>
        <v>144</v>
      </c>
      <c r="D11" s="54">
        <f>INDEX(단가[[2021년]:[2026년]],MATCH($B$3,단가[항목],0),MATCH($B11,단가[[#Headers],[2021년]:[2026년]],0))</f>
        <v>84</v>
      </c>
      <c r="E11" s="59">
        <f t="shared" si="0"/>
        <v>12096</v>
      </c>
      <c r="F11" s="62">
        <f t="shared" si="1"/>
        <v>10056</v>
      </c>
      <c r="G11" s="82">
        <f t="shared" si="2"/>
        <v>83.13</v>
      </c>
      <c r="H11" s="66">
        <f>INDEX(실행예산[[2021년]:[2026년]],MATCH($B$3,실행예산[구분],0),MATCH($B11,실행예산[[#Headers],[2021년]:[2026년]],0))</f>
        <v>2040</v>
      </c>
      <c r="I11" s="86">
        <f t="shared" si="2"/>
        <v>16.87</v>
      </c>
      <c r="J11" s="64">
        <f t="shared" si="3"/>
        <v>10056</v>
      </c>
      <c r="K11" s="90">
        <f t="shared" ref="K11:M13" si="12">ROUND(J11/$E11*100,2)</f>
        <v>83.13</v>
      </c>
      <c r="L11" s="68">
        <f>INDEX(예산[[2021년]:[2026년]],MATCH($B$3,예산[구분],0),MATCH($B11,예산[[#Headers],[2021년]:[2026년]],0))</f>
        <v>2040</v>
      </c>
      <c r="M11" s="92">
        <f t="shared" ref="M11:M12" si="13">ROUND(L11/$E11*100,2)</f>
        <v>16.87</v>
      </c>
    </row>
    <row r="12" spans="2:13" ht="30" customHeight="1" x14ac:dyDescent="0.3">
      <c r="B12" s="69" t="s">
        <v>50</v>
      </c>
      <c r="C12" s="70"/>
      <c r="D12" s="70"/>
      <c r="E12" s="71">
        <f>SUM($F12,$H12)</f>
        <v>18145</v>
      </c>
      <c r="F12" s="72">
        <f>ROUND(AVERAGE(F$6:F$11),0)</f>
        <v>15523</v>
      </c>
      <c r="G12" s="83">
        <f t="shared" si="2"/>
        <v>85.55</v>
      </c>
      <c r="H12" s="73">
        <f>ROUND(AVERAGE(H$6:H$11),0)</f>
        <v>2622</v>
      </c>
      <c r="I12" s="87">
        <f t="shared" si="2"/>
        <v>14.45</v>
      </c>
      <c r="J12" s="74">
        <f>ROUND(AVERAGE(J$6:J$11),0)</f>
        <v>15370</v>
      </c>
      <c r="K12" s="83">
        <f t="shared" si="12"/>
        <v>84.71</v>
      </c>
      <c r="L12" s="73">
        <f>ROUND(AVERAGE(L$6:L$11),0)</f>
        <v>2774</v>
      </c>
      <c r="M12" s="93">
        <f t="shared" si="13"/>
        <v>15.29</v>
      </c>
    </row>
    <row r="13" spans="2:13" ht="30" customHeight="1" thickBot="1" x14ac:dyDescent="0.35">
      <c r="B13" s="75" t="s">
        <v>51</v>
      </c>
      <c r="C13" s="76"/>
      <c r="D13" s="76"/>
      <c r="E13" s="77">
        <f>SUM($F13,$H13)</f>
        <v>20118</v>
      </c>
      <c r="F13" s="78">
        <f>ROUND(AVERAGE(F$7:F$10),0)</f>
        <v>16993</v>
      </c>
      <c r="G13" s="84">
        <f t="shared" si="2"/>
        <v>84.47</v>
      </c>
      <c r="H13" s="79">
        <f>ROUND(AVERAGE(H$7:H$10),0)</f>
        <v>3125</v>
      </c>
      <c r="I13" s="88">
        <f t="shared" si="2"/>
        <v>15.53</v>
      </c>
      <c r="J13" s="80">
        <f>ROUND(AVERAGE(J$7:J$10),0)</f>
        <v>16765</v>
      </c>
      <c r="K13" s="84">
        <f t="shared" si="12"/>
        <v>83.33</v>
      </c>
      <c r="L13" s="79">
        <f>ROUND(AVERAGE(L$7:L$10),0)</f>
        <v>3353</v>
      </c>
      <c r="M13" s="94">
        <f t="shared" si="12"/>
        <v>16.670000000000002</v>
      </c>
    </row>
    <row r="14" spans="2:13" ht="30" customHeight="1" x14ac:dyDescent="0.3">
      <c r="B14" s="211">
        <f>INDEX(단가[[2021년]:[2026년]],MATCH($B$3,단가[항목],0),MATCH($B11,단가[[#Headers],[2021년]:[2026년]],0))</f>
        <v>84</v>
      </c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</row>
    <row r="15" spans="2:13" ht="20.100000000000001" customHeight="1" x14ac:dyDescent="0.3">
      <c r="E15" s="60"/>
      <c r="F15" s="60"/>
      <c r="G15" s="60"/>
      <c r="H15" s="60"/>
      <c r="I15" s="60"/>
    </row>
    <row r="16" spans="2:13" ht="20.100000000000001" customHeight="1" x14ac:dyDescent="0.3">
      <c r="E16" s="60"/>
      <c r="F16" s="60"/>
      <c r="G16" s="60"/>
      <c r="H16" s="60"/>
      <c r="I16" s="60"/>
    </row>
  </sheetData>
  <mergeCells count="9">
    <mergeCell ref="B2:M2"/>
    <mergeCell ref="C3:M3"/>
    <mergeCell ref="B14:M14"/>
    <mergeCell ref="B4:B5"/>
    <mergeCell ref="C4:C5"/>
    <mergeCell ref="D4:D5"/>
    <mergeCell ref="E4:E5"/>
    <mergeCell ref="F4:I4"/>
    <mergeCell ref="J4:M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7" orientation="landscape" r:id="rId1"/>
  <ignoredErrors>
    <ignoredError sqref="G6:M1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A608-B4B2-4152-9C2C-92F425E3E72B}">
  <sheetPr>
    <tabColor theme="4" tint="0.59999389629810485"/>
    <pageSetUpPr fitToPage="1"/>
  </sheetPr>
  <dimension ref="B2:M16"/>
  <sheetViews>
    <sheetView zoomScale="85" zoomScaleNormal="85" workbookViewId="0">
      <selection activeCell="B2" sqref="B2:M2"/>
    </sheetView>
  </sheetViews>
  <sheetFormatPr defaultColWidth="10.625" defaultRowHeight="20.100000000000001" customHeight="1" x14ac:dyDescent="0.3"/>
  <cols>
    <col min="1" max="1" width="3.625" style="1" customWidth="1"/>
    <col min="2" max="2" width="14.625" style="1" customWidth="1"/>
    <col min="3" max="4" width="10.625" style="1"/>
    <col min="5" max="6" width="12.625" style="1" customWidth="1"/>
    <col min="7" max="7" width="8.625" style="1" customWidth="1"/>
    <col min="8" max="8" width="12.625" style="1" customWidth="1"/>
    <col min="9" max="9" width="8.625" style="1" customWidth="1"/>
    <col min="10" max="10" width="12.625" style="1" customWidth="1"/>
    <col min="11" max="11" width="8.625" style="1" customWidth="1"/>
    <col min="12" max="12" width="12.625" style="1" customWidth="1"/>
    <col min="13" max="13" width="8.625" style="1" customWidth="1"/>
    <col min="14" max="16384" width="10.625" style="1"/>
  </cols>
  <sheetData>
    <row r="2" spans="2:13" ht="30" customHeight="1" x14ac:dyDescent="0.3">
      <c r="B2" s="200" t="str">
        <f>B3&amp;"조사 항목 예산 현황"</f>
        <v>유사량조사 항목 예산 현황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pans="2:13" ht="20.100000000000001" customHeight="1" thickBot="1" x14ac:dyDescent="0.35">
      <c r="B3" s="95" t="s">
        <v>27</v>
      </c>
      <c r="C3" s="204" t="s">
        <v>24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</row>
    <row r="4" spans="2:13" ht="30" customHeight="1" x14ac:dyDescent="0.3">
      <c r="B4" s="197" t="s">
        <v>0</v>
      </c>
      <c r="C4" s="195" t="s">
        <v>35</v>
      </c>
      <c r="D4" s="195" t="s">
        <v>36</v>
      </c>
      <c r="E4" s="192" t="s">
        <v>23</v>
      </c>
      <c r="F4" s="194" t="s">
        <v>47</v>
      </c>
      <c r="G4" s="195"/>
      <c r="H4" s="195"/>
      <c r="I4" s="196"/>
      <c r="J4" s="197" t="s">
        <v>48</v>
      </c>
      <c r="K4" s="195"/>
      <c r="L4" s="195"/>
      <c r="M4" s="192"/>
    </row>
    <row r="5" spans="2:13" ht="30" customHeight="1" x14ac:dyDescent="0.3">
      <c r="B5" s="212"/>
      <c r="C5" s="213"/>
      <c r="D5" s="213"/>
      <c r="E5" s="193"/>
      <c r="F5" s="56" t="s">
        <v>45</v>
      </c>
      <c r="G5" s="51"/>
      <c r="H5" s="51" t="s">
        <v>46</v>
      </c>
      <c r="I5" s="57"/>
      <c r="J5" s="55" t="s">
        <v>45</v>
      </c>
      <c r="K5" s="51"/>
      <c r="L5" s="51" t="s">
        <v>46</v>
      </c>
      <c r="M5" s="53"/>
    </row>
    <row r="6" spans="2:13" ht="30" customHeight="1" x14ac:dyDescent="0.3">
      <c r="B6" s="36" t="s">
        <v>49</v>
      </c>
      <c r="C6" s="52">
        <f>INDEX(지점현황[[2021년]:[2026년]],MATCH($B$3,지점현황[항목],0),MATCH(B6,지점현황[[#Headers],[2021년]:[2026년]],0))</f>
        <v>24</v>
      </c>
      <c r="D6" s="52">
        <f>INDEX(단가[[2021년]:[2026년]],MATCH($B$3,단가[항목],0),MATCH($B6,단가[[#Headers],[2021년]:[2026년]],0))</f>
        <v>50</v>
      </c>
      <c r="E6" s="58">
        <f>$C6*$D6</f>
        <v>1200</v>
      </c>
      <c r="F6" s="61">
        <f>$E6-H6</f>
        <v>862</v>
      </c>
      <c r="G6" s="81">
        <f>ROUND(F6/$E6*100,2)</f>
        <v>71.83</v>
      </c>
      <c r="H6" s="65">
        <f>INDEX(실행예산[[2021년]:[2026년]],MATCH($B$3,실행예산[구분],0),MATCH($B6,실행예산[[#Headers],[2021년]:[2026년]],0))</f>
        <v>338</v>
      </c>
      <c r="I6" s="85">
        <f>ROUND(H6/$E6*100,2)</f>
        <v>28.17</v>
      </c>
      <c r="J6" s="63">
        <f>$E6-L6</f>
        <v>862</v>
      </c>
      <c r="K6" s="89">
        <f>ROUND(J6/$E6*100,2)</f>
        <v>71.83</v>
      </c>
      <c r="L6" s="67">
        <f>INDEX(예산[[2021년]:[2026년]],MATCH($B$3,예산[구분],0),MATCH($B6,예산[[#Headers],[2021년]:[2026년]],0))</f>
        <v>338</v>
      </c>
      <c r="M6" s="91">
        <f>ROUND(L6/$E6*100,2)</f>
        <v>28.17</v>
      </c>
    </row>
    <row r="7" spans="2:13" ht="30" customHeight="1" x14ac:dyDescent="0.3">
      <c r="B7" s="36" t="s">
        <v>3</v>
      </c>
      <c r="C7" s="52">
        <f>INDEX(지점현황[[2021년]:[2026년]],MATCH($B$3,지점현황[항목],0),MATCH(B7,지점현황[[#Headers],[2021년]:[2026년]],0))</f>
        <v>25</v>
      </c>
      <c r="D7" s="52">
        <f>INDEX(단가[[2021년]:[2026년]],MATCH($B$3,단가[항목],0),MATCH($B7,단가[[#Headers],[2021년]:[2026년]],0))</f>
        <v>50</v>
      </c>
      <c r="E7" s="58">
        <f t="shared" ref="E7:E11" si="0">$C7*$D7</f>
        <v>1250</v>
      </c>
      <c r="F7" s="61">
        <f t="shared" ref="F7:F11" si="1">E7-H7</f>
        <v>894</v>
      </c>
      <c r="G7" s="81">
        <f t="shared" ref="G7:I13" si="2">ROUND(F7/$E7*100,2)</f>
        <v>71.52</v>
      </c>
      <c r="H7" s="65">
        <f>INDEX(실행예산[[2021년]:[2026년]],MATCH($B$3,실행예산[구분],0),MATCH($B7,실행예산[[#Headers],[2021년]:[2026년]],0))</f>
        <v>356</v>
      </c>
      <c r="I7" s="85">
        <f t="shared" si="2"/>
        <v>28.48</v>
      </c>
      <c r="J7" s="63">
        <f t="shared" ref="J7:J11" si="3">$E7-L7</f>
        <v>875</v>
      </c>
      <c r="K7" s="89">
        <f t="shared" ref="K7:M13" si="4">ROUND(J7/$E7*100,2)</f>
        <v>70</v>
      </c>
      <c r="L7" s="67">
        <f>INDEX(예산[[2021년]:[2026년]],MATCH($B$3,예산[구분],0),MATCH($B7,예산[[#Headers],[2021년]:[2026년]],0))</f>
        <v>375</v>
      </c>
      <c r="M7" s="91">
        <f t="shared" ref="M7:M12" si="5">ROUND(L7/$E7*100,2)</f>
        <v>30</v>
      </c>
    </row>
    <row r="8" spans="2:13" ht="30" customHeight="1" x14ac:dyDescent="0.3">
      <c r="B8" s="36" t="s">
        <v>5</v>
      </c>
      <c r="C8" s="52">
        <f>INDEX(지점현황[[2021년]:[2026년]],MATCH($B$3,지점현황[항목],0),MATCH(B8,지점현황[[#Headers],[2021년]:[2026년]],0))</f>
        <v>25</v>
      </c>
      <c r="D8" s="52">
        <f>INDEX(단가[[2021년]:[2026년]],MATCH($B$3,단가[항목],0),MATCH($B8,단가[[#Headers],[2021년]:[2026년]],0))</f>
        <v>50</v>
      </c>
      <c r="E8" s="58">
        <f t="shared" si="0"/>
        <v>1250</v>
      </c>
      <c r="F8" s="61">
        <f t="shared" si="1"/>
        <v>834</v>
      </c>
      <c r="G8" s="81">
        <f t="shared" si="2"/>
        <v>66.72</v>
      </c>
      <c r="H8" s="65">
        <f>INDEX(실행예산[[2021년]:[2026년]],MATCH($B$3,실행예산[구분],0),MATCH($B8,실행예산[[#Headers],[2021년]:[2026년]],0))</f>
        <v>416</v>
      </c>
      <c r="I8" s="85">
        <f t="shared" si="2"/>
        <v>33.28</v>
      </c>
      <c r="J8" s="63">
        <f t="shared" si="3"/>
        <v>725</v>
      </c>
      <c r="K8" s="89">
        <f t="shared" si="4"/>
        <v>58</v>
      </c>
      <c r="L8" s="67">
        <f>INDEX(예산[[2021년]:[2026년]],MATCH($B$3,예산[구분],0),MATCH($B8,예산[[#Headers],[2021년]:[2026년]],0))</f>
        <v>525</v>
      </c>
      <c r="M8" s="91">
        <f t="shared" si="5"/>
        <v>42</v>
      </c>
    </row>
    <row r="9" spans="2:13" ht="30" customHeight="1" x14ac:dyDescent="0.3">
      <c r="B9" s="36" t="s">
        <v>6</v>
      </c>
      <c r="C9" s="52">
        <f>INDEX(지점현황[[2021년]:[2026년]],MATCH($B$3,지점현황[항목],0),MATCH(B9,지점현황[[#Headers],[2021년]:[2026년]],0))</f>
        <v>25</v>
      </c>
      <c r="D9" s="52">
        <f>INDEX(단가[[2021년]:[2026년]],MATCH($B$3,단가[항목],0),MATCH($B9,단가[[#Headers],[2021년]:[2026년]],0))</f>
        <v>50</v>
      </c>
      <c r="E9" s="58">
        <f t="shared" si="0"/>
        <v>1250</v>
      </c>
      <c r="F9" s="61">
        <f t="shared" si="1"/>
        <v>1029</v>
      </c>
      <c r="G9" s="81">
        <f t="shared" si="2"/>
        <v>82.32</v>
      </c>
      <c r="H9" s="65">
        <f>INDEX(실행예산[[2021년]:[2026년]],MATCH($B$3,실행예산[구분],0),MATCH($B9,실행예산[[#Headers],[2021년]:[2026년]],0))</f>
        <v>221</v>
      </c>
      <c r="I9" s="85">
        <f t="shared" si="2"/>
        <v>17.68</v>
      </c>
      <c r="J9" s="63">
        <f t="shared" si="3"/>
        <v>1029</v>
      </c>
      <c r="K9" s="89">
        <f t="shared" si="4"/>
        <v>82.32</v>
      </c>
      <c r="L9" s="67">
        <f>INDEX(예산[[2021년]:[2026년]],MATCH($B$3,예산[구분],0),MATCH($B9,예산[[#Headers],[2021년]:[2026년]],0))</f>
        <v>221</v>
      </c>
      <c r="M9" s="91">
        <f t="shared" si="5"/>
        <v>17.68</v>
      </c>
    </row>
    <row r="10" spans="2:13" ht="30" customHeight="1" x14ac:dyDescent="0.3">
      <c r="B10" s="36" t="s">
        <v>7</v>
      </c>
      <c r="C10" s="52">
        <f>INDEX(지점현황[[2021년]:[2026년]],MATCH($B$3,지점현황[항목],0),MATCH(B10,지점현황[[#Headers],[2021년]:[2026년]],0))</f>
        <v>25</v>
      </c>
      <c r="D10" s="52">
        <f>INDEX(단가[[2021년]:[2026년]],MATCH($B$3,단가[항목],0),MATCH($B10,단가[[#Headers],[2021년]:[2026년]],0))</f>
        <v>50</v>
      </c>
      <c r="E10" s="58">
        <f t="shared" si="0"/>
        <v>1250</v>
      </c>
      <c r="F10" s="61">
        <f t="shared" si="1"/>
        <v>1075</v>
      </c>
      <c r="G10" s="81">
        <f t="shared" si="2"/>
        <v>86</v>
      </c>
      <c r="H10" s="65">
        <f>INDEX(실행예산[[2021년]:[2026년]],MATCH($B$3,실행예산[구분],0),MATCH($B10,실행예산[[#Headers],[2021년]:[2026년]],0))</f>
        <v>175</v>
      </c>
      <c r="I10" s="85">
        <f t="shared" si="2"/>
        <v>14</v>
      </c>
      <c r="J10" s="63">
        <f t="shared" si="3"/>
        <v>774</v>
      </c>
      <c r="K10" s="89">
        <f t="shared" si="4"/>
        <v>61.92</v>
      </c>
      <c r="L10" s="67">
        <f>INDEX(예산[[2021년]:[2026년]],MATCH($B$3,예산[구분],0),MATCH($B10,예산[[#Headers],[2021년]:[2026년]],0))</f>
        <v>476</v>
      </c>
      <c r="M10" s="91">
        <f t="shared" si="5"/>
        <v>38.08</v>
      </c>
    </row>
    <row r="11" spans="2:13" ht="30" customHeight="1" thickBot="1" x14ac:dyDescent="0.35">
      <c r="B11" s="37" t="s">
        <v>8</v>
      </c>
      <c r="C11" s="54">
        <f>INDEX(지점현황[[2021년]:[2026년]],MATCH($B$3,지점현황[항목],0),MATCH(B11,지점현황[[#Headers],[2021년]:[2026년]],0))</f>
        <v>30</v>
      </c>
      <c r="D11" s="54">
        <f>INDEX(단가[[2021년]:[2026년]],MATCH($B$3,단가[항목],0),MATCH($B11,단가[[#Headers],[2021년]:[2026년]],0))</f>
        <v>50</v>
      </c>
      <c r="E11" s="59">
        <f t="shared" si="0"/>
        <v>1500</v>
      </c>
      <c r="F11" s="62">
        <f t="shared" si="1"/>
        <v>1341</v>
      </c>
      <c r="G11" s="82">
        <f t="shared" si="2"/>
        <v>89.4</v>
      </c>
      <c r="H11" s="66">
        <f>INDEX(실행예산[[2021년]:[2026년]],MATCH($B$3,실행예산[구분],0),MATCH($B11,실행예산[[#Headers],[2021년]:[2026년]],0))</f>
        <v>159</v>
      </c>
      <c r="I11" s="86">
        <f t="shared" si="2"/>
        <v>10.6</v>
      </c>
      <c r="J11" s="64">
        <f t="shared" si="3"/>
        <v>1341</v>
      </c>
      <c r="K11" s="90">
        <f t="shared" si="4"/>
        <v>89.4</v>
      </c>
      <c r="L11" s="68">
        <f>INDEX(예산[[2021년]:[2026년]],MATCH($B$3,예산[구분],0),MATCH($B11,예산[[#Headers],[2021년]:[2026년]],0))</f>
        <v>159</v>
      </c>
      <c r="M11" s="92">
        <f t="shared" si="5"/>
        <v>10.6</v>
      </c>
    </row>
    <row r="12" spans="2:13" ht="30" customHeight="1" x14ac:dyDescent="0.3">
      <c r="B12" s="69" t="s">
        <v>50</v>
      </c>
      <c r="C12" s="70"/>
      <c r="D12" s="70"/>
      <c r="E12" s="71">
        <f>SUM($F12,$H12)</f>
        <v>1284</v>
      </c>
      <c r="F12" s="72">
        <f>ROUND(AVERAGE(F$6:F$11),0)</f>
        <v>1006</v>
      </c>
      <c r="G12" s="83">
        <f t="shared" si="2"/>
        <v>78.349999999999994</v>
      </c>
      <c r="H12" s="73">
        <f>ROUND(AVERAGE(H$6:H$11),0)</f>
        <v>278</v>
      </c>
      <c r="I12" s="87">
        <f t="shared" si="2"/>
        <v>21.65</v>
      </c>
      <c r="J12" s="74">
        <f>ROUND(AVERAGE(J$6:J$11),0)</f>
        <v>934</v>
      </c>
      <c r="K12" s="83">
        <f t="shared" si="4"/>
        <v>72.739999999999995</v>
      </c>
      <c r="L12" s="73">
        <f>ROUND(AVERAGE(L$6:L$11),0)</f>
        <v>349</v>
      </c>
      <c r="M12" s="93">
        <f t="shared" si="5"/>
        <v>27.18</v>
      </c>
    </row>
    <row r="13" spans="2:13" ht="30" customHeight="1" thickBot="1" x14ac:dyDescent="0.35">
      <c r="B13" s="75" t="s">
        <v>51</v>
      </c>
      <c r="C13" s="76"/>
      <c r="D13" s="76"/>
      <c r="E13" s="77">
        <f>SUM($F13,$H13)</f>
        <v>1250</v>
      </c>
      <c r="F13" s="78">
        <f>ROUND(AVERAGE(F$7:F$10),0)</f>
        <v>958</v>
      </c>
      <c r="G13" s="84">
        <f t="shared" si="2"/>
        <v>76.64</v>
      </c>
      <c r="H13" s="79">
        <f>ROUND(AVERAGE(H$7:H$10),0)</f>
        <v>292</v>
      </c>
      <c r="I13" s="88">
        <f t="shared" si="2"/>
        <v>23.36</v>
      </c>
      <c r="J13" s="80">
        <f>ROUND(AVERAGE(J$7:J$10),0)</f>
        <v>851</v>
      </c>
      <c r="K13" s="84">
        <f t="shared" si="4"/>
        <v>68.08</v>
      </c>
      <c r="L13" s="79">
        <f>ROUND(AVERAGE(L$7:L$10),0)</f>
        <v>399</v>
      </c>
      <c r="M13" s="94">
        <f t="shared" si="4"/>
        <v>31.92</v>
      </c>
    </row>
    <row r="14" spans="2:13" ht="30" customHeight="1" x14ac:dyDescent="0.3">
      <c r="B14" s="214">
        <f>INDEX(단가[[2021년]:[2026년]],MATCH($B$3,단가[항목],0),MATCH($B11,단가[[#Headers],[2021년]:[2026년]],0))</f>
        <v>50</v>
      </c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</row>
    <row r="15" spans="2:13" ht="20.100000000000001" customHeight="1" x14ac:dyDescent="0.3">
      <c r="E15" s="60"/>
      <c r="F15" s="60"/>
      <c r="G15" s="60"/>
      <c r="H15" s="60"/>
      <c r="I15" s="60"/>
    </row>
    <row r="16" spans="2:13" ht="20.100000000000001" customHeight="1" x14ac:dyDescent="0.3">
      <c r="E16" s="60"/>
      <c r="F16" s="60"/>
      <c r="G16" s="60"/>
      <c r="H16" s="60"/>
      <c r="I16" s="60"/>
    </row>
  </sheetData>
  <mergeCells count="9">
    <mergeCell ref="B14:M14"/>
    <mergeCell ref="B2:M2"/>
    <mergeCell ref="C3:M3"/>
    <mergeCell ref="B4:B5"/>
    <mergeCell ref="C4:C5"/>
    <mergeCell ref="D4:D5"/>
    <mergeCell ref="E4:E5"/>
    <mergeCell ref="F4:I4"/>
    <mergeCell ref="J4:M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7" orientation="landscape" r:id="rId1"/>
  <ignoredErrors>
    <ignoredError sqref="G6:M1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1398-CF25-442A-A428-A61F70C5D27E}">
  <sheetPr>
    <tabColor theme="4" tint="0.59999389629810485"/>
    <pageSetUpPr fitToPage="1"/>
  </sheetPr>
  <dimension ref="B2:M16"/>
  <sheetViews>
    <sheetView zoomScale="85" zoomScaleNormal="85" workbookViewId="0">
      <selection activeCell="B2" sqref="B2:M2"/>
    </sheetView>
  </sheetViews>
  <sheetFormatPr defaultColWidth="10.625" defaultRowHeight="20.100000000000001" customHeight="1" x14ac:dyDescent="0.3"/>
  <cols>
    <col min="1" max="1" width="3.625" style="1" customWidth="1"/>
    <col min="2" max="2" width="14.625" style="1" customWidth="1"/>
    <col min="3" max="4" width="10.625" style="1"/>
    <col min="5" max="6" width="12.625" style="1" customWidth="1"/>
    <col min="7" max="7" width="8.625" style="1" customWidth="1"/>
    <col min="8" max="8" width="12.625" style="1" customWidth="1"/>
    <col min="9" max="9" width="8.625" style="1" customWidth="1"/>
    <col min="10" max="10" width="12.625" style="1" customWidth="1"/>
    <col min="11" max="11" width="8.625" style="1" customWidth="1"/>
    <col min="12" max="12" width="12.625" style="1" customWidth="1"/>
    <col min="13" max="13" width="8.625" style="1" customWidth="1"/>
    <col min="14" max="16384" width="10.625" style="1"/>
  </cols>
  <sheetData>
    <row r="2" spans="2:13" ht="30" customHeight="1" x14ac:dyDescent="0.3">
      <c r="B2" s="200" t="str">
        <f>B3&amp;"조사 항목 예산 현황"</f>
        <v>토양수분량조사 항목 예산 현황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pans="2:13" ht="20.100000000000001" customHeight="1" thickBot="1" x14ac:dyDescent="0.35">
      <c r="B3" s="95" t="s">
        <v>28</v>
      </c>
      <c r="C3" s="204" t="s">
        <v>24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</row>
    <row r="4" spans="2:13" ht="30" customHeight="1" x14ac:dyDescent="0.3">
      <c r="B4" s="197" t="s">
        <v>0</v>
      </c>
      <c r="C4" s="195" t="s">
        <v>35</v>
      </c>
      <c r="D4" s="195" t="s">
        <v>36</v>
      </c>
      <c r="E4" s="192" t="s">
        <v>23</v>
      </c>
      <c r="F4" s="194" t="s">
        <v>47</v>
      </c>
      <c r="G4" s="195"/>
      <c r="H4" s="195"/>
      <c r="I4" s="196"/>
      <c r="J4" s="197" t="s">
        <v>48</v>
      </c>
      <c r="K4" s="195"/>
      <c r="L4" s="195"/>
      <c r="M4" s="192"/>
    </row>
    <row r="5" spans="2:13" ht="30" customHeight="1" x14ac:dyDescent="0.3">
      <c r="B5" s="212"/>
      <c r="C5" s="213"/>
      <c r="D5" s="213"/>
      <c r="E5" s="193"/>
      <c r="F5" s="56" t="s">
        <v>45</v>
      </c>
      <c r="G5" s="51"/>
      <c r="H5" s="51" t="s">
        <v>46</v>
      </c>
      <c r="I5" s="57"/>
      <c r="J5" s="55" t="s">
        <v>45</v>
      </c>
      <c r="K5" s="51"/>
      <c r="L5" s="51" t="s">
        <v>46</v>
      </c>
      <c r="M5" s="53"/>
    </row>
    <row r="6" spans="2:13" ht="30" customHeight="1" x14ac:dyDescent="0.3">
      <c r="B6" s="36" t="s">
        <v>49</v>
      </c>
      <c r="C6" s="52">
        <f>INDEX(지점현황[[2021년]:[2026년]],MATCH($B$3,지점현황[항목],0),MATCH(B6,지점현황[[#Headers],[2021년]:[2026년]],0))</f>
        <v>2</v>
      </c>
      <c r="D6" s="52">
        <f>INDEX(단가[[2021년]:[2026년]],MATCH($B$3,단가[항목],0),MATCH($B6,단가[[#Headers],[2021년]:[2026년]],0))</f>
        <v>50</v>
      </c>
      <c r="E6" s="58">
        <f>$C6*$D6</f>
        <v>100</v>
      </c>
      <c r="F6" s="61">
        <f>$E6-H6</f>
        <v>80</v>
      </c>
      <c r="G6" s="81">
        <f>ROUND(F6/$E6*100,2)</f>
        <v>80</v>
      </c>
      <c r="H6" s="65">
        <f>INDEX(실행예산[[2021년]:[2026년]],MATCH($B$3,실행예산[구분],0),MATCH($B6,실행예산[[#Headers],[2021년]:[2026년]],0))</f>
        <v>20</v>
      </c>
      <c r="I6" s="85">
        <f>ROUND(H6/$E6*100,2)</f>
        <v>20</v>
      </c>
      <c r="J6" s="63">
        <f>$E6-L6</f>
        <v>80</v>
      </c>
      <c r="K6" s="89">
        <f>ROUND(J6/$E6*100,2)</f>
        <v>80</v>
      </c>
      <c r="L6" s="67">
        <f>INDEX(예산[[2021년]:[2026년]],MATCH($B$3,예산[구분],0),MATCH($B6,예산[[#Headers],[2021년]:[2026년]],0))</f>
        <v>20</v>
      </c>
      <c r="M6" s="91">
        <f>ROUND(L6/$E6*100,2)</f>
        <v>20</v>
      </c>
    </row>
    <row r="7" spans="2:13" ht="30" customHeight="1" x14ac:dyDescent="0.3">
      <c r="B7" s="36" t="s">
        <v>3</v>
      </c>
      <c r="C7" s="52">
        <f>INDEX(지점현황[[2021년]:[2026년]],MATCH($B$3,지점현황[항목],0),MATCH(B7,지점현황[[#Headers],[2021년]:[2026년]],0))</f>
        <v>2</v>
      </c>
      <c r="D7" s="52">
        <f>INDEX(단가[[2021년]:[2026년]],MATCH($B$3,단가[항목],0),MATCH($B7,단가[[#Headers],[2021년]:[2026년]],0))</f>
        <v>50</v>
      </c>
      <c r="E7" s="58">
        <f t="shared" ref="E7:E11" si="0">$C7*$D7</f>
        <v>100</v>
      </c>
      <c r="F7" s="61">
        <f t="shared" ref="F7:F11" si="1">E7-H7</f>
        <v>73</v>
      </c>
      <c r="G7" s="81">
        <f t="shared" ref="G7:I13" si="2">ROUND(F7/$E7*100,2)</f>
        <v>73</v>
      </c>
      <c r="H7" s="65">
        <f>INDEX(실행예산[[2021년]:[2026년]],MATCH($B$3,실행예산[구분],0),MATCH($B7,실행예산[[#Headers],[2021년]:[2026년]],0))</f>
        <v>27</v>
      </c>
      <c r="I7" s="85">
        <f t="shared" si="2"/>
        <v>27</v>
      </c>
      <c r="J7" s="63">
        <f t="shared" ref="J7:J11" si="3">$E7-L7</f>
        <v>32</v>
      </c>
      <c r="K7" s="89">
        <f t="shared" ref="K7:M13" si="4">ROUND(J7/$E7*100,2)</f>
        <v>32</v>
      </c>
      <c r="L7" s="67">
        <f>INDEX(예산[[2021년]:[2026년]],MATCH($B$3,예산[구분],0),MATCH($B7,예산[[#Headers],[2021년]:[2026년]],0))</f>
        <v>68</v>
      </c>
      <c r="M7" s="91">
        <f t="shared" ref="M7:M12" si="5">ROUND(L7/$E7*100,2)</f>
        <v>68</v>
      </c>
    </row>
    <row r="8" spans="2:13" ht="30" customHeight="1" x14ac:dyDescent="0.3">
      <c r="B8" s="36" t="s">
        <v>5</v>
      </c>
      <c r="C8" s="52">
        <f>INDEX(지점현황[[2021년]:[2026년]],MATCH($B$3,지점현황[항목],0),MATCH(B8,지점현황[[#Headers],[2021년]:[2026년]],0))</f>
        <v>2</v>
      </c>
      <c r="D8" s="52">
        <f>INDEX(단가[[2021년]:[2026년]],MATCH($B$3,단가[항목],0),MATCH($B8,단가[[#Headers],[2021년]:[2026년]],0))</f>
        <v>50</v>
      </c>
      <c r="E8" s="58">
        <f t="shared" si="0"/>
        <v>100</v>
      </c>
      <c r="F8" s="61">
        <f t="shared" si="1"/>
        <v>45</v>
      </c>
      <c r="G8" s="81">
        <f t="shared" si="2"/>
        <v>45</v>
      </c>
      <c r="H8" s="65">
        <f>INDEX(실행예산[[2021년]:[2026년]],MATCH($B$3,실행예산[구분],0),MATCH($B8,실행예산[[#Headers],[2021년]:[2026년]],0))</f>
        <v>55</v>
      </c>
      <c r="I8" s="85">
        <f t="shared" si="2"/>
        <v>55</v>
      </c>
      <c r="J8" s="63">
        <f t="shared" si="3"/>
        <v>45</v>
      </c>
      <c r="K8" s="89">
        <f t="shared" si="4"/>
        <v>45</v>
      </c>
      <c r="L8" s="67">
        <f>INDEX(예산[[2021년]:[2026년]],MATCH($B$3,예산[구분],0),MATCH($B8,예산[[#Headers],[2021년]:[2026년]],0))</f>
        <v>55</v>
      </c>
      <c r="M8" s="91">
        <f t="shared" si="5"/>
        <v>55</v>
      </c>
    </row>
    <row r="9" spans="2:13" ht="30" customHeight="1" x14ac:dyDescent="0.3">
      <c r="B9" s="36" t="s">
        <v>6</v>
      </c>
      <c r="C9" s="52">
        <f>INDEX(지점현황[[2021년]:[2026년]],MATCH($B$3,지점현황[항목],0),MATCH(B9,지점현황[[#Headers],[2021년]:[2026년]],0))</f>
        <v>2</v>
      </c>
      <c r="D9" s="52">
        <f>INDEX(단가[[2021년]:[2026년]],MATCH($B$3,단가[항목],0),MATCH($B9,단가[[#Headers],[2021년]:[2026년]],0))</f>
        <v>50</v>
      </c>
      <c r="E9" s="58">
        <f t="shared" si="0"/>
        <v>100</v>
      </c>
      <c r="F9" s="61">
        <f t="shared" si="1"/>
        <v>70</v>
      </c>
      <c r="G9" s="81">
        <f t="shared" si="2"/>
        <v>70</v>
      </c>
      <c r="H9" s="65">
        <f>INDEX(실행예산[[2021년]:[2026년]],MATCH($B$3,실행예산[구분],0),MATCH($B9,실행예산[[#Headers],[2021년]:[2026년]],0))</f>
        <v>30</v>
      </c>
      <c r="I9" s="85">
        <f t="shared" si="2"/>
        <v>30</v>
      </c>
      <c r="J9" s="63">
        <f t="shared" si="3"/>
        <v>53</v>
      </c>
      <c r="K9" s="89">
        <f t="shared" si="4"/>
        <v>53</v>
      </c>
      <c r="L9" s="67">
        <f>INDEX(예산[[2021년]:[2026년]],MATCH($B$3,예산[구분],0),MATCH($B9,예산[[#Headers],[2021년]:[2026년]],0))</f>
        <v>47</v>
      </c>
      <c r="M9" s="91">
        <f t="shared" si="5"/>
        <v>47</v>
      </c>
    </row>
    <row r="10" spans="2:13" ht="30" customHeight="1" x14ac:dyDescent="0.3">
      <c r="B10" s="36" t="s">
        <v>7</v>
      </c>
      <c r="C10" s="52">
        <f>INDEX(지점현황[[2021년]:[2026년]],MATCH($B$3,지점현황[항목],0),MATCH(B10,지점현황[[#Headers],[2021년]:[2026년]],0))</f>
        <v>2</v>
      </c>
      <c r="D10" s="52">
        <f>INDEX(단가[[2021년]:[2026년]],MATCH($B$3,단가[항목],0),MATCH($B10,단가[[#Headers],[2021년]:[2026년]],0))</f>
        <v>50</v>
      </c>
      <c r="E10" s="58">
        <f t="shared" si="0"/>
        <v>100</v>
      </c>
      <c r="F10" s="61">
        <f t="shared" si="1"/>
        <v>80</v>
      </c>
      <c r="G10" s="81">
        <f t="shared" si="2"/>
        <v>80</v>
      </c>
      <c r="H10" s="65">
        <f>INDEX(실행예산[[2021년]:[2026년]],MATCH($B$3,실행예산[구분],0),MATCH($B10,실행예산[[#Headers],[2021년]:[2026년]],0))</f>
        <v>20</v>
      </c>
      <c r="I10" s="85">
        <f t="shared" si="2"/>
        <v>20</v>
      </c>
      <c r="J10" s="63">
        <f t="shared" si="3"/>
        <v>36</v>
      </c>
      <c r="K10" s="89">
        <f t="shared" si="4"/>
        <v>36</v>
      </c>
      <c r="L10" s="67">
        <f>INDEX(예산[[2021년]:[2026년]],MATCH($B$3,예산[구분],0),MATCH($B10,예산[[#Headers],[2021년]:[2026년]],0))</f>
        <v>64</v>
      </c>
      <c r="M10" s="91">
        <f t="shared" si="5"/>
        <v>64</v>
      </c>
    </row>
    <row r="11" spans="2:13" ht="30" customHeight="1" thickBot="1" x14ac:dyDescent="0.35">
      <c r="B11" s="37" t="s">
        <v>8</v>
      </c>
      <c r="C11" s="54">
        <f>INDEX(지점현황[[2021년]:[2026년]],MATCH($B$3,지점현황[항목],0),MATCH(B11,지점현황[[#Headers],[2021년]:[2026년]],0))</f>
        <v>2</v>
      </c>
      <c r="D11" s="54">
        <f>INDEX(단가[[2021년]:[2026년]],MATCH($B$3,단가[항목],0),MATCH($B11,단가[[#Headers],[2021년]:[2026년]],0))</f>
        <v>50</v>
      </c>
      <c r="E11" s="59">
        <f t="shared" si="0"/>
        <v>100</v>
      </c>
      <c r="F11" s="62">
        <f t="shared" si="1"/>
        <v>80</v>
      </c>
      <c r="G11" s="82">
        <f t="shared" si="2"/>
        <v>80</v>
      </c>
      <c r="H11" s="66">
        <f>INDEX(실행예산[[2021년]:[2026년]],MATCH($B$3,실행예산[구분],0),MATCH($B11,실행예산[[#Headers],[2021년]:[2026년]],0))</f>
        <v>20</v>
      </c>
      <c r="I11" s="86">
        <f t="shared" si="2"/>
        <v>20</v>
      </c>
      <c r="J11" s="64">
        <f t="shared" si="3"/>
        <v>80</v>
      </c>
      <c r="K11" s="90">
        <f t="shared" si="4"/>
        <v>80</v>
      </c>
      <c r="L11" s="68">
        <f>INDEX(예산[[2021년]:[2026년]],MATCH($B$3,예산[구분],0),MATCH($B11,예산[[#Headers],[2021년]:[2026년]],0))</f>
        <v>20</v>
      </c>
      <c r="M11" s="92">
        <f t="shared" si="5"/>
        <v>20</v>
      </c>
    </row>
    <row r="12" spans="2:13" ht="30" customHeight="1" x14ac:dyDescent="0.3">
      <c r="B12" s="69" t="s">
        <v>50</v>
      </c>
      <c r="C12" s="70"/>
      <c r="D12" s="70"/>
      <c r="E12" s="71">
        <f>SUM($F12,$H12)</f>
        <v>100</v>
      </c>
      <c r="F12" s="72">
        <f>ROUND(AVERAGE(F$6:F$11),0)</f>
        <v>71</v>
      </c>
      <c r="G12" s="83">
        <f t="shared" si="2"/>
        <v>71</v>
      </c>
      <c r="H12" s="73">
        <f>ROUND(AVERAGE(H$6:H$11),0)</f>
        <v>29</v>
      </c>
      <c r="I12" s="87">
        <f t="shared" si="2"/>
        <v>29</v>
      </c>
      <c r="J12" s="74">
        <f>ROUND(AVERAGE(J$6:J$11),0)</f>
        <v>54</v>
      </c>
      <c r="K12" s="83">
        <f t="shared" si="4"/>
        <v>54</v>
      </c>
      <c r="L12" s="73">
        <f>ROUND(AVERAGE(L$6:L$11),0)</f>
        <v>46</v>
      </c>
      <c r="M12" s="93">
        <f t="shared" si="5"/>
        <v>46</v>
      </c>
    </row>
    <row r="13" spans="2:13" ht="30" customHeight="1" thickBot="1" x14ac:dyDescent="0.35">
      <c r="B13" s="75" t="s">
        <v>51</v>
      </c>
      <c r="C13" s="76"/>
      <c r="D13" s="76"/>
      <c r="E13" s="77">
        <f>SUM($F13,$H13)</f>
        <v>100</v>
      </c>
      <c r="F13" s="78">
        <f>ROUND(AVERAGE(F$7:F$10),0)</f>
        <v>67</v>
      </c>
      <c r="G13" s="84">
        <f t="shared" si="2"/>
        <v>67</v>
      </c>
      <c r="H13" s="79">
        <f>ROUND(AVERAGE(H$7:H$10),0)</f>
        <v>33</v>
      </c>
      <c r="I13" s="88">
        <f t="shared" si="2"/>
        <v>33</v>
      </c>
      <c r="J13" s="80">
        <f>ROUND(AVERAGE(J$7:J$10),0)</f>
        <v>42</v>
      </c>
      <c r="K13" s="84">
        <f t="shared" si="4"/>
        <v>42</v>
      </c>
      <c r="L13" s="79">
        <f>ROUND(AVERAGE(L$7:L$10),0)</f>
        <v>59</v>
      </c>
      <c r="M13" s="94">
        <f t="shared" si="4"/>
        <v>59</v>
      </c>
    </row>
    <row r="14" spans="2:13" ht="30" customHeight="1" x14ac:dyDescent="0.3">
      <c r="B14" s="215">
        <f>INDEX(단가[[2021년]:[2026년]],MATCH($B$3,단가[항목],0),MATCH($B11,단가[[#Headers],[2021년]:[2026년]],0))</f>
        <v>50</v>
      </c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</row>
    <row r="15" spans="2:13" ht="20.100000000000001" customHeight="1" x14ac:dyDescent="0.3">
      <c r="E15" s="60"/>
      <c r="F15" s="60"/>
      <c r="G15" s="60"/>
      <c r="H15" s="60"/>
    </row>
    <row r="16" spans="2:13" ht="20.100000000000001" customHeight="1" x14ac:dyDescent="0.3">
      <c r="E16" s="60"/>
      <c r="F16" s="60"/>
      <c r="G16" s="60"/>
      <c r="H16" s="60"/>
    </row>
  </sheetData>
  <mergeCells count="9">
    <mergeCell ref="B14:M14"/>
    <mergeCell ref="B2:M2"/>
    <mergeCell ref="C3:M3"/>
    <mergeCell ref="B4:B5"/>
    <mergeCell ref="C4:C5"/>
    <mergeCell ref="D4:D5"/>
    <mergeCell ref="E4:E5"/>
    <mergeCell ref="F4:I4"/>
    <mergeCell ref="J4:M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7" orientation="landscape" r:id="rId1"/>
  <ignoredErrors>
    <ignoredError sqref="G6:M1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2D2B5-1CF1-424C-9F78-DBC6E49D7C08}">
  <sheetPr>
    <tabColor theme="4" tint="0.59999389629810485"/>
    <pageSetUpPr fitToPage="1"/>
  </sheetPr>
  <dimension ref="B2:M16"/>
  <sheetViews>
    <sheetView zoomScale="85" zoomScaleNormal="85" workbookViewId="0">
      <selection activeCell="B4" sqref="B4:M13"/>
    </sheetView>
  </sheetViews>
  <sheetFormatPr defaultColWidth="10.625" defaultRowHeight="20.100000000000001" customHeight="1" x14ac:dyDescent="0.3"/>
  <cols>
    <col min="1" max="1" width="3.625" style="1" customWidth="1"/>
    <col min="2" max="2" width="14.625" style="1" customWidth="1"/>
    <col min="3" max="4" width="10.625" style="1"/>
    <col min="5" max="6" width="12.625" style="1" customWidth="1"/>
    <col min="7" max="7" width="8.625" style="1" customWidth="1"/>
    <col min="8" max="8" width="12.625" style="1" customWidth="1"/>
    <col min="9" max="9" width="8.625" style="1" customWidth="1"/>
    <col min="10" max="10" width="12.625" style="1" customWidth="1"/>
    <col min="11" max="11" width="8.625" style="1" customWidth="1"/>
    <col min="12" max="12" width="12.625" style="1" customWidth="1"/>
    <col min="13" max="13" width="8.625" style="1" customWidth="1"/>
    <col min="14" max="16384" width="10.625" style="1"/>
  </cols>
  <sheetData>
    <row r="2" spans="2:13" ht="30" customHeight="1" x14ac:dyDescent="0.3">
      <c r="B2" s="200" t="str">
        <f>B3&amp;"조사 항목 예산 현황"</f>
        <v>증발산량조사 항목 예산 현황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pans="2:13" ht="20.100000000000001" customHeight="1" thickBot="1" x14ac:dyDescent="0.35">
      <c r="B3" s="95" t="s">
        <v>29</v>
      </c>
      <c r="C3" s="204" t="s">
        <v>24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</row>
    <row r="4" spans="2:13" ht="30" customHeight="1" x14ac:dyDescent="0.3">
      <c r="B4" s="197" t="s">
        <v>0</v>
      </c>
      <c r="C4" s="195" t="s">
        <v>35</v>
      </c>
      <c r="D4" s="195" t="s">
        <v>36</v>
      </c>
      <c r="E4" s="192" t="s">
        <v>23</v>
      </c>
      <c r="F4" s="194" t="s">
        <v>47</v>
      </c>
      <c r="G4" s="195"/>
      <c r="H4" s="195"/>
      <c r="I4" s="196"/>
      <c r="J4" s="197" t="s">
        <v>48</v>
      </c>
      <c r="K4" s="195"/>
      <c r="L4" s="195"/>
      <c r="M4" s="192"/>
    </row>
    <row r="5" spans="2:13" ht="30" customHeight="1" x14ac:dyDescent="0.3">
      <c r="B5" s="212"/>
      <c r="C5" s="213"/>
      <c r="D5" s="213"/>
      <c r="E5" s="193"/>
      <c r="F5" s="56" t="s">
        <v>45</v>
      </c>
      <c r="G5" s="51"/>
      <c r="H5" s="51" t="s">
        <v>46</v>
      </c>
      <c r="I5" s="57"/>
      <c r="J5" s="55" t="s">
        <v>45</v>
      </c>
      <c r="K5" s="51"/>
      <c r="L5" s="51" t="s">
        <v>46</v>
      </c>
      <c r="M5" s="53"/>
    </row>
    <row r="6" spans="2:13" ht="30" customHeight="1" x14ac:dyDescent="0.3">
      <c r="B6" s="36" t="s">
        <v>49</v>
      </c>
      <c r="C6" s="52">
        <f>INDEX(지점현황[[2021년]:[2026년]],MATCH($B$3,지점현황[항목],0),MATCH(B6,지점현황[[#Headers],[2021년]:[2026년]],0))</f>
        <v>2</v>
      </c>
      <c r="D6" s="52">
        <f>INDEX(단가[[2021년]:[2026년]],MATCH($B$3,단가[항목],0),MATCH($B6,단가[[#Headers],[2021년]:[2026년]],0))</f>
        <v>50</v>
      </c>
      <c r="E6" s="58">
        <f>$C6*$D6</f>
        <v>100</v>
      </c>
      <c r="F6" s="61">
        <f>$E6-H6</f>
        <v>84</v>
      </c>
      <c r="G6" s="81">
        <f>ROUND(F6/$E6*100,2)</f>
        <v>84</v>
      </c>
      <c r="H6" s="65">
        <f>INDEX(실행예산[[2021년]:[2026년]],MATCH($B$3,실행예산[구분],0),MATCH($B6,실행예산[[#Headers],[2021년]:[2026년]],0))</f>
        <v>16</v>
      </c>
      <c r="I6" s="85">
        <f>ROUND(H6/$E6*100,2)</f>
        <v>16</v>
      </c>
      <c r="J6" s="63">
        <f>$E6-L6</f>
        <v>84</v>
      </c>
      <c r="K6" s="89">
        <f>ROUND(J6/$E6*100,2)</f>
        <v>84</v>
      </c>
      <c r="L6" s="67">
        <f>INDEX(예산[[2021년]:[2026년]],MATCH($B$3,예산[구분],0),MATCH($B6,예산[[#Headers],[2021년]:[2026년]],0))</f>
        <v>16</v>
      </c>
      <c r="M6" s="91">
        <f>ROUND(L6/$E6*100,2)</f>
        <v>16</v>
      </c>
    </row>
    <row r="7" spans="2:13" ht="30" customHeight="1" x14ac:dyDescent="0.3">
      <c r="B7" s="36" t="s">
        <v>3</v>
      </c>
      <c r="C7" s="52">
        <f>INDEX(지점현황[[2021년]:[2026년]],MATCH($B$3,지점현황[항목],0),MATCH(B7,지점현황[[#Headers],[2021년]:[2026년]],0))</f>
        <v>2</v>
      </c>
      <c r="D7" s="52">
        <f>INDEX(단가[[2021년]:[2026년]],MATCH($B$3,단가[항목],0),MATCH($B7,단가[[#Headers],[2021년]:[2026년]],0))</f>
        <v>50</v>
      </c>
      <c r="E7" s="58">
        <f t="shared" ref="E7:E11" si="0">$C7*$D7</f>
        <v>100</v>
      </c>
      <c r="F7" s="61">
        <f t="shared" ref="F7:F11" si="1">E7-H7</f>
        <v>71</v>
      </c>
      <c r="G7" s="81">
        <f t="shared" ref="G7:I13" si="2">ROUND(F7/$E7*100,2)</f>
        <v>71</v>
      </c>
      <c r="H7" s="65">
        <f>INDEX(실행예산[[2021년]:[2026년]],MATCH($B$3,실행예산[구분],0),MATCH($B7,실행예산[[#Headers],[2021년]:[2026년]],0))</f>
        <v>29</v>
      </c>
      <c r="I7" s="85">
        <f t="shared" si="2"/>
        <v>29</v>
      </c>
      <c r="J7" s="63">
        <f t="shared" ref="J7:J11" si="3">$E7-L7</f>
        <v>29</v>
      </c>
      <c r="K7" s="89">
        <f t="shared" ref="K7:M13" si="4">ROUND(J7/$E7*100,2)</f>
        <v>29</v>
      </c>
      <c r="L7" s="67">
        <f>INDEX(예산[[2021년]:[2026년]],MATCH($B$3,예산[구분],0),MATCH($B7,예산[[#Headers],[2021년]:[2026년]],0))</f>
        <v>71</v>
      </c>
      <c r="M7" s="91">
        <f t="shared" ref="M7:M12" si="5">ROUND(L7/$E7*100,2)</f>
        <v>71</v>
      </c>
    </row>
    <row r="8" spans="2:13" ht="30" customHeight="1" x14ac:dyDescent="0.3">
      <c r="B8" s="36" t="s">
        <v>5</v>
      </c>
      <c r="C8" s="52">
        <f>INDEX(지점현황[[2021년]:[2026년]],MATCH($B$3,지점현황[항목],0),MATCH(B8,지점현황[[#Headers],[2021년]:[2026년]],0))</f>
        <v>2</v>
      </c>
      <c r="D8" s="52">
        <f>INDEX(단가[[2021년]:[2026년]],MATCH($B$3,단가[항목],0),MATCH($B8,단가[[#Headers],[2021년]:[2026년]],0))</f>
        <v>50</v>
      </c>
      <c r="E8" s="58">
        <f t="shared" si="0"/>
        <v>100</v>
      </c>
      <c r="F8" s="61">
        <f t="shared" si="1"/>
        <v>62</v>
      </c>
      <c r="G8" s="81">
        <f t="shared" si="2"/>
        <v>62</v>
      </c>
      <c r="H8" s="65">
        <f>INDEX(실행예산[[2021년]:[2026년]],MATCH($B$3,실행예산[구분],0),MATCH($B8,실행예산[[#Headers],[2021년]:[2026년]],0))</f>
        <v>38</v>
      </c>
      <c r="I8" s="85">
        <f t="shared" si="2"/>
        <v>38</v>
      </c>
      <c r="J8" s="63">
        <f t="shared" si="3"/>
        <v>62</v>
      </c>
      <c r="K8" s="89">
        <f t="shared" si="4"/>
        <v>62</v>
      </c>
      <c r="L8" s="67">
        <f>INDEX(예산[[2021년]:[2026년]],MATCH($B$3,예산[구분],0),MATCH($B8,예산[[#Headers],[2021년]:[2026년]],0))</f>
        <v>38</v>
      </c>
      <c r="M8" s="91">
        <f t="shared" si="5"/>
        <v>38</v>
      </c>
    </row>
    <row r="9" spans="2:13" ht="30" customHeight="1" x14ac:dyDescent="0.3">
      <c r="B9" s="36" t="s">
        <v>6</v>
      </c>
      <c r="C9" s="52">
        <f>INDEX(지점현황[[2021년]:[2026년]],MATCH($B$3,지점현황[항목],0),MATCH(B9,지점현황[[#Headers],[2021년]:[2026년]],0))</f>
        <v>2</v>
      </c>
      <c r="D9" s="52">
        <f>INDEX(단가[[2021년]:[2026년]],MATCH($B$3,단가[항목],0),MATCH($B9,단가[[#Headers],[2021년]:[2026년]],0))</f>
        <v>50</v>
      </c>
      <c r="E9" s="58">
        <f t="shared" si="0"/>
        <v>100</v>
      </c>
      <c r="F9" s="61">
        <f t="shared" si="1"/>
        <v>70</v>
      </c>
      <c r="G9" s="81">
        <f t="shared" si="2"/>
        <v>70</v>
      </c>
      <c r="H9" s="65">
        <f>INDEX(실행예산[[2021년]:[2026년]],MATCH($B$3,실행예산[구분],0),MATCH($B9,실행예산[[#Headers],[2021년]:[2026년]],0))</f>
        <v>30</v>
      </c>
      <c r="I9" s="85">
        <f t="shared" si="2"/>
        <v>30</v>
      </c>
      <c r="J9" s="63">
        <f t="shared" si="3"/>
        <v>53</v>
      </c>
      <c r="K9" s="89">
        <f t="shared" si="4"/>
        <v>53</v>
      </c>
      <c r="L9" s="67">
        <f>INDEX(예산[[2021년]:[2026년]],MATCH($B$3,예산[구분],0),MATCH($B9,예산[[#Headers],[2021년]:[2026년]],0))</f>
        <v>47</v>
      </c>
      <c r="M9" s="91">
        <f t="shared" si="5"/>
        <v>47</v>
      </c>
    </row>
    <row r="10" spans="2:13" ht="30" customHeight="1" x14ac:dyDescent="0.3">
      <c r="B10" s="36" t="s">
        <v>7</v>
      </c>
      <c r="C10" s="52">
        <f>INDEX(지점현황[[2021년]:[2026년]],MATCH($B$3,지점현황[항목],0),MATCH(B10,지점현황[[#Headers],[2021년]:[2026년]],0))</f>
        <v>2</v>
      </c>
      <c r="D10" s="52">
        <f>INDEX(단가[[2021년]:[2026년]],MATCH($B$3,단가[항목],0),MATCH($B10,단가[[#Headers],[2021년]:[2026년]],0))</f>
        <v>50</v>
      </c>
      <c r="E10" s="58">
        <f t="shared" si="0"/>
        <v>100</v>
      </c>
      <c r="F10" s="61">
        <f t="shared" si="1"/>
        <v>80</v>
      </c>
      <c r="G10" s="81">
        <f t="shared" si="2"/>
        <v>80</v>
      </c>
      <c r="H10" s="65">
        <f>INDEX(실행예산[[2021년]:[2026년]],MATCH($B$3,실행예산[구분],0),MATCH($B10,실행예산[[#Headers],[2021년]:[2026년]],0))</f>
        <v>20</v>
      </c>
      <c r="I10" s="85">
        <f t="shared" si="2"/>
        <v>20</v>
      </c>
      <c r="J10" s="63">
        <f t="shared" si="3"/>
        <v>36</v>
      </c>
      <c r="K10" s="89">
        <f t="shared" si="4"/>
        <v>36</v>
      </c>
      <c r="L10" s="67">
        <f>INDEX(예산[[2021년]:[2026년]],MATCH($B$3,예산[구분],0),MATCH($B10,예산[[#Headers],[2021년]:[2026년]],0))</f>
        <v>64</v>
      </c>
      <c r="M10" s="91">
        <f t="shared" si="5"/>
        <v>64</v>
      </c>
    </row>
    <row r="11" spans="2:13" ht="30" customHeight="1" thickBot="1" x14ac:dyDescent="0.35">
      <c r="B11" s="37" t="s">
        <v>8</v>
      </c>
      <c r="C11" s="54">
        <f>INDEX(지점현황[[2021년]:[2026년]],MATCH($B$3,지점현황[항목],0),MATCH(B11,지점현황[[#Headers],[2021년]:[2026년]],0))</f>
        <v>2</v>
      </c>
      <c r="D11" s="54">
        <f>INDEX(단가[[2021년]:[2026년]],MATCH($B$3,단가[항목],0),MATCH($B11,단가[[#Headers],[2021년]:[2026년]],0))</f>
        <v>50</v>
      </c>
      <c r="E11" s="59">
        <f t="shared" si="0"/>
        <v>100</v>
      </c>
      <c r="F11" s="62">
        <f t="shared" si="1"/>
        <v>80</v>
      </c>
      <c r="G11" s="82">
        <f t="shared" si="2"/>
        <v>80</v>
      </c>
      <c r="H11" s="66">
        <f>INDEX(실행예산[[2021년]:[2026년]],MATCH($B$3,실행예산[구분],0),MATCH($B11,실행예산[[#Headers],[2021년]:[2026년]],0))</f>
        <v>20</v>
      </c>
      <c r="I11" s="86">
        <f t="shared" si="2"/>
        <v>20</v>
      </c>
      <c r="J11" s="64">
        <f t="shared" si="3"/>
        <v>80</v>
      </c>
      <c r="K11" s="90">
        <f t="shared" si="4"/>
        <v>80</v>
      </c>
      <c r="L11" s="68">
        <f>INDEX(예산[[2021년]:[2026년]],MATCH($B$3,예산[구분],0),MATCH($B11,예산[[#Headers],[2021년]:[2026년]],0))</f>
        <v>20</v>
      </c>
      <c r="M11" s="92">
        <f t="shared" si="5"/>
        <v>20</v>
      </c>
    </row>
    <row r="12" spans="2:13" ht="30" customHeight="1" x14ac:dyDescent="0.3">
      <c r="B12" s="69" t="s">
        <v>50</v>
      </c>
      <c r="C12" s="70"/>
      <c r="D12" s="70"/>
      <c r="E12" s="71">
        <f>SUM($F12,$H12)</f>
        <v>101</v>
      </c>
      <c r="F12" s="72">
        <f>ROUND(AVERAGE(F$6:F$11),0)</f>
        <v>75</v>
      </c>
      <c r="G12" s="83">
        <f t="shared" si="2"/>
        <v>74.260000000000005</v>
      </c>
      <c r="H12" s="73">
        <f>ROUND(AVERAGE(H$6:H$11),0)</f>
        <v>26</v>
      </c>
      <c r="I12" s="87">
        <f t="shared" si="2"/>
        <v>25.74</v>
      </c>
      <c r="J12" s="74">
        <f>ROUND(AVERAGE(J$6:J$11),0)</f>
        <v>57</v>
      </c>
      <c r="K12" s="83">
        <f t="shared" si="4"/>
        <v>56.44</v>
      </c>
      <c r="L12" s="73">
        <f>ROUND(AVERAGE(L$6:L$11),0)</f>
        <v>43</v>
      </c>
      <c r="M12" s="93">
        <f t="shared" si="5"/>
        <v>42.57</v>
      </c>
    </row>
    <row r="13" spans="2:13" ht="30" customHeight="1" thickBot="1" x14ac:dyDescent="0.35">
      <c r="B13" s="75" t="s">
        <v>51</v>
      </c>
      <c r="C13" s="76"/>
      <c r="D13" s="76"/>
      <c r="E13" s="77">
        <f>SUM($F13,$H13)</f>
        <v>100</v>
      </c>
      <c r="F13" s="78">
        <f>ROUND(AVERAGE(F$7:F$10),0)</f>
        <v>71</v>
      </c>
      <c r="G13" s="84">
        <f t="shared" si="2"/>
        <v>71</v>
      </c>
      <c r="H13" s="79">
        <f>ROUND(AVERAGE(H$7:H$10),0)</f>
        <v>29</v>
      </c>
      <c r="I13" s="88">
        <f t="shared" si="2"/>
        <v>29</v>
      </c>
      <c r="J13" s="80">
        <f>ROUND(AVERAGE(J$7:J$10),0)</f>
        <v>45</v>
      </c>
      <c r="K13" s="84">
        <f t="shared" si="4"/>
        <v>45</v>
      </c>
      <c r="L13" s="79">
        <f>ROUND(AVERAGE(L$7:L$10),0)</f>
        <v>55</v>
      </c>
      <c r="M13" s="94">
        <f t="shared" si="4"/>
        <v>55</v>
      </c>
    </row>
    <row r="14" spans="2:13" ht="30" customHeight="1" x14ac:dyDescent="0.3">
      <c r="B14" s="216">
        <f>INDEX(단가[[2021년]:[2026년]],MATCH($B$3,단가[항목],0),MATCH($B11,단가[[#Headers],[2021년]:[2026년]],0))</f>
        <v>50</v>
      </c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</row>
    <row r="15" spans="2:13" ht="20.100000000000001" customHeight="1" x14ac:dyDescent="0.3">
      <c r="E15" s="60"/>
      <c r="F15" s="60"/>
      <c r="G15" s="60"/>
      <c r="H15" s="60"/>
    </row>
    <row r="16" spans="2:13" ht="20.100000000000001" customHeight="1" x14ac:dyDescent="0.3">
      <c r="E16" s="60"/>
      <c r="F16" s="60"/>
      <c r="G16" s="60"/>
      <c r="H16" s="60"/>
    </row>
  </sheetData>
  <mergeCells count="9">
    <mergeCell ref="B14:M14"/>
    <mergeCell ref="B2:M2"/>
    <mergeCell ref="C3:M3"/>
    <mergeCell ref="B4:B5"/>
    <mergeCell ref="C4:C5"/>
    <mergeCell ref="D4:D5"/>
    <mergeCell ref="E4:E5"/>
    <mergeCell ref="F4:I4"/>
    <mergeCell ref="J4:M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E6ED-DF75-4EEE-9A98-B3ECA24591FA}">
  <sheetPr>
    <tabColor theme="4" tint="0.59999389629810485"/>
    <pageSetUpPr fitToPage="1"/>
  </sheetPr>
  <dimension ref="B2:N40"/>
  <sheetViews>
    <sheetView zoomScale="85" zoomScaleNormal="85" workbookViewId="0">
      <selection activeCell="G34" sqref="G34"/>
    </sheetView>
  </sheetViews>
  <sheetFormatPr defaultColWidth="10.625" defaultRowHeight="20.100000000000001" customHeight="1" x14ac:dyDescent="0.3"/>
  <cols>
    <col min="1" max="1" width="3.625" style="1" customWidth="1"/>
    <col min="2" max="2" width="14.625" style="1" customWidth="1"/>
    <col min="3" max="3" width="10.625" style="1" customWidth="1"/>
    <col min="4" max="5" width="10.625" style="1"/>
    <col min="6" max="7" width="12.625" style="1" customWidth="1"/>
    <col min="8" max="8" width="8.625" style="1" customWidth="1"/>
    <col min="9" max="9" width="12.625" style="1" customWidth="1"/>
    <col min="10" max="10" width="8.625" style="1" customWidth="1"/>
    <col min="11" max="11" width="12.625" style="1" customWidth="1"/>
    <col min="12" max="12" width="8.625" style="1" customWidth="1"/>
    <col min="13" max="13" width="12.625" style="1" customWidth="1"/>
    <col min="14" max="14" width="8.625" style="1" customWidth="1"/>
    <col min="15" max="16384" width="10.625" style="1"/>
  </cols>
  <sheetData>
    <row r="2" spans="2:14" ht="30" customHeight="1" x14ac:dyDescent="0.3">
      <c r="B2" s="200" t="str">
        <f>B3&amp;"조사 항목 예산 현황"</f>
        <v>자동유량조사 항목 예산 현황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</row>
    <row r="3" spans="2:14" ht="20.100000000000001" customHeight="1" thickBot="1" x14ac:dyDescent="0.35">
      <c r="B3" s="95" t="s">
        <v>12</v>
      </c>
      <c r="C3" s="95"/>
      <c r="D3" s="204" t="s">
        <v>24</v>
      </c>
      <c r="E3" s="204"/>
      <c r="F3" s="204"/>
      <c r="G3" s="204"/>
      <c r="H3" s="204"/>
      <c r="I3" s="204"/>
      <c r="J3" s="204"/>
      <c r="K3" s="204"/>
      <c r="L3" s="204"/>
      <c r="M3" s="204"/>
      <c r="N3" s="204"/>
    </row>
    <row r="4" spans="2:14" ht="30" customHeight="1" x14ac:dyDescent="0.3">
      <c r="B4" s="219" t="s">
        <v>0</v>
      </c>
      <c r="C4" s="220"/>
      <c r="D4" s="195" t="s">
        <v>35</v>
      </c>
      <c r="E4" s="195" t="s">
        <v>36</v>
      </c>
      <c r="F4" s="192" t="s">
        <v>23</v>
      </c>
      <c r="G4" s="194" t="s">
        <v>47</v>
      </c>
      <c r="H4" s="195"/>
      <c r="I4" s="195"/>
      <c r="J4" s="196"/>
      <c r="K4" s="197" t="s">
        <v>48</v>
      </c>
      <c r="L4" s="195"/>
      <c r="M4" s="195"/>
      <c r="N4" s="192"/>
    </row>
    <row r="5" spans="2:14" ht="30" customHeight="1" x14ac:dyDescent="0.3">
      <c r="B5" s="221"/>
      <c r="C5" s="222"/>
      <c r="D5" s="213"/>
      <c r="E5" s="213"/>
      <c r="F5" s="193"/>
      <c r="G5" s="56" t="s">
        <v>45</v>
      </c>
      <c r="H5" s="51"/>
      <c r="I5" s="51" t="s">
        <v>46</v>
      </c>
      <c r="J5" s="57"/>
      <c r="K5" s="55" t="s">
        <v>45</v>
      </c>
      <c r="L5" s="51"/>
      <c r="M5" s="51" t="s">
        <v>46</v>
      </c>
      <c r="N5" s="53"/>
    </row>
    <row r="6" spans="2:14" ht="20.100000000000001" customHeight="1" x14ac:dyDescent="0.3">
      <c r="B6" s="224" t="s">
        <v>49</v>
      </c>
      <c r="C6" s="126" t="s">
        <v>18</v>
      </c>
      <c r="D6" s="135"/>
      <c r="E6" s="135"/>
      <c r="F6" s="127">
        <f>SUM(F7:F9)</f>
        <v>3136</v>
      </c>
      <c r="G6" s="128">
        <f>$F6-I6</f>
        <v>2213</v>
      </c>
      <c r="H6" s="129">
        <f t="shared" ref="H6:J7" si="0">IF($F6=0,0,ROUND(G6/$F6*100,2))</f>
        <v>70.569999999999993</v>
      </c>
      <c r="I6" s="130">
        <f>INDEX(실행예산[[2021년]:[2026년]],MATCH($B$3,실행예산[구분],0),MATCH($B6,실행예산[[#Headers],[2021년]:[2026년]],0))</f>
        <v>923</v>
      </c>
      <c r="J6" s="131">
        <f t="shared" si="0"/>
        <v>29.43</v>
      </c>
      <c r="K6" s="128">
        <f>$F6-M6</f>
        <v>2213</v>
      </c>
      <c r="L6" s="132">
        <f t="shared" ref="L6" si="1">IF($F6=0,0,ROUND(K6/$F6*100,2))</f>
        <v>70.569999999999993</v>
      </c>
      <c r="M6" s="133">
        <f>INDEX(예산[[2021년]:[2026년]],MATCH($B$3,예산[구분],0),MATCH($B6,예산[[#Headers],[2021년]:[2026년]],0))</f>
        <v>923</v>
      </c>
      <c r="N6" s="134">
        <f t="shared" ref="N6" si="2">IF($F6=0,0,ROUND(M6/$F6*100,2))</f>
        <v>29.43</v>
      </c>
    </row>
    <row r="7" spans="2:14" ht="20.100000000000001" customHeight="1" x14ac:dyDescent="0.3">
      <c r="B7" s="225"/>
      <c r="C7" s="96" t="s">
        <v>9</v>
      </c>
      <c r="D7" s="136">
        <f>INDEX(지점현황[[2021년]:[2026년]],MATCH($C7,지점현황[항목],0),MATCH(B6,지점현황[[#Headers],[2021년]:[2026년]],0))</f>
        <v>64</v>
      </c>
      <c r="E7" s="136">
        <f>INDEX(단가[[2021년]:[2026년]],MATCH($C7,단가[항목],0),MATCH(B6,단가[[#Headers],[2021년]:[2026년]],0))</f>
        <v>49</v>
      </c>
      <c r="F7" s="97">
        <f>$D7*$E7</f>
        <v>3136</v>
      </c>
      <c r="G7" s="98">
        <f>G6</f>
        <v>2213</v>
      </c>
      <c r="H7" s="99">
        <f t="shared" si="0"/>
        <v>70.569999999999993</v>
      </c>
      <c r="I7" s="100">
        <f>I6-SUM(I8:I9)</f>
        <v>923</v>
      </c>
      <c r="J7" s="101">
        <f t="shared" si="0"/>
        <v>29.43</v>
      </c>
      <c r="K7" s="102">
        <f>K6</f>
        <v>2213</v>
      </c>
      <c r="L7" s="103">
        <f t="shared" ref="L7" si="3">IF($F7=0,0,ROUND(K7/$F7*100,2))</f>
        <v>70.569999999999993</v>
      </c>
      <c r="M7" s="104">
        <f>M6-SUM(M8:M9)</f>
        <v>923</v>
      </c>
      <c r="N7" s="105">
        <f t="shared" ref="N7" si="4">IF($F7=0,0,ROUND(M7/$F7*100,2))</f>
        <v>29.43</v>
      </c>
    </row>
    <row r="8" spans="2:14" ht="20.100000000000001" customHeight="1" x14ac:dyDescent="0.3">
      <c r="B8" s="225"/>
      <c r="C8" s="96" t="s">
        <v>44</v>
      </c>
      <c r="D8" s="136">
        <f>INDEX(지점현황[[2021년]:[2026년]],MATCH($C8,지점현황[항목],0),MATCH(B6,지점현황[[#Headers],[2021년]:[2026년]],0))</f>
        <v>0</v>
      </c>
      <c r="E8" s="136">
        <f>INDEX(단가[[2021년]:[2026년]],MATCH($C8,단가[항목],0),MATCH(B6,단가[[#Headers],[2021년]:[2026년]],0))</f>
        <v>420</v>
      </c>
      <c r="F8" s="97">
        <f t="shared" ref="F8:F9" si="5">$D8*$E8</f>
        <v>0</v>
      </c>
      <c r="G8" s="98">
        <v>0</v>
      </c>
      <c r="H8" s="99">
        <f>IF($F8=0,0,ROUND(G8/$F8*100,2))</f>
        <v>0</v>
      </c>
      <c r="I8" s="100">
        <f>$F8</f>
        <v>0</v>
      </c>
      <c r="J8" s="101">
        <f>IF($F8=0,0,ROUND(I8/$F8*100,2))</f>
        <v>0</v>
      </c>
      <c r="K8" s="102">
        <v>0</v>
      </c>
      <c r="L8" s="103">
        <f>IF($F8=0,0,ROUND(K8/$F8*100,2))</f>
        <v>0</v>
      </c>
      <c r="M8" s="104">
        <f>$F8</f>
        <v>0</v>
      </c>
      <c r="N8" s="105">
        <f>IF($F8=0,0,ROUND(M8/$F8*100,2))</f>
        <v>0</v>
      </c>
    </row>
    <row r="9" spans="2:14" ht="20.100000000000001" customHeight="1" x14ac:dyDescent="0.3">
      <c r="B9" s="205"/>
      <c r="C9" s="106" t="s">
        <v>10</v>
      </c>
      <c r="D9" s="137">
        <f>INDEX(지점현황[[2021년]:[2026년]],MATCH($C9,지점현황[항목],0),MATCH(B6,지점현황[[#Headers],[2021년]:[2026년]],0))</f>
        <v>0</v>
      </c>
      <c r="E9" s="137">
        <f>INDEX(단가[[2021년]:[2026년]],MATCH($C9,단가[항목],0),MATCH(B6,단가[[#Headers],[2021년]:[2026년]],0))</f>
        <v>120</v>
      </c>
      <c r="F9" s="107">
        <f t="shared" si="5"/>
        <v>0</v>
      </c>
      <c r="G9" s="108">
        <v>0</v>
      </c>
      <c r="H9" s="109">
        <f t="shared" ref="H9:J29" si="6">IF($F9=0,0,ROUND(G9/$F9*100,2))</f>
        <v>0</v>
      </c>
      <c r="I9" s="110">
        <f>$F9</f>
        <v>0</v>
      </c>
      <c r="J9" s="111">
        <f t="shared" si="6"/>
        <v>0</v>
      </c>
      <c r="K9" s="112">
        <v>0</v>
      </c>
      <c r="L9" s="113">
        <f t="shared" ref="L9" si="7">IF($F9=0,0,ROUND(K9/$F9*100,2))</f>
        <v>0</v>
      </c>
      <c r="M9" s="114">
        <f>$F9</f>
        <v>0</v>
      </c>
      <c r="N9" s="115">
        <f t="shared" ref="N9" si="8">IF($F9=0,0,ROUND(M9/$F9*100,2))</f>
        <v>0</v>
      </c>
    </row>
    <row r="10" spans="2:14" ht="20.100000000000001" customHeight="1" x14ac:dyDescent="0.3">
      <c r="B10" s="224" t="s">
        <v>3</v>
      </c>
      <c r="C10" s="126" t="s">
        <v>18</v>
      </c>
      <c r="D10" s="135"/>
      <c r="E10" s="135"/>
      <c r="F10" s="127">
        <f>SUM(F11:F13)</f>
        <v>6163</v>
      </c>
      <c r="G10" s="128">
        <f>$F10-I10</f>
        <v>545</v>
      </c>
      <c r="H10" s="129">
        <f t="shared" si="6"/>
        <v>8.84</v>
      </c>
      <c r="I10" s="130">
        <f>INDEX(실행예산[[2021년]:[2026년]],MATCH($B$3,실행예산[구분],0),MATCH($B10,실행예산[[#Headers],[2021년]:[2026년]],0))</f>
        <v>5618</v>
      </c>
      <c r="J10" s="131">
        <f t="shared" si="6"/>
        <v>91.16</v>
      </c>
      <c r="K10" s="128">
        <f>$F10-M10</f>
        <v>503</v>
      </c>
      <c r="L10" s="132">
        <f t="shared" ref="L10" si="9">IF($F10=0,0,ROUND(K10/$F10*100,2))</f>
        <v>8.16</v>
      </c>
      <c r="M10" s="133">
        <f>INDEX(예산[[2021년]:[2026년]],MATCH($B$3,예산[구분],0),MATCH($B10,예산[[#Headers],[2021년]:[2026년]],0))</f>
        <v>5660</v>
      </c>
      <c r="N10" s="134">
        <f t="shared" ref="N10" si="10">IF($F10=0,0,ROUND(M10/$F10*100,2))</f>
        <v>91.84</v>
      </c>
    </row>
    <row r="11" spans="2:14" ht="20.100000000000001" customHeight="1" x14ac:dyDescent="0.3">
      <c r="B11" s="225"/>
      <c r="C11" s="96" t="s">
        <v>9</v>
      </c>
      <c r="D11" s="136">
        <f>INDEX(지점현황[[2021년]:[2026년]],MATCH($C11,지점현황[항목],0),MATCH(B10,지점현황[[#Headers],[2021년]:[2026년]],0))</f>
        <v>67</v>
      </c>
      <c r="E11" s="136">
        <f>INDEX(단가[[2021년]:[2026년]],MATCH($C11,단가[항목],0),MATCH(B10,단가[[#Headers],[2021년]:[2026년]],0))</f>
        <v>49</v>
      </c>
      <c r="F11" s="97">
        <f>$D11*$E11</f>
        <v>3283</v>
      </c>
      <c r="G11" s="98">
        <f>G10</f>
        <v>545</v>
      </c>
      <c r="H11" s="99">
        <f t="shared" si="6"/>
        <v>16.600000000000001</v>
      </c>
      <c r="I11" s="100">
        <f>I10-SUM(I12:I13)</f>
        <v>2738</v>
      </c>
      <c r="J11" s="101">
        <f t="shared" si="6"/>
        <v>83.4</v>
      </c>
      <c r="K11" s="102">
        <f>K10</f>
        <v>503</v>
      </c>
      <c r="L11" s="103">
        <f t="shared" ref="L11" si="11">IF($F11=0,0,ROUND(K11/$F11*100,2))</f>
        <v>15.32</v>
      </c>
      <c r="M11" s="104">
        <f>M10-SUM(M12:M13)</f>
        <v>2780</v>
      </c>
      <c r="N11" s="105">
        <f t="shared" ref="N11" si="12">IF($F11=0,0,ROUND(M11/$F11*100,2))</f>
        <v>84.68</v>
      </c>
    </row>
    <row r="12" spans="2:14" ht="20.100000000000001" customHeight="1" x14ac:dyDescent="0.3">
      <c r="B12" s="225"/>
      <c r="C12" s="96" t="s">
        <v>44</v>
      </c>
      <c r="D12" s="136">
        <f>INDEX(지점현황[[2021년]:[2026년]],MATCH($C12,지점현황[항목],0),MATCH(B10,지점현황[[#Headers],[2021년]:[2026년]],0))</f>
        <v>4</v>
      </c>
      <c r="E12" s="136">
        <f>INDEX(단가[[2021년]:[2026년]],MATCH($C12,단가[항목],0),MATCH(B10,단가[[#Headers],[2021년]:[2026년]],0))</f>
        <v>420</v>
      </c>
      <c r="F12" s="97">
        <f t="shared" ref="F12:F13" si="13">$D12*$E12</f>
        <v>1680</v>
      </c>
      <c r="G12" s="98">
        <v>0</v>
      </c>
      <c r="H12" s="99">
        <f t="shared" si="6"/>
        <v>0</v>
      </c>
      <c r="I12" s="100">
        <f>$F12</f>
        <v>1680</v>
      </c>
      <c r="J12" s="101">
        <f t="shared" si="6"/>
        <v>100</v>
      </c>
      <c r="K12" s="102">
        <v>0</v>
      </c>
      <c r="L12" s="103">
        <f t="shared" ref="L12" si="14">IF($F12=0,0,ROUND(K12/$F12*100,2))</f>
        <v>0</v>
      </c>
      <c r="M12" s="104">
        <f>$F12</f>
        <v>1680</v>
      </c>
      <c r="N12" s="105">
        <f t="shared" ref="N12" si="15">IF($F12=0,0,ROUND(M12/$F12*100,2))</f>
        <v>100</v>
      </c>
    </row>
    <row r="13" spans="2:14" ht="20.100000000000001" customHeight="1" x14ac:dyDescent="0.3">
      <c r="B13" s="205"/>
      <c r="C13" s="106" t="s">
        <v>10</v>
      </c>
      <c r="D13" s="137">
        <f>INDEX(지점현황[[2021년]:[2026년]],MATCH($C13,지점현황[항목],0),MATCH(B10,지점현황[[#Headers],[2021년]:[2026년]],0))</f>
        <v>10</v>
      </c>
      <c r="E13" s="137">
        <f>INDEX(단가[[2021년]:[2026년]],MATCH($C13,단가[항목],0),MATCH(B10,단가[[#Headers],[2021년]:[2026년]],0))</f>
        <v>120</v>
      </c>
      <c r="F13" s="107">
        <f t="shared" si="13"/>
        <v>1200</v>
      </c>
      <c r="G13" s="108">
        <v>0</v>
      </c>
      <c r="H13" s="109">
        <f t="shared" si="6"/>
        <v>0</v>
      </c>
      <c r="I13" s="110">
        <f>$F13</f>
        <v>1200</v>
      </c>
      <c r="J13" s="111">
        <f t="shared" si="6"/>
        <v>100</v>
      </c>
      <c r="K13" s="112">
        <v>0</v>
      </c>
      <c r="L13" s="113">
        <f t="shared" ref="L13" si="16">IF($F13=0,0,ROUND(K13/$F13*100,2))</f>
        <v>0</v>
      </c>
      <c r="M13" s="114">
        <f>$F13</f>
        <v>1200</v>
      </c>
      <c r="N13" s="115">
        <f t="shared" ref="N13" si="17">IF($F13=0,0,ROUND(M13/$F13*100,2))</f>
        <v>100</v>
      </c>
    </row>
    <row r="14" spans="2:14" ht="20.100000000000001" customHeight="1" x14ac:dyDescent="0.3">
      <c r="B14" s="224" t="s">
        <v>5</v>
      </c>
      <c r="C14" s="126" t="s">
        <v>18</v>
      </c>
      <c r="D14" s="135"/>
      <c r="E14" s="135"/>
      <c r="F14" s="127">
        <f>SUM(F15:F17)</f>
        <v>5939</v>
      </c>
      <c r="G14" s="128">
        <f>$F14-I14</f>
        <v>562</v>
      </c>
      <c r="H14" s="129">
        <f t="shared" si="6"/>
        <v>9.4600000000000009</v>
      </c>
      <c r="I14" s="130">
        <f>INDEX(실행예산[[2021년]:[2026년]],MATCH($B$3,실행예산[구분],0),MATCH($B14,실행예산[[#Headers],[2021년]:[2026년]],0))</f>
        <v>5377</v>
      </c>
      <c r="J14" s="131">
        <f t="shared" si="6"/>
        <v>90.54</v>
      </c>
      <c r="K14" s="128">
        <f>$F14-M14</f>
        <v>562</v>
      </c>
      <c r="L14" s="132">
        <f t="shared" ref="L14" si="18">IF($F14=0,0,ROUND(K14/$F14*100,2))</f>
        <v>9.4600000000000009</v>
      </c>
      <c r="M14" s="133">
        <f>INDEX(예산[[2021년]:[2026년]],MATCH($B$3,예산[구분],0),MATCH($B14,예산[[#Headers],[2021년]:[2026년]],0))</f>
        <v>5377</v>
      </c>
      <c r="N14" s="134">
        <f t="shared" ref="N14" si="19">IF($F14=0,0,ROUND(M14/$F14*100,2))</f>
        <v>90.54</v>
      </c>
    </row>
    <row r="15" spans="2:14" ht="20.100000000000001" customHeight="1" x14ac:dyDescent="0.3">
      <c r="B15" s="225"/>
      <c r="C15" s="96" t="s">
        <v>9</v>
      </c>
      <c r="D15" s="136">
        <f>INDEX(지점현황[[2021년]:[2026년]],MATCH($C15,지점현황[항목],0),MATCH(B14,지점현황[[#Headers],[2021년]:[2026년]],0))</f>
        <v>71</v>
      </c>
      <c r="E15" s="136">
        <f>INDEX(단가[[2021년]:[2026년]],MATCH($C15,단가[항목],0),MATCH(B14,단가[[#Headers],[2021년]:[2026년]],0))</f>
        <v>49</v>
      </c>
      <c r="F15" s="97">
        <f>$D15*$E15</f>
        <v>3479</v>
      </c>
      <c r="G15" s="98">
        <f>G14</f>
        <v>562</v>
      </c>
      <c r="H15" s="99">
        <f t="shared" si="6"/>
        <v>16.149999999999999</v>
      </c>
      <c r="I15" s="100">
        <f>I14-SUM(I16:I17)</f>
        <v>2917</v>
      </c>
      <c r="J15" s="101">
        <f t="shared" si="6"/>
        <v>83.85</v>
      </c>
      <c r="K15" s="102">
        <f>K14</f>
        <v>562</v>
      </c>
      <c r="L15" s="103">
        <f t="shared" ref="L15" si="20">IF($F15=0,0,ROUND(K15/$F15*100,2))</f>
        <v>16.149999999999999</v>
      </c>
      <c r="M15" s="104">
        <f>M14-SUM(M16:M17)</f>
        <v>2917</v>
      </c>
      <c r="N15" s="105">
        <f t="shared" ref="N15" si="21">IF($F15=0,0,ROUND(M15/$F15*100,2))</f>
        <v>83.85</v>
      </c>
    </row>
    <row r="16" spans="2:14" ht="20.100000000000001" customHeight="1" x14ac:dyDescent="0.3">
      <c r="B16" s="225"/>
      <c r="C16" s="96" t="s">
        <v>44</v>
      </c>
      <c r="D16" s="136">
        <f>INDEX(지점현황[[2021년]:[2026년]],MATCH($C16,지점현황[항목],0),MATCH(B14,지점현황[[#Headers],[2021년]:[2026년]],0))</f>
        <v>3</v>
      </c>
      <c r="E16" s="136">
        <f>INDEX(단가[[2021년]:[2026년]],MATCH($C16,단가[항목],0),MATCH(B14,단가[[#Headers],[2021년]:[2026년]],0))</f>
        <v>420</v>
      </c>
      <c r="F16" s="97">
        <f t="shared" ref="F16:F17" si="22">$D16*$E16</f>
        <v>1260</v>
      </c>
      <c r="G16" s="98">
        <v>0</v>
      </c>
      <c r="H16" s="99">
        <f t="shared" si="6"/>
        <v>0</v>
      </c>
      <c r="I16" s="100">
        <f>$F16</f>
        <v>1260</v>
      </c>
      <c r="J16" s="101">
        <f t="shared" si="6"/>
        <v>100</v>
      </c>
      <c r="K16" s="102">
        <v>0</v>
      </c>
      <c r="L16" s="103">
        <f t="shared" ref="L16" si="23">IF($F16=0,0,ROUND(K16/$F16*100,2))</f>
        <v>0</v>
      </c>
      <c r="M16" s="104">
        <f>$F16</f>
        <v>1260</v>
      </c>
      <c r="N16" s="105">
        <f t="shared" ref="N16" si="24">IF($F16=0,0,ROUND(M16/$F16*100,2))</f>
        <v>100</v>
      </c>
    </row>
    <row r="17" spans="2:14" ht="20.100000000000001" customHeight="1" x14ac:dyDescent="0.3">
      <c r="B17" s="205"/>
      <c r="C17" s="106" t="s">
        <v>10</v>
      </c>
      <c r="D17" s="137">
        <f>INDEX(지점현황[[2021년]:[2026년]],MATCH($C17,지점현황[항목],0),MATCH(B14,지점현황[[#Headers],[2021년]:[2026년]],0))</f>
        <v>10</v>
      </c>
      <c r="E17" s="137">
        <f>INDEX(단가[[2021년]:[2026년]],MATCH($C17,단가[항목],0),MATCH(B14,단가[[#Headers],[2021년]:[2026년]],0))</f>
        <v>120</v>
      </c>
      <c r="F17" s="107">
        <f t="shared" si="22"/>
        <v>1200</v>
      </c>
      <c r="G17" s="108">
        <v>0</v>
      </c>
      <c r="H17" s="109">
        <f t="shared" si="6"/>
        <v>0</v>
      </c>
      <c r="I17" s="110">
        <f>$F17</f>
        <v>1200</v>
      </c>
      <c r="J17" s="111">
        <f t="shared" si="6"/>
        <v>100</v>
      </c>
      <c r="K17" s="112">
        <v>0</v>
      </c>
      <c r="L17" s="113">
        <f t="shared" ref="L17" si="25">IF($F17=0,0,ROUND(K17/$F17*100,2))</f>
        <v>0</v>
      </c>
      <c r="M17" s="114">
        <f>$F17</f>
        <v>1200</v>
      </c>
      <c r="N17" s="115">
        <f t="shared" ref="N17" si="26">IF($F17=0,0,ROUND(M17/$F17*100,2))</f>
        <v>100</v>
      </c>
    </row>
    <row r="18" spans="2:14" ht="20.100000000000001" customHeight="1" x14ac:dyDescent="0.3">
      <c r="B18" s="224" t="s">
        <v>6</v>
      </c>
      <c r="C18" s="126" t="s">
        <v>18</v>
      </c>
      <c r="D18" s="135"/>
      <c r="E18" s="135"/>
      <c r="F18" s="127">
        <f>SUM(F19:F21)</f>
        <v>9964</v>
      </c>
      <c r="G18" s="128">
        <f>$F18-I18</f>
        <v>3052</v>
      </c>
      <c r="H18" s="129">
        <f t="shared" si="6"/>
        <v>30.63</v>
      </c>
      <c r="I18" s="130">
        <f>INDEX(실행예산[[2021년]:[2026년]],MATCH($B$3,실행예산[구분],0),MATCH($B18,실행예산[[#Headers],[2021년]:[2026년]],0))</f>
        <v>6912</v>
      </c>
      <c r="J18" s="131">
        <f t="shared" si="6"/>
        <v>69.37</v>
      </c>
      <c r="K18" s="128">
        <f>$F18-M18</f>
        <v>3034</v>
      </c>
      <c r="L18" s="132">
        <f t="shared" ref="L18" si="27">IF($F18=0,0,ROUND(K18/$F18*100,2))</f>
        <v>30.45</v>
      </c>
      <c r="M18" s="133">
        <f>INDEX(예산[[2021년]:[2026년]],MATCH($B$3,예산[구분],0),MATCH($B18,예산[[#Headers],[2021년]:[2026년]],0))</f>
        <v>6930</v>
      </c>
      <c r="N18" s="134">
        <f t="shared" ref="N18" si="28">IF($F18=0,0,ROUND(M18/$F18*100,2))</f>
        <v>69.55</v>
      </c>
    </row>
    <row r="19" spans="2:14" ht="20.100000000000001" customHeight="1" x14ac:dyDescent="0.3">
      <c r="B19" s="225"/>
      <c r="C19" s="96" t="s">
        <v>9</v>
      </c>
      <c r="D19" s="136">
        <f>INDEX(지점현황[[2021년]:[2026년]],MATCH($C19,지점현황[항목],0),MATCH(B18,지점현황[[#Headers],[2021년]:[2026년]],0))</f>
        <v>76</v>
      </c>
      <c r="E19" s="136">
        <f>INDEX(단가[[2021년]:[2026년]],MATCH($C19,단가[항목],0),MATCH(B18,단가[[#Headers],[2021년]:[2026년]],0))</f>
        <v>49</v>
      </c>
      <c r="F19" s="97">
        <f>$D19*$E19</f>
        <v>3724</v>
      </c>
      <c r="G19" s="98">
        <f>G18</f>
        <v>3052</v>
      </c>
      <c r="H19" s="99">
        <f t="shared" si="6"/>
        <v>81.95</v>
      </c>
      <c r="I19" s="100">
        <f>I18-SUM(I20:I21)</f>
        <v>672</v>
      </c>
      <c r="J19" s="101">
        <f t="shared" si="6"/>
        <v>18.05</v>
      </c>
      <c r="K19" s="102">
        <f>K18</f>
        <v>3034</v>
      </c>
      <c r="L19" s="103">
        <f t="shared" ref="L19" si="29">IF($F19=0,0,ROUND(K19/$F19*100,2))</f>
        <v>81.47</v>
      </c>
      <c r="M19" s="104">
        <f>M18-SUM(M20:M21)</f>
        <v>690</v>
      </c>
      <c r="N19" s="105">
        <f t="shared" ref="N19" si="30">IF($F19=0,0,ROUND(M19/$F19*100,2))</f>
        <v>18.53</v>
      </c>
    </row>
    <row r="20" spans="2:14" ht="20.100000000000001" customHeight="1" x14ac:dyDescent="0.3">
      <c r="B20" s="225"/>
      <c r="C20" s="96" t="s">
        <v>44</v>
      </c>
      <c r="D20" s="136">
        <f>INDEX(지점현황[[2021년]:[2026년]],MATCH($C20,지점현황[항목],0),MATCH(B18,지점현황[[#Headers],[2021년]:[2026년]],0))</f>
        <v>10</v>
      </c>
      <c r="E20" s="136">
        <f>INDEX(단가[[2021년]:[2026년]],MATCH($C20,단가[항목],0),MATCH(B18,단가[[#Headers],[2021년]:[2026년]],0))</f>
        <v>420</v>
      </c>
      <c r="F20" s="97">
        <f t="shared" ref="F20:F21" si="31">$D20*$E20</f>
        <v>4200</v>
      </c>
      <c r="G20" s="98">
        <v>0</v>
      </c>
      <c r="H20" s="99">
        <f t="shared" si="6"/>
        <v>0</v>
      </c>
      <c r="I20" s="100">
        <f>$F20</f>
        <v>4200</v>
      </c>
      <c r="J20" s="101">
        <f t="shared" si="6"/>
        <v>100</v>
      </c>
      <c r="K20" s="102">
        <v>0</v>
      </c>
      <c r="L20" s="103">
        <f t="shared" ref="L20" si="32">IF($F20=0,0,ROUND(K20/$F20*100,2))</f>
        <v>0</v>
      </c>
      <c r="M20" s="104">
        <f>$F20</f>
        <v>4200</v>
      </c>
      <c r="N20" s="105">
        <f t="shared" ref="N20" si="33">IF($F20=0,0,ROUND(M20/$F20*100,2))</f>
        <v>100</v>
      </c>
    </row>
    <row r="21" spans="2:14" ht="20.100000000000001" customHeight="1" x14ac:dyDescent="0.3">
      <c r="B21" s="205"/>
      <c r="C21" s="106" t="s">
        <v>10</v>
      </c>
      <c r="D21" s="137">
        <f>INDEX(지점현황[[2021년]:[2026년]],MATCH($C21,지점현황[항목],0),MATCH(B18,지점현황[[#Headers],[2021년]:[2026년]],0))</f>
        <v>17</v>
      </c>
      <c r="E21" s="137">
        <f>INDEX(단가[[2021년]:[2026년]],MATCH($C21,단가[항목],0),MATCH(B18,단가[[#Headers],[2021년]:[2026년]],0))</f>
        <v>120</v>
      </c>
      <c r="F21" s="107">
        <f t="shared" si="31"/>
        <v>2040</v>
      </c>
      <c r="G21" s="108">
        <v>0</v>
      </c>
      <c r="H21" s="109">
        <f t="shared" si="6"/>
        <v>0</v>
      </c>
      <c r="I21" s="110">
        <f>$F21</f>
        <v>2040</v>
      </c>
      <c r="J21" s="111">
        <f t="shared" si="6"/>
        <v>100</v>
      </c>
      <c r="K21" s="112">
        <v>0</v>
      </c>
      <c r="L21" s="113">
        <f t="shared" ref="L21" si="34">IF($F21=0,0,ROUND(K21/$F21*100,2))</f>
        <v>0</v>
      </c>
      <c r="M21" s="114">
        <f>$F21</f>
        <v>2040</v>
      </c>
      <c r="N21" s="115">
        <f t="shared" ref="N21" si="35">IF($F21=0,0,ROUND(M21/$F21*100,2))</f>
        <v>100</v>
      </c>
    </row>
    <row r="22" spans="2:14" ht="20.100000000000001" customHeight="1" x14ac:dyDescent="0.3">
      <c r="B22" s="224" t="s">
        <v>7</v>
      </c>
      <c r="C22" s="126" t="s">
        <v>18</v>
      </c>
      <c r="D22" s="135"/>
      <c r="E22" s="135"/>
      <c r="F22" s="127">
        <f>SUM(F23:F25)</f>
        <v>39549</v>
      </c>
      <c r="G22" s="128">
        <f>$F22-I22</f>
        <v>6688</v>
      </c>
      <c r="H22" s="129">
        <f t="shared" si="6"/>
        <v>16.91</v>
      </c>
      <c r="I22" s="130">
        <f>INDEX(실행예산[[2021년]:[2026년]],MATCH($B$3,실행예산[구분],0),MATCH($B22,실행예산[[#Headers],[2021년]:[2026년]],0))</f>
        <v>32861</v>
      </c>
      <c r="J22" s="131">
        <f t="shared" si="6"/>
        <v>83.09</v>
      </c>
      <c r="K22" s="128">
        <f>$F22-M22</f>
        <v>6644</v>
      </c>
      <c r="L22" s="132">
        <f t="shared" ref="L22" si="36">IF($F22=0,0,ROUND(K22/$F22*100,2))</f>
        <v>16.8</v>
      </c>
      <c r="M22" s="133">
        <f>INDEX(예산[[2021년]:[2026년]],MATCH($B$3,예산[구분],0),MATCH($B22,예산[[#Headers],[2021년]:[2026년]],0))</f>
        <v>32905</v>
      </c>
      <c r="N22" s="134">
        <f t="shared" ref="N22" si="37">IF($F22=0,0,ROUND(M22/$F22*100,2))</f>
        <v>83.2</v>
      </c>
    </row>
    <row r="23" spans="2:14" ht="20.100000000000001" customHeight="1" x14ac:dyDescent="0.3">
      <c r="B23" s="225"/>
      <c r="C23" s="96" t="s">
        <v>9</v>
      </c>
      <c r="D23" s="136">
        <f>INDEX(지점현황[[2021년]:[2026년]],MATCH($C23,지점현황[항목],0),MATCH(B22,지점현황[[#Headers],[2021년]:[2026년]],0))</f>
        <v>176</v>
      </c>
      <c r="E23" s="136">
        <f>INDEX(단가[[2021년]:[2026년]],MATCH($C23,단가[항목],0),MATCH(B22,단가[[#Headers],[2021년]:[2026년]],0))</f>
        <v>49</v>
      </c>
      <c r="F23" s="97">
        <f>$D23*$E23</f>
        <v>8624</v>
      </c>
      <c r="G23" s="98">
        <f>G22</f>
        <v>6688</v>
      </c>
      <c r="H23" s="99">
        <f t="shared" si="6"/>
        <v>77.55</v>
      </c>
      <c r="I23" s="100">
        <f>I22-SUM(I24:I25)</f>
        <v>1936</v>
      </c>
      <c r="J23" s="101">
        <f t="shared" si="6"/>
        <v>22.45</v>
      </c>
      <c r="K23" s="102">
        <f>K22</f>
        <v>6644</v>
      </c>
      <c r="L23" s="103">
        <f t="shared" ref="L23" si="38">IF($F23=0,0,ROUND(K23/$F23*100,2))</f>
        <v>77.040000000000006</v>
      </c>
      <c r="M23" s="104">
        <f>M22-SUM(M24:M25)</f>
        <v>1980</v>
      </c>
      <c r="N23" s="105">
        <f t="shared" ref="N23" si="39">IF($F23=0,0,ROUND(M23/$F23*100,2))</f>
        <v>22.96</v>
      </c>
    </row>
    <row r="24" spans="2:14" ht="20.100000000000001" customHeight="1" x14ac:dyDescent="0.3">
      <c r="B24" s="225"/>
      <c r="C24" s="96" t="s">
        <v>44</v>
      </c>
      <c r="D24" s="136">
        <f>INDEX(지점현황[[2021년]:[2026년]],MATCH($C24,지점현황[항목],0),MATCH(B22,지점현황[[#Headers],[2021년]:[2026년]],0))</f>
        <v>75</v>
      </c>
      <c r="E24" s="136">
        <f>INDEX(단가[[2021년]:[2026년]],MATCH($C24,단가[항목],0),MATCH(B22,단가[[#Headers],[2021년]:[2026년]],0))</f>
        <v>373</v>
      </c>
      <c r="F24" s="97">
        <f t="shared" ref="F24" si="40">$D24*$E24</f>
        <v>27975</v>
      </c>
      <c r="G24" s="98">
        <v>0</v>
      </c>
      <c r="H24" s="99">
        <f t="shared" si="6"/>
        <v>0</v>
      </c>
      <c r="I24" s="100">
        <f>$F24</f>
        <v>27975</v>
      </c>
      <c r="J24" s="101">
        <f t="shared" si="6"/>
        <v>100</v>
      </c>
      <c r="K24" s="102">
        <v>0</v>
      </c>
      <c r="L24" s="103">
        <f t="shared" ref="L24" si="41">IF($F24=0,0,ROUND(K24/$F24*100,2))</f>
        <v>0</v>
      </c>
      <c r="M24" s="104">
        <f>$F24</f>
        <v>27975</v>
      </c>
      <c r="N24" s="105">
        <f t="shared" ref="N24" si="42">IF($F24=0,0,ROUND(M24/$F24*100,2))</f>
        <v>100</v>
      </c>
    </row>
    <row r="25" spans="2:14" ht="20.100000000000001" customHeight="1" x14ac:dyDescent="0.3">
      <c r="B25" s="205"/>
      <c r="C25" s="106" t="s">
        <v>10</v>
      </c>
      <c r="D25" s="137">
        <f>INDEX(지점현황[[2021년]:[2026년]],MATCH($C25,지점현황[항목],0),MATCH(B22,지점현황[[#Headers],[2021년]:[2026년]],0))</f>
        <v>25</v>
      </c>
      <c r="E25" s="137">
        <f>INDEX(단가[[2021년]:[2026년]],MATCH($C25,단가[항목],0),MATCH(B22,단가[[#Headers],[2021년]:[2026년]],0))</f>
        <v>120</v>
      </c>
      <c r="F25" s="107">
        <f>$D25*$E25-50</f>
        <v>2950</v>
      </c>
      <c r="G25" s="108">
        <v>0</v>
      </c>
      <c r="H25" s="109">
        <f t="shared" si="6"/>
        <v>0</v>
      </c>
      <c r="I25" s="110">
        <f>$F25</f>
        <v>2950</v>
      </c>
      <c r="J25" s="111">
        <f t="shared" si="6"/>
        <v>100</v>
      </c>
      <c r="K25" s="112">
        <v>0</v>
      </c>
      <c r="L25" s="113">
        <f t="shared" ref="L25" si="43">IF($F25=0,0,ROUND(K25/$F25*100,2))</f>
        <v>0</v>
      </c>
      <c r="M25" s="114">
        <f>$F25</f>
        <v>2950</v>
      </c>
      <c r="N25" s="115">
        <f t="shared" ref="N25" si="44">IF($F25=0,0,ROUND(M25/$F25*100,2))</f>
        <v>100</v>
      </c>
    </row>
    <row r="26" spans="2:14" ht="20.100000000000001" customHeight="1" x14ac:dyDescent="0.3">
      <c r="B26" s="224" t="s">
        <v>8</v>
      </c>
      <c r="C26" s="126" t="s">
        <v>18</v>
      </c>
      <c r="D26" s="135"/>
      <c r="E26" s="135"/>
      <c r="F26" s="127">
        <f>SUM(F27:F29)</f>
        <v>26681</v>
      </c>
      <c r="G26" s="128">
        <f>$F26-I26</f>
        <v>10432</v>
      </c>
      <c r="H26" s="129">
        <f t="shared" si="6"/>
        <v>39.1</v>
      </c>
      <c r="I26" s="130">
        <f>INDEX(실행예산[[2021년]:[2026년]],MATCH($B$3,실행예산[구분],0),MATCH($B26,실행예산[[#Headers],[2021년]:[2026년]],0))</f>
        <v>16249</v>
      </c>
      <c r="J26" s="131">
        <f t="shared" si="6"/>
        <v>60.9</v>
      </c>
      <c r="K26" s="128">
        <f>$F26-M26</f>
        <v>10432</v>
      </c>
      <c r="L26" s="132">
        <f t="shared" ref="L26" si="45">IF($F26=0,0,ROUND(K26/$F26*100,2))</f>
        <v>39.1</v>
      </c>
      <c r="M26" s="133">
        <f>INDEX(예산[[2021년]:[2026년]],MATCH($B$3,예산[구분],0),MATCH($B26,예산[[#Headers],[2021년]:[2026년]],0))</f>
        <v>16249</v>
      </c>
      <c r="N26" s="134">
        <f t="shared" ref="N26" si="46">IF($F26=0,0,ROUND(M26/$F26*100,2))</f>
        <v>60.9</v>
      </c>
    </row>
    <row r="27" spans="2:14" ht="20.100000000000001" customHeight="1" x14ac:dyDescent="0.3">
      <c r="B27" s="225"/>
      <c r="C27" s="96" t="s">
        <v>9</v>
      </c>
      <c r="D27" s="136">
        <f>INDEX(지점현황[[2021년]:[2026년]],MATCH($C27,지점현황[항목],0),MATCH(B26,지점현황[[#Headers],[2021년]:[2026년]],0))</f>
        <v>218</v>
      </c>
      <c r="E27" s="136">
        <f>INDEX(단가[[2021년]:[2026년]],MATCH($C27,단가[항목],0),MATCH(B26,단가[[#Headers],[2021년]:[2026년]],0))</f>
        <v>51</v>
      </c>
      <c r="F27" s="97">
        <f>$D27*$E27+15</f>
        <v>11133</v>
      </c>
      <c r="G27" s="98">
        <f>G26</f>
        <v>10432</v>
      </c>
      <c r="H27" s="99">
        <f t="shared" si="6"/>
        <v>93.7</v>
      </c>
      <c r="I27" s="100">
        <f>I26-SUM(I28:I29)</f>
        <v>701</v>
      </c>
      <c r="J27" s="101">
        <f t="shared" si="6"/>
        <v>6.3</v>
      </c>
      <c r="K27" s="102">
        <f>K26</f>
        <v>10432</v>
      </c>
      <c r="L27" s="103">
        <f t="shared" ref="L27" si="47">IF($F27=0,0,ROUND(K27/$F27*100,2))</f>
        <v>93.7</v>
      </c>
      <c r="M27" s="104">
        <f>M26-SUM(M28:M29)</f>
        <v>701</v>
      </c>
      <c r="N27" s="105">
        <f t="shared" ref="N27" si="48">IF($F27=0,0,ROUND(M27/$F27*100,2))</f>
        <v>6.3</v>
      </c>
    </row>
    <row r="28" spans="2:14" ht="20.100000000000001" customHeight="1" x14ac:dyDescent="0.3">
      <c r="B28" s="225"/>
      <c r="C28" s="96" t="s">
        <v>44</v>
      </c>
      <c r="D28" s="136">
        <f>INDEX(지점현황[[2021년]:[2026년]],MATCH($C28,지점현황[항목],0),MATCH(B26,지점현황[[#Headers],[2021년]:[2026년]],0))</f>
        <v>42</v>
      </c>
      <c r="E28" s="136">
        <f>INDEX(단가[[2021년]:[2026년]],MATCH($C28,단가[항목],0),MATCH(B26,단가[[#Headers],[2021년]:[2026년]],0))</f>
        <v>299</v>
      </c>
      <c r="F28" s="97">
        <f>$D28*$E28+40</f>
        <v>12598</v>
      </c>
      <c r="G28" s="98">
        <v>0</v>
      </c>
      <c r="H28" s="99">
        <f t="shared" si="6"/>
        <v>0</v>
      </c>
      <c r="I28" s="100">
        <f>$F28</f>
        <v>12598</v>
      </c>
      <c r="J28" s="101">
        <f t="shared" si="6"/>
        <v>100</v>
      </c>
      <c r="K28" s="102">
        <v>0</v>
      </c>
      <c r="L28" s="103">
        <f t="shared" ref="L28" si="49">IF($F28=0,0,ROUND(K28/$F28*100,2))</f>
        <v>0</v>
      </c>
      <c r="M28" s="104">
        <f>$F28</f>
        <v>12598</v>
      </c>
      <c r="N28" s="105">
        <f t="shared" ref="N28" si="50">IF($F28=0,0,ROUND(M28/$F28*100,2))</f>
        <v>100</v>
      </c>
    </row>
    <row r="29" spans="2:14" ht="20.100000000000001" customHeight="1" thickBot="1" x14ac:dyDescent="0.35">
      <c r="B29" s="225"/>
      <c r="C29" s="116" t="s">
        <v>10</v>
      </c>
      <c r="D29" s="138">
        <f>INDEX(지점현황[[2021년]:[2026년]],MATCH($C29,지점현황[항목],0),MATCH(B26,지점현황[[#Headers],[2021년]:[2026년]],0))</f>
        <v>25</v>
      </c>
      <c r="E29" s="138">
        <f>INDEX(단가[[2021년]:[2026년]],MATCH($C29,단가[항목],0),MATCH(B26,단가[[#Headers],[2021년]:[2026년]],0))</f>
        <v>120</v>
      </c>
      <c r="F29" s="117">
        <f>$D29*$E29-50</f>
        <v>2950</v>
      </c>
      <c r="G29" s="118">
        <v>0</v>
      </c>
      <c r="H29" s="119">
        <f t="shared" si="6"/>
        <v>0</v>
      </c>
      <c r="I29" s="120">
        <f>$F29</f>
        <v>2950</v>
      </c>
      <c r="J29" s="121">
        <f t="shared" si="6"/>
        <v>100</v>
      </c>
      <c r="K29" s="122">
        <v>0</v>
      </c>
      <c r="L29" s="123">
        <f t="shared" ref="L29:L33" si="51">IF($F29=0,0,ROUND(K29/$F29*100,2))</f>
        <v>0</v>
      </c>
      <c r="M29" s="124">
        <f>$F29</f>
        <v>2950</v>
      </c>
      <c r="N29" s="125">
        <f t="shared" ref="N29:N33" si="52">IF($F29=0,0,ROUND(M29/$F29*100,2))</f>
        <v>100</v>
      </c>
    </row>
    <row r="30" spans="2:14" ht="20.100000000000001" customHeight="1" x14ac:dyDescent="0.3">
      <c r="B30" s="226" t="s">
        <v>50</v>
      </c>
      <c r="C30" s="139" t="s">
        <v>18</v>
      </c>
      <c r="D30" s="140"/>
      <c r="E30" s="140"/>
      <c r="F30" s="141">
        <f>SUM(G30,I30)</f>
        <v>15238</v>
      </c>
      <c r="G30" s="142">
        <f>ROUND(AVERAGE(G6,G10,G14,G18,G22,G26),0)</f>
        <v>3915</v>
      </c>
      <c r="H30" s="143">
        <f t="shared" ref="H30" si="53">IF($F30=0,0,ROUND(G30/$F30*100,2))</f>
        <v>25.69</v>
      </c>
      <c r="I30" s="144">
        <f>ROUND(AVERAGE(I6,I10,I14,I18,I22,I26),0)</f>
        <v>11323</v>
      </c>
      <c r="J30" s="145">
        <f t="shared" ref="J30" si="54">IF($F30=0,0,ROUND(I30/$F30*100,2))</f>
        <v>74.31</v>
      </c>
      <c r="K30" s="142">
        <f>ROUND(AVERAGE(K6,K10,K14,K18,K22,K26),0)</f>
        <v>3898</v>
      </c>
      <c r="L30" s="146">
        <f t="shared" si="51"/>
        <v>25.58</v>
      </c>
      <c r="M30" s="147">
        <f>ROUND(AVERAGE(M6,M10,M14,M18,M22,M26),0)</f>
        <v>11341</v>
      </c>
      <c r="N30" s="148">
        <f t="shared" si="52"/>
        <v>74.430000000000007</v>
      </c>
    </row>
    <row r="31" spans="2:14" ht="20.100000000000001" customHeight="1" x14ac:dyDescent="0.3">
      <c r="B31" s="227"/>
      <c r="C31" s="149" t="s">
        <v>9</v>
      </c>
      <c r="D31" s="150"/>
      <c r="E31" s="150"/>
      <c r="F31" s="151">
        <f t="shared" ref="F31:F37" si="55">SUM(G31,I31)</f>
        <v>5563</v>
      </c>
      <c r="G31" s="152">
        <f t="shared" ref="G31:I33" si="56">ROUND(AVERAGE(G7,G11,G15,G19,G23,G27),0)</f>
        <v>3915</v>
      </c>
      <c r="H31" s="153">
        <f t="shared" ref="H31" si="57">IF($F31=0,0,ROUND(G31/$F31*100,2))</f>
        <v>70.38</v>
      </c>
      <c r="I31" s="154">
        <f t="shared" si="56"/>
        <v>1648</v>
      </c>
      <c r="J31" s="155">
        <f t="shared" ref="J31" si="58">IF($F31=0,0,ROUND(I31/$F31*100,2))</f>
        <v>29.62</v>
      </c>
      <c r="K31" s="156">
        <f t="shared" ref="K31" si="59">ROUND(AVERAGE(K7,K11,K15,K19,K23,K27),0)</f>
        <v>3898</v>
      </c>
      <c r="L31" s="157">
        <f t="shared" si="51"/>
        <v>70.069999999999993</v>
      </c>
      <c r="M31" s="158">
        <f t="shared" ref="M31" si="60">ROUND(AVERAGE(M7,M11,M15,M19,M23,M27),0)</f>
        <v>1665</v>
      </c>
      <c r="N31" s="159">
        <f t="shared" si="52"/>
        <v>29.93</v>
      </c>
    </row>
    <row r="32" spans="2:14" ht="20.100000000000001" customHeight="1" x14ac:dyDescent="0.3">
      <c r="B32" s="227"/>
      <c r="C32" s="149" t="s">
        <v>44</v>
      </c>
      <c r="D32" s="150"/>
      <c r="E32" s="150"/>
      <c r="F32" s="151">
        <f t="shared" si="55"/>
        <v>7952</v>
      </c>
      <c r="G32" s="152">
        <f t="shared" si="56"/>
        <v>0</v>
      </c>
      <c r="H32" s="153">
        <f t="shared" ref="H32" si="61">IF($F32=0,0,ROUND(G32/$F32*100,2))</f>
        <v>0</v>
      </c>
      <c r="I32" s="154">
        <f t="shared" si="56"/>
        <v>7952</v>
      </c>
      <c r="J32" s="155">
        <f t="shared" ref="J32" si="62">IF($F32=0,0,ROUND(I32/$F32*100,2))</f>
        <v>100</v>
      </c>
      <c r="K32" s="156">
        <f t="shared" ref="K32" si="63">ROUND(AVERAGE(K8,K12,K16,K20,K24,K28),0)</f>
        <v>0</v>
      </c>
      <c r="L32" s="157">
        <f t="shared" si="51"/>
        <v>0</v>
      </c>
      <c r="M32" s="158">
        <f t="shared" ref="M32" si="64">ROUND(AVERAGE(M8,M12,M16,M20,M24,M28),0)</f>
        <v>7952</v>
      </c>
      <c r="N32" s="159">
        <f t="shared" si="52"/>
        <v>100</v>
      </c>
    </row>
    <row r="33" spans="2:14" ht="20.100000000000001" customHeight="1" x14ac:dyDescent="0.3">
      <c r="B33" s="228"/>
      <c r="C33" s="160" t="s">
        <v>10</v>
      </c>
      <c r="D33" s="161"/>
      <c r="E33" s="161"/>
      <c r="F33" s="162">
        <f t="shared" si="55"/>
        <v>1723</v>
      </c>
      <c r="G33" s="181">
        <f t="shared" si="56"/>
        <v>0</v>
      </c>
      <c r="H33" s="164">
        <f t="shared" ref="H33" si="65">IF($F33=0,0,ROUND(G33/$F33*100,2))</f>
        <v>0</v>
      </c>
      <c r="I33" s="165">
        <f t="shared" si="56"/>
        <v>1723</v>
      </c>
      <c r="J33" s="166">
        <f t="shared" ref="J33" si="66">IF($F33=0,0,ROUND(I33/$F33*100,2))</f>
        <v>100</v>
      </c>
      <c r="K33" s="167">
        <f t="shared" ref="K33" si="67">ROUND(AVERAGE(K9,K13,K17,K21,K25,K29),0)</f>
        <v>0</v>
      </c>
      <c r="L33" s="168">
        <f t="shared" si="51"/>
        <v>0</v>
      </c>
      <c r="M33" s="169">
        <f t="shared" ref="M33" si="68">ROUND(AVERAGE(M9,M13,M17,M21,M25,M29),0)</f>
        <v>1723</v>
      </c>
      <c r="N33" s="170">
        <f t="shared" si="52"/>
        <v>100</v>
      </c>
    </row>
    <row r="34" spans="2:14" ht="20.100000000000001" customHeight="1" x14ac:dyDescent="0.3">
      <c r="B34" s="229" t="s">
        <v>51</v>
      </c>
      <c r="C34" s="171" t="s">
        <v>18</v>
      </c>
      <c r="D34" s="172"/>
      <c r="E34" s="172"/>
      <c r="F34" s="173">
        <f>SUM(G34,I34)</f>
        <v>15404</v>
      </c>
      <c r="G34" s="182">
        <f>ROUND(AVERAGE(G10,G14,G18,G22),0)</f>
        <v>2712</v>
      </c>
      <c r="H34" s="175">
        <f t="shared" ref="H34" si="69">IF($F34=0,0,ROUND(G34/$F34*100,2))</f>
        <v>17.61</v>
      </c>
      <c r="I34" s="176">
        <f>ROUND(AVERAGE(I10,I14,I18,I22),0)</f>
        <v>12692</v>
      </c>
      <c r="J34" s="177">
        <f t="shared" ref="J34" si="70">IF($F34=0,0,ROUND(I34/$F34*100,2))</f>
        <v>82.39</v>
      </c>
      <c r="K34" s="174">
        <f>ROUND(AVERAGE(K10,K14,K18,K22),0)</f>
        <v>2686</v>
      </c>
      <c r="L34" s="178">
        <f t="shared" ref="L34" si="71">IF($F34=0,0,ROUND(K34/$F34*100,2))</f>
        <v>17.440000000000001</v>
      </c>
      <c r="M34" s="179">
        <f>ROUND(AVERAGE(M10,M14,M18,M22),0)</f>
        <v>12718</v>
      </c>
      <c r="N34" s="180">
        <f t="shared" ref="N34" si="72">IF($F34=0,0,ROUND(M34/$F34*100,2))</f>
        <v>82.56</v>
      </c>
    </row>
    <row r="35" spans="2:14" ht="20.100000000000001" customHeight="1" x14ac:dyDescent="0.3">
      <c r="B35" s="227"/>
      <c r="C35" s="149" t="s">
        <v>9</v>
      </c>
      <c r="D35" s="150"/>
      <c r="E35" s="150"/>
      <c r="F35" s="151">
        <f t="shared" si="55"/>
        <v>4778</v>
      </c>
      <c r="G35" s="152">
        <f t="shared" ref="G35:I37" si="73">ROUND(AVERAGE(G11,G15,G19,G23),0)</f>
        <v>2712</v>
      </c>
      <c r="H35" s="153">
        <f t="shared" ref="H35" si="74">IF($F35=0,0,ROUND(G35/$F35*100,2))</f>
        <v>56.76</v>
      </c>
      <c r="I35" s="154">
        <f t="shared" si="73"/>
        <v>2066</v>
      </c>
      <c r="J35" s="155">
        <f t="shared" ref="J35" si="75">IF($F35=0,0,ROUND(I35/$F35*100,2))</f>
        <v>43.24</v>
      </c>
      <c r="K35" s="156">
        <f t="shared" ref="K35" si="76">ROUND(AVERAGE(K11,K15,K19,K23),0)</f>
        <v>2686</v>
      </c>
      <c r="L35" s="157">
        <f t="shared" ref="L35" si="77">IF($F35=0,0,ROUND(K35/$F35*100,2))</f>
        <v>56.22</v>
      </c>
      <c r="M35" s="158">
        <f t="shared" ref="M35" si="78">ROUND(AVERAGE(M11,M15,M19,M23),0)</f>
        <v>2092</v>
      </c>
      <c r="N35" s="159">
        <f t="shared" ref="N35" si="79">IF($F35=0,0,ROUND(M35/$F35*100,2))</f>
        <v>43.78</v>
      </c>
    </row>
    <row r="36" spans="2:14" ht="20.100000000000001" customHeight="1" x14ac:dyDescent="0.3">
      <c r="B36" s="227"/>
      <c r="C36" s="149" t="s">
        <v>44</v>
      </c>
      <c r="D36" s="150"/>
      <c r="E36" s="150"/>
      <c r="F36" s="151">
        <f t="shared" si="55"/>
        <v>8779</v>
      </c>
      <c r="G36" s="152">
        <f t="shared" si="73"/>
        <v>0</v>
      </c>
      <c r="H36" s="153">
        <f t="shared" ref="H36" si="80">IF($F36=0,0,ROUND(G36/$F36*100,2))</f>
        <v>0</v>
      </c>
      <c r="I36" s="154">
        <f t="shared" si="73"/>
        <v>8779</v>
      </c>
      <c r="J36" s="155">
        <f t="shared" ref="J36" si="81">IF($F36=0,0,ROUND(I36/$F36*100,2))</f>
        <v>100</v>
      </c>
      <c r="K36" s="156">
        <f t="shared" ref="K36" si="82">ROUND(AVERAGE(K12,K16,K20,K24),0)</f>
        <v>0</v>
      </c>
      <c r="L36" s="157">
        <f t="shared" ref="L36" si="83">IF($F36=0,0,ROUND(K36/$F36*100,2))</f>
        <v>0</v>
      </c>
      <c r="M36" s="158">
        <f t="shared" ref="M36" si="84">ROUND(AVERAGE(M12,M16,M20,M24),0)</f>
        <v>8779</v>
      </c>
      <c r="N36" s="159">
        <f t="shared" ref="N36" si="85">IF($F36=0,0,ROUND(M36/$F36*100,2))</f>
        <v>100</v>
      </c>
    </row>
    <row r="37" spans="2:14" ht="20.100000000000001" customHeight="1" thickBot="1" x14ac:dyDescent="0.35">
      <c r="B37" s="230"/>
      <c r="C37" s="160" t="s">
        <v>10</v>
      </c>
      <c r="D37" s="161"/>
      <c r="E37" s="161"/>
      <c r="F37" s="162">
        <f t="shared" si="55"/>
        <v>1848</v>
      </c>
      <c r="G37" s="163">
        <f t="shared" si="73"/>
        <v>0</v>
      </c>
      <c r="H37" s="164">
        <f t="shared" ref="H37" si="86">IF($F37=0,0,ROUND(G37/$F37*100,2))</f>
        <v>0</v>
      </c>
      <c r="I37" s="165">
        <f t="shared" si="73"/>
        <v>1848</v>
      </c>
      <c r="J37" s="166">
        <f t="shared" ref="J37" si="87">IF($F37=0,0,ROUND(I37/$F37*100,2))</f>
        <v>100</v>
      </c>
      <c r="K37" s="167">
        <f t="shared" ref="K37" si="88">ROUND(AVERAGE(K13,K17,K21,K25),0)</f>
        <v>0</v>
      </c>
      <c r="L37" s="168">
        <f t="shared" ref="L37" si="89">IF($F37=0,0,ROUND(K37/$F37*100,2))</f>
        <v>0</v>
      </c>
      <c r="M37" s="169">
        <f t="shared" ref="M37" si="90">ROUND(AVERAGE(M13,M17,M21,M25),0)</f>
        <v>1848</v>
      </c>
      <c r="N37" s="170">
        <f t="shared" ref="N37" si="91">IF($F37=0,0,ROUND(M37/$F37*100,2))</f>
        <v>100</v>
      </c>
    </row>
    <row r="38" spans="2:14" ht="20.100000000000001" customHeight="1" x14ac:dyDescent="0.3">
      <c r="B38" s="223">
        <f>INDEX(단가[[2021년]:[2026년]],MATCH($C$7,단가[항목],0),MATCH($B26,단가[[#Headers],[2021년]:[2026년]],0))</f>
        <v>51</v>
      </c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</row>
    <row r="39" spans="2:14" ht="20.100000000000001" customHeight="1" x14ac:dyDescent="0.3">
      <c r="B39" s="217">
        <f>INDEX(단가[[2021년]:[2026년]],MATCH($C$8,단가[항목],0),MATCH($B26,단가[[#Headers],[2021년]:[2026년]],0))</f>
        <v>299</v>
      </c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</row>
    <row r="40" spans="2:14" ht="20.100000000000001" customHeight="1" x14ac:dyDescent="0.3">
      <c r="B40" s="218">
        <f>INDEX(단가[[2021년]:[2026년]],MATCH($C$9,단가[항목],0),MATCH($B26,단가[[#Headers],[2021년]:[2026년]],0))</f>
        <v>120</v>
      </c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</row>
  </sheetData>
  <mergeCells count="19">
    <mergeCell ref="B2:N2"/>
    <mergeCell ref="D3:N3"/>
    <mergeCell ref="D4:D5"/>
    <mergeCell ref="E4:E5"/>
    <mergeCell ref="F4:F5"/>
    <mergeCell ref="G4:J4"/>
    <mergeCell ref="K4:N4"/>
    <mergeCell ref="B39:N39"/>
    <mergeCell ref="B40:N40"/>
    <mergeCell ref="B4:C5"/>
    <mergeCell ref="B38:N38"/>
    <mergeCell ref="B26:B29"/>
    <mergeCell ref="B22:B25"/>
    <mergeCell ref="B18:B21"/>
    <mergeCell ref="B14:B17"/>
    <mergeCell ref="B10:B13"/>
    <mergeCell ref="B6:B9"/>
    <mergeCell ref="B30:B33"/>
    <mergeCell ref="B34:B3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22EB-5462-4474-8A38-185A7FB2DB15}">
  <sheetPr>
    <pageSetUpPr fitToPage="1"/>
  </sheetPr>
  <dimension ref="B2:V23"/>
  <sheetViews>
    <sheetView topLeftCell="A2" zoomScale="85" zoomScaleNormal="85" workbookViewId="0">
      <selection activeCell="L2" sqref="L2"/>
    </sheetView>
  </sheetViews>
  <sheetFormatPr defaultColWidth="10.625" defaultRowHeight="20.100000000000001" customHeight="1" x14ac:dyDescent="0.3"/>
  <cols>
    <col min="1" max="1" width="3.625" style="1" customWidth="1"/>
    <col min="2" max="15" width="10.625" style="1" customWidth="1"/>
    <col min="16" max="16384" width="10.625" style="1"/>
  </cols>
  <sheetData>
    <row r="2" spans="2:22" ht="30" customHeight="1" x14ac:dyDescent="0.3">
      <c r="B2" s="200" t="s">
        <v>57</v>
      </c>
      <c r="C2" s="200"/>
      <c r="D2" s="200"/>
      <c r="E2" s="200"/>
      <c r="F2" s="200"/>
      <c r="G2" s="200"/>
      <c r="H2" s="200"/>
      <c r="I2" s="200"/>
      <c r="J2" s="200"/>
      <c r="K2" s="200"/>
      <c r="M2" s="203" t="s">
        <v>58</v>
      </c>
      <c r="N2" s="203"/>
      <c r="O2" s="203"/>
      <c r="P2" s="203"/>
      <c r="Q2" s="203"/>
      <c r="R2" s="203"/>
      <c r="S2" s="203"/>
      <c r="T2" s="203"/>
      <c r="U2" s="203"/>
      <c r="V2" s="203"/>
    </row>
    <row r="3" spans="2:22" ht="20.100000000000001" customHeight="1" x14ac:dyDescent="0.3">
      <c r="B3" s="201" t="s">
        <v>24</v>
      </c>
      <c r="C3" s="201"/>
      <c r="D3" s="201"/>
      <c r="E3" s="201"/>
      <c r="F3" s="201"/>
      <c r="G3" s="201"/>
      <c r="H3" s="201"/>
      <c r="I3" s="201"/>
      <c r="J3" s="201"/>
      <c r="K3" s="201"/>
      <c r="M3" s="201" t="s">
        <v>24</v>
      </c>
      <c r="N3" s="201"/>
      <c r="O3" s="201"/>
      <c r="P3" s="201"/>
      <c r="Q3" s="201"/>
      <c r="R3" s="201"/>
      <c r="S3" s="201"/>
      <c r="T3" s="201"/>
      <c r="U3" s="201"/>
      <c r="V3" s="201"/>
    </row>
    <row r="4" spans="2:22" ht="30" customHeight="1" x14ac:dyDescent="0.3">
      <c r="B4" s="234" t="s">
        <v>0</v>
      </c>
      <c r="C4" s="235"/>
      <c r="D4" s="237" t="s">
        <v>30</v>
      </c>
      <c r="E4" s="239" t="s">
        <v>52</v>
      </c>
      <c r="F4" s="213"/>
      <c r="G4" s="213"/>
      <c r="H4" s="213"/>
      <c r="I4" s="213" t="s">
        <v>53</v>
      </c>
      <c r="J4" s="213"/>
      <c r="K4" s="213"/>
      <c r="M4" s="234" t="s">
        <v>0</v>
      </c>
      <c r="N4" s="235"/>
      <c r="O4" s="237" t="s">
        <v>30</v>
      </c>
      <c r="P4" s="239" t="s">
        <v>52</v>
      </c>
      <c r="Q4" s="213"/>
      <c r="R4" s="213"/>
      <c r="S4" s="213"/>
      <c r="T4" s="213" t="s">
        <v>53</v>
      </c>
      <c r="U4" s="213"/>
      <c r="V4" s="213"/>
    </row>
    <row r="5" spans="2:22" ht="30" customHeight="1" x14ac:dyDescent="0.3">
      <c r="B5" s="236"/>
      <c r="C5" s="222"/>
      <c r="D5" s="238"/>
      <c r="E5" s="183" t="s">
        <v>26</v>
      </c>
      <c r="F5" s="183" t="s">
        <v>27</v>
      </c>
      <c r="G5" s="183" t="s">
        <v>28</v>
      </c>
      <c r="H5" s="183" t="s">
        <v>25</v>
      </c>
      <c r="I5" s="183" t="s">
        <v>41</v>
      </c>
      <c r="J5" s="183" t="s">
        <v>43</v>
      </c>
      <c r="K5" s="183" t="s">
        <v>42</v>
      </c>
      <c r="M5" s="236"/>
      <c r="N5" s="222"/>
      <c r="O5" s="238"/>
      <c r="P5" s="183" t="s">
        <v>26</v>
      </c>
      <c r="Q5" s="183" t="s">
        <v>27</v>
      </c>
      <c r="R5" s="183" t="s">
        <v>28</v>
      </c>
      <c r="S5" s="183" t="s">
        <v>25</v>
      </c>
      <c r="T5" s="183" t="s">
        <v>41</v>
      </c>
      <c r="U5" s="183" t="s">
        <v>43</v>
      </c>
      <c r="V5" s="183" t="s">
        <v>42</v>
      </c>
    </row>
    <row r="6" spans="2:22" ht="30" customHeight="1" x14ac:dyDescent="0.3">
      <c r="B6" s="231" t="s">
        <v>2</v>
      </c>
      <c r="C6" s="171" t="s">
        <v>18</v>
      </c>
      <c r="D6" s="172">
        <f>SUM(D7:D8)</f>
        <v>20832</v>
      </c>
      <c r="E6" s="172">
        <f>SUM(E7:E8)</f>
        <v>16296</v>
      </c>
      <c r="F6" s="172">
        <f t="shared" ref="F6:K6" si="0">SUM(F7:F8)</f>
        <v>1200</v>
      </c>
      <c r="G6" s="172">
        <f t="shared" si="0"/>
        <v>100</v>
      </c>
      <c r="H6" s="172">
        <f t="shared" si="0"/>
        <v>100</v>
      </c>
      <c r="I6" s="172">
        <f t="shared" si="0"/>
        <v>3136</v>
      </c>
      <c r="J6" s="172">
        <f t="shared" si="0"/>
        <v>0</v>
      </c>
      <c r="K6" s="172">
        <f t="shared" si="0"/>
        <v>0</v>
      </c>
      <c r="M6" s="231" t="s">
        <v>2</v>
      </c>
      <c r="N6" s="171" t="s">
        <v>18</v>
      </c>
      <c r="O6" s="172">
        <f>SUM(O7:O8)</f>
        <v>20832</v>
      </c>
      <c r="P6" s="172">
        <f>SUM(P7:P8)</f>
        <v>16296</v>
      </c>
      <c r="Q6" s="172">
        <f t="shared" ref="Q6" si="1">SUM(Q7:Q8)</f>
        <v>1200</v>
      </c>
      <c r="R6" s="172">
        <f t="shared" ref="R6" si="2">SUM(R7:R8)</f>
        <v>100</v>
      </c>
      <c r="S6" s="172">
        <f t="shared" ref="S6" si="3">SUM(S7:S8)</f>
        <v>100</v>
      </c>
      <c r="T6" s="172">
        <f t="shared" ref="T6" si="4">SUM(T7:T8)</f>
        <v>3136</v>
      </c>
      <c r="U6" s="172">
        <f t="shared" ref="U6" si="5">SUM(U7:U8)</f>
        <v>0</v>
      </c>
      <c r="V6" s="172">
        <f t="shared" ref="V6" si="6">SUM(V7:V8)</f>
        <v>0</v>
      </c>
    </row>
    <row r="7" spans="2:22" ht="30" customHeight="1" x14ac:dyDescent="0.3">
      <c r="B7" s="232"/>
      <c r="C7" s="96" t="s">
        <v>33</v>
      </c>
      <c r="D7" s="136">
        <f>SUM(E7:K7)</f>
        <v>18345</v>
      </c>
      <c r="E7" s="136">
        <f>INDEX(유량!$F$6:$I$11,MATCH($B6,유량!$B$6:$B$11,0),MATCH($C7,유량!$F$5:$I$5,0))</f>
        <v>15106</v>
      </c>
      <c r="F7" s="136">
        <f>INDEX(유사량!$F$6:$I$11,MATCH($B6,유사량!$B$6:$B$11,0),MATCH($C7,유사량!$F$5:$I$5,0))</f>
        <v>862</v>
      </c>
      <c r="G7" s="136">
        <f>INDEX(토양수분량!$F$6:$I$11,MATCH($B6,토양수분량!$B$6:$B$11,0),MATCH($C7,토양수분량!$F$5:$I$5,0))</f>
        <v>80</v>
      </c>
      <c r="H7" s="136">
        <f>INDEX(증발산량!$F$6:$I$11,MATCH($B6,증발산량!$B$6:$B$11,0),MATCH($C7,증발산량!$F$5:$I$5,0))</f>
        <v>84</v>
      </c>
      <c r="I7" s="136">
        <f>INDEX(자동유량!$G$6:$J$9,MATCH(I$5,자동유량!$C$6:$C$9,0),MATCH($C7,자동유량!$G$5:$J$5,0))</f>
        <v>2213</v>
      </c>
      <c r="J7" s="136">
        <f>INDEX(자동유량!$G$6:$J$9,MATCH(J$5,자동유량!$C$6:$C$9,0),MATCH($C7,자동유량!$G$5:$J$5,0))</f>
        <v>0</v>
      </c>
      <c r="K7" s="136">
        <f>INDEX(자동유량!$G$6:$J$9,MATCH(K$5,자동유량!$C$6:$C$9,0),MATCH($C7,자동유량!$G$5:$J$5,0))</f>
        <v>0</v>
      </c>
      <c r="M7" s="232"/>
      <c r="N7" s="96" t="s">
        <v>33</v>
      </c>
      <c r="O7" s="136">
        <f>SUM(P7:V7)</f>
        <v>18345</v>
      </c>
      <c r="P7" s="136">
        <f>INDEX(유량!$J$6:$M$11,MATCH($M6,유량!$B$6:$B$11,0),MATCH($N7,유량!$J$5:$M$5,0))</f>
        <v>15106</v>
      </c>
      <c r="Q7" s="136">
        <f>INDEX(유사량!$J$6:$M$11,MATCH($M6,유사량!$B$6:$B$11,0),MATCH($N7,유사량!$J$5:$M$5,0))</f>
        <v>862</v>
      </c>
      <c r="R7" s="136">
        <f>INDEX(토양수분량!$J$6:$M$11,MATCH($M6,토양수분량!$B$6:$B$11,0),MATCH($N7,토양수분량!$J$5:$M$5,0))</f>
        <v>80</v>
      </c>
      <c r="S7" s="136">
        <f>INDEX(증발산량!$J$6:$M$11,MATCH($M6,증발산량!$B$6:$B$11,0),MATCH($N7,증발산량!$J$5:$M$5,0))</f>
        <v>84</v>
      </c>
      <c r="T7" s="136">
        <f>INDEX(자동유량!$K$6:$N$9,MATCH(T$5,자동유량!$C$6:$C$9,0),MATCH($N7,자동유량!$K$5:$N$5,0))</f>
        <v>2213</v>
      </c>
      <c r="U7" s="136">
        <f>INDEX(자동유량!$K$6:$N$9,MATCH(U$5,자동유량!$C$6:$C$9,0),MATCH($N7,자동유량!$K$5:$N$5,0))</f>
        <v>0</v>
      </c>
      <c r="V7" s="136">
        <f>INDEX(자동유량!$K$6:$N$9,MATCH(V$5,자동유량!$C$6:$C$9,0),MATCH($N7,자동유량!$K$5:$N$5,0))</f>
        <v>0</v>
      </c>
    </row>
    <row r="8" spans="2:22" ht="30" customHeight="1" x14ac:dyDescent="0.3">
      <c r="B8" s="233"/>
      <c r="C8" s="106" t="s">
        <v>34</v>
      </c>
      <c r="D8" s="137">
        <f>SUM(E8:K8)</f>
        <v>2487</v>
      </c>
      <c r="E8" s="137">
        <f>INDEX(유량!$F$6:$I$11,MATCH($B6,유량!$B$6:$B$11,0),MATCH($C8,유량!$F$5:$I$5,0))</f>
        <v>1190</v>
      </c>
      <c r="F8" s="137">
        <f>INDEX(유사량!$F$6:$I$11,MATCH($B6,유사량!$B$6:$B$11,0),MATCH($C8,유사량!$F$5:$I$5,0))</f>
        <v>338</v>
      </c>
      <c r="G8" s="137">
        <f>INDEX(토양수분량!$F$6:$I$11,MATCH($B6,토양수분량!$B$6:$B$11,0),MATCH($C8,토양수분량!$F$5:$I$5,0))</f>
        <v>20</v>
      </c>
      <c r="H8" s="137">
        <f>INDEX(증발산량!$F$6:$I$11,MATCH($B6,증발산량!$B$6:$B$11,0),MATCH($C8,증발산량!$F$5:$I$5,0))</f>
        <v>16</v>
      </c>
      <c r="I8" s="137">
        <f>INDEX(자동유량!$G$6:$J$9,MATCH(I$5,자동유량!$C$6:$C$9,0),MATCH($C8,자동유량!$G$5:$J$5,0))</f>
        <v>923</v>
      </c>
      <c r="J8" s="137">
        <f>INDEX(자동유량!$G$6:$J$9,MATCH(J$5,자동유량!$C$6:$C$9,0),MATCH($C8,자동유량!$G$5:$J$5,0))</f>
        <v>0</v>
      </c>
      <c r="K8" s="137">
        <f>INDEX(자동유량!$G$6:$J$9,MATCH(K$5,자동유량!$C$6:$C$9,0),MATCH($C8,자동유량!$G$5:$J$5,0))</f>
        <v>0</v>
      </c>
      <c r="M8" s="233"/>
      <c r="N8" s="106" t="s">
        <v>34</v>
      </c>
      <c r="O8" s="137">
        <f>SUM(P8:V8)</f>
        <v>2487</v>
      </c>
      <c r="P8" s="137">
        <f>INDEX(유량!$J$6:$M$11,MATCH($M6,유량!$B$6:$B$11,0),MATCH($N8,유량!$J$5:$M$5,0))</f>
        <v>1190</v>
      </c>
      <c r="Q8" s="137">
        <f>INDEX(유사량!$J$6:$M$11,MATCH($M6,유사량!$B$6:$B$11,0),MATCH($N8,유사량!$J$5:$M$5,0))</f>
        <v>338</v>
      </c>
      <c r="R8" s="137">
        <f>INDEX(토양수분량!$J$6:$M$11,MATCH($M6,토양수분량!$B$6:$B$11,0),MATCH($N8,토양수분량!$J$5:$M$5,0))</f>
        <v>20</v>
      </c>
      <c r="S8" s="137">
        <f>INDEX(증발산량!$J$6:$M$11,MATCH($M6,증발산량!$B$6:$B$11,0),MATCH($N8,증발산량!$J$5:$M$5,0))</f>
        <v>16</v>
      </c>
      <c r="T8" s="137">
        <f>INDEX(자동유량!$K$6:$N$9,MATCH(T$5,자동유량!$C$6:$C$9,0),MATCH($N8,자동유량!$K$5:$N$5,0))</f>
        <v>923</v>
      </c>
      <c r="U8" s="137">
        <f>INDEX(자동유량!$K$6:$N$9,MATCH(U$5,자동유량!$C$6:$C$9,0),MATCH($N8,자동유량!$K$5:$N$5,0))</f>
        <v>0</v>
      </c>
      <c r="V8" s="137">
        <f>INDEX(자동유량!$K$6:$N$9,MATCH(V$5,자동유량!$C$6:$C$9,0),MATCH($N8,자동유량!$K$5:$N$5,0))</f>
        <v>0</v>
      </c>
    </row>
    <row r="9" spans="2:22" ht="30" customHeight="1" x14ac:dyDescent="0.3">
      <c r="B9" s="231" t="s">
        <v>4</v>
      </c>
      <c r="C9" s="171" t="s">
        <v>18</v>
      </c>
      <c r="D9" s="172">
        <f>SUM(D10:D11)</f>
        <v>28109</v>
      </c>
      <c r="E9" s="172">
        <f>SUM(E10:E11)</f>
        <v>20496</v>
      </c>
      <c r="F9" s="172">
        <f t="shared" ref="F9" si="7">SUM(F10:F11)</f>
        <v>1250</v>
      </c>
      <c r="G9" s="172">
        <f t="shared" ref="G9" si="8">SUM(G10:G11)</f>
        <v>100</v>
      </c>
      <c r="H9" s="172">
        <f t="shared" ref="H9" si="9">SUM(H10:H11)</f>
        <v>100</v>
      </c>
      <c r="I9" s="172">
        <f t="shared" ref="I9" si="10">SUM(I10:I11)</f>
        <v>3283</v>
      </c>
      <c r="J9" s="172">
        <f t="shared" ref="J9" si="11">SUM(J10:J11)</f>
        <v>1680</v>
      </c>
      <c r="K9" s="172">
        <f t="shared" ref="K9" si="12">SUM(K10:K11)</f>
        <v>1200</v>
      </c>
      <c r="M9" s="231" t="s">
        <v>4</v>
      </c>
      <c r="N9" s="171" t="s">
        <v>18</v>
      </c>
      <c r="O9" s="172">
        <f>SUM(O10:O11)</f>
        <v>28109</v>
      </c>
      <c r="P9" s="172">
        <f>SUM(P10:P11)</f>
        <v>20496</v>
      </c>
      <c r="Q9" s="172">
        <f t="shared" ref="Q9" si="13">SUM(Q10:Q11)</f>
        <v>1250</v>
      </c>
      <c r="R9" s="172">
        <f t="shared" ref="R9" si="14">SUM(R10:R11)</f>
        <v>100</v>
      </c>
      <c r="S9" s="172">
        <f t="shared" ref="S9" si="15">SUM(S10:S11)</f>
        <v>100</v>
      </c>
      <c r="T9" s="172">
        <f t="shared" ref="T9" si="16">SUM(T10:T11)</f>
        <v>3283</v>
      </c>
      <c r="U9" s="172">
        <f t="shared" ref="U9" si="17">SUM(U10:U11)</f>
        <v>1680</v>
      </c>
      <c r="V9" s="172">
        <f t="shared" ref="V9" si="18">SUM(V10:V11)</f>
        <v>1200</v>
      </c>
    </row>
    <row r="10" spans="2:22" ht="30" customHeight="1" x14ac:dyDescent="0.3">
      <c r="B10" s="232"/>
      <c r="C10" s="96" t="s">
        <v>33</v>
      </c>
      <c r="D10" s="136">
        <f>SUM(E10:K10)</f>
        <v>18589</v>
      </c>
      <c r="E10" s="136">
        <f>INDEX(유량!$F$6:$I$11,MATCH($B9,유량!$B$6:$B$11,0),MATCH($C10,유량!$F$5:$I$5,0))</f>
        <v>17006</v>
      </c>
      <c r="F10" s="136">
        <f>INDEX(유사량!$F$6:$I$11,MATCH($B9,유사량!$B$6:$B$11,0),MATCH($C10,유사량!$F$5:$I$5,0))</f>
        <v>894</v>
      </c>
      <c r="G10" s="136">
        <f>INDEX(토양수분량!$F$6:$I$11,MATCH($B9,토양수분량!$B$6:$B$11,0),MATCH($C10,토양수분량!$F$5:$I$5,0))</f>
        <v>73</v>
      </c>
      <c r="H10" s="136">
        <f>INDEX(증발산량!$F$6:$I$11,MATCH($B9,증발산량!$B$6:$B$11,0),MATCH($C10,증발산량!$F$5:$I$5,0))</f>
        <v>71</v>
      </c>
      <c r="I10" s="136">
        <f>INDEX(자동유량!$G$10:$J$13,MATCH(I$5,자동유량!$C$10:$C$13,0),MATCH($C10,자동유량!$G$5:$J$5,0))</f>
        <v>545</v>
      </c>
      <c r="J10" s="136">
        <f>INDEX(자동유량!$G$10:$J$13,MATCH(J$5,자동유량!$C$10:$C$13,0),MATCH($C10,자동유량!$G$5:$J$5,0))</f>
        <v>0</v>
      </c>
      <c r="K10" s="136">
        <f>INDEX(자동유량!$G$10:$J$13,MATCH(K$5,자동유량!$C$10:$C$13,0),MATCH($C10,자동유량!$G$5:$J$5,0))</f>
        <v>0</v>
      </c>
      <c r="M10" s="232"/>
      <c r="N10" s="96" t="s">
        <v>33</v>
      </c>
      <c r="O10" s="136">
        <f>SUM(P10:V10)</f>
        <v>18165</v>
      </c>
      <c r="P10" s="136">
        <f>INDEX(유량!$J$6:$M$11,MATCH($M9,유량!$B$6:$B$11,0),MATCH($N10,유량!$J$5:$M$5,0))</f>
        <v>16726</v>
      </c>
      <c r="Q10" s="136">
        <f>INDEX(유사량!$J$6:$M$11,MATCH($M9,유사량!$B$6:$B$11,0),MATCH($N10,유사량!$J$5:$M$5,0))</f>
        <v>875</v>
      </c>
      <c r="R10" s="136">
        <f>INDEX(토양수분량!$J$6:$M$11,MATCH($M9,토양수분량!$B$6:$B$11,0),MATCH($N10,토양수분량!$J$5:$M$5,0))</f>
        <v>32</v>
      </c>
      <c r="S10" s="136">
        <f>INDEX(증발산량!$J$6:$M$11,MATCH($M9,증발산량!$B$6:$B$11,0),MATCH($N10,증발산량!$J$5:$M$5,0))</f>
        <v>29</v>
      </c>
      <c r="T10" s="136">
        <f>INDEX(자동유량!$K$10:$N$13,MATCH(T$5,자동유량!$C$10:$C$13,0),MATCH($N10,자동유량!$K$5:$N$5,0))</f>
        <v>503</v>
      </c>
      <c r="U10" s="136">
        <f>INDEX(자동유량!$K$10:$N$13,MATCH(U$5,자동유량!$C$10:$C$13,0),MATCH($N10,자동유량!$K$5:$N$5,0))</f>
        <v>0</v>
      </c>
      <c r="V10" s="136">
        <f>INDEX(자동유량!$K$10:$N$13,MATCH(V$5,자동유량!$C$10:$C$13,0),MATCH($N10,자동유량!$K$5:$N$5,0))</f>
        <v>0</v>
      </c>
    </row>
    <row r="11" spans="2:22" ht="30" customHeight="1" x14ac:dyDescent="0.3">
      <c r="B11" s="233"/>
      <c r="C11" s="106" t="s">
        <v>34</v>
      </c>
      <c r="D11" s="137">
        <f>SUM(E11:K11)</f>
        <v>9520</v>
      </c>
      <c r="E11" s="137">
        <f>INDEX(유량!$F$6:$I$11,MATCH($B9,유량!$B$6:$B$11,0),MATCH($C11,유량!$F$5:$I$5,0))</f>
        <v>3490</v>
      </c>
      <c r="F11" s="137">
        <f>INDEX(유사량!$F$6:$I$11,MATCH($B9,유사량!$B$6:$B$11,0),MATCH($C11,유사량!$F$5:$I$5,0))</f>
        <v>356</v>
      </c>
      <c r="G11" s="137">
        <f>INDEX(토양수분량!$F$6:$I$11,MATCH($B9,토양수분량!$B$6:$B$11,0),MATCH($C11,토양수분량!$F$5:$I$5,0))</f>
        <v>27</v>
      </c>
      <c r="H11" s="137">
        <f>INDEX(증발산량!$F$6:$I$11,MATCH($B9,증발산량!$B$6:$B$11,0),MATCH($C11,증발산량!$F$5:$I$5,0))</f>
        <v>29</v>
      </c>
      <c r="I11" s="137">
        <f>INDEX(자동유량!$G$10:$J$13,MATCH(I$5,자동유량!$C$10:$C$13,0),MATCH($C11,자동유량!$G$5:$J$5,0))</f>
        <v>2738</v>
      </c>
      <c r="J11" s="137">
        <f>INDEX(자동유량!$G$10:$J$13,MATCH(J$5,자동유량!$C$10:$C$13,0),MATCH($C11,자동유량!$G$5:$J$5,0))</f>
        <v>1680</v>
      </c>
      <c r="K11" s="137">
        <f>INDEX(자동유량!$G$10:$J$13,MATCH(K$5,자동유량!$C$10:$C$13,0),MATCH($C11,자동유량!$G$5:$J$5,0))</f>
        <v>1200</v>
      </c>
      <c r="M11" s="233"/>
      <c r="N11" s="106" t="s">
        <v>34</v>
      </c>
      <c r="O11" s="137">
        <f>SUM(P11:V11)</f>
        <v>9944</v>
      </c>
      <c r="P11" s="137">
        <f>INDEX(유량!$J$6:$M$11,MATCH($M9,유량!$B$6:$B$11,0),MATCH($N11,유량!$J$5:$M$5,0))</f>
        <v>3770</v>
      </c>
      <c r="Q11" s="137">
        <f>INDEX(유사량!$J$6:$M$11,MATCH($M9,유사량!$B$6:$B$11,0),MATCH($N11,유사량!$J$5:$M$5,0))</f>
        <v>375</v>
      </c>
      <c r="R11" s="137">
        <f>INDEX(토양수분량!$J$6:$M$11,MATCH($M9,토양수분량!$B$6:$B$11,0),MATCH($N11,토양수분량!$J$5:$M$5,0))</f>
        <v>68</v>
      </c>
      <c r="S11" s="137">
        <f>INDEX(증발산량!$J$6:$M$11,MATCH($M9,증발산량!$B$6:$B$11,0),MATCH($N11,증발산량!$J$5:$M$5,0))</f>
        <v>71</v>
      </c>
      <c r="T11" s="137">
        <f>INDEX(자동유량!$K$10:$N$13,MATCH(T$5,자동유량!$C$10:$C$13,0),MATCH($N11,자동유량!$K$5:$N$5,0))</f>
        <v>2780</v>
      </c>
      <c r="U11" s="137">
        <f>INDEX(자동유량!$K$10:$N$13,MATCH(U$5,자동유량!$C$10:$C$13,0),MATCH($N11,자동유량!$K$5:$N$5,0))</f>
        <v>1680</v>
      </c>
      <c r="V11" s="137">
        <f>INDEX(자동유량!$K$10:$N$13,MATCH(V$5,자동유량!$C$10:$C$13,0),MATCH($N11,자동유량!$K$5:$N$5,0))</f>
        <v>1200</v>
      </c>
    </row>
    <row r="12" spans="2:22" ht="30" customHeight="1" x14ac:dyDescent="0.3">
      <c r="B12" s="231" t="s">
        <v>19</v>
      </c>
      <c r="C12" s="171" t="s">
        <v>18</v>
      </c>
      <c r="D12" s="172">
        <f>SUM(D13:D14)</f>
        <v>27885</v>
      </c>
      <c r="E12" s="172">
        <f>SUM(E13:E14)</f>
        <v>20496</v>
      </c>
      <c r="F12" s="172">
        <f t="shared" ref="F12" si="19">SUM(F13:F14)</f>
        <v>1250</v>
      </c>
      <c r="G12" s="172">
        <f t="shared" ref="G12" si="20">SUM(G13:G14)</f>
        <v>100</v>
      </c>
      <c r="H12" s="172">
        <f t="shared" ref="H12" si="21">SUM(H13:H14)</f>
        <v>100</v>
      </c>
      <c r="I12" s="172">
        <f t="shared" ref="I12" si="22">SUM(I13:I14)</f>
        <v>3479</v>
      </c>
      <c r="J12" s="172">
        <f t="shared" ref="J12" si="23">SUM(J13:J14)</f>
        <v>1260</v>
      </c>
      <c r="K12" s="172">
        <f t="shared" ref="K12" si="24">SUM(K13:K14)</f>
        <v>1200</v>
      </c>
      <c r="M12" s="231" t="s">
        <v>19</v>
      </c>
      <c r="N12" s="171" t="s">
        <v>18</v>
      </c>
      <c r="O12" s="172">
        <f>SUM(O13:O14)</f>
        <v>27885</v>
      </c>
      <c r="P12" s="172">
        <f>SUM(P13:P14)</f>
        <v>20496</v>
      </c>
      <c r="Q12" s="172">
        <f t="shared" ref="Q12" si="25">SUM(Q13:Q14)</f>
        <v>1250</v>
      </c>
      <c r="R12" s="172">
        <f t="shared" ref="R12" si="26">SUM(R13:R14)</f>
        <v>100</v>
      </c>
      <c r="S12" s="172">
        <f t="shared" ref="S12" si="27">SUM(S13:S14)</f>
        <v>100</v>
      </c>
      <c r="T12" s="172">
        <f t="shared" ref="T12" si="28">SUM(T13:T14)</f>
        <v>3479</v>
      </c>
      <c r="U12" s="172">
        <f t="shared" ref="U12" si="29">SUM(U13:U14)</f>
        <v>1260</v>
      </c>
      <c r="V12" s="172">
        <f t="shared" ref="V12" si="30">SUM(V13:V14)</f>
        <v>1200</v>
      </c>
    </row>
    <row r="13" spans="2:22" ht="30" customHeight="1" x14ac:dyDescent="0.3">
      <c r="B13" s="232"/>
      <c r="C13" s="96" t="s">
        <v>33</v>
      </c>
      <c r="D13" s="136">
        <f>SUM(E13:K13)</f>
        <v>19410</v>
      </c>
      <c r="E13" s="136">
        <f>INDEX(유량!$F$6:$I$11,MATCH($B12,유량!$B$6:$B$11,0),MATCH($C13,유량!$F$5:$I$5,0))</f>
        <v>17907</v>
      </c>
      <c r="F13" s="136">
        <f>INDEX(유사량!$F$6:$I$11,MATCH($B12,유사량!$B$6:$B$11,0),MATCH($C13,유사량!$F$5:$I$5,0))</f>
        <v>834</v>
      </c>
      <c r="G13" s="136">
        <f>INDEX(토양수분량!$F$6:$I$11,MATCH($B12,토양수분량!$B$6:$B$11,0),MATCH($C13,토양수분량!$F$5:$I$5,0))</f>
        <v>45</v>
      </c>
      <c r="H13" s="136">
        <f>INDEX(증발산량!$F$6:$I$11,MATCH($B12,증발산량!$B$6:$B$11,0),MATCH($C13,증발산량!$F$5:$I$5,0))</f>
        <v>62</v>
      </c>
      <c r="I13" s="136">
        <f>INDEX(자동유량!$G$14:$J$17,MATCH(I$5,자동유량!$C$14:$C$17,0),MATCH($C13,자동유량!$G$5:$J$5,0))</f>
        <v>562</v>
      </c>
      <c r="J13" s="136">
        <f>INDEX(자동유량!$G$14:$J$17,MATCH(J$5,자동유량!$C$14:$C$17,0),MATCH($C13,자동유량!$G$5:$J$5,0))</f>
        <v>0</v>
      </c>
      <c r="K13" s="136">
        <f>INDEX(자동유량!$G$14:$J$17,MATCH(K$5,자동유량!$C$14:$C$17,0),MATCH($C13,자동유량!$G$5:$J$5,0))</f>
        <v>0</v>
      </c>
      <c r="M13" s="232"/>
      <c r="N13" s="96" t="s">
        <v>33</v>
      </c>
      <c r="O13" s="136">
        <f>SUM(P13:V13)</f>
        <v>19295</v>
      </c>
      <c r="P13" s="136">
        <f>INDEX(유량!$J$6:$M$11,MATCH($M12,유량!$B$6:$B$11,0),MATCH($N13,유량!$J$5:$M$5,0))</f>
        <v>17901</v>
      </c>
      <c r="Q13" s="136">
        <f>INDEX(유사량!$J$6:$M$11,MATCH($M12,유사량!$B$6:$B$11,0),MATCH($N13,유사량!$J$5:$M$5,0))</f>
        <v>725</v>
      </c>
      <c r="R13" s="136">
        <f>INDEX(토양수분량!$J$6:$M$11,MATCH($M12,토양수분량!$B$6:$B$11,0),MATCH($N13,토양수분량!$J$5:$M$5,0))</f>
        <v>45</v>
      </c>
      <c r="S13" s="136">
        <f>INDEX(증발산량!$J$6:$M$11,MATCH($M12,증발산량!$B$6:$B$11,0),MATCH($N13,증발산량!$J$5:$M$5,0))</f>
        <v>62</v>
      </c>
      <c r="T13" s="184">
        <f>INDEX(자동유량!$K$14:$N$17,MATCH(T$5,자동유량!$C$14:$C$17,0),MATCH($N13,자동유량!$K$5:$N$5,0))</f>
        <v>562</v>
      </c>
      <c r="U13" s="136">
        <f>INDEX(자동유량!$K$14:$N$17,MATCH(U$5,자동유량!$C$14:$C$17,0),MATCH($N13,자동유량!$K$5:$N$5,0))</f>
        <v>0</v>
      </c>
      <c r="V13" s="136">
        <f>INDEX(자동유량!$K$14:$N$17,MATCH(V$5,자동유량!$C$14:$C$17,0),MATCH($N13,자동유량!$K$5:$N$5,0))</f>
        <v>0</v>
      </c>
    </row>
    <row r="14" spans="2:22" ht="30" customHeight="1" x14ac:dyDescent="0.3">
      <c r="B14" s="233"/>
      <c r="C14" s="106" t="s">
        <v>34</v>
      </c>
      <c r="D14" s="137">
        <f>SUM(E14:K14)</f>
        <v>8475</v>
      </c>
      <c r="E14" s="137">
        <f>INDEX(유량!$F$6:$I$11,MATCH($B12,유량!$B$6:$B$11,0),MATCH($C14,유량!$F$5:$I$5,0))</f>
        <v>2589</v>
      </c>
      <c r="F14" s="137">
        <f>INDEX(유사량!$F$6:$I$11,MATCH($B12,유사량!$B$6:$B$11,0),MATCH($C14,유사량!$F$5:$I$5,0))</f>
        <v>416</v>
      </c>
      <c r="G14" s="137">
        <f>INDEX(토양수분량!$F$6:$I$11,MATCH($B12,토양수분량!$B$6:$B$11,0),MATCH($C14,토양수분량!$F$5:$I$5,0))</f>
        <v>55</v>
      </c>
      <c r="H14" s="137">
        <f>INDEX(증발산량!$F$6:$I$11,MATCH($B12,증발산량!$B$6:$B$11,0),MATCH($C14,증발산량!$F$5:$I$5,0))</f>
        <v>38</v>
      </c>
      <c r="I14" s="137">
        <f>INDEX(자동유량!$G$14:$J$17,MATCH(I$5,자동유량!$C$14:$C$17,0),MATCH($C14,자동유량!$G$5:$J$5,0))</f>
        <v>2917</v>
      </c>
      <c r="J14" s="137">
        <f>INDEX(자동유량!$G$14:$J$17,MATCH(J$5,자동유량!$C$14:$C$17,0),MATCH($C14,자동유량!$G$5:$J$5,0))</f>
        <v>1260</v>
      </c>
      <c r="K14" s="137">
        <f>INDEX(자동유량!$G$14:$J$17,MATCH(K$5,자동유량!$C$14:$C$17,0),MATCH($C14,자동유량!$G$5:$J$5,0))</f>
        <v>1200</v>
      </c>
      <c r="M14" s="233"/>
      <c r="N14" s="106" t="s">
        <v>34</v>
      </c>
      <c r="O14" s="137">
        <f>SUM(P14:V14)</f>
        <v>8590</v>
      </c>
      <c r="P14" s="137">
        <f>INDEX(유량!$J$6:$M$11,MATCH($M12,유량!$B$6:$B$11,0),MATCH($N14,유량!$J$5:$M$5,0))</f>
        <v>2595</v>
      </c>
      <c r="Q14" s="137">
        <f>INDEX(유사량!$J$6:$M$11,MATCH($M12,유사량!$B$6:$B$11,0),MATCH($N14,유사량!$J$5:$M$5,0))</f>
        <v>525</v>
      </c>
      <c r="R14" s="137">
        <f>INDEX(토양수분량!$J$6:$M$11,MATCH($M12,토양수분량!$B$6:$B$11,0),MATCH($N14,토양수분량!$J$5:$M$5,0))</f>
        <v>55</v>
      </c>
      <c r="S14" s="137">
        <f>INDEX(증발산량!$J$6:$M$11,MATCH($M12,증발산량!$B$6:$B$11,0),MATCH($N14,증발산량!$J$5:$M$5,0))</f>
        <v>38</v>
      </c>
      <c r="T14" s="137">
        <f>INDEX(자동유량!$K$14:$N$17,MATCH(T$5,자동유량!$C$14:$C$17,0),MATCH($N14,자동유량!$K$5:$N$5,0))</f>
        <v>2917</v>
      </c>
      <c r="U14" s="137">
        <f>INDEX(자동유량!$K$14:$N$17,MATCH(U$5,자동유량!$C$14:$C$17,0),MATCH($N14,자동유량!$K$5:$N$5,0))</f>
        <v>1260</v>
      </c>
      <c r="V14" s="137">
        <f>INDEX(자동유량!$K$14:$N$17,MATCH(V$5,자동유량!$C$14:$C$17,0),MATCH($N14,자동유량!$K$5:$N$5,0))</f>
        <v>1200</v>
      </c>
    </row>
    <row r="15" spans="2:22" ht="30" customHeight="1" x14ac:dyDescent="0.3">
      <c r="B15" s="231" t="s">
        <v>20</v>
      </c>
      <c r="C15" s="171" t="s">
        <v>18</v>
      </c>
      <c r="D15" s="172">
        <f>SUM(D16:D17)</f>
        <v>35270</v>
      </c>
      <c r="E15" s="172">
        <f>SUM(E16:E17)</f>
        <v>23856</v>
      </c>
      <c r="F15" s="172">
        <f t="shared" ref="F15" si="31">SUM(F16:F17)</f>
        <v>1250</v>
      </c>
      <c r="G15" s="172">
        <f t="shared" ref="G15" si="32">SUM(G16:G17)</f>
        <v>100</v>
      </c>
      <c r="H15" s="172">
        <f t="shared" ref="H15" si="33">SUM(H16:H17)</f>
        <v>100</v>
      </c>
      <c r="I15" s="172">
        <f t="shared" ref="I15" si="34">SUM(I16:I17)</f>
        <v>3724</v>
      </c>
      <c r="J15" s="172">
        <f t="shared" ref="J15" si="35">SUM(J16:J17)</f>
        <v>4200</v>
      </c>
      <c r="K15" s="172">
        <f t="shared" ref="K15" si="36">SUM(K16:K17)</f>
        <v>2040</v>
      </c>
      <c r="M15" s="231" t="s">
        <v>20</v>
      </c>
      <c r="N15" s="171" t="s">
        <v>18</v>
      </c>
      <c r="O15" s="172">
        <f>SUM(O16:O17)</f>
        <v>35270</v>
      </c>
      <c r="P15" s="172">
        <f>SUM(P16:P17)</f>
        <v>23856</v>
      </c>
      <c r="Q15" s="172">
        <f t="shared" ref="Q15" si="37">SUM(Q16:Q17)</f>
        <v>1250</v>
      </c>
      <c r="R15" s="172">
        <f t="shared" ref="R15" si="38">SUM(R16:R17)</f>
        <v>100</v>
      </c>
      <c r="S15" s="172">
        <f t="shared" ref="S15" si="39">SUM(S16:S17)</f>
        <v>100</v>
      </c>
      <c r="T15" s="172">
        <f t="shared" ref="T15" si="40">SUM(T16:T17)</f>
        <v>3724</v>
      </c>
      <c r="U15" s="172">
        <f t="shared" ref="U15" si="41">SUM(U16:U17)</f>
        <v>4200</v>
      </c>
      <c r="V15" s="172">
        <f t="shared" ref="V15" si="42">SUM(V16:V17)</f>
        <v>2040</v>
      </c>
    </row>
    <row r="16" spans="2:22" ht="30" customHeight="1" x14ac:dyDescent="0.3">
      <c r="B16" s="232"/>
      <c r="C16" s="96" t="s">
        <v>33</v>
      </c>
      <c r="D16" s="136">
        <f>SUM(E16:K16)</f>
        <v>24285</v>
      </c>
      <c r="E16" s="136">
        <f>INDEX(유량!$F$6:$I$11,MATCH($B15,유량!$B$6:$B$11,0),MATCH($C16,유량!$F$5:$I$5,0))</f>
        <v>20064</v>
      </c>
      <c r="F16" s="136">
        <f>INDEX(유사량!$F$6:$I$11,MATCH($B15,유사량!$B$6:$B$11,0),MATCH($C16,유사량!$F$5:$I$5,0))</f>
        <v>1029</v>
      </c>
      <c r="G16" s="136">
        <f>INDEX(토양수분량!$F$6:$I$11,MATCH($B15,토양수분량!$B$6:$B$11,0),MATCH($C16,토양수분량!$F$5:$I$5,0))</f>
        <v>70</v>
      </c>
      <c r="H16" s="136">
        <f>INDEX(증발산량!$F$6:$I$11,MATCH($B15,증발산량!$B$6:$B$11,0),MATCH($C16,증발산량!$F$5:$I$5,0))</f>
        <v>70</v>
      </c>
      <c r="I16" s="136">
        <f>INDEX(자동유량!$G$18:$J$21,MATCH(I$5,자동유량!$C$18:$C$21,0),MATCH($C16,자동유량!$G$5:$J$5,0))</f>
        <v>3052</v>
      </c>
      <c r="J16" s="136">
        <f>INDEX(자동유량!$G$18:$J$21,MATCH(J$5,자동유량!$C$18:$C$21,0),MATCH($C16,자동유량!$G$5:$J$5,0))</f>
        <v>0</v>
      </c>
      <c r="K16" s="136">
        <f>INDEX(자동유량!$G$18:$J$21,MATCH(K$5,자동유량!$C$18:$C$21,0),MATCH($C16,자동유량!$G$5:$J$5,0))</f>
        <v>0</v>
      </c>
      <c r="M16" s="232"/>
      <c r="N16" s="96" t="s">
        <v>33</v>
      </c>
      <c r="O16" s="136">
        <f>SUM(P16:V16)</f>
        <v>24075</v>
      </c>
      <c r="P16" s="136">
        <f>INDEX(유량!$J$6:$M$11,MATCH($M15,유량!$B$6:$B$11,0),MATCH($N16,유량!$J$5:$M$5,0))</f>
        <v>19906</v>
      </c>
      <c r="Q16" s="136">
        <f>INDEX(유사량!$J$6:$M$11,MATCH($M15,유사량!$B$6:$B$11,0),MATCH($N16,유사량!$J$5:$M$5,0))</f>
        <v>1029</v>
      </c>
      <c r="R16" s="136">
        <f>INDEX(토양수분량!$J$6:$M$11,MATCH($M15,토양수분량!$B$6:$B$11,0),MATCH($N16,토양수분량!$J$5:$M$5,0))</f>
        <v>53</v>
      </c>
      <c r="S16" s="136">
        <f>INDEX(증발산량!$J$6:$M$11,MATCH($M15,증발산량!$B$6:$B$11,0),MATCH($N16,증발산량!$J$5:$M$5,0))</f>
        <v>53</v>
      </c>
      <c r="T16" s="184">
        <f>INDEX(자동유량!$K$18:$N$21,MATCH(T$5,자동유량!$C$18:$C$21,0),MATCH($N13,자동유량!$K$5:$N$5,0))</f>
        <v>3034</v>
      </c>
      <c r="U16" s="136">
        <f>INDEX(자동유량!$K$18:$N$21,MATCH(U$5,자동유량!$C$18:$C$21,0),MATCH($N13,자동유량!$K$5:$N$5,0))</f>
        <v>0</v>
      </c>
      <c r="V16" s="136">
        <f>INDEX(자동유량!$K$18:$N$21,MATCH(V$5,자동유량!$C$18:$C$21,0),MATCH($N13,자동유량!$K$5:$N$5,0))</f>
        <v>0</v>
      </c>
    </row>
    <row r="17" spans="2:22" ht="30" customHeight="1" x14ac:dyDescent="0.3">
      <c r="B17" s="233"/>
      <c r="C17" s="106" t="s">
        <v>34</v>
      </c>
      <c r="D17" s="137">
        <f>SUM(E17:K17)</f>
        <v>10985</v>
      </c>
      <c r="E17" s="137">
        <f>INDEX(유량!$F$6:$I$11,MATCH($B15,유량!$B$6:$B$11,0),MATCH($C17,유량!$F$5:$I$5,0))</f>
        <v>3792</v>
      </c>
      <c r="F17" s="137">
        <f>INDEX(유사량!$F$6:$I$11,MATCH($B15,유사량!$B$6:$B$11,0),MATCH($C17,유사량!$F$5:$I$5,0))</f>
        <v>221</v>
      </c>
      <c r="G17" s="137">
        <f>INDEX(토양수분량!$F$6:$I$11,MATCH($B15,토양수분량!$B$6:$B$11,0),MATCH($C17,토양수분량!$F$5:$I$5,0))</f>
        <v>30</v>
      </c>
      <c r="H17" s="137">
        <f>INDEX(증발산량!$F$6:$I$11,MATCH($B15,증발산량!$B$6:$B$11,0),MATCH($C17,증발산량!$F$5:$I$5,0))</f>
        <v>30</v>
      </c>
      <c r="I17" s="137">
        <f>INDEX(자동유량!$G$18:$J$21,MATCH(I$5,자동유량!$C$18:$C$21,0),MATCH($C17,자동유량!$G$5:$J$5,0))</f>
        <v>672</v>
      </c>
      <c r="J17" s="137">
        <f>INDEX(자동유량!$G$18:$J$21,MATCH(J$5,자동유량!$C$18:$C$21,0),MATCH($C17,자동유량!$G$5:$J$5,0))</f>
        <v>4200</v>
      </c>
      <c r="K17" s="137">
        <f>INDEX(자동유량!$G$18:$J$21,MATCH(K$5,자동유량!$C$18:$C$21,0),MATCH($C17,자동유량!$G$5:$J$5,0))</f>
        <v>2040</v>
      </c>
      <c r="M17" s="233"/>
      <c r="N17" s="106" t="s">
        <v>34</v>
      </c>
      <c r="O17" s="137">
        <f>SUM(P17:V17)</f>
        <v>11195</v>
      </c>
      <c r="P17" s="137">
        <f>INDEX(유량!$J$6:$M$11,MATCH($M15,유량!$B$6:$B$11,0),MATCH($N17,유량!$J$5:$M$5,0))</f>
        <v>3950</v>
      </c>
      <c r="Q17" s="137">
        <f>INDEX(유사량!$J$6:$M$11,MATCH($M15,유사량!$B$6:$B$11,0),MATCH($N17,유사량!$J$5:$M$5,0))</f>
        <v>221</v>
      </c>
      <c r="R17" s="137">
        <f>INDEX(토양수분량!$J$6:$M$11,MATCH($M15,토양수분량!$B$6:$B$11,0),MATCH($N17,토양수분량!$J$5:$M$5,0))</f>
        <v>47</v>
      </c>
      <c r="S17" s="137">
        <f>INDEX(증발산량!$J$6:$M$11,MATCH($M15,증발산량!$B$6:$B$11,0),MATCH($N17,증발산량!$J$5:$M$5,0))</f>
        <v>47</v>
      </c>
      <c r="T17" s="137">
        <f>INDEX(자동유량!$K$18:$N$21,MATCH(T$5,자동유량!$C$18:$C$21,0),MATCH($N14,자동유량!$K$5:$N$5,0))</f>
        <v>690</v>
      </c>
      <c r="U17" s="137">
        <f>INDEX(자동유량!$K$18:$N$21,MATCH(U$5,자동유량!$C$18:$C$21,0),MATCH($N14,자동유량!$K$5:$N$5,0))</f>
        <v>4200</v>
      </c>
      <c r="V17" s="137">
        <f>INDEX(자동유량!$K$18:$N$21,MATCH(V$5,자동유량!$C$18:$C$21,0),MATCH($N14,자동유량!$K$5:$N$5,0))</f>
        <v>2040</v>
      </c>
    </row>
    <row r="18" spans="2:22" ht="30" customHeight="1" x14ac:dyDescent="0.3">
      <c r="B18" s="231" t="s">
        <v>21</v>
      </c>
      <c r="C18" s="171" t="s">
        <v>18</v>
      </c>
      <c r="D18" s="172">
        <f>SUM(D19:D20)</f>
        <v>56623</v>
      </c>
      <c r="E18" s="172">
        <f>SUM(E19:E20)</f>
        <v>15624</v>
      </c>
      <c r="F18" s="172">
        <f t="shared" ref="F18" si="43">SUM(F19:F20)</f>
        <v>1250</v>
      </c>
      <c r="G18" s="172">
        <f t="shared" ref="G18" si="44">SUM(G19:G20)</f>
        <v>100</v>
      </c>
      <c r="H18" s="172">
        <f t="shared" ref="H18" si="45">SUM(H19:H20)</f>
        <v>100</v>
      </c>
      <c r="I18" s="172">
        <f t="shared" ref="I18" si="46">SUM(I19:I20)</f>
        <v>8624</v>
      </c>
      <c r="J18" s="172">
        <f t="shared" ref="J18" si="47">SUM(J19:J20)</f>
        <v>27975</v>
      </c>
      <c r="K18" s="172">
        <f t="shared" ref="K18" si="48">SUM(K19:K20)</f>
        <v>2950</v>
      </c>
      <c r="M18" s="231" t="s">
        <v>21</v>
      </c>
      <c r="N18" s="171" t="s">
        <v>18</v>
      </c>
      <c r="O18" s="172">
        <f>SUM(O19:O20)</f>
        <v>56623</v>
      </c>
      <c r="P18" s="172">
        <f>SUM(P19:P20)</f>
        <v>15624</v>
      </c>
      <c r="Q18" s="172">
        <f t="shared" ref="Q18" si="49">SUM(Q19:Q20)</f>
        <v>1250</v>
      </c>
      <c r="R18" s="172">
        <f t="shared" ref="R18" si="50">SUM(R19:R20)</f>
        <v>100</v>
      </c>
      <c r="S18" s="172">
        <f t="shared" ref="S18" si="51">SUM(S19:S20)</f>
        <v>100</v>
      </c>
      <c r="T18" s="172">
        <f t="shared" ref="T18" si="52">SUM(T19:T20)</f>
        <v>8624</v>
      </c>
      <c r="U18" s="172">
        <f t="shared" ref="U18" si="53">SUM(U19:U20)</f>
        <v>27975</v>
      </c>
      <c r="V18" s="172">
        <f t="shared" ref="V18" si="54">SUM(V19:V20)</f>
        <v>2950</v>
      </c>
    </row>
    <row r="19" spans="2:22" ht="30" customHeight="1" x14ac:dyDescent="0.3">
      <c r="B19" s="232"/>
      <c r="C19" s="96" t="s">
        <v>33</v>
      </c>
      <c r="D19" s="136">
        <f>SUM(E19:K19)</f>
        <v>20919</v>
      </c>
      <c r="E19" s="136">
        <f>INDEX(유량!$F$6:$I$11,MATCH($B18,유량!$B$6:$B$11,0),MATCH($C19,유량!$F$5:$I$5,0))</f>
        <v>12996</v>
      </c>
      <c r="F19" s="136">
        <f>INDEX(유사량!$F$6:$I$11,MATCH($B18,유사량!$B$6:$B$11,0),MATCH($C19,유사량!$F$5:$I$5,0))</f>
        <v>1075</v>
      </c>
      <c r="G19" s="136">
        <f>INDEX(토양수분량!$F$6:$I$11,MATCH($B18,토양수분량!$B$6:$B$11,0),MATCH($C19,토양수분량!$F$5:$I$5,0))</f>
        <v>80</v>
      </c>
      <c r="H19" s="136">
        <f>INDEX(증발산량!$F$6:$I$11,MATCH($B18,증발산량!$B$6:$B$11,0),MATCH($C19,증발산량!$F$5:$I$5,0))</f>
        <v>80</v>
      </c>
      <c r="I19" s="136">
        <f>INDEX(자동유량!$G$22:$J$25,MATCH(I$5,자동유량!$C$22:$C$25,0),MATCH($C19,자동유량!$G$5:$J$5,0))</f>
        <v>6688</v>
      </c>
      <c r="J19" s="136">
        <f>INDEX(자동유량!$G$22:$J$25,MATCH(J$5,자동유량!$C$22:$C$25,0),MATCH($C19,자동유량!$G$5:$J$5,0))</f>
        <v>0</v>
      </c>
      <c r="K19" s="136">
        <f>INDEX(자동유량!$G$22:$J$25,MATCH(K$5,자동유량!$C$22:$C$25,0),MATCH($C19,자동유량!$G$5:$J$5,0))</f>
        <v>0</v>
      </c>
      <c r="M19" s="232"/>
      <c r="N19" s="96" t="s">
        <v>33</v>
      </c>
      <c r="O19" s="136">
        <f>SUM(P19:V19)</f>
        <v>20016</v>
      </c>
      <c r="P19" s="136">
        <f>INDEX(유량!$J$6:$M$11,MATCH($M18,유량!$B$6:$B$11,0),MATCH($N19,유량!$J$5:$M$5,0))</f>
        <v>12526</v>
      </c>
      <c r="Q19" s="136">
        <f>INDEX(유사량!$J$6:$M$11,MATCH($M18,유사량!$B$6:$B$11,0),MATCH($N19,유사량!$J$5:$M$5,0))</f>
        <v>774</v>
      </c>
      <c r="R19" s="136">
        <f>INDEX(토양수분량!$J$6:$M$11,MATCH($M18,토양수분량!$B$6:$B$11,0),MATCH($N19,토양수분량!$J$5:$M$5,0))</f>
        <v>36</v>
      </c>
      <c r="S19" s="136">
        <f>INDEX(증발산량!$J$6:$M$11,MATCH($M18,증발산량!$B$6:$B$11,0),MATCH($N19,증발산량!$J$5:$M$5,0))</f>
        <v>36</v>
      </c>
      <c r="T19" s="184">
        <f>INDEX(자동유량!$K$22:$N$25,MATCH(T$5,자동유량!$C$22:$C$25,0),MATCH($N13,자동유량!$K$5:$N$5,0))</f>
        <v>6644</v>
      </c>
      <c r="U19" s="136">
        <f>INDEX(자동유량!$K$22:$N$25,MATCH(U$5,자동유량!$C$22:$C$25,0),MATCH($N13,자동유량!$K$5:$N$5,0))</f>
        <v>0</v>
      </c>
      <c r="V19" s="136">
        <f>INDEX(자동유량!$K$22:$N$25,MATCH(V$5,자동유량!$C$22:$C$25,0),MATCH($N13,자동유량!$K$5:$N$5,0))</f>
        <v>0</v>
      </c>
    </row>
    <row r="20" spans="2:22" ht="30" customHeight="1" x14ac:dyDescent="0.3">
      <c r="B20" s="233"/>
      <c r="C20" s="106" t="s">
        <v>34</v>
      </c>
      <c r="D20" s="137">
        <f>SUM(E20:K20)</f>
        <v>35704</v>
      </c>
      <c r="E20" s="137">
        <f>INDEX(유량!$F$6:$I$11,MATCH($B18,유량!$B$6:$B$11,0),MATCH($C20,유량!$F$5:$I$5,0))</f>
        <v>2628</v>
      </c>
      <c r="F20" s="137">
        <f>INDEX(유사량!$F$6:$I$11,MATCH($B18,유사량!$B$6:$B$11,0),MATCH($C20,유사량!$F$5:$I$5,0))</f>
        <v>175</v>
      </c>
      <c r="G20" s="137">
        <f>INDEX(토양수분량!$F$6:$I$11,MATCH($B18,토양수분량!$B$6:$B$11,0),MATCH($C20,토양수분량!$F$5:$I$5,0))</f>
        <v>20</v>
      </c>
      <c r="H20" s="137">
        <f>INDEX(증발산량!$F$6:$I$11,MATCH($B18,증발산량!$B$6:$B$11,0),MATCH($C20,증발산량!$F$5:$I$5,0))</f>
        <v>20</v>
      </c>
      <c r="I20" s="137">
        <f>INDEX(자동유량!$G$22:$J$25,MATCH(I$5,자동유량!$C$22:$C$25,0),MATCH($C20,자동유량!$G$5:$J$5,0))</f>
        <v>1936</v>
      </c>
      <c r="J20" s="137">
        <f>INDEX(자동유량!$G$22:$J$25,MATCH(J$5,자동유량!$C$22:$C$25,0),MATCH($C20,자동유량!$G$5:$J$5,0))</f>
        <v>27975</v>
      </c>
      <c r="K20" s="137">
        <f>INDEX(자동유량!$G$22:$J$25,MATCH(K$5,자동유량!$C$22:$C$25,0),MATCH($C20,자동유량!$G$5:$J$5,0))</f>
        <v>2950</v>
      </c>
      <c r="M20" s="233"/>
      <c r="N20" s="106" t="s">
        <v>34</v>
      </c>
      <c r="O20" s="137">
        <f>SUM(P20:V20)</f>
        <v>36607</v>
      </c>
      <c r="P20" s="137">
        <f>INDEX(유량!$J$6:$M$11,MATCH($M18,유량!$B$6:$B$11,0),MATCH($N20,유량!$J$5:$M$5,0))</f>
        <v>3098</v>
      </c>
      <c r="Q20" s="137">
        <f>INDEX(유사량!$J$6:$M$11,MATCH($M18,유사량!$B$6:$B$11,0),MATCH($N20,유사량!$J$5:$M$5,0))</f>
        <v>476</v>
      </c>
      <c r="R20" s="137">
        <f>INDEX(토양수분량!$J$6:$M$11,MATCH($M18,토양수분량!$B$6:$B$11,0),MATCH($N20,토양수분량!$J$5:$M$5,0))</f>
        <v>64</v>
      </c>
      <c r="S20" s="137">
        <f>INDEX(증발산량!$J$6:$M$11,MATCH($M18,증발산량!$B$6:$B$11,0),MATCH($N20,증발산량!$J$5:$M$5,0))</f>
        <v>64</v>
      </c>
      <c r="T20" s="137">
        <f>INDEX(자동유량!$K$22:$N$25,MATCH(T$5,자동유량!$C$22:$C$25,0),MATCH($N14,자동유량!$K$5:$N$5,0))</f>
        <v>1980</v>
      </c>
      <c r="U20" s="137">
        <f>INDEX(자동유량!$K$22:$N$25,MATCH(U$5,자동유량!$C$22:$C$25,0),MATCH($N14,자동유량!$K$5:$N$5,0))</f>
        <v>27975</v>
      </c>
      <c r="V20" s="137">
        <f>INDEX(자동유량!$K$22:$N$25,MATCH(V$5,자동유량!$C$22:$C$25,0),MATCH($N14,자동유량!$K$5:$N$5,0))</f>
        <v>2950</v>
      </c>
    </row>
    <row r="21" spans="2:22" ht="30" customHeight="1" x14ac:dyDescent="0.3">
      <c r="B21" s="231" t="s">
        <v>22</v>
      </c>
      <c r="C21" s="171" t="s">
        <v>18</v>
      </c>
      <c r="D21" s="172">
        <f>SUM(D22:D23)</f>
        <v>40477</v>
      </c>
      <c r="E21" s="172">
        <f>SUM(E22:E23)</f>
        <v>12096</v>
      </c>
      <c r="F21" s="172">
        <f t="shared" ref="F21" si="55">SUM(F22:F23)</f>
        <v>1500</v>
      </c>
      <c r="G21" s="172">
        <f t="shared" ref="G21" si="56">SUM(G22:G23)</f>
        <v>100</v>
      </c>
      <c r="H21" s="172">
        <f t="shared" ref="H21" si="57">SUM(H22:H23)</f>
        <v>100</v>
      </c>
      <c r="I21" s="172">
        <f t="shared" ref="I21" si="58">SUM(I22:I23)</f>
        <v>11133</v>
      </c>
      <c r="J21" s="172">
        <f t="shared" ref="J21" si="59">SUM(J22:J23)</f>
        <v>12598</v>
      </c>
      <c r="K21" s="172">
        <f t="shared" ref="K21" si="60">SUM(K22:K23)</f>
        <v>2950</v>
      </c>
      <c r="M21" s="231" t="s">
        <v>22</v>
      </c>
      <c r="N21" s="171" t="s">
        <v>18</v>
      </c>
      <c r="O21" s="172">
        <f>SUM(O22:O23)</f>
        <v>40477</v>
      </c>
      <c r="P21" s="172">
        <f>SUM(P22:P23)</f>
        <v>12096</v>
      </c>
      <c r="Q21" s="172">
        <f t="shared" ref="Q21" si="61">SUM(Q22:Q23)</f>
        <v>1500</v>
      </c>
      <c r="R21" s="172">
        <f t="shared" ref="R21" si="62">SUM(R22:R23)</f>
        <v>100</v>
      </c>
      <c r="S21" s="172">
        <f t="shared" ref="S21" si="63">SUM(S22:S23)</f>
        <v>100</v>
      </c>
      <c r="T21" s="172">
        <f t="shared" ref="T21" si="64">SUM(T22:T23)</f>
        <v>11133</v>
      </c>
      <c r="U21" s="172">
        <f t="shared" ref="U21" si="65">SUM(U22:U23)</f>
        <v>12598</v>
      </c>
      <c r="V21" s="172">
        <f t="shared" ref="V21" si="66">SUM(V22:V23)</f>
        <v>2950</v>
      </c>
    </row>
    <row r="22" spans="2:22" ht="30" customHeight="1" x14ac:dyDescent="0.3">
      <c r="B22" s="232"/>
      <c r="C22" s="96" t="s">
        <v>33</v>
      </c>
      <c r="D22" s="136">
        <f>SUM(E22:K22)</f>
        <v>21989</v>
      </c>
      <c r="E22" s="136">
        <f>INDEX(유량!$F$6:$I$11,MATCH($B21,유량!$B$6:$B$11,0),MATCH($C22,유량!$F$5:$I$5,0))</f>
        <v>10056</v>
      </c>
      <c r="F22" s="136">
        <f>INDEX(유사량!$F$6:$I$11,MATCH($B21,유사량!$B$6:$B$11,0),MATCH($C22,유사량!$F$5:$I$5,0))</f>
        <v>1341</v>
      </c>
      <c r="G22" s="136">
        <f>INDEX(토양수분량!$F$6:$I$11,MATCH($B21,토양수분량!$B$6:$B$11,0),MATCH($C22,토양수분량!$F$5:$I$5,0))</f>
        <v>80</v>
      </c>
      <c r="H22" s="136">
        <f>INDEX(증발산량!$F$6:$I$11,MATCH($B21,증발산량!$B$6:$B$11,0),MATCH($C22,증발산량!$F$5:$I$5,0))</f>
        <v>80</v>
      </c>
      <c r="I22" s="136">
        <f>INDEX(자동유량!$G$26:$J$29,MATCH(I$5,자동유량!$C$26:$C$29,0),MATCH($C22,자동유량!$G$5:$J$5,0))</f>
        <v>10432</v>
      </c>
      <c r="J22" s="136">
        <f>INDEX(자동유량!$G$26:$J$29,MATCH(J$5,자동유량!$C$26:$C$29,0),MATCH($C22,자동유량!$G$5:$J$5,0))</f>
        <v>0</v>
      </c>
      <c r="K22" s="136">
        <f>INDEX(자동유량!$G$26:$J$29,MATCH(K$5,자동유량!$C$26:$C$29,0),MATCH($C22,자동유량!$G$5:$J$5,0))</f>
        <v>0</v>
      </c>
      <c r="M22" s="232"/>
      <c r="N22" s="96" t="s">
        <v>33</v>
      </c>
      <c r="O22" s="136">
        <f>SUM(P22:V22)</f>
        <v>21989</v>
      </c>
      <c r="P22" s="136">
        <f>INDEX(유량!$J$6:$M$11,MATCH($M21,유량!$B$6:$B$11,0),MATCH($N22,유량!$J$5:$M$5,0))</f>
        <v>10056</v>
      </c>
      <c r="Q22" s="136">
        <f>INDEX(유사량!$J$6:$M$11,MATCH($M21,유사량!$B$6:$B$11,0),MATCH($N22,유사량!$J$5:$M$5,0))</f>
        <v>1341</v>
      </c>
      <c r="R22" s="136">
        <f>INDEX(토양수분량!$J$6:$M$11,MATCH($M21,토양수분량!$B$6:$B$11,0),MATCH($N22,토양수분량!$J$5:$M$5,0))</f>
        <v>80</v>
      </c>
      <c r="S22" s="136">
        <f>INDEX(증발산량!$J$6:$M$11,MATCH($M21,증발산량!$B$6:$B$11,0),MATCH($N22,증발산량!$J$5:$M$5,0))</f>
        <v>80</v>
      </c>
      <c r="T22" s="184">
        <f>INDEX(자동유량!$K$26:$N$29,MATCH(T$5,자동유량!$C$26:$C$29,0),MATCH($N13,자동유량!$K$5:$N$5,0))</f>
        <v>10432</v>
      </c>
      <c r="U22" s="136">
        <f>INDEX(자동유량!$K$26:$N$29,MATCH(U$5,자동유량!$C$26:$C$29,0),MATCH($N13,자동유량!$K$5:$N$5,0))</f>
        <v>0</v>
      </c>
      <c r="V22" s="136">
        <f>INDEX(자동유량!$K$26:$N$29,MATCH(V$5,자동유량!$C$26:$C$29,0),MATCH($N13,자동유량!$K$5:$N$5,0))</f>
        <v>0</v>
      </c>
    </row>
    <row r="23" spans="2:22" ht="30" customHeight="1" x14ac:dyDescent="0.3">
      <c r="B23" s="233"/>
      <c r="C23" s="106" t="s">
        <v>34</v>
      </c>
      <c r="D23" s="137">
        <f>SUM(E23:K23)</f>
        <v>18488</v>
      </c>
      <c r="E23" s="137">
        <f>INDEX(유량!$F$6:$I$11,MATCH($B21,유량!$B$6:$B$11,0),MATCH($C23,유량!$F$5:$I$5,0))</f>
        <v>2040</v>
      </c>
      <c r="F23" s="137">
        <f>INDEX(유사량!$F$6:$I$11,MATCH($B21,유사량!$B$6:$B$11,0),MATCH($C23,유사량!$F$5:$I$5,0))</f>
        <v>159</v>
      </c>
      <c r="G23" s="137">
        <f>INDEX(토양수분량!$F$6:$I$11,MATCH($B21,토양수분량!$B$6:$B$11,0),MATCH($C23,토양수분량!$F$5:$I$5,0))</f>
        <v>20</v>
      </c>
      <c r="H23" s="137">
        <f>INDEX(증발산량!$F$6:$I$11,MATCH($B21,증발산량!$B$6:$B$11,0),MATCH($C23,증발산량!$F$5:$I$5,0))</f>
        <v>20</v>
      </c>
      <c r="I23" s="137">
        <f>INDEX(자동유량!$G$26:$J$29,MATCH(I$5,자동유량!$C$26:$C$29,0),MATCH($C23,자동유량!$G$5:$J$5,0))</f>
        <v>701</v>
      </c>
      <c r="J23" s="137">
        <f>INDEX(자동유량!$G$26:$J$29,MATCH(J$5,자동유량!$C$26:$C$29,0),MATCH($C23,자동유량!$G$5:$J$5,0))</f>
        <v>12598</v>
      </c>
      <c r="K23" s="137">
        <f>INDEX(자동유량!$G$26:$J$29,MATCH(K$5,자동유량!$C$26:$C$29,0),MATCH($C23,자동유량!$G$5:$J$5,0))</f>
        <v>2950</v>
      </c>
      <c r="M23" s="233"/>
      <c r="N23" s="106" t="s">
        <v>34</v>
      </c>
      <c r="O23" s="137">
        <f>SUM(P23:V23)</f>
        <v>18488</v>
      </c>
      <c r="P23" s="137">
        <f>INDEX(유량!$J$6:$M$11,MATCH($M21,유량!$B$6:$B$11,0),MATCH($N23,유량!$J$5:$M$5,0))</f>
        <v>2040</v>
      </c>
      <c r="Q23" s="137">
        <f>INDEX(유사량!$J$6:$M$11,MATCH($M21,유사량!$B$6:$B$11,0),MATCH($N23,유사량!$J$5:$M$5,0))</f>
        <v>159</v>
      </c>
      <c r="R23" s="137">
        <f>INDEX(토양수분량!$J$6:$M$11,MATCH($M21,토양수분량!$B$6:$B$11,0),MATCH($N23,토양수분량!$J$5:$M$5,0))</f>
        <v>20</v>
      </c>
      <c r="S23" s="137">
        <f>INDEX(증발산량!$J$6:$M$11,MATCH($M21,증발산량!$B$6:$B$11,0),MATCH($N23,증발산량!$J$5:$M$5,0))</f>
        <v>20</v>
      </c>
      <c r="T23" s="137">
        <f>INDEX(자동유량!$K$26:$N$29,MATCH(T$5,자동유량!$C$26:$C$29,0),MATCH($N14,자동유량!$K$5:$N$5,0))</f>
        <v>701</v>
      </c>
      <c r="U23" s="137">
        <f>INDEX(자동유량!$K$26:$N$29,MATCH(U$5,자동유량!$C$26:$C$29,0),MATCH($N14,자동유량!$K$5:$N$5,0))</f>
        <v>12598</v>
      </c>
      <c r="V23" s="137">
        <f>INDEX(자동유량!$K$26:$N$29,MATCH(V$5,자동유량!$C$26:$C$29,0),MATCH($N14,자동유량!$K$5:$N$5,0))</f>
        <v>2950</v>
      </c>
    </row>
  </sheetData>
  <mergeCells count="24">
    <mergeCell ref="B2:K2"/>
    <mergeCell ref="M2:V2"/>
    <mergeCell ref="M3:V3"/>
    <mergeCell ref="M4:N5"/>
    <mergeCell ref="O4:O5"/>
    <mergeCell ref="P4:S4"/>
    <mergeCell ref="B4:C5"/>
    <mergeCell ref="E4:H4"/>
    <mergeCell ref="I4:K4"/>
    <mergeCell ref="D4:D5"/>
    <mergeCell ref="T4:V4"/>
    <mergeCell ref="M15:M17"/>
    <mergeCell ref="M18:M20"/>
    <mergeCell ref="M21:M23"/>
    <mergeCell ref="B21:B23"/>
    <mergeCell ref="B3:K3"/>
    <mergeCell ref="B9:B11"/>
    <mergeCell ref="B6:B8"/>
    <mergeCell ref="B12:B14"/>
    <mergeCell ref="B15:B17"/>
    <mergeCell ref="B18:B20"/>
    <mergeCell ref="M6:M8"/>
    <mergeCell ref="M9:M11"/>
    <mergeCell ref="M12:M1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3" orientation="landscape" r:id="rId1"/>
  <rowBreaks count="1" manualBreakCount="1">
    <brk id="1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DD07-154D-4419-AC76-153A7A40F76E}">
  <sheetPr>
    <pageSetUpPr fitToPage="1"/>
  </sheetPr>
  <dimension ref="B2:K13"/>
  <sheetViews>
    <sheetView zoomScale="85" zoomScaleNormal="85" workbookViewId="0">
      <selection activeCell="J21" sqref="J21"/>
    </sheetView>
  </sheetViews>
  <sheetFormatPr defaultColWidth="10.625" defaultRowHeight="20.100000000000001" customHeight="1" x14ac:dyDescent="0.3"/>
  <cols>
    <col min="1" max="1" width="3.625" style="1" customWidth="1"/>
    <col min="2" max="2" width="14.625" style="1" customWidth="1"/>
    <col min="3" max="4" width="12.625" style="1" customWidth="1"/>
    <col min="5" max="5" width="8.625" style="1" customWidth="1"/>
    <col min="6" max="6" width="12.625" style="1" customWidth="1"/>
    <col min="7" max="7" width="8.625" style="1" customWidth="1"/>
    <col min="8" max="8" width="12.625" style="1" customWidth="1"/>
    <col min="9" max="9" width="8.625" style="1" customWidth="1"/>
    <col min="10" max="10" width="12.625" style="1" customWidth="1"/>
    <col min="11" max="11" width="8.625" style="1" customWidth="1"/>
    <col min="12" max="16384" width="10.625" style="1"/>
  </cols>
  <sheetData>
    <row r="2" spans="2:11" ht="30" customHeight="1" x14ac:dyDescent="0.3">
      <c r="B2" s="200" t="s">
        <v>56</v>
      </c>
      <c r="C2" s="200"/>
      <c r="D2" s="200"/>
      <c r="E2" s="200"/>
      <c r="F2" s="200"/>
      <c r="G2" s="200"/>
      <c r="H2" s="200"/>
      <c r="I2" s="200"/>
      <c r="J2" s="200"/>
      <c r="K2" s="200"/>
    </row>
    <row r="3" spans="2:11" ht="20.100000000000001" customHeight="1" thickBot="1" x14ac:dyDescent="0.35">
      <c r="B3" s="201" t="s">
        <v>55</v>
      </c>
      <c r="C3" s="201"/>
      <c r="D3" s="201"/>
      <c r="E3" s="201"/>
      <c r="F3" s="201"/>
      <c r="G3" s="201"/>
      <c r="H3" s="201"/>
      <c r="I3" s="201"/>
      <c r="J3" s="201"/>
      <c r="K3" s="201"/>
    </row>
    <row r="4" spans="2:11" ht="30" customHeight="1" x14ac:dyDescent="0.3">
      <c r="B4" s="198" t="s">
        <v>54</v>
      </c>
      <c r="C4" s="192" t="s">
        <v>23</v>
      </c>
      <c r="D4" s="194" t="s">
        <v>47</v>
      </c>
      <c r="E4" s="195"/>
      <c r="F4" s="195"/>
      <c r="G4" s="196"/>
      <c r="H4" s="197" t="s">
        <v>48</v>
      </c>
      <c r="I4" s="195"/>
      <c r="J4" s="195"/>
      <c r="K4" s="192"/>
    </row>
    <row r="5" spans="2:11" ht="30" customHeight="1" x14ac:dyDescent="0.3">
      <c r="B5" s="199"/>
      <c r="C5" s="193"/>
      <c r="D5" s="56" t="s">
        <v>33</v>
      </c>
      <c r="E5" s="51"/>
      <c r="F5" s="51" t="s">
        <v>34</v>
      </c>
      <c r="G5" s="57"/>
      <c r="H5" s="55" t="s">
        <v>33</v>
      </c>
      <c r="I5" s="51"/>
      <c r="J5" s="51" t="s">
        <v>34</v>
      </c>
      <c r="K5" s="53"/>
    </row>
    <row r="6" spans="2:11" ht="30" customHeight="1" x14ac:dyDescent="0.3">
      <c r="B6" s="36" t="s">
        <v>2</v>
      </c>
      <c r="C6" s="58">
        <f>SUM($D6,$F6)</f>
        <v>20832</v>
      </c>
      <c r="D6" s="61">
        <f>총예산_01!D7</f>
        <v>18345</v>
      </c>
      <c r="E6" s="89">
        <f>ROUND(D6/$C6*100,2)</f>
        <v>88.06</v>
      </c>
      <c r="F6" s="65">
        <f>총예산_01!D8</f>
        <v>2487</v>
      </c>
      <c r="G6" s="85">
        <f t="shared" ref="G6:G13" si="0">ROUND(F6/$C6*100,2)</f>
        <v>11.94</v>
      </c>
      <c r="H6" s="63">
        <f>총예산_01!O7</f>
        <v>18345</v>
      </c>
      <c r="I6" s="89">
        <f t="shared" ref="I6:I13" si="1">ROUND(H6/$C6*100,2)</f>
        <v>88.06</v>
      </c>
      <c r="J6" s="65">
        <f>총예산_01!O8</f>
        <v>2487</v>
      </c>
      <c r="K6" s="91">
        <f t="shared" ref="K6:K13" si="2">ROUND(J6/$C6*100,2)</f>
        <v>11.94</v>
      </c>
    </row>
    <row r="7" spans="2:11" ht="30" customHeight="1" x14ac:dyDescent="0.3">
      <c r="B7" s="36" t="s">
        <v>4</v>
      </c>
      <c r="C7" s="58">
        <f t="shared" ref="C7:C13" si="3">SUM($D7,$F7)</f>
        <v>28109</v>
      </c>
      <c r="D7" s="61">
        <f>총예산_01!D10</f>
        <v>18589</v>
      </c>
      <c r="E7" s="89">
        <f t="shared" ref="E7:E13" si="4">ROUND(D7/$C7*100,2)</f>
        <v>66.13</v>
      </c>
      <c r="F7" s="65">
        <f>총예산_01!D11</f>
        <v>9520</v>
      </c>
      <c r="G7" s="85">
        <f t="shared" si="0"/>
        <v>33.869999999999997</v>
      </c>
      <c r="H7" s="63">
        <f>총예산_01!O10</f>
        <v>18165</v>
      </c>
      <c r="I7" s="89">
        <f t="shared" si="1"/>
        <v>64.62</v>
      </c>
      <c r="J7" s="65">
        <f>총예산_01!O11</f>
        <v>9944</v>
      </c>
      <c r="K7" s="91">
        <f t="shared" si="2"/>
        <v>35.380000000000003</v>
      </c>
    </row>
    <row r="8" spans="2:11" ht="30" customHeight="1" x14ac:dyDescent="0.3">
      <c r="B8" s="36" t="s">
        <v>5</v>
      </c>
      <c r="C8" s="58">
        <f t="shared" si="3"/>
        <v>27885</v>
      </c>
      <c r="D8" s="61">
        <f>총예산_01!D13</f>
        <v>19410</v>
      </c>
      <c r="E8" s="89">
        <f t="shared" si="4"/>
        <v>69.61</v>
      </c>
      <c r="F8" s="65">
        <f>총예산_01!D14</f>
        <v>8475</v>
      </c>
      <c r="G8" s="85">
        <f t="shared" si="0"/>
        <v>30.39</v>
      </c>
      <c r="H8" s="63">
        <f>총예산_01!O13</f>
        <v>19295</v>
      </c>
      <c r="I8" s="89">
        <f t="shared" si="1"/>
        <v>69.19</v>
      </c>
      <c r="J8" s="65">
        <f>총예산_01!O14</f>
        <v>8590</v>
      </c>
      <c r="K8" s="91">
        <f t="shared" si="2"/>
        <v>30.81</v>
      </c>
    </row>
    <row r="9" spans="2:11" ht="30" customHeight="1" x14ac:dyDescent="0.3">
      <c r="B9" s="36" t="s">
        <v>6</v>
      </c>
      <c r="C9" s="58">
        <f t="shared" si="3"/>
        <v>35270</v>
      </c>
      <c r="D9" s="61">
        <f>총예산_01!D16</f>
        <v>24285</v>
      </c>
      <c r="E9" s="89">
        <f t="shared" si="4"/>
        <v>68.849999999999994</v>
      </c>
      <c r="F9" s="65">
        <f>총예산_01!D17</f>
        <v>10985</v>
      </c>
      <c r="G9" s="85">
        <f t="shared" si="0"/>
        <v>31.15</v>
      </c>
      <c r="H9" s="63">
        <f>총예산_01!O16</f>
        <v>24075</v>
      </c>
      <c r="I9" s="89">
        <f t="shared" si="1"/>
        <v>68.260000000000005</v>
      </c>
      <c r="J9" s="65">
        <f>총예산_01!O17</f>
        <v>11195</v>
      </c>
      <c r="K9" s="91">
        <f t="shared" si="2"/>
        <v>31.74</v>
      </c>
    </row>
    <row r="10" spans="2:11" ht="30" customHeight="1" x14ac:dyDescent="0.3">
      <c r="B10" s="36" t="s">
        <v>7</v>
      </c>
      <c r="C10" s="58">
        <f t="shared" si="3"/>
        <v>56623</v>
      </c>
      <c r="D10" s="61">
        <f>총예산_01!D19</f>
        <v>20919</v>
      </c>
      <c r="E10" s="89">
        <f t="shared" si="4"/>
        <v>36.94</v>
      </c>
      <c r="F10" s="65">
        <f>총예산_01!D20</f>
        <v>35704</v>
      </c>
      <c r="G10" s="85">
        <f t="shared" si="0"/>
        <v>63.06</v>
      </c>
      <c r="H10" s="63">
        <f>총예산_01!O19</f>
        <v>20016</v>
      </c>
      <c r="I10" s="89">
        <f t="shared" si="1"/>
        <v>35.35</v>
      </c>
      <c r="J10" s="65">
        <f>총예산_01!O20</f>
        <v>36607</v>
      </c>
      <c r="K10" s="91">
        <f t="shared" si="2"/>
        <v>64.650000000000006</v>
      </c>
    </row>
    <row r="11" spans="2:11" ht="30" customHeight="1" thickBot="1" x14ac:dyDescent="0.35">
      <c r="B11" s="36" t="s">
        <v>8</v>
      </c>
      <c r="C11" s="185">
        <f t="shared" si="3"/>
        <v>40477</v>
      </c>
      <c r="D11" s="188">
        <f>총예산_01!D22</f>
        <v>21989</v>
      </c>
      <c r="E11" s="189">
        <f t="shared" si="4"/>
        <v>54.32</v>
      </c>
      <c r="F11" s="186">
        <f>총예산_01!D23</f>
        <v>18488</v>
      </c>
      <c r="G11" s="190">
        <f t="shared" si="0"/>
        <v>45.68</v>
      </c>
      <c r="H11" s="187">
        <f>총예산_01!O22</f>
        <v>21989</v>
      </c>
      <c r="I11" s="189">
        <f t="shared" si="1"/>
        <v>54.32</v>
      </c>
      <c r="J11" s="186">
        <f>총예산_01!O23</f>
        <v>18488</v>
      </c>
      <c r="K11" s="191">
        <f t="shared" si="2"/>
        <v>45.68</v>
      </c>
    </row>
    <row r="12" spans="2:11" ht="30" customHeight="1" x14ac:dyDescent="0.3">
      <c r="B12" s="69" t="s">
        <v>50</v>
      </c>
      <c r="C12" s="71">
        <f t="shared" si="3"/>
        <v>34867</v>
      </c>
      <c r="D12" s="72">
        <f>ROUND(AVERAGE(D$6:D$11),0)</f>
        <v>20590</v>
      </c>
      <c r="E12" s="83">
        <f t="shared" si="4"/>
        <v>59.05</v>
      </c>
      <c r="F12" s="73">
        <f>ROUND(AVERAGE(F$6:F$11),0)</f>
        <v>14277</v>
      </c>
      <c r="G12" s="87">
        <f t="shared" si="0"/>
        <v>40.950000000000003</v>
      </c>
      <c r="H12" s="74">
        <f>ROUND(AVERAGE(H$6:H$11),0)</f>
        <v>20314</v>
      </c>
      <c r="I12" s="83">
        <f t="shared" si="1"/>
        <v>58.26</v>
      </c>
      <c r="J12" s="73">
        <f>ROUND(AVERAGE(J$6:J$11),0)</f>
        <v>14552</v>
      </c>
      <c r="K12" s="93">
        <f t="shared" si="2"/>
        <v>41.74</v>
      </c>
    </row>
    <row r="13" spans="2:11" ht="30" customHeight="1" thickBot="1" x14ac:dyDescent="0.35">
      <c r="B13" s="75" t="s">
        <v>51</v>
      </c>
      <c r="C13" s="77">
        <f t="shared" si="3"/>
        <v>36972</v>
      </c>
      <c r="D13" s="78">
        <f>ROUND(AVERAGE(D$7:D$10),0)</f>
        <v>20801</v>
      </c>
      <c r="E13" s="84">
        <f t="shared" si="4"/>
        <v>56.26</v>
      </c>
      <c r="F13" s="79">
        <f>ROUND(AVERAGE(F$7:F$10),0)</f>
        <v>16171</v>
      </c>
      <c r="G13" s="88">
        <f t="shared" si="0"/>
        <v>43.74</v>
      </c>
      <c r="H13" s="80">
        <f>ROUND(AVERAGE(H$7:H$10),0)</f>
        <v>20388</v>
      </c>
      <c r="I13" s="84">
        <f t="shared" si="1"/>
        <v>55.14</v>
      </c>
      <c r="J13" s="79">
        <f>ROUND(AVERAGE(J$7:J$10),0)</f>
        <v>16584</v>
      </c>
      <c r="K13" s="94">
        <f t="shared" si="2"/>
        <v>44.86</v>
      </c>
    </row>
  </sheetData>
  <mergeCells count="6">
    <mergeCell ref="C4:C5"/>
    <mergeCell ref="D4:G4"/>
    <mergeCell ref="H4:K4"/>
    <mergeCell ref="B4:B5"/>
    <mergeCell ref="B2:K2"/>
    <mergeCell ref="B3:K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현황</vt:lpstr>
      <vt:lpstr>단가</vt:lpstr>
      <vt:lpstr>항목별예산</vt:lpstr>
      <vt:lpstr>유량</vt:lpstr>
      <vt:lpstr>유사량</vt:lpstr>
      <vt:lpstr>토양수분량</vt:lpstr>
      <vt:lpstr>증발산량</vt:lpstr>
      <vt:lpstr>자동유량</vt:lpstr>
      <vt:lpstr>총예산_01</vt:lpstr>
      <vt:lpstr>총예산_02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승훈 편</cp:lastModifiedBy>
  <cp:lastPrinted>2026-06-22T04:43:02Z</cp:lastPrinted>
  <dcterms:created xsi:type="dcterms:W3CDTF">2026-04-14T04:58:43Z</dcterms:created>
  <dcterms:modified xsi:type="dcterms:W3CDTF">2026-06-22T05:27:12Z</dcterms:modified>
</cp:coreProperties>
</file>