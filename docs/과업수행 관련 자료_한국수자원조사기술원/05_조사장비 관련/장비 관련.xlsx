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배병권\수문조사\과업수행 관련 자료_한국수자원조사기술원\05_조사장비 관련\"/>
    </mc:Choice>
  </mc:AlternateContent>
  <xr:revisionPtr revIDLastSave="0" documentId="13_ncr:1_{5DFC46DA-621D-4708-9D4F-08726C3C77A8}" xr6:coauthVersionLast="47" xr6:coauthVersionMax="47" xr10:uidLastSave="{00000000-0000-0000-0000-000000000000}"/>
  <bookViews>
    <workbookView xWindow="-120" yWindow="-120" windowWidth="29040" windowHeight="15720" xr2:uid="{4BA05168-6D1E-4569-8667-DAA2CC103F53}"/>
  </bookViews>
  <sheets>
    <sheet name="보유장비 관련" sheetId="2" r:id="rId1"/>
    <sheet name="월 검·교정 비용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H5" i="2"/>
  <c r="I5" i="2"/>
  <c r="G5" i="2"/>
</calcChain>
</file>

<file path=xl/sharedStrings.xml><?xml version="1.0" encoding="utf-8"?>
<sst xmlns="http://schemas.openxmlformats.org/spreadsheetml/2006/main" count="61" uniqueCount="55">
  <si>
    <t>구분</t>
    <phoneticPr fontId="1" type="noConversion"/>
  </si>
  <si>
    <t>월</t>
    <phoneticPr fontId="1" type="noConversion"/>
  </si>
  <si>
    <t>검·교정 비용</t>
    <phoneticPr fontId="1" type="noConversion"/>
  </si>
  <si>
    <t>1월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</si>
  <si>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</si>
  <si>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</si>
  <si>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</si>
  <si>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</si>
  <si>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</si>
  <si>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</si>
  <si>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</si>
  <si>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</si>
  <si>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</si>
  <si>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</si>
  <si>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</si>
  <si>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(단위 : 천원)</t>
    <phoneticPr fontId="1" type="noConversion"/>
  </si>
  <si>
    <t>보유수량
(대)</t>
    <phoneticPr fontId="1" type="noConversion"/>
  </si>
  <si>
    <t>정수기준</t>
    <phoneticPr fontId="1" type="noConversion"/>
  </si>
  <si>
    <t>내용연수(대)</t>
    <phoneticPr fontId="1" type="noConversion"/>
  </si>
  <si>
    <t>2027년 경과</t>
    <phoneticPr fontId="1" type="noConversion"/>
  </si>
  <si>
    <t>2026년 경과</t>
    <phoneticPr fontId="1" type="noConversion"/>
  </si>
  <si>
    <t>단가
(원)</t>
    <phoneticPr fontId="1" type="noConversion"/>
  </si>
  <si>
    <t>ADCP</t>
    <phoneticPr fontId="1" type="noConversion"/>
  </si>
  <si>
    <t>저수심</t>
    <phoneticPr fontId="1" type="noConversion"/>
  </si>
  <si>
    <t>다중수심</t>
    <phoneticPr fontId="1" type="noConversion"/>
  </si>
  <si>
    <t>고수심</t>
    <phoneticPr fontId="1" type="noConversion"/>
  </si>
  <si>
    <t>저평수</t>
    <phoneticPr fontId="1" type="noConversion"/>
  </si>
  <si>
    <t>고유속</t>
    <phoneticPr fontId="1" type="noConversion"/>
  </si>
  <si>
    <t>일반</t>
    <phoneticPr fontId="1" type="noConversion"/>
  </si>
  <si>
    <t>드론용</t>
    <phoneticPr fontId="1" type="noConversion"/>
  </si>
  <si>
    <t>핸디형</t>
    <phoneticPr fontId="1" type="noConversion"/>
  </si>
  <si>
    <t>멀티라인</t>
    <phoneticPr fontId="1" type="noConversion"/>
  </si>
  <si>
    <t>이동형</t>
    <phoneticPr fontId="1" type="noConversion"/>
  </si>
  <si>
    <t>고정형</t>
    <phoneticPr fontId="1" type="noConversion"/>
  </si>
  <si>
    <t>유속측정용</t>
    <phoneticPr fontId="1" type="noConversion"/>
  </si>
  <si>
    <t>드론</t>
    <phoneticPr fontId="1" type="noConversion"/>
  </si>
  <si>
    <t>모니터링용</t>
    <phoneticPr fontId="1" type="noConversion"/>
  </si>
  <si>
    <t>무선조종
보트</t>
    <phoneticPr fontId="1" type="noConversion"/>
  </si>
  <si>
    <t>전자파
표면유속계</t>
    <phoneticPr fontId="1" type="noConversion"/>
  </si>
  <si>
    <t>팀당 2대</t>
    <phoneticPr fontId="1" type="noConversion"/>
  </si>
  <si>
    <t>실당 1대</t>
    <phoneticPr fontId="1" type="noConversion"/>
  </si>
  <si>
    <t>팀당 3대</t>
    <phoneticPr fontId="1" type="noConversion"/>
  </si>
  <si>
    <t>팀당 1대</t>
    <phoneticPr fontId="1" type="noConversion"/>
  </si>
  <si>
    <t>운영계획
반영</t>
    <phoneticPr fontId="1" type="noConversion"/>
  </si>
  <si>
    <t>실당 2대</t>
    <phoneticPr fontId="1" type="noConversion"/>
  </si>
  <si>
    <t>실당 10대</t>
    <phoneticPr fontId="1" type="noConversion"/>
  </si>
  <si>
    <t>-</t>
    <phoneticPr fontId="1" type="noConversion"/>
  </si>
  <si>
    <t>2027년
구매계획
수량(대)</t>
    <phoneticPr fontId="1" type="noConversion"/>
  </si>
  <si>
    <t>합계</t>
    <phoneticPr fontId="1" type="noConversion"/>
  </si>
  <si>
    <t>유사량</t>
    <phoneticPr fontId="1" type="noConversion"/>
  </si>
  <si>
    <t>이미지 입도분석기</t>
    <phoneticPr fontId="1" type="noConversion"/>
  </si>
  <si>
    <t>측량장비</t>
    <phoneticPr fontId="1" type="noConversion"/>
  </si>
  <si>
    <t>위성측량(GNSS)</t>
    <phoneticPr fontId="1" type="noConversion"/>
  </si>
  <si>
    <t>보유장비 현황</t>
    <phoneticPr fontId="1" type="noConversion"/>
  </si>
  <si>
    <t>월 검·교정 비용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</si>
</sst>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_ ;\-#,##0_ ;\-_ ;@_ "/>
    <numFmt numFmtId="178" formatCode="0;\-0;\-;\:@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4"/>
      <color theme="1"/>
      <name val="돋움"/>
      <family val="3"/>
      <charset val="129"/>
    </font>
    <font>
      <b/>
      <sz val="2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right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right" vertical="center"/>
    </xf>
    <xf numFmtId="176" fontId="2" fillId="2" borderId="5" xfId="0" applyNumberFormat="1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4E35-D326-4B86-A245-9EB40BB68FCD}">
  <sheetPr>
    <pageSetUpPr fitToPage="1"/>
  </sheetPr>
  <dimension ref="B1:J19"/>
  <sheetViews>
    <sheetView tabSelected="1" zoomScale="85" zoomScaleNormal="85" workbookViewId="0">
      <selection activeCell="M7" sqref="M7"/>
    </sheetView>
  </sheetViews>
  <sheetFormatPr defaultColWidth="10.625" defaultRowHeight="30" customHeight="1" x14ac:dyDescent="0.3"/>
  <cols>
    <col min="1" max="1" width="3.625" style="1" customWidth="1"/>
    <col min="2" max="2" width="10.625" style="1" customWidth="1"/>
    <col min="3" max="3" width="3.625" style="1" customWidth="1"/>
    <col min="4" max="4" width="12.625" style="1" customWidth="1"/>
    <col min="5" max="6" width="10.625" style="1"/>
    <col min="7" max="10" width="12.625" style="1" customWidth="1"/>
    <col min="11" max="16384" width="10.625" style="1"/>
  </cols>
  <sheetData>
    <row r="1" spans="2:10" ht="30" customHeight="1" x14ac:dyDescent="0.3">
      <c r="B1" s="38" t="s">
        <v>53</v>
      </c>
      <c r="C1" s="38"/>
      <c r="D1" s="38"/>
      <c r="E1" s="38"/>
      <c r="F1" s="38"/>
      <c r="G1" s="38"/>
      <c r="H1" s="38"/>
      <c r="I1" s="38"/>
      <c r="J1" s="38"/>
    </row>
    <row r="3" spans="2:10" ht="30" customHeight="1" x14ac:dyDescent="0.3">
      <c r="B3" s="23" t="s">
        <v>0</v>
      </c>
      <c r="C3" s="24"/>
      <c r="D3" s="25"/>
      <c r="E3" s="34" t="s">
        <v>16</v>
      </c>
      <c r="F3" s="35" t="s">
        <v>17</v>
      </c>
      <c r="G3" s="16" t="s">
        <v>18</v>
      </c>
      <c r="H3" s="17"/>
      <c r="I3" s="18" t="s">
        <v>47</v>
      </c>
      <c r="J3" s="34" t="s">
        <v>21</v>
      </c>
    </row>
    <row r="4" spans="2:10" ht="30" customHeight="1" x14ac:dyDescent="0.3">
      <c r="B4" s="26"/>
      <c r="C4" s="27"/>
      <c r="D4" s="28"/>
      <c r="E4" s="34"/>
      <c r="F4" s="35"/>
      <c r="G4" s="2" t="s">
        <v>20</v>
      </c>
      <c r="H4" s="2" t="s">
        <v>19</v>
      </c>
      <c r="I4" s="19"/>
      <c r="J4" s="34"/>
    </row>
    <row r="5" spans="2:10" ht="30" customHeight="1" x14ac:dyDescent="0.3">
      <c r="B5" s="20" t="s">
        <v>48</v>
      </c>
      <c r="C5" s="21"/>
      <c r="D5" s="22"/>
      <c r="E5" s="11">
        <f>SUM(E6:E19)</f>
        <v>408</v>
      </c>
      <c r="F5" s="10" t="s">
        <v>46</v>
      </c>
      <c r="G5" s="11">
        <f>SUM(G6:G19)</f>
        <v>12</v>
      </c>
      <c r="H5" s="11">
        <f t="shared" ref="H5:I5" si="0">SUM(H6:H19)</f>
        <v>32</v>
      </c>
      <c r="I5" s="11">
        <f t="shared" si="0"/>
        <v>21</v>
      </c>
      <c r="J5" s="9" t="s">
        <v>46</v>
      </c>
    </row>
    <row r="6" spans="2:10" ht="30" customHeight="1" x14ac:dyDescent="0.3">
      <c r="B6" s="31" t="s">
        <v>22</v>
      </c>
      <c r="C6" s="12" t="s">
        <v>23</v>
      </c>
      <c r="D6" s="13"/>
      <c r="E6" s="5">
        <v>44</v>
      </c>
      <c r="F6" s="29" t="s">
        <v>39</v>
      </c>
      <c r="G6" s="8">
        <v>0</v>
      </c>
      <c r="H6" s="8">
        <v>0</v>
      </c>
      <c r="I6" s="8">
        <v>0</v>
      </c>
      <c r="J6" s="7">
        <v>40000000</v>
      </c>
    </row>
    <row r="7" spans="2:10" ht="30" customHeight="1" x14ac:dyDescent="0.3">
      <c r="B7" s="32"/>
      <c r="C7" s="12" t="s">
        <v>24</v>
      </c>
      <c r="D7" s="13"/>
      <c r="E7" s="5">
        <v>52</v>
      </c>
      <c r="F7" s="30"/>
      <c r="G7" s="8">
        <v>4</v>
      </c>
      <c r="H7" s="8">
        <v>9</v>
      </c>
      <c r="I7" s="8">
        <v>0</v>
      </c>
      <c r="J7" s="7">
        <v>70000000</v>
      </c>
    </row>
    <row r="8" spans="2:10" ht="30" customHeight="1" x14ac:dyDescent="0.3">
      <c r="B8" s="33"/>
      <c r="C8" s="12" t="s">
        <v>25</v>
      </c>
      <c r="D8" s="13"/>
      <c r="E8" s="5">
        <v>6</v>
      </c>
      <c r="F8" s="5" t="s">
        <v>40</v>
      </c>
      <c r="G8" s="8">
        <v>0</v>
      </c>
      <c r="H8" s="8">
        <v>2</v>
      </c>
      <c r="I8" s="8">
        <v>2</v>
      </c>
      <c r="J8" s="7">
        <v>68117500</v>
      </c>
    </row>
    <row r="9" spans="2:10" ht="30" customHeight="1" x14ac:dyDescent="0.3">
      <c r="B9" s="31" t="s">
        <v>37</v>
      </c>
      <c r="C9" s="12" t="s">
        <v>26</v>
      </c>
      <c r="D9" s="13"/>
      <c r="E9" s="5">
        <v>74</v>
      </c>
      <c r="F9" s="5" t="s">
        <v>41</v>
      </c>
      <c r="G9" s="8">
        <v>0</v>
      </c>
      <c r="H9" s="8">
        <v>1</v>
      </c>
      <c r="I9" s="8">
        <v>0</v>
      </c>
      <c r="J9" s="7">
        <v>10000000</v>
      </c>
    </row>
    <row r="10" spans="2:10" ht="30" customHeight="1" x14ac:dyDescent="0.3">
      <c r="B10" s="33"/>
      <c r="C10" s="12" t="s">
        <v>27</v>
      </c>
      <c r="D10" s="13"/>
      <c r="E10" s="5">
        <v>21</v>
      </c>
      <c r="F10" s="5" t="s">
        <v>42</v>
      </c>
      <c r="G10" s="8">
        <v>0</v>
      </c>
      <c r="H10" s="8">
        <v>0</v>
      </c>
      <c r="I10" s="8">
        <v>5</v>
      </c>
      <c r="J10" s="7">
        <v>29470000</v>
      </c>
    </row>
    <row r="11" spans="2:10" ht="30" customHeight="1" x14ac:dyDescent="0.3">
      <c r="B11" s="31" t="s">
        <v>38</v>
      </c>
      <c r="C11" s="12" t="s">
        <v>28</v>
      </c>
      <c r="D11" s="13"/>
      <c r="E11" s="5">
        <v>54</v>
      </c>
      <c r="F11" s="5" t="s">
        <v>39</v>
      </c>
      <c r="G11" s="8">
        <v>6</v>
      </c>
      <c r="H11" s="8">
        <v>2</v>
      </c>
      <c r="I11" s="8">
        <v>0</v>
      </c>
      <c r="J11" s="14">
        <v>19620000</v>
      </c>
    </row>
    <row r="12" spans="2:10" ht="30" customHeight="1" x14ac:dyDescent="0.3">
      <c r="B12" s="32"/>
      <c r="C12" s="12" t="s">
        <v>29</v>
      </c>
      <c r="D12" s="13"/>
      <c r="E12" s="5">
        <v>19</v>
      </c>
      <c r="F12" s="6" t="s">
        <v>43</v>
      </c>
      <c r="G12" s="8">
        <v>0</v>
      </c>
      <c r="H12" s="8">
        <v>0</v>
      </c>
      <c r="I12" s="8">
        <v>0</v>
      </c>
      <c r="J12" s="15"/>
    </row>
    <row r="13" spans="2:10" ht="30" customHeight="1" x14ac:dyDescent="0.3">
      <c r="B13" s="32"/>
      <c r="C13" s="12" t="s">
        <v>30</v>
      </c>
      <c r="D13" s="13"/>
      <c r="E13" s="5">
        <v>8</v>
      </c>
      <c r="F13" s="5" t="s">
        <v>44</v>
      </c>
      <c r="G13" s="8">
        <v>0</v>
      </c>
      <c r="H13" s="8">
        <v>0</v>
      </c>
      <c r="I13" s="8">
        <v>2</v>
      </c>
      <c r="J13" s="7">
        <v>8358000</v>
      </c>
    </row>
    <row r="14" spans="2:10" ht="30" customHeight="1" x14ac:dyDescent="0.3">
      <c r="B14" s="32"/>
      <c r="C14" s="31" t="s">
        <v>31</v>
      </c>
      <c r="D14" s="5" t="s">
        <v>32</v>
      </c>
      <c r="E14" s="5">
        <v>50</v>
      </c>
      <c r="F14" s="5" t="s">
        <v>45</v>
      </c>
      <c r="G14" s="8">
        <v>0</v>
      </c>
      <c r="H14" s="8">
        <v>0</v>
      </c>
      <c r="I14" s="8">
        <v>0</v>
      </c>
      <c r="J14" s="7">
        <v>19620000</v>
      </c>
    </row>
    <row r="15" spans="2:10" ht="30" customHeight="1" x14ac:dyDescent="0.3">
      <c r="B15" s="33"/>
      <c r="C15" s="33"/>
      <c r="D15" s="5" t="s">
        <v>33</v>
      </c>
      <c r="E15" s="5">
        <v>50</v>
      </c>
      <c r="F15" s="6" t="s">
        <v>43</v>
      </c>
      <c r="G15" s="8">
        <v>0</v>
      </c>
      <c r="H15" s="8">
        <v>0</v>
      </c>
      <c r="I15" s="8">
        <v>0</v>
      </c>
      <c r="J15" s="7">
        <v>21945000</v>
      </c>
    </row>
    <row r="16" spans="2:10" ht="30" customHeight="1" x14ac:dyDescent="0.3">
      <c r="B16" s="31" t="s">
        <v>35</v>
      </c>
      <c r="C16" s="12" t="s">
        <v>34</v>
      </c>
      <c r="D16" s="13"/>
      <c r="E16" s="5">
        <v>20</v>
      </c>
      <c r="F16" s="5" t="s">
        <v>42</v>
      </c>
      <c r="G16" s="8">
        <v>2</v>
      </c>
      <c r="H16" s="8">
        <v>18</v>
      </c>
      <c r="I16" s="8">
        <v>12</v>
      </c>
      <c r="J16" s="7">
        <v>40000000</v>
      </c>
    </row>
    <row r="17" spans="2:10" ht="30" customHeight="1" x14ac:dyDescent="0.3">
      <c r="B17" s="33"/>
      <c r="C17" s="12" t="s">
        <v>36</v>
      </c>
      <c r="D17" s="13"/>
      <c r="E17" s="5"/>
      <c r="F17" s="5"/>
      <c r="G17" s="8">
        <v>0</v>
      </c>
      <c r="H17" s="8">
        <v>0</v>
      </c>
      <c r="I17" s="8">
        <v>0</v>
      </c>
      <c r="J17" s="7"/>
    </row>
    <row r="18" spans="2:10" ht="30" customHeight="1" x14ac:dyDescent="0.3">
      <c r="B18" s="5" t="s">
        <v>49</v>
      </c>
      <c r="C18" s="12" t="s">
        <v>50</v>
      </c>
      <c r="D18" s="13"/>
      <c r="E18" s="5">
        <v>2</v>
      </c>
      <c r="F18" s="5" t="s">
        <v>46</v>
      </c>
      <c r="G18" s="8">
        <v>0</v>
      </c>
      <c r="H18" s="8">
        <v>0</v>
      </c>
      <c r="I18" s="8">
        <v>0</v>
      </c>
      <c r="J18" s="7">
        <v>101847750</v>
      </c>
    </row>
    <row r="19" spans="2:10" ht="30" customHeight="1" x14ac:dyDescent="0.3">
      <c r="B19" s="5" t="s">
        <v>51</v>
      </c>
      <c r="C19" s="12" t="s">
        <v>52</v>
      </c>
      <c r="D19" s="13"/>
      <c r="E19" s="5">
        <v>8</v>
      </c>
      <c r="F19" s="5" t="s">
        <v>46</v>
      </c>
      <c r="G19" s="8">
        <v>0</v>
      </c>
      <c r="H19" s="8">
        <v>0</v>
      </c>
      <c r="I19" s="8">
        <v>0</v>
      </c>
      <c r="J19" s="7">
        <v>6602608</v>
      </c>
    </row>
  </sheetData>
  <mergeCells count="27">
    <mergeCell ref="B1:J1"/>
    <mergeCell ref="C11:D11"/>
    <mergeCell ref="E3:E4"/>
    <mergeCell ref="F3:F4"/>
    <mergeCell ref="J3:J4"/>
    <mergeCell ref="B6:B8"/>
    <mergeCell ref="B9:B10"/>
    <mergeCell ref="C10:D10"/>
    <mergeCell ref="C9:D9"/>
    <mergeCell ref="C8:D8"/>
    <mergeCell ref="C7:D7"/>
    <mergeCell ref="C19:D19"/>
    <mergeCell ref="J11:J12"/>
    <mergeCell ref="G3:H3"/>
    <mergeCell ref="I3:I4"/>
    <mergeCell ref="B5:D5"/>
    <mergeCell ref="C18:D18"/>
    <mergeCell ref="C6:D6"/>
    <mergeCell ref="B3:D4"/>
    <mergeCell ref="C16:D16"/>
    <mergeCell ref="C17:D17"/>
    <mergeCell ref="F6:F7"/>
    <mergeCell ref="B11:B15"/>
    <mergeCell ref="B16:B17"/>
    <mergeCell ref="C14:C15"/>
    <mergeCell ref="C13:D13"/>
    <mergeCell ref="C12:D1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1D2B-BA36-408B-85AB-4052733511EF}">
  <sheetPr>
    <pageSetUpPr fitToPage="1"/>
  </sheetPr>
  <dimension ref="B1:N4"/>
  <sheetViews>
    <sheetView zoomScaleNormal="100" workbookViewId="0">
      <selection activeCell="E20" sqref="E20"/>
    </sheetView>
  </sheetViews>
  <sheetFormatPr defaultColWidth="10.625" defaultRowHeight="20.100000000000001" customHeight="1" x14ac:dyDescent="0.3"/>
  <cols>
    <col min="1" max="1" width="3.625" style="1" customWidth="1"/>
    <col min="2" max="2" width="14.625" style="1" customWidth="1"/>
    <col min="3" max="16384" width="10.625" style="1"/>
  </cols>
  <sheetData>
    <row r="1" spans="2:14" ht="20.100000000000001" customHeight="1" x14ac:dyDescent="0.3">
      <c r="B1" s="37" t="s">
        <v>54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2:14" ht="20.100000000000001" customHeight="1" x14ac:dyDescent="0.3">
      <c r="B2" s="36" t="s">
        <v>15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2:14" ht="20.100000000000001" customHeight="1" x14ac:dyDescent="0.3">
      <c r="B3" s="2" t="s">
        <v>1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2:14" ht="20.100000000000001" customHeight="1" x14ac:dyDescent="0.3">
      <c r="B4" s="3" t="s">
        <v>2</v>
      </c>
      <c r="C4" s="4">
        <v>0</v>
      </c>
      <c r="D4" s="4">
        <v>0</v>
      </c>
      <c r="E4" s="4">
        <v>36784</v>
      </c>
      <c r="F4" s="4">
        <v>11880</v>
      </c>
      <c r="G4" s="4">
        <v>18810</v>
      </c>
      <c r="H4" s="4">
        <v>3112</v>
      </c>
      <c r="I4" s="4">
        <v>836</v>
      </c>
      <c r="J4" s="4">
        <v>5391.6</v>
      </c>
      <c r="K4" s="4">
        <v>2662.8</v>
      </c>
      <c r="L4" s="4">
        <v>4906</v>
      </c>
      <c r="M4" s="4">
        <v>0</v>
      </c>
      <c r="N4" s="4">
        <v>5823.4</v>
      </c>
    </row>
  </sheetData>
  <mergeCells count="2">
    <mergeCell ref="B2:N2"/>
    <mergeCell ref="B1:N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보유장비 관련</vt:lpstr>
      <vt:lpstr>월 검·교정 비용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승훈 편</cp:lastModifiedBy>
  <cp:lastPrinted>2026-06-22T04:50:16Z</cp:lastPrinted>
  <dcterms:created xsi:type="dcterms:W3CDTF">2026-06-16T01:23:51Z</dcterms:created>
  <dcterms:modified xsi:type="dcterms:W3CDTF">2026-06-22T05:27:21Z</dcterms:modified>
</cp:coreProperties>
</file>