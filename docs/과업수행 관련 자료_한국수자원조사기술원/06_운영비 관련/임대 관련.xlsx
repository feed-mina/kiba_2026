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6_운영비 관련\"/>
    </mc:Choice>
  </mc:AlternateContent>
  <xr:revisionPtr revIDLastSave="0" documentId="13_ncr:1_{47B7B52B-891B-4B42-B56A-F1268832902D}" xr6:coauthVersionLast="47" xr6:coauthVersionMax="47" xr10:uidLastSave="{00000000-0000-0000-0000-000000000000}"/>
  <bookViews>
    <workbookView xWindow="-120" yWindow="-120" windowWidth="29040" windowHeight="15720" activeTab="2" xr2:uid="{446F29D3-7B60-4259-85BD-88AFB26D4DD3}"/>
  </bookViews>
  <sheets>
    <sheet name="컨테이너(창고)_2025년 기준" sheetId="3" r:id="rId1"/>
    <sheet name="주차시설_2025년 기준" sheetId="5" r:id="rId2"/>
    <sheet name="측량장비 대여_2025년 기준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8" l="1"/>
  <c r="O6" i="5"/>
  <c r="O10" i="5"/>
  <c r="O9" i="5"/>
  <c r="O8" i="5"/>
  <c r="O7" i="5"/>
  <c r="O5" i="5"/>
  <c r="N4" i="5"/>
  <c r="M4" i="5"/>
  <c r="L4" i="5"/>
  <c r="K4" i="5"/>
  <c r="J4" i="5"/>
  <c r="I4" i="5"/>
  <c r="H4" i="5"/>
  <c r="G4" i="5"/>
  <c r="F4" i="5"/>
  <c r="E4" i="5"/>
  <c r="D4" i="5"/>
  <c r="C4" i="5"/>
  <c r="D4" i="3"/>
  <c r="E4" i="3"/>
  <c r="F4" i="3"/>
  <c r="G4" i="3"/>
  <c r="O4" i="3" s="1"/>
  <c r="H4" i="3"/>
  <c r="I4" i="3"/>
  <c r="J4" i="3"/>
  <c r="K4" i="3"/>
  <c r="L4" i="3"/>
  <c r="M4" i="3"/>
  <c r="N4" i="3"/>
  <c r="C4" i="3"/>
  <c r="O7" i="3"/>
  <c r="O8" i="3"/>
  <c r="O9" i="3"/>
  <c r="O5" i="3"/>
  <c r="O6" i="3"/>
  <c r="O4" i="5" l="1"/>
</calcChain>
</file>

<file path=xl/sharedStrings.xml><?xml version="1.0" encoding="utf-8"?>
<sst xmlns="http://schemas.openxmlformats.org/spreadsheetml/2006/main" count="74" uniqueCount="32">
  <si>
    <t>구분</t>
    <phoneticPr fontId="2" type="noConversion"/>
  </si>
  <si>
    <t>한강권역실</t>
    <phoneticPr fontId="2" type="noConversion"/>
  </si>
  <si>
    <t>낙동강권역실</t>
    <phoneticPr fontId="2" type="noConversion"/>
  </si>
  <si>
    <t>금강권역실</t>
    <phoneticPr fontId="2" type="noConversion"/>
  </si>
  <si>
    <t>영산강권역실</t>
    <phoneticPr fontId="2" type="noConversion"/>
  </si>
  <si>
    <t>첨단인프라실</t>
    <phoneticPr fontId="2" type="noConversion"/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</si>
  <si>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</si>
  <si>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</si>
  <si>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</si>
  <si>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</si>
  <si>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</si>
  <si>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</si>
  <si>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</si>
  <si>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</si>
  <si>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</si>
  <si>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</si>
  <si>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</si>
  <si>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</si>
  <si>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2" type="noConversion"/>
  </si>
  <si>
    <t>비고</t>
    <phoneticPr fontId="2" type="noConversion"/>
  </si>
  <si>
    <t xml:space="preserve"> </t>
    <phoneticPr fontId="2" type="noConversion"/>
  </si>
  <si>
    <t xml:space="preserve"> - 컨테이너 임차료 지급(1월~12월)
 - 컨테이너 임차료 지급(4월~12월)</t>
    <phoneticPr fontId="2" type="noConversion"/>
  </si>
  <si>
    <t>(단위 : 천원)</t>
    <phoneticPr fontId="2" type="noConversion"/>
  </si>
  <si>
    <t>킨텍스</t>
    <phoneticPr fontId="2" type="noConversion"/>
  </si>
  <si>
    <t>측량장비
임대비용</t>
    <phoneticPr fontId="2" type="noConversion"/>
  </si>
  <si>
    <t>측량장비
임대수량</t>
    <phoneticPr fontId="2" type="noConversion"/>
  </si>
  <si>
    <t>1대</t>
    <phoneticPr fontId="2" type="noConversion"/>
  </si>
  <si>
    <t>3대</t>
    <phoneticPr fontId="2" type="noConversion"/>
  </si>
  <si>
    <t>4대</t>
    <phoneticPr fontId="2" type="noConversion"/>
  </si>
  <si>
    <t>암대 _ 컨테이너(창고)_2025년 기준</t>
    <phoneticPr fontId="2" type="noConversion"/>
  </si>
  <si>
    <t>임대 - 주차시설_2025년 기준</t>
    <phoneticPr fontId="2" type="noConversion"/>
  </si>
  <si>
    <t>임대 _ 측량장비 대여_2025년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</si>
</sst>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 ;\-#,##0_ ;\-_ ;@_ "/>
  </numFmts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b/>
      <sz val="16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8A6B-14B1-433D-BB02-3B495B8E190E}">
  <sheetPr>
    <pageSetUpPr fitToPage="1"/>
  </sheetPr>
  <dimension ref="B1:P9"/>
  <sheetViews>
    <sheetView zoomScale="85" zoomScaleNormal="85" workbookViewId="0">
      <selection activeCell="H17" sqref="H17"/>
    </sheetView>
  </sheetViews>
  <sheetFormatPr defaultColWidth="10.625" defaultRowHeight="30" customHeight="1" x14ac:dyDescent="0.3"/>
  <cols>
    <col min="1" max="1" width="3.625" style="1" customWidth="1"/>
    <col min="2" max="2" width="12.625" style="1" customWidth="1"/>
    <col min="3" max="15" width="10.625" style="1"/>
    <col min="16" max="16" width="30.625" style="1" customWidth="1"/>
    <col min="17" max="16384" width="10.625" style="1"/>
  </cols>
  <sheetData>
    <row r="1" spans="2:16" ht="30" customHeight="1" x14ac:dyDescent="0.3"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2:16" ht="30" customHeight="1" x14ac:dyDescent="0.3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30" customHeight="1" x14ac:dyDescent="0.3">
      <c r="B3" s="6" t="s">
        <v>0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</row>
    <row r="4" spans="2:16" ht="30" customHeight="1" x14ac:dyDescent="0.3">
      <c r="B4" s="5" t="s">
        <v>18</v>
      </c>
      <c r="C4" s="2">
        <f>SUM(C5:C9)</f>
        <v>9216.5</v>
      </c>
      <c r="D4" s="2">
        <f t="shared" ref="D4:N4" si="0">SUM(D5:D9)</f>
        <v>6048.5</v>
      </c>
      <c r="E4" s="2">
        <f t="shared" si="0"/>
        <v>6048.5</v>
      </c>
      <c r="F4" s="2">
        <f t="shared" si="0"/>
        <v>9018.5</v>
      </c>
      <c r="G4" s="2">
        <f t="shared" si="0"/>
        <v>5828.5</v>
      </c>
      <c r="H4" s="2">
        <f t="shared" si="0"/>
        <v>5828.5</v>
      </c>
      <c r="I4" s="2">
        <f t="shared" si="0"/>
        <v>5828.5</v>
      </c>
      <c r="J4" s="2">
        <f t="shared" si="0"/>
        <v>5828.5</v>
      </c>
      <c r="K4" s="2">
        <f t="shared" si="0"/>
        <v>5828.5</v>
      </c>
      <c r="L4" s="2">
        <f t="shared" si="0"/>
        <v>5828.5</v>
      </c>
      <c r="M4" s="2">
        <f t="shared" si="0"/>
        <v>5828.5</v>
      </c>
      <c r="N4" s="2">
        <f t="shared" si="0"/>
        <v>5828.5</v>
      </c>
      <c r="O4" s="2">
        <f>SUM(C4:N4)</f>
        <v>76960</v>
      </c>
      <c r="P4" s="3" t="s">
        <v>21</v>
      </c>
    </row>
    <row r="5" spans="2:16" ht="30" customHeight="1" x14ac:dyDescent="0.3">
      <c r="B5" s="5" t="s">
        <v>1</v>
      </c>
      <c r="C5" s="2">
        <v>3168</v>
      </c>
      <c r="D5" s="2"/>
      <c r="E5" s="2"/>
      <c r="F5" s="2">
        <v>2970</v>
      </c>
      <c r="G5" s="2"/>
      <c r="H5" s="2"/>
      <c r="I5" s="2"/>
      <c r="J5" s="2"/>
      <c r="K5" s="2"/>
      <c r="L5" s="2"/>
      <c r="M5" s="2"/>
      <c r="N5" s="2"/>
      <c r="O5" s="2">
        <f>SUM(C5:N5)</f>
        <v>6138</v>
      </c>
      <c r="P5" s="4" t="s">
        <v>20</v>
      </c>
    </row>
    <row r="6" spans="2:16" ht="30" customHeight="1" x14ac:dyDescent="0.3">
      <c r="B6" s="5" t="s">
        <v>2</v>
      </c>
      <c r="C6" s="2">
        <v>2152.5</v>
      </c>
      <c r="D6" s="2">
        <v>2152.5</v>
      </c>
      <c r="E6" s="2">
        <v>2152.5</v>
      </c>
      <c r="F6" s="2">
        <v>2152.5</v>
      </c>
      <c r="G6" s="2">
        <v>2152.5</v>
      </c>
      <c r="H6" s="2">
        <v>2152.5</v>
      </c>
      <c r="I6" s="2">
        <v>2152.5</v>
      </c>
      <c r="J6" s="2">
        <v>2152.5</v>
      </c>
      <c r="K6" s="2">
        <v>2152.5</v>
      </c>
      <c r="L6" s="2">
        <v>2152.5</v>
      </c>
      <c r="M6" s="2">
        <v>2152.5</v>
      </c>
      <c r="N6" s="2">
        <v>2152.5</v>
      </c>
      <c r="O6" s="2">
        <f>SUM(C6:N6)</f>
        <v>25830</v>
      </c>
      <c r="P6" s="4" t="s">
        <v>20</v>
      </c>
    </row>
    <row r="7" spans="2:16" ht="30" customHeight="1" x14ac:dyDescent="0.3">
      <c r="B7" s="5" t="s">
        <v>3</v>
      </c>
      <c r="C7" s="2">
        <v>1441</v>
      </c>
      <c r="D7" s="2">
        <v>1441</v>
      </c>
      <c r="E7" s="2">
        <v>1441</v>
      </c>
      <c r="F7" s="2">
        <v>1441</v>
      </c>
      <c r="G7" s="2">
        <v>1441</v>
      </c>
      <c r="H7" s="2">
        <v>1441</v>
      </c>
      <c r="I7" s="2">
        <v>1441</v>
      </c>
      <c r="J7" s="2">
        <v>1441</v>
      </c>
      <c r="K7" s="2">
        <v>1441</v>
      </c>
      <c r="L7" s="2">
        <v>1441</v>
      </c>
      <c r="M7" s="2">
        <v>1441</v>
      </c>
      <c r="N7" s="2">
        <v>1441</v>
      </c>
      <c r="O7" s="2">
        <f t="shared" ref="O7:O9" si="1">SUM(C7:N7)</f>
        <v>17292</v>
      </c>
      <c r="P7" s="4"/>
    </row>
    <row r="8" spans="2:16" ht="30" customHeight="1" x14ac:dyDescent="0.3">
      <c r="B8" s="5" t="s">
        <v>4</v>
      </c>
      <c r="C8" s="2">
        <v>1450</v>
      </c>
      <c r="D8" s="2">
        <v>1450</v>
      </c>
      <c r="E8" s="2">
        <v>1450</v>
      </c>
      <c r="F8" s="2">
        <v>1450</v>
      </c>
      <c r="G8" s="2">
        <v>1230</v>
      </c>
      <c r="H8" s="2">
        <v>1230</v>
      </c>
      <c r="I8" s="2">
        <v>1230</v>
      </c>
      <c r="J8" s="2">
        <v>1230</v>
      </c>
      <c r="K8" s="2">
        <v>1230</v>
      </c>
      <c r="L8" s="2">
        <v>1230</v>
      </c>
      <c r="M8" s="2">
        <v>1230</v>
      </c>
      <c r="N8" s="2">
        <v>1230</v>
      </c>
      <c r="O8" s="2">
        <f t="shared" si="1"/>
        <v>15640</v>
      </c>
      <c r="P8" s="4"/>
    </row>
    <row r="9" spans="2:16" ht="30" customHeight="1" x14ac:dyDescent="0.3">
      <c r="B9" s="5" t="s">
        <v>5</v>
      </c>
      <c r="C9" s="2">
        <v>1005</v>
      </c>
      <c r="D9" s="2">
        <v>1005</v>
      </c>
      <c r="E9" s="2">
        <v>1005</v>
      </c>
      <c r="F9" s="2">
        <v>1005</v>
      </c>
      <c r="G9" s="2">
        <v>1005</v>
      </c>
      <c r="H9" s="2">
        <v>1005</v>
      </c>
      <c r="I9" s="2">
        <v>1005</v>
      </c>
      <c r="J9" s="2">
        <v>1005</v>
      </c>
      <c r="K9" s="2">
        <v>1005</v>
      </c>
      <c r="L9" s="2">
        <v>1005</v>
      </c>
      <c r="M9" s="2">
        <v>1005</v>
      </c>
      <c r="N9" s="2">
        <v>1005</v>
      </c>
      <c r="O9" s="2">
        <f t="shared" si="1"/>
        <v>12060</v>
      </c>
      <c r="P9" s="4"/>
    </row>
  </sheetData>
  <mergeCells count="2">
    <mergeCell ref="B2:P2"/>
    <mergeCell ref="B1:P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6394-AC49-4455-9EF5-7F924293C53B}">
  <sheetPr>
    <pageSetUpPr fitToPage="1"/>
  </sheetPr>
  <dimension ref="B1:P10"/>
  <sheetViews>
    <sheetView zoomScale="85" zoomScaleNormal="85" workbookViewId="0">
      <selection activeCell="I20" sqref="I20"/>
    </sheetView>
  </sheetViews>
  <sheetFormatPr defaultColWidth="10.625" defaultRowHeight="30" customHeight="1" x14ac:dyDescent="0.3"/>
  <cols>
    <col min="1" max="1" width="3.625" style="1" customWidth="1"/>
    <col min="2" max="2" width="12.625" style="1" customWidth="1"/>
    <col min="3" max="15" width="10.625" style="1"/>
    <col min="16" max="16" width="30.625" style="1" customWidth="1"/>
    <col min="17" max="16384" width="10.625" style="1"/>
  </cols>
  <sheetData>
    <row r="1" spans="2:16" ht="30" customHeight="1" x14ac:dyDescent="0.3">
      <c r="B1" s="10" t="s">
        <v>30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16" ht="30" customHeight="1" x14ac:dyDescent="0.3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30" customHeight="1" x14ac:dyDescent="0.3">
      <c r="B3" s="6" t="s">
        <v>0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</row>
    <row r="4" spans="2:16" ht="30" customHeight="1" x14ac:dyDescent="0.3">
      <c r="B4" s="5" t="s">
        <v>18</v>
      </c>
      <c r="C4" s="7">
        <f>SUM(C5:C10)</f>
        <v>1884</v>
      </c>
      <c r="D4" s="7">
        <f t="shared" ref="D4:N4" si="0">SUM(D5:D10)</f>
        <v>894</v>
      </c>
      <c r="E4" s="7">
        <f t="shared" si="0"/>
        <v>1002</v>
      </c>
      <c r="F4" s="7">
        <f t="shared" si="0"/>
        <v>2080.8000000000002</v>
      </c>
      <c r="G4" s="7">
        <f t="shared" si="0"/>
        <v>1552</v>
      </c>
      <c r="H4" s="7">
        <f t="shared" si="0"/>
        <v>1492</v>
      </c>
      <c r="I4" s="7">
        <f t="shared" si="0"/>
        <v>3665</v>
      </c>
      <c r="J4" s="7">
        <f t="shared" si="0"/>
        <v>2234.6</v>
      </c>
      <c r="K4" s="7">
        <f t="shared" si="0"/>
        <v>2955.2</v>
      </c>
      <c r="L4" s="7">
        <f t="shared" si="0"/>
        <v>2744.6</v>
      </c>
      <c r="M4" s="7">
        <f t="shared" si="0"/>
        <v>0</v>
      </c>
      <c r="N4" s="7">
        <f t="shared" si="0"/>
        <v>2464</v>
      </c>
      <c r="O4" s="7">
        <f>SUM(C4:N4)</f>
        <v>22968.199999999997</v>
      </c>
      <c r="P4" s="3"/>
    </row>
    <row r="5" spans="2:16" ht="30" customHeight="1" x14ac:dyDescent="0.3">
      <c r="B5" s="5" t="s">
        <v>23</v>
      </c>
      <c r="C5" s="7">
        <v>1884</v>
      </c>
      <c r="D5" s="7">
        <v>894</v>
      </c>
      <c r="E5" s="7">
        <v>1002</v>
      </c>
      <c r="F5" s="7">
        <v>1360.8</v>
      </c>
      <c r="G5" s="7">
        <v>1552</v>
      </c>
      <c r="H5" s="7">
        <v>1492</v>
      </c>
      <c r="I5" s="7">
        <v>2705</v>
      </c>
      <c r="J5" s="7">
        <v>2114.6</v>
      </c>
      <c r="K5" s="7">
        <v>2835.2</v>
      </c>
      <c r="L5" s="7">
        <v>2024.6</v>
      </c>
      <c r="M5" s="7">
        <v>0</v>
      </c>
      <c r="N5" s="7">
        <v>2464</v>
      </c>
      <c r="O5" s="7">
        <f>SUM(C5:N5)</f>
        <v>20328.199999999997</v>
      </c>
      <c r="P5" s="4" t="s">
        <v>20</v>
      </c>
    </row>
    <row r="6" spans="2:16" ht="30" customHeight="1" x14ac:dyDescent="0.3">
      <c r="B6" s="5" t="s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f>SUM(C6:N6)</f>
        <v>0</v>
      </c>
      <c r="P6" s="4"/>
    </row>
    <row r="7" spans="2:16" ht="30" customHeight="1" x14ac:dyDescent="0.3">
      <c r="B7" s="5" t="s">
        <v>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f>SUM(C7:N7)</f>
        <v>0</v>
      </c>
      <c r="P7" s="4" t="s">
        <v>20</v>
      </c>
    </row>
    <row r="8" spans="2:16" ht="30" customHeight="1" x14ac:dyDescent="0.3">
      <c r="B8" s="5" t="s">
        <v>3</v>
      </c>
      <c r="C8" s="7">
        <v>0</v>
      </c>
      <c r="D8" s="7">
        <v>0</v>
      </c>
      <c r="E8" s="7">
        <v>0</v>
      </c>
      <c r="F8" s="7">
        <v>720</v>
      </c>
      <c r="G8" s="7">
        <v>0</v>
      </c>
      <c r="H8" s="7">
        <v>0</v>
      </c>
      <c r="I8" s="7">
        <v>960</v>
      </c>
      <c r="J8" s="7">
        <v>120</v>
      </c>
      <c r="K8" s="7">
        <v>120</v>
      </c>
      <c r="L8" s="7">
        <v>720</v>
      </c>
      <c r="M8" s="7">
        <v>0</v>
      </c>
      <c r="N8" s="7">
        <v>0</v>
      </c>
      <c r="O8" s="7">
        <f t="shared" ref="O8:O10" si="1">SUM(C8:N8)</f>
        <v>2640</v>
      </c>
      <c r="P8" s="4"/>
    </row>
    <row r="9" spans="2:16" ht="30" customHeight="1" x14ac:dyDescent="0.3">
      <c r="B9" s="5" t="s">
        <v>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f t="shared" si="1"/>
        <v>0</v>
      </c>
      <c r="P9" s="4"/>
    </row>
    <row r="10" spans="2:16" ht="30" customHeight="1" x14ac:dyDescent="0.3">
      <c r="B10" s="5" t="s">
        <v>5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f t="shared" si="1"/>
        <v>0</v>
      </c>
      <c r="P10" s="4"/>
    </row>
  </sheetData>
  <mergeCells count="2">
    <mergeCell ref="B2:P2"/>
    <mergeCell ref="B1:P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DEC8-AA96-4D7F-95B9-AB372FE446F4}">
  <sheetPr>
    <pageSetUpPr fitToPage="1"/>
  </sheetPr>
  <dimension ref="B1:P5"/>
  <sheetViews>
    <sheetView tabSelected="1" zoomScale="85" zoomScaleNormal="85" workbookViewId="0">
      <selection activeCell="J10" sqref="J10"/>
    </sheetView>
  </sheetViews>
  <sheetFormatPr defaultColWidth="10.625" defaultRowHeight="30" customHeight="1" x14ac:dyDescent="0.3"/>
  <cols>
    <col min="1" max="1" width="3.625" style="1" customWidth="1"/>
    <col min="2" max="2" width="12.625" style="1" customWidth="1"/>
    <col min="3" max="15" width="10.625" style="1"/>
    <col min="16" max="16" width="30.625" style="1" customWidth="1"/>
    <col min="17" max="16384" width="10.625" style="1"/>
  </cols>
  <sheetData>
    <row r="1" spans="2:16" ht="30" customHeight="1" x14ac:dyDescent="0.3">
      <c r="B1" s="10" t="s">
        <v>31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16" ht="30" customHeight="1" x14ac:dyDescent="0.3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30" customHeight="1" x14ac:dyDescent="0.3">
      <c r="B3" s="6" t="s">
        <v>0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</row>
    <row r="4" spans="2:16" ht="30" customHeight="1" x14ac:dyDescent="0.3">
      <c r="B4" s="8" t="s">
        <v>24</v>
      </c>
      <c r="C4" s="7">
        <v>0</v>
      </c>
      <c r="D4" s="7">
        <v>0</v>
      </c>
      <c r="E4" s="7">
        <v>0</v>
      </c>
      <c r="F4" s="7">
        <v>0</v>
      </c>
      <c r="G4" s="7">
        <v>2640</v>
      </c>
      <c r="H4" s="7">
        <v>0</v>
      </c>
      <c r="I4" s="7">
        <v>0</v>
      </c>
      <c r="J4" s="7">
        <v>3960</v>
      </c>
      <c r="K4" s="7">
        <v>0</v>
      </c>
      <c r="L4" s="7">
        <v>0</v>
      </c>
      <c r="M4" s="7">
        <v>0</v>
      </c>
      <c r="N4" s="7">
        <v>0</v>
      </c>
      <c r="O4" s="7">
        <f>SUM(C4:N4)</f>
        <v>6600</v>
      </c>
      <c r="P4" s="3"/>
    </row>
    <row r="5" spans="2:16" ht="30" customHeight="1" x14ac:dyDescent="0.3">
      <c r="B5" s="8" t="s">
        <v>25</v>
      </c>
      <c r="C5" s="7">
        <v>0</v>
      </c>
      <c r="D5" s="7">
        <v>0</v>
      </c>
      <c r="E5" s="7">
        <v>0</v>
      </c>
      <c r="F5" s="7">
        <v>0</v>
      </c>
      <c r="G5" s="7" t="s">
        <v>26</v>
      </c>
      <c r="H5" s="7">
        <v>0</v>
      </c>
      <c r="I5" s="7">
        <v>0</v>
      </c>
      <c r="J5" s="7" t="s">
        <v>27</v>
      </c>
      <c r="K5" s="7">
        <v>0</v>
      </c>
      <c r="L5" s="7">
        <v>0</v>
      </c>
      <c r="M5" s="7">
        <v>0</v>
      </c>
      <c r="N5" s="7">
        <v>0</v>
      </c>
      <c r="O5" s="7" t="s">
        <v>28</v>
      </c>
      <c r="P5" s="4"/>
    </row>
  </sheetData>
  <mergeCells count="2">
    <mergeCell ref="B2:P2"/>
    <mergeCell ref="B1:P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컨테이너(창고)_2025년 기준</vt:lpstr>
      <vt:lpstr>주차시설_2025년 기준</vt:lpstr>
      <vt:lpstr>측량장비 대여_2025년 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2026-06-22T04:51:21Z</cp:lastPrinted>
  <dcterms:created xsi:type="dcterms:W3CDTF">2026-06-16T02:12:18Z</dcterms:created>
  <dcterms:modified xsi:type="dcterms:W3CDTF">2026-06-22T05:27:25Z</dcterms:modified>
</cp:coreProperties>
</file>