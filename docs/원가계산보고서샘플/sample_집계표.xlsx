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vibe_2706\kiba_2026\docs\원가계산보고서샘플\"/>
    </mc:Choice>
  </mc:AlternateContent>
  <x:bookViews>
    <x:workbookView xWindow="0" yWindow="0" windowWidth="22788" windowHeight="8112" tabRatio="500"/>
  </x:bookViews>
  <x:sheets>
    <x:sheet name="Sheet1" sheetId="1" r:id="rId4"/>
  </x:sheets>
  <x:externalReferences>
    <x:externalReference r:id="rId5"/>
  </x:externalReferenc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<x:sst xmlns:r="http://schemas.openxmlformats.org/officeDocument/2006/relationships" xmlns:c="http://schemas.openxmlformats.org/drawingml/2006/chart" xmlns:x="http://schemas.openxmlformats.org/spreadsheetml/2006/main" count="22" uniqueCount="16">
  <x:si>
    <x:t>비고</x:t>
  </x:si>
  <x:si>
    <x:t>수량</x:t>
  </x:si>
  <x:si>
    <x:t>식</x:t>
  </x:si>
  <x:si>
    <x:t>단위</x:t>
  </x:si>
  <x:si>
    <x:t>(단위: 원)</x:t>
  </x:si>
  <x:si>
    <x:t>노  무  비</x:t>
  </x:si>
  <x:si>
    <x:t>재  료  비</x:t>
  </x:si>
  <x:si>
    <x:t>공사집계표</x:t>
  </x:si>
  <x:si>
    <x:t>단  가</x:t>
  </x:si>
  <x:si>
    <x:t>금    액</x:t>
  </x:si>
  <x:si>
    <x:t>&lt;표 1&gt;</x:t>
  </x:si>
  <x:si>
    <x:t>탱크 설비</x:t>
  </x:si>
  <x:si>
    <x:t>합  계</x:t>
  </x:si>
  <x:si>
    <x:t>품      명</x:t>
  </x:si>
  <x:si>
    <x:t>경      비</x:t>
  </x:si>
  <x:si>
    <x:t>합      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</x:si>
</x:sst>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&quot;&lt;표 1-&quot;###&quot;&gt;&quot;"/>
    <x:numFmt numFmtId="165" formatCode="_-* #,##0_-;\-* #,##0_-;_-* &quot;-&quot;_-;_-@"/>
  </x:numFmts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ptos Narrow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0"/>
          <x:color rgb="ff000000"/>
        </x:font>
      </mc:Fallback>
    </mc:AlternateContent>
    <x:font>
      <x:name val="Gulimche"/>
      <x:sz val="2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9"/>
          <x:color rgb="ff000000"/>
          <x:b val="1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Gulimche"/>
          <x:sz val="9"/>
          <x:color rgb="ff00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8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x:xf numFmtId="164" fontId="7" fillId="0" borderId="0" xfId="1" applyNumberFormat="1" applyFont="1" applyAlignment="1">
      <x:alignment horizontal="left" vertical="center"/>
    </x:xf>
    <x:xf numFmtId="0" fontId="7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/>
        </x:xf>
      </mc:Fallback>
    </mc:AlternateContent>
    <x:xf numFmtId="0" fontId="9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1" applyFont="1" applyBorder="1" applyAlignment="1">
          <x:alignment horizontal="center" vertical="center" wrapText="1"/>
        </x:xf>
      </mc:Fallback>
    </mc:AlternateContent>
    <x:xf numFmtId="0" fontId="6" fillId="0" borderId="3" xfId="1" applyFont="1" applyBorder="1" applyAlignment="1">
      <x:alignment horizontal="general" vertical="center"/>
    </x:xf>
    <x:xf numFmtId="0" fontId="6" fillId="0" borderId="4" xfId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5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1" applyFont="1" applyBorder="1" applyAlignment="1">
          <x:alignment horizontal="center" vertical="center" wrapText="1"/>
        </x:xf>
      </mc:Fallback>
    </mc:AlternateContent>
    <x:xf numFmtId="0" fontId="11" fillId="0" borderId="5" xfId="1" quotePrefix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1" fillId="0" borderId="5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0" borderId="5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0" borderId="5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0" borderId="5" xfId="1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0" borderId="5" xfId="1" applyNumberFormat="1" applyFont="1" applyBorder="1" applyAlignment="1">
          <x:alignment horizontal="right" vertical="center" shrinkToFit="1"/>
        </x:xf>
      </mc:Fallback>
    </mc:AlternateContent>
    <x:xf numFmtId="0" fontId="11" fillId="0" borderId="5" xfId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1" fillId="0" borderId="5" xfId="1" quotePrefix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1" quotePrefix="1" applyFont="1" applyBorder="1" applyAlignment="1">
          <x:alignment horizontal="center" vertical="center" shrinkToFit="1"/>
        </x:xf>
      </mc:Fallback>
    </mc:AlternateContent>
  </x:cellXfs>
  <x:cellStyles count="2">
    <x:cellStyle name="표준" xfId="0" builtinId="0" iLevel="0"/>
    <x:cellStyle name="Normal" xfId="1" builtinId="0"/>
  </x:cellStyles>
  <x:dxfs count="1">
    <x:dxf>
      <x:numFmt numFmtId="0" formatCode="General"/>
      <x:fill>
        <x:patternFill patternType="none"/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(E)sample_&#50896;&#44032;&#44228;&#49328;&#48372;&#44256;&#49436;ver1.xlsx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목차  (2)"/>
      <x:sheetName val="결과"/>
      <x:sheetName val="산정기준"/>
      <x:sheetName val="원가계산서"/>
      <x:sheetName val="집계표"/>
      <x:sheetName val="내역서"/>
      <x:sheetName val="일위대가목록"/>
      <x:sheetName val="일위대가표"/>
      <x:sheetName val="단가대비표"/>
      <x:sheetName val="간노비"/>
      <x:sheetName val="경비"/>
      <x:sheetName val="산재"/>
      <x:sheetName val="고용"/>
      <x:sheetName val="건강"/>
      <x:sheetName val="연금"/>
      <x:sheetName val="장기"/>
      <x:sheetName val="석면"/>
      <x:sheetName val="임금"/>
      <x:sheetName val="퇴공"/>
      <x:sheetName val="안전"/>
      <x:sheetName val="일반"/>
      <x:sheetName val="일반비율"/>
      <x:sheetName val="이윤"/>
      <x:sheetName val="이윤비율"/>
    </x:sheet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  <x:sheetData sheetId="5" refreshError="0">
        <x:row r="71">
          <x:cell r="F71">
            <x:v>62250076</x:v>
          </x:cell>
          <x:cell r="H71">
            <x:v>11826704</x:v>
          </x:cell>
          <x:cell r="J71">
            <x:v>23400000</x:v>
          </x:cell>
        </x:row>
      </x:sheetData>
      <x:sheetData sheetId="6" refreshError="0"/>
      <x:sheetData sheetId="7" refreshError="0"/>
      <x:sheetData sheetId="8" refreshError="0"/>
      <x:sheetData sheetId="9" refreshError="0"/>
      <x:sheetData sheetId="10" refreshError="0"/>
      <x:sheetData sheetId="11" refreshError="0"/>
      <x:sheetData sheetId="12" refreshError="0"/>
      <x:sheetData sheetId="13" refreshError="0"/>
      <x:sheetData sheetId="14" refreshError="0"/>
      <x:sheetData sheetId="15" refreshError="0"/>
      <x:sheetData sheetId="16" refreshError="0"/>
      <x:sheetData sheetId="17" refreshError="0"/>
      <x:sheetData sheetId="18" refreshError="0"/>
      <x:sheetData sheetId="19" refreshError="0"/>
      <x:sheetData sheetId="20" refreshError="0"/>
      <x:sheetData sheetId="21" refreshError="0"/>
      <x:sheetData sheetId="22" refreshError="0"/>
      <x:sheetData sheetId="23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8"/>
  <x:sheetViews>
    <x:sheetView tabSelected="1" topLeftCell="A1" zoomScaleNormal="75" zoomScaleSheetLayoutView="100" workbookViewId="0">
      <x:selection activeCell="A1" activeCellId="0" sqref="A1:D1"/>
    </x:sheetView>
  </x:sheetViews>
  <x:sheetFormatPr defaultColWidth="8.796875" defaultRowHeight="16.39999999999999857891"/>
  <x:sheetData>
    <x:row r="1" spans="1:12">
      <x:c r="A1" s="1" t="s">
        <x:v>10</x:v>
      </x:c>
      <x:c r="B1" s="1"/>
      <x:c r="C1" s="1"/>
      <x:c r="D1" s="1"/>
      <x:c r="E1" s="2"/>
      <x:c r="F1" s="2"/>
      <x:c r="G1" s="3"/>
      <x:c r="H1" s="2"/>
      <x:c r="I1" s="2"/>
      <x:c r="J1" s="2"/>
      <x:c r="K1" s="2"/>
      <x:c r="L1" s="2"/>
    </x:row>
    <x:row r="2" spans="1:12" ht="24.94999999999999928946">
      <x:c r="A2" s="4" t="s">
        <x:v>7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spans="1:12" ht="24.94999999999999928946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spans="1:12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7" t="s">
        <x:v>4</x:v>
      </x:c>
    </x:row>
    <x:row r="5" spans="1:12">
      <x:c r="A5" s="8" t="s">
        <x:v>13</x:v>
      </x:c>
      <x:c r="B5" s="8" t="s">
        <x:v>3</x:v>
      </x:c>
      <x:c r="C5" s="8" t="s">
        <x:v>1</x:v>
      </x:c>
      <x:c r="D5" s="9" t="s">
        <x:v>6</x:v>
      </x:c>
      <x:c r="E5" s="10"/>
      <x:c r="F5" s="9" t="s">
        <x:v>5</x:v>
      </x:c>
      <x:c r="G5" s="10"/>
      <x:c r="H5" s="9" t="s">
        <x:v>14</x:v>
      </x:c>
      <x:c r="I5" s="10"/>
      <x:c r="J5" s="9" t="s">
        <x:v>15</x:v>
      </x:c>
      <x:c r="K5" s="10"/>
      <x:c r="L5" s="8" t="s">
        <x:v>0</x:v>
      </x:c>
    </x:row>
    <x:row r="6" spans="1:12">
      <x:c r="A6" s="11"/>
      <x:c r="B6" s="11"/>
      <x:c r="C6" s="11"/>
      <x:c r="D6" s="12" t="s">
        <x:v>8</x:v>
      </x:c>
      <x:c r="E6" s="12" t="s">
        <x:v>9</x:v>
      </x:c>
      <x:c r="F6" s="12" t="s">
        <x:v>8</x:v>
      </x:c>
      <x:c r="G6" s="12" t="s">
        <x:v>9</x:v>
      </x:c>
      <x:c r="H6" s="12" t="s">
        <x:v>8</x:v>
      </x:c>
      <x:c r="I6" s="12" t="s">
        <x:v>9</x:v>
      </x:c>
      <x:c r="J6" s="12" t="s">
        <x:v>8</x:v>
      </x:c>
      <x:c r="K6" s="12" t="s">
        <x:v>9</x:v>
      </x:c>
      <x:c r="L6" s="11"/>
    </x:row>
    <x:row r="7" spans="1:12">
      <x:c r="A7" s="13" t="s">
        <x:v>11</x:v>
      </x:c>
      <x:c r="B7" s="14" t="s">
        <x:v>2</x:v>
      </x:c>
      <x:c r="C7" s="14">
        <x:v>1</x:v>
      </x:c>
      <x:c r="D7" s="15">
        <x:f>'[1]내역서'!F71</x:f>
        <x:v>62250076</x:v>
      </x:c>
      <x:c r="E7" s="15">
        <x:f>C7*D7</x:f>
        <x:v>62250076</x:v>
      </x:c>
      <x:c r="F7" s="15">
        <x:f>'[1]내역서'!H71</x:f>
        <x:v>11826704</x:v>
      </x:c>
      <x:c r="G7" s="15">
        <x:f>C7*F7</x:f>
        <x:v>11826704</x:v>
      </x:c>
      <x:c r="H7" s="16">
        <x:f>'[1]내역서'!J71</x:f>
        <x:v>23400000</x:v>
      </x:c>
      <x:c r="I7" s="16">
        <x:f>C7*H7</x:f>
        <x:v>23400000</x:v>
      </x:c>
      <x:c r="J7" s="15">
        <x:f t="shared" ref="J7:K7" si="0">D7+F7+H7</x:f>
        <x:v>97476780</x:v>
      </x:c>
      <x:c r="K7" s="15">
        <x:f t="shared" si="0"/>
        <x:v>97476780</x:v>
      </x:c>
      <x:c r="L7" s="15"/>
    </x:row>
    <x:row r="8" spans="1:12">
      <x:c r="A8" s="17"/>
      <x:c r="B8" s="14"/>
      <x:c r="C8" s="14"/>
      <x:c r="D8" s="15"/>
      <x:c r="E8" s="15"/>
      <x:c r="F8" s="15"/>
      <x:c r="G8" s="15"/>
      <x:c r="H8" s="16"/>
      <x:c r="I8" s="16"/>
      <x:c r="J8" s="15"/>
      <x:c r="K8" s="15"/>
      <x:c r="L8" s="15"/>
    </x:row>
    <x:row r="9" spans="1:12">
      <x:c r="A9" s="17"/>
      <x:c r="B9" s="14"/>
      <x:c r="C9" s="14"/>
      <x:c r="D9" s="15"/>
      <x:c r="E9" s="15"/>
      <x:c r="F9" s="15"/>
      <x:c r="G9" s="15"/>
      <x:c r="H9" s="16"/>
      <x:c r="I9" s="16"/>
      <x:c r="J9" s="15"/>
      <x:c r="K9" s="15"/>
      <x:c r="L9" s="15"/>
    </x:row>
    <x:row r="10" spans="1:12">
      <x:c r="A10" s="17"/>
      <x:c r="B10" s="14"/>
      <x:c r="C10" s="14"/>
      <x:c r="D10" s="15"/>
      <x:c r="E10" s="15"/>
      <x:c r="F10" s="15"/>
      <x:c r="G10" s="15"/>
      <x:c r="H10" s="16"/>
      <x:c r="I10" s="16"/>
      <x:c r="J10" s="15"/>
      <x:c r="K10" s="15"/>
      <x:c r="L10" s="15"/>
    </x:row>
    <x:row r="11" spans="1:12">
      <x:c r="A11" s="17"/>
      <x:c r="B11" s="14"/>
      <x:c r="C11" s="14"/>
      <x:c r="D11" s="15"/>
      <x:c r="E11" s="15"/>
      <x:c r="F11" s="15"/>
      <x:c r="G11" s="15"/>
      <x:c r="H11" s="16"/>
      <x:c r="I11" s="16"/>
      <x:c r="J11" s="15"/>
      <x:c r="K11" s="15"/>
      <x:c r="L11" s="15"/>
    </x:row>
    <x:row r="12" spans="1:12">
      <x:c r="A12" s="17"/>
      <x:c r="B12" s="14"/>
      <x:c r="C12" s="14"/>
      <x:c r="D12" s="15"/>
      <x:c r="E12" s="15"/>
      <x:c r="F12" s="15"/>
      <x:c r="G12" s="15"/>
      <x:c r="H12" s="16"/>
      <x:c r="I12" s="16"/>
      <x:c r="J12" s="15"/>
      <x:c r="K12" s="15"/>
      <x:c r="L12" s="15"/>
    </x:row>
    <x:row r="13" spans="1:12">
      <x:c r="A13" s="17"/>
      <x:c r="B13" s="14"/>
      <x:c r="C13" s="14"/>
      <x:c r="D13" s="15"/>
      <x:c r="E13" s="15"/>
      <x:c r="F13" s="15"/>
      <x:c r="G13" s="15"/>
      <x:c r="H13" s="16"/>
      <x:c r="I13" s="16"/>
      <x:c r="J13" s="15"/>
      <x:c r="K13" s="15"/>
      <x:c r="L13" s="15"/>
    </x:row>
    <x:row r="14" spans="1:12">
      <x:c r="A14" s="17"/>
      <x:c r="B14" s="14"/>
      <x:c r="C14" s="14"/>
      <x:c r="D14" s="15"/>
      <x:c r="E14" s="15"/>
      <x:c r="F14" s="15"/>
      <x:c r="G14" s="15"/>
      <x:c r="H14" s="16"/>
      <x:c r="I14" s="16"/>
      <x:c r="J14" s="15"/>
      <x:c r="K14" s="15"/>
      <x:c r="L14" s="15"/>
    </x:row>
    <x:row r="15" spans="1:12">
      <x:c r="A15" s="17"/>
      <x:c r="B15" s="14"/>
      <x:c r="C15" s="14"/>
      <x:c r="D15" s="15"/>
      <x:c r="E15" s="15"/>
      <x:c r="F15" s="15"/>
      <x:c r="G15" s="15"/>
      <x:c r="H15" s="16"/>
      <x:c r="I15" s="16"/>
      <x:c r="J15" s="15"/>
      <x:c r="K15" s="15"/>
      <x:c r="L15" s="15"/>
    </x:row>
    <x:row r="16" spans="1:12">
      <x:c r="A16" s="17"/>
      <x:c r="B16" s="14"/>
      <x:c r="C16" s="14"/>
      <x:c r="D16" s="15"/>
      <x:c r="E16" s="15"/>
      <x:c r="F16" s="15"/>
      <x:c r="G16" s="15"/>
      <x:c r="H16" s="16"/>
      <x:c r="I16" s="16"/>
      <x:c r="J16" s="15"/>
      <x:c r="K16" s="15"/>
      <x:c r="L16" s="15"/>
    </x:row>
    <x:row r="17" spans="1:12">
      <x:c r="A17" s="17"/>
      <x:c r="B17" s="14"/>
      <x:c r="C17" s="14"/>
      <x:c r="D17" s="15"/>
      <x:c r="E17" s="15"/>
      <x:c r="F17" s="15"/>
      <x:c r="G17" s="15"/>
      <x:c r="H17" s="16"/>
      <x:c r="I17" s="16"/>
      <x:c r="J17" s="15"/>
      <x:c r="K17" s="15"/>
      <x:c r="L17" s="15"/>
    </x:row>
    <x:row r="18" spans="1:12">
      <x:c r="A18" s="18" t="s">
        <x:v>12</x:v>
      </x:c>
      <x:c r="B18" s="14"/>
      <x:c r="C18" s="14"/>
      <x:c r="D18" s="15"/>
      <x:c r="E18" s="15">
        <x:f>SUM(E7:E17)</x:f>
        <x:v>62250076</x:v>
      </x:c>
      <x:c r="F18" s="15"/>
      <x:c r="G18" s="15">
        <x:f>SUM(G7:G17)</x:f>
        <x:v>11826704</x:v>
      </x:c>
      <x:c r="H18" s="16"/>
      <x:c r="I18" s="15">
        <x:f>SUM(I7:I17)</x:f>
        <x:v>23400000</x:v>
      </x:c>
      <x:c r="J18" s="15"/>
      <x:c r="K18" s="15">
        <x:f>SUM(K7:K17)</x:f>
        <x:v>97476780</x:v>
      </x:c>
      <x:c r="L18" s="15"/>
    </x:row>
  </x:sheetData>
  <x:mergeCells count="10">
    <x:mergeCell ref="A1:D1"/>
    <x:mergeCell ref="A2:L2"/>
    <x:mergeCell ref="A5:A6"/>
    <x:mergeCell ref="B5:B6"/>
    <x:mergeCell ref="C5:C6"/>
    <x:mergeCell ref="D5:E5"/>
    <x:mergeCell ref="F5:G5"/>
    <x:mergeCell ref="H5:I5"/>
    <x:mergeCell ref="J5:K5"/>
    <x:mergeCell ref="L5:L6"/>
  </x:mergeCells>
  <x:conditionalFormatting sqref="A7:L18">
    <x:cfRule type="containsText" dxfId="0" priority="1" stopIfTrue="1" operator="containsText" text=".">
      <x:formula>NOT(ISERROR(SEARCH(("."),(A7))))</x:formula>
    </x:cfRule>
  </x:conditionalFormatting>
  <x:conditionalFormatting sqref="A7:L18">
    <x:cfRule type="containsText" dxfId="0" priority="2" stopIfTrue="1" operator="containsText" text=".">
      <x:formula>ISERROR(SEARCH(("."),(A7)))</x:formula>
    </x:cfRule>
  </x:conditionalFormatting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1</cp:revision>
  <dcterms:created xsi:type="dcterms:W3CDTF">2026-06-27T15:32:27.695</dcterms:created>
  <dcterms:modified xsi:type="dcterms:W3CDTF">2026-06-27T15:33:44.349</dcterms:modified>
  <cp:version>1300.0100.01</cp:version>
</cp:coreProperties>
</file>