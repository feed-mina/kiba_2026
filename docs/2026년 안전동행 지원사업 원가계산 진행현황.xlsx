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ecost3\kiba\02. 원가분석본부\2026년 원가계산\2026년도 안전동행 지원사업\"/>
    </mc:Choice>
  </mc:AlternateContent>
  <xr:revisionPtr revIDLastSave="0" documentId="13_ncr:1_{2F44E279-C412-47F6-9377-AB892CD925D1}" xr6:coauthVersionLast="47" xr6:coauthVersionMax="47" xr10:uidLastSave="{00000000-0000-0000-0000-000000000000}"/>
  <bookViews>
    <workbookView xWindow="23880" yWindow="-2760" windowWidth="29040" windowHeight="15720" activeTab="1" xr2:uid="{C86C0AE2-1EAB-4CE6-9ACE-3CEC43227B2B}"/>
  </bookViews>
  <sheets>
    <sheet name="일일현황" sheetId="6" r:id="rId1"/>
    <sheet name="집계" sheetId="9" r:id="rId2"/>
    <sheet name="진행현황" sheetId="1" r:id="rId3"/>
    <sheet name="결재라인" sheetId="3" r:id="rId4"/>
  </sheets>
  <definedNames>
    <definedName name="_xlnm.Print_Area" localSheetId="3">결재라인!$A$1:$G$5</definedName>
    <definedName name="_xlnm.Print_Area" localSheetId="0">일일현황!$A$1:$K$26</definedName>
    <definedName name="_xlnm.Print_Area" localSheetId="2">진행현황!$A$1:$M$104</definedName>
    <definedName name="_xlnm.Print_Area" localSheetId="1">집계!$A$1:$H$44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6" l="1"/>
  <c r="D17" i="6"/>
  <c r="E17" i="6"/>
  <c r="F17" i="6"/>
  <c r="G17" i="6"/>
  <c r="H17" i="6"/>
  <c r="I17" i="6"/>
  <c r="J17" i="6"/>
  <c r="C18" i="6"/>
  <c r="D18" i="6"/>
  <c r="J18" i="6" s="1"/>
  <c r="E18" i="6"/>
  <c r="F18" i="6"/>
  <c r="G18" i="6"/>
  <c r="H18" i="6"/>
  <c r="I18" i="6"/>
  <c r="B17" i="6"/>
  <c r="B18" i="6"/>
  <c r="B38" i="9"/>
  <c r="B39" i="9"/>
  <c r="A38" i="9"/>
  <c r="A39" i="9" s="1"/>
  <c r="B24" i="9"/>
  <c r="D24" i="9" s="1"/>
  <c r="B25" i="9"/>
  <c r="G25" i="9" s="1"/>
  <c r="C30" i="9"/>
  <c r="C34" i="9"/>
  <c r="C39" i="9"/>
  <c r="B37" i="9"/>
  <c r="F37" i="9" s="1"/>
  <c r="B36" i="9"/>
  <c r="F36" i="9" s="1"/>
  <c r="B35" i="9"/>
  <c r="C35" i="9" s="1"/>
  <c r="B34" i="9"/>
  <c r="F34" i="9" s="1"/>
  <c r="B33" i="9"/>
  <c r="F33" i="9" s="1"/>
  <c r="B32" i="9"/>
  <c r="C32" i="9" s="1"/>
  <c r="B31" i="9"/>
  <c r="C31" i="9" s="1"/>
  <c r="B30" i="9"/>
  <c r="F30" i="9" s="1"/>
  <c r="A31" i="9"/>
  <c r="A32" i="9" s="1"/>
  <c r="A33" i="9" s="1"/>
  <c r="A34" i="9" s="1"/>
  <c r="A35" i="9" s="1"/>
  <c r="A36" i="9" s="1"/>
  <c r="A37" i="9" s="1"/>
  <c r="A17" i="9"/>
  <c r="A18" i="9" s="1"/>
  <c r="A19" i="9" s="1"/>
  <c r="A20" i="9" s="1"/>
  <c r="A21" i="9" s="1"/>
  <c r="A22" i="9" s="1"/>
  <c r="A23" i="9" s="1"/>
  <c r="A24" i="9" s="1"/>
  <c r="A25" i="9" s="1"/>
  <c r="B23" i="9"/>
  <c r="G23" i="9" s="1"/>
  <c r="B22" i="9"/>
  <c r="G22" i="9" s="1"/>
  <c r="B21" i="9"/>
  <c r="G21" i="9" s="1"/>
  <c r="B20" i="9"/>
  <c r="G20" i="9" s="1"/>
  <c r="B19" i="9"/>
  <c r="C19" i="9" s="1"/>
  <c r="B18" i="9"/>
  <c r="D18" i="9" s="1"/>
  <c r="B17" i="9"/>
  <c r="F17" i="9" s="1"/>
  <c r="B16" i="9"/>
  <c r="G16" i="9" s="1"/>
  <c r="F31" i="9" l="1"/>
  <c r="A11" i="9"/>
  <c r="F24" i="9"/>
  <c r="G24" i="9"/>
  <c r="C24" i="9"/>
  <c r="E24" i="9" s="1"/>
  <c r="C36" i="9"/>
  <c r="F39" i="9"/>
  <c r="C37" i="9"/>
  <c r="C33" i="9"/>
  <c r="F32" i="9"/>
  <c r="F35" i="9"/>
  <c r="C20" i="9"/>
  <c r="C21" i="9"/>
  <c r="D20" i="9"/>
  <c r="C22" i="9"/>
  <c r="D21" i="9"/>
  <c r="F20" i="9"/>
  <c r="H20" i="9" s="1"/>
  <c r="G19" i="9"/>
  <c r="D19" i="9"/>
  <c r="E19" i="9" s="1"/>
  <c r="F18" i="9"/>
  <c r="F19" i="9"/>
  <c r="C23" i="9"/>
  <c r="D22" i="9"/>
  <c r="F21" i="9"/>
  <c r="H21" i="9" s="1"/>
  <c r="G17" i="9"/>
  <c r="H17" i="9" s="1"/>
  <c r="G18" i="9"/>
  <c r="C16" i="9"/>
  <c r="C25" i="9"/>
  <c r="D23" i="9"/>
  <c r="F22" i="9"/>
  <c r="H22" i="9" s="1"/>
  <c r="C17" i="9"/>
  <c r="D16" i="9"/>
  <c r="D25" i="9"/>
  <c r="F23" i="9"/>
  <c r="H23" i="9" s="1"/>
  <c r="C18" i="9"/>
  <c r="E18" i="9" s="1"/>
  <c r="D17" i="9"/>
  <c r="F16" i="9"/>
  <c r="F25" i="9"/>
  <c r="H25" i="9" s="1"/>
  <c r="H24" i="9" l="1"/>
  <c r="F40" i="9"/>
  <c r="C40" i="9"/>
  <c r="E21" i="9"/>
  <c r="E20" i="9"/>
  <c r="H18" i="9"/>
  <c r="E23" i="9"/>
  <c r="E22" i="9"/>
  <c r="E25" i="9"/>
  <c r="E16" i="9"/>
  <c r="E17" i="9"/>
  <c r="F26" i="9"/>
  <c r="F11" i="9" s="1"/>
  <c r="D26" i="9"/>
  <c r="D11" i="9" s="1"/>
  <c r="C26" i="9"/>
  <c r="C11" i="9" s="1"/>
  <c r="H16" i="9"/>
  <c r="H19" i="9"/>
  <c r="G26" i="9"/>
  <c r="G11" i="9" s="1"/>
  <c r="E26" i="9" l="1"/>
  <c r="E11" i="9" s="1"/>
  <c r="H26" i="9"/>
  <c r="H11" i="9" s="1"/>
  <c r="J6" i="6" l="1"/>
  <c r="B16" i="6"/>
  <c r="F16" i="6" s="1"/>
  <c r="B15" i="6"/>
  <c r="F15" i="6" s="1"/>
  <c r="B14" i="6"/>
  <c r="F14" i="6" s="1"/>
  <c r="B13" i="6"/>
  <c r="F13" i="6" s="1"/>
  <c r="B12" i="6"/>
  <c r="F12" i="6" s="1"/>
  <c r="B11" i="6"/>
  <c r="F11" i="6" s="1"/>
  <c r="B10" i="6"/>
  <c r="F10" i="6" s="1"/>
  <c r="B9" i="6"/>
  <c r="F9" i="6" s="1"/>
  <c r="F19" i="6" l="1"/>
  <c r="I11" i="6"/>
  <c r="H11" i="6"/>
  <c r="C11" i="6"/>
  <c r="G11" i="6"/>
  <c r="E11" i="6"/>
  <c r="D11" i="6"/>
  <c r="H10" i="6"/>
  <c r="I10" i="6"/>
  <c r="G10" i="6"/>
  <c r="C10" i="6"/>
  <c r="E10" i="6"/>
  <c r="D10" i="6"/>
  <c r="C12" i="6"/>
  <c r="I12" i="6"/>
  <c r="H12" i="6"/>
  <c r="G12" i="6"/>
  <c r="D12" i="6"/>
  <c r="E12" i="6"/>
  <c r="C13" i="6"/>
  <c r="G13" i="6"/>
  <c r="H13" i="6"/>
  <c r="I13" i="6"/>
  <c r="E13" i="6"/>
  <c r="D13" i="6"/>
  <c r="G9" i="6"/>
  <c r="H9" i="6"/>
  <c r="I9" i="6"/>
  <c r="C9" i="6"/>
  <c r="D9" i="6"/>
  <c r="E9" i="6"/>
  <c r="C14" i="6"/>
  <c r="G14" i="6"/>
  <c r="H14" i="6"/>
  <c r="I14" i="6"/>
  <c r="E14" i="6"/>
  <c r="D14" i="6"/>
  <c r="G15" i="6"/>
  <c r="H15" i="6"/>
  <c r="I15" i="6"/>
  <c r="C15" i="6"/>
  <c r="E15" i="6"/>
  <c r="D15" i="6"/>
  <c r="G16" i="6"/>
  <c r="H16" i="6"/>
  <c r="I16" i="6"/>
  <c r="C16" i="6"/>
  <c r="E16" i="6"/>
  <c r="D16" i="6"/>
  <c r="C4" i="3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J12" i="6" l="1"/>
  <c r="J14" i="6"/>
  <c r="J10" i="6"/>
  <c r="J16" i="6"/>
  <c r="G19" i="6"/>
  <c r="E19" i="6"/>
  <c r="H19" i="6"/>
  <c r="I19" i="6"/>
  <c r="J15" i="6"/>
  <c r="J13" i="6"/>
  <c r="J11" i="6"/>
  <c r="J9" i="6"/>
  <c r="D19" i="6"/>
  <c r="C19" i="6"/>
  <c r="J19" i="6" l="1"/>
</calcChain>
</file>

<file path=xl/sharedStrings.xml><?xml version="1.0" encoding="utf-8"?>
<sst xmlns="http://schemas.openxmlformats.org/spreadsheetml/2006/main" count="107" uniqueCount="76">
  <si>
    <t>순번</t>
    <phoneticPr fontId="2" type="noConversion"/>
  </si>
  <si>
    <t>공급기업</t>
    <phoneticPr fontId="2" type="noConversion"/>
  </si>
  <si>
    <t>도입기업</t>
    <phoneticPr fontId="2" type="noConversion"/>
  </si>
  <si>
    <t>담당자</t>
    <phoneticPr fontId="2" type="noConversion"/>
  </si>
  <si>
    <t>검토자</t>
    <phoneticPr fontId="2" type="noConversion"/>
  </si>
  <si>
    <t>비고</t>
    <phoneticPr fontId="2" type="noConversion"/>
  </si>
  <si>
    <t>2026년 안전동행 지원사업 원가계산 진행내역</t>
    <phoneticPr fontId="2" type="noConversion"/>
  </si>
  <si>
    <t>담당</t>
    <phoneticPr fontId="2" type="noConversion"/>
  </si>
  <si>
    <t>검토</t>
    <phoneticPr fontId="2" type="noConversion"/>
  </si>
  <si>
    <t>이사</t>
    <phoneticPr fontId="2" type="noConversion"/>
  </si>
  <si>
    <t>원장</t>
    <phoneticPr fontId="2" type="noConversion"/>
  </si>
  <si>
    <t>결
재</t>
    <phoneticPr fontId="2" type="noConversion"/>
  </si>
  <si>
    <t>/</t>
    <phoneticPr fontId="2" type="noConversion"/>
  </si>
  <si>
    <t>2026년 안전동행 지원사업 원가계산 업무 일일 현황</t>
    <phoneticPr fontId="2" type="noConversion"/>
  </si>
  <si>
    <t>사업연도</t>
    <phoneticPr fontId="2" type="noConversion"/>
  </si>
  <si>
    <t>애로사항</t>
    <phoneticPr fontId="2" type="noConversion"/>
  </si>
  <si>
    <t>●</t>
    <phoneticPr fontId="2" type="noConversion"/>
  </si>
  <si>
    <t>특이사항</t>
    <phoneticPr fontId="2" type="noConversion"/>
  </si>
  <si>
    <t>수행계획</t>
    <phoneticPr fontId="2" type="noConversion"/>
  </si>
  <si>
    <t>㈜디케이디엔씨</t>
    <phoneticPr fontId="2" type="noConversion"/>
  </si>
  <si>
    <t>용역비
(VAT 별도)</t>
    <phoneticPr fontId="2" type="noConversion"/>
  </si>
  <si>
    <t>사업명</t>
    <phoneticPr fontId="2" type="noConversion"/>
  </si>
  <si>
    <t>안전동행 지원사업</t>
    <phoneticPr fontId="2" type="noConversion"/>
  </si>
  <si>
    <t>사고사망 등 고위험 개선사업</t>
    <phoneticPr fontId="2" type="noConversion"/>
  </si>
  <si>
    <t>건강일터 조성지원사업</t>
    <phoneticPr fontId="2" type="noConversion"/>
  </si>
  <si>
    <t>안전일터 조성지원사업</t>
    <phoneticPr fontId="2" type="noConversion"/>
  </si>
  <si>
    <t>전기안전모니터링시스템 제작 및 설치</t>
    <phoneticPr fontId="2" type="noConversion"/>
  </si>
  <si>
    <t>스마트안전장비 지원사업</t>
    <phoneticPr fontId="2" type="noConversion"/>
  </si>
  <si>
    <t>합계</t>
    <phoneticPr fontId="2" type="noConversion"/>
  </si>
  <si>
    <t>2026년 
(26.01.01 ~ 26.12.31)</t>
    <phoneticPr fontId="2" type="noConversion"/>
  </si>
  <si>
    <t>2026년 진행현황</t>
    <phoneticPr fontId="2" type="noConversion"/>
  </si>
  <si>
    <t>자료수령</t>
    <phoneticPr fontId="2" type="noConversion"/>
  </si>
  <si>
    <t>대금수령</t>
    <phoneticPr fontId="2" type="noConversion"/>
  </si>
  <si>
    <t>일일 진행현황</t>
    <phoneticPr fontId="2" type="noConversion"/>
  </si>
  <si>
    <t>보고서 제출</t>
    <phoneticPr fontId="2" type="noConversion"/>
  </si>
  <si>
    <t>신규 자료수령</t>
    <phoneticPr fontId="2" type="noConversion"/>
  </si>
  <si>
    <t>진행중 
(보고서 제출 - 완료여부)</t>
    <phoneticPr fontId="2" type="noConversion"/>
  </si>
  <si>
    <t>누계</t>
    <phoneticPr fontId="2" type="noConversion"/>
  </si>
  <si>
    <t>세금계산서 발행</t>
    <phoneticPr fontId="2" type="noConversion"/>
  </si>
  <si>
    <t>2026년 안전동행 지원사업 원가계산 진행현황</t>
    <phoneticPr fontId="2" type="noConversion"/>
  </si>
  <si>
    <t>○ 용역개요</t>
    <phoneticPr fontId="2" type="noConversion"/>
  </si>
  <si>
    <t>주관기관</t>
    <phoneticPr fontId="2" type="noConversion"/>
  </si>
  <si>
    <t>한국산업안전보건공단</t>
    <phoneticPr fontId="2" type="noConversion"/>
  </si>
  <si>
    <t>○ 전체 진행현황</t>
    <phoneticPr fontId="2" type="noConversion"/>
  </si>
  <si>
    <t>대상</t>
    <phoneticPr fontId="2" type="noConversion"/>
  </si>
  <si>
    <t>업체명</t>
    <phoneticPr fontId="2" type="noConversion"/>
  </si>
  <si>
    <t>업무진행</t>
    <phoneticPr fontId="2" type="noConversion"/>
  </si>
  <si>
    <t>자료수령
(A)</t>
    <phoneticPr fontId="2" type="noConversion"/>
  </si>
  <si>
    <t>완료
(B)</t>
    <phoneticPr fontId="2" type="noConversion"/>
  </si>
  <si>
    <t>진행중
(C=A-B)</t>
    <phoneticPr fontId="2" type="noConversion"/>
  </si>
  <si>
    <t>청구 및 대금집행</t>
    <phoneticPr fontId="2" type="noConversion"/>
  </si>
  <si>
    <t>세금계산서 발행(D)</t>
    <phoneticPr fontId="2" type="noConversion"/>
  </si>
  <si>
    <t>대금미수령
(F=D-E)</t>
    <phoneticPr fontId="2" type="noConversion"/>
  </si>
  <si>
    <t>대금수령
(E)</t>
    <phoneticPr fontId="2" type="noConversion"/>
  </si>
  <si>
    <t>주요내용</t>
    <phoneticPr fontId="2" type="noConversion"/>
  </si>
  <si>
    <t>안전동행 지원사업 보조금 지급에 따른 원가산정</t>
    <phoneticPr fontId="2" type="noConversion"/>
  </si>
  <si>
    <t>○ 업체별 진행금액</t>
    <phoneticPr fontId="2" type="noConversion"/>
  </si>
  <si>
    <t>○ 업체별 진행건수</t>
    <phoneticPr fontId="2" type="noConversion"/>
  </si>
  <si>
    <t>금액</t>
    <phoneticPr fontId="2" type="noConversion"/>
  </si>
  <si>
    <t>입금액</t>
    <phoneticPr fontId="2" type="noConversion"/>
  </si>
  <si>
    <t>일자</t>
    <phoneticPr fontId="2" type="noConversion"/>
  </si>
  <si>
    <t>대금 수령</t>
    <phoneticPr fontId="2" type="noConversion"/>
  </si>
  <si>
    <t>○ 기타사항</t>
    <phoneticPr fontId="2" type="noConversion"/>
  </si>
  <si>
    <t>※ 보고서 작성 우선순위 : 1순위는 납품완료, 2순위 납품 예정일이 가까운 순서</t>
    <phoneticPr fontId="2" type="noConversion"/>
  </si>
  <si>
    <t>※ 동일한 사업이어도 공급기업별로 용역비 상이함으로 확인필요</t>
    <phoneticPr fontId="2" type="noConversion"/>
  </si>
  <si>
    <t>세금계산서 발행금액 
(VAT 별도)</t>
    <phoneticPr fontId="2" type="noConversion"/>
  </si>
  <si>
    <t>김나경</t>
    <phoneticPr fontId="2" type="noConversion"/>
  </si>
  <si>
    <t>이노플랜트</t>
    <phoneticPr fontId="2" type="noConversion"/>
  </si>
  <si>
    <t>대진오토포밍</t>
    <phoneticPr fontId="2" type="noConversion"/>
  </si>
  <si>
    <t>대아엘리베이터</t>
  </si>
  <si>
    <t>해성이니프</t>
  </si>
  <si>
    <t>수인더스트리</t>
  </si>
  <si>
    <t>(주)노바센스</t>
  </si>
  <si>
    <t>(주)아라아이티이엔지</t>
  </si>
  <si>
    <t>금화기계</t>
  </si>
  <si>
    <t>화천기계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</si>
</sst>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yyyy/mm/dd;@"/>
    <numFmt numFmtId="177" formatCode="mm\/dd"/>
    <numFmt numFmtId="178" formatCode="&quot;기준일 : &quot;yyyy/mm/dd"/>
  </numFmts>
  <fonts count="15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9"/>
      <color theme="1"/>
      <name val="맑은 고딕"/>
      <family val="2"/>
      <charset val="129"/>
    </font>
    <font>
      <b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3" borderId="10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41" fontId="3" fillId="0" borderId="0" xfId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1" fontId="3" fillId="0" borderId="1" xfId="1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77" fontId="5" fillId="3" borderId="1" xfId="0" applyNumberFormat="1" applyFont="1" applyFill="1" applyBorder="1" applyAlignment="1">
      <alignment horizontal="center" vertical="center"/>
    </xf>
    <xf numFmtId="0" fontId="5" fillId="3" borderId="1" xfId="0" quotePrefix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left" vertical="center"/>
    </xf>
    <xf numFmtId="0" fontId="11" fillId="3" borderId="1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41" fontId="3" fillId="3" borderId="0" xfId="1" applyFont="1" applyFill="1" applyAlignment="1">
      <alignment horizontal="center" vertical="center"/>
    </xf>
    <xf numFmtId="0" fontId="4" fillId="2" borderId="1" xfId="1" applyNumberFormat="1" applyFont="1" applyFill="1" applyBorder="1" applyAlignment="1">
      <alignment horizontal="center" vertical="center"/>
    </xf>
    <xf numFmtId="0" fontId="4" fillId="2" borderId="1" xfId="1" applyNumberFormat="1" applyFont="1" applyFill="1" applyBorder="1" applyAlignment="1">
      <alignment horizontal="center" vertical="center" wrapText="1"/>
    </xf>
    <xf numFmtId="41" fontId="11" fillId="3" borderId="6" xfId="1" applyFont="1" applyFill="1" applyBorder="1" applyAlignment="1">
      <alignment horizontal="center" vertical="center"/>
    </xf>
    <xf numFmtId="41" fontId="11" fillId="3" borderId="13" xfId="1" applyFont="1" applyFill="1" applyBorder="1" applyAlignment="1">
      <alignment horizontal="center" vertical="center"/>
    </xf>
    <xf numFmtId="41" fontId="11" fillId="3" borderId="7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178" fontId="4" fillId="3" borderId="12" xfId="0" applyNumberFormat="1" applyFont="1" applyFill="1" applyBorder="1" applyAlignment="1">
      <alignment horizontal="right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41" fontId="11" fillId="3" borderId="6" xfId="1" applyFont="1" applyFill="1" applyBorder="1" applyAlignment="1">
      <alignment horizontal="center" vertical="center"/>
    </xf>
    <xf numFmtId="41" fontId="11" fillId="3" borderId="13" xfId="1" applyFont="1" applyFill="1" applyBorder="1" applyAlignment="1">
      <alignment horizontal="center" vertical="center"/>
    </xf>
    <xf numFmtId="41" fontId="11" fillId="3" borderId="7" xfId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1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6" xfId="1" applyNumberFormat="1" applyFont="1" applyFill="1" applyBorder="1" applyAlignment="1">
      <alignment horizontal="center" vertical="center"/>
    </xf>
    <xf numFmtId="0" fontId="4" fillId="2" borderId="7" xfId="1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1019735</xdr:colOff>
          <xdr:row>3</xdr:row>
          <xdr:rowOff>0</xdr:rowOff>
        </xdr:from>
        <xdr:to>
          <xdr:col>10</xdr:col>
          <xdr:colOff>1019734</xdr:colOff>
          <xdr:row>4</xdr:row>
          <xdr:rowOff>0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D0A47FBC-AD24-F3ED-C1B2-78EDA1AB9D5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결재라인!$B$2:$F$4" spid="_x0000_s415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9222441" y="930088"/>
              <a:ext cx="3126440" cy="100853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11206</xdr:colOff>
      <xdr:row>22</xdr:row>
      <xdr:rowOff>302560</xdr:rowOff>
    </xdr:from>
    <xdr:to>
      <xdr:col>20</xdr:col>
      <xdr:colOff>11206</xdr:colOff>
      <xdr:row>27</xdr:row>
      <xdr:rowOff>302558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8C4323E-540C-C283-06EE-D474C2A22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74471" y="7519148"/>
          <a:ext cx="6376147" cy="15688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BD3F1-678B-4062-BE6A-4D7C751E9661}">
  <sheetPr>
    <tabColor rgb="FFFFFF00"/>
    <pageSetUpPr fitToPage="1"/>
  </sheetPr>
  <dimension ref="A1:K26"/>
  <sheetViews>
    <sheetView view="pageBreakPreview" zoomScale="85" zoomScaleNormal="100" zoomScaleSheetLayoutView="85" workbookViewId="0">
      <selection activeCell="C19" sqref="C19"/>
    </sheetView>
  </sheetViews>
  <sheetFormatPr defaultRowHeight="24.95" customHeight="1" x14ac:dyDescent="0.3"/>
  <cols>
    <col min="1" max="1" width="18.625" style="6" customWidth="1"/>
    <col min="2" max="2" width="20.625" style="6" customWidth="1"/>
    <col min="3" max="11" width="13.625" style="6" customWidth="1"/>
    <col min="12" max="14" width="11.625" style="6" customWidth="1"/>
    <col min="15" max="16384" width="9" style="6"/>
  </cols>
  <sheetData>
    <row r="1" spans="1:11" ht="20.100000000000001" customHeight="1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35.1" customHeight="1" x14ac:dyDescent="0.3">
      <c r="A2" s="45" t="s">
        <v>13</v>
      </c>
      <c r="B2" s="45"/>
      <c r="C2" s="45"/>
      <c r="D2" s="45"/>
      <c r="E2" s="45"/>
      <c r="F2" s="45"/>
      <c r="G2" s="45"/>
      <c r="H2" s="45"/>
      <c r="I2" s="45"/>
      <c r="J2" s="45"/>
      <c r="K2" s="45"/>
    </row>
    <row r="3" spans="1:11" ht="20.100000000000001" customHeight="1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80.099999999999994" customHeight="1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</row>
    <row r="5" spans="1:11" ht="20.100000000000001" customHeight="1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20.100000000000001" customHeight="1" x14ac:dyDescent="0.3">
      <c r="A6" s="11"/>
      <c r="B6" s="11"/>
      <c r="C6" s="11"/>
      <c r="D6" s="11"/>
      <c r="E6" s="11"/>
      <c r="F6" s="11"/>
      <c r="G6" s="11"/>
      <c r="H6" s="11"/>
      <c r="I6" s="11"/>
      <c r="J6" s="48">
        <f ca="1">TODAY()</f>
        <v>46189</v>
      </c>
      <c r="K6" s="48"/>
    </row>
    <row r="7" spans="1:11" ht="24.95" customHeight="1" x14ac:dyDescent="0.3">
      <c r="A7" s="56" t="s">
        <v>14</v>
      </c>
      <c r="B7" s="56" t="s">
        <v>1</v>
      </c>
      <c r="C7" s="49" t="s">
        <v>30</v>
      </c>
      <c r="D7" s="50"/>
      <c r="E7" s="50"/>
      <c r="F7" s="50"/>
      <c r="G7" s="51"/>
      <c r="H7" s="54" t="s">
        <v>33</v>
      </c>
      <c r="I7" s="54"/>
      <c r="J7" s="55" t="s">
        <v>36</v>
      </c>
      <c r="K7" s="56" t="s">
        <v>5</v>
      </c>
    </row>
    <row r="8" spans="1:11" ht="24.95" customHeight="1" x14ac:dyDescent="0.3">
      <c r="A8" s="56"/>
      <c r="B8" s="56"/>
      <c r="C8" s="43" t="s">
        <v>37</v>
      </c>
      <c r="D8" s="43" t="s">
        <v>31</v>
      </c>
      <c r="E8" s="43" t="s">
        <v>34</v>
      </c>
      <c r="F8" s="43" t="s">
        <v>38</v>
      </c>
      <c r="G8" s="43" t="s">
        <v>32</v>
      </c>
      <c r="H8" s="43" t="s">
        <v>34</v>
      </c>
      <c r="I8" s="43" t="s">
        <v>35</v>
      </c>
      <c r="J8" s="55"/>
      <c r="K8" s="56"/>
    </row>
    <row r="9" spans="1:11" ht="24.95" customHeight="1" x14ac:dyDescent="0.3">
      <c r="A9" s="53" t="s">
        <v>29</v>
      </c>
      <c r="B9" s="17" t="str">
        <f>진행현황!O5</f>
        <v>이노플랜트</v>
      </c>
      <c r="C9" s="44">
        <f>COUNTIF(진행현황!$B:$B,일일현황!B9)</f>
        <v>0</v>
      </c>
      <c r="D9" s="44">
        <f>COUNTIFS(진행현황!$B:$B,일일현황!B9,진행현황!$E:$E,"&lt;&gt;")</f>
        <v>0</v>
      </c>
      <c r="E9" s="44">
        <f>COUNTIFS(진행현황!$B:$B,일일현황!B9,진행현황!$F:$F,"&lt;&gt;")</f>
        <v>0</v>
      </c>
      <c r="F9" s="44">
        <f>COUNTIFS(진행현황!$B:$B,일일현황!B9,진행현황!$G:$G,"&lt;&gt;")</f>
        <v>0</v>
      </c>
      <c r="G9" s="44">
        <f>COUNTIFS(진행현황!$B:$B,일일현황!B9,진행현황!$H:$H,"&lt;&gt;")</f>
        <v>0</v>
      </c>
      <c r="H9" s="44">
        <f ca="1">COUNTIFS(진행현황!$B:$B,B9,진행현황!$F:$F,TODAY())</f>
        <v>0</v>
      </c>
      <c r="I9" s="44">
        <f ca="1">COUNTIFS(진행현황!$B:$B,B9,진행현황!$E:$E,TODAY())</f>
        <v>0</v>
      </c>
      <c r="J9" s="44">
        <f>D9-E9</f>
        <v>0</v>
      </c>
      <c r="K9" s="17"/>
    </row>
    <row r="10" spans="1:11" ht="24.95" customHeight="1" x14ac:dyDescent="0.3">
      <c r="A10" s="53"/>
      <c r="B10" s="17" t="str">
        <f>진행현황!O6</f>
        <v>대진오토포밍</v>
      </c>
      <c r="C10" s="44">
        <f>COUNTIF(진행현황!$B:$B,일일현황!B10)</f>
        <v>0</v>
      </c>
      <c r="D10" s="44">
        <f>COUNTIFS(진행현황!$B:$B,일일현황!B10,진행현황!$E:$E,"&lt;&gt;")</f>
        <v>0</v>
      </c>
      <c r="E10" s="44">
        <f>COUNTIFS(진행현황!$B:$B,일일현황!B10,진행현황!$F:$F,"&lt;&gt;")</f>
        <v>0</v>
      </c>
      <c r="F10" s="44">
        <f>COUNTIFS(진행현황!$B:$B,일일현황!B10,진행현황!$G:$G,"&lt;&gt;")</f>
        <v>0</v>
      </c>
      <c r="G10" s="44">
        <f>COUNTIFS(진행현황!$B:$B,일일현황!B10,진행현황!$H:$H,"&lt;&gt;")</f>
        <v>0</v>
      </c>
      <c r="H10" s="44">
        <f ca="1">COUNTIFS(진행현황!$B:$B,B10,진행현황!$F:$F,TODAY())</f>
        <v>0</v>
      </c>
      <c r="I10" s="44">
        <f ca="1">COUNTIFS(진행현황!$B:$B,B10,진행현황!$E:$E,TODAY())</f>
        <v>0</v>
      </c>
      <c r="J10" s="44">
        <f t="shared" ref="J10:J18" si="0">D10-E10</f>
        <v>0</v>
      </c>
      <c r="K10" s="17"/>
    </row>
    <row r="11" spans="1:11" ht="24.95" customHeight="1" x14ac:dyDescent="0.3">
      <c r="A11" s="53"/>
      <c r="B11" s="17" t="str">
        <f>진행현황!O7</f>
        <v>대아엘리베이터</v>
      </c>
      <c r="C11" s="44">
        <f>COUNTIF(진행현황!$B:$B,일일현황!B11)</f>
        <v>0</v>
      </c>
      <c r="D11" s="44">
        <f>COUNTIFS(진행현황!$B:$B,일일현황!B11,진행현황!$E:$E,"&lt;&gt;")</f>
        <v>0</v>
      </c>
      <c r="E11" s="44">
        <f>COUNTIFS(진행현황!$B:$B,일일현황!B11,진행현황!$F:$F,"&lt;&gt;")</f>
        <v>0</v>
      </c>
      <c r="F11" s="44">
        <f>COUNTIFS(진행현황!$B:$B,일일현황!B11,진행현황!$G:$G,"&lt;&gt;")</f>
        <v>0</v>
      </c>
      <c r="G11" s="44">
        <f>COUNTIFS(진행현황!$B:$B,일일현황!B11,진행현황!$H:$H,"&lt;&gt;")</f>
        <v>0</v>
      </c>
      <c r="H11" s="44">
        <f ca="1">COUNTIFS(진행현황!$B:$B,B11,진행현황!$F:$F,TODAY())</f>
        <v>0</v>
      </c>
      <c r="I11" s="44">
        <f ca="1">COUNTIFS(진행현황!$B:$B,B11,진행현황!$E:$E,TODAY())</f>
        <v>0</v>
      </c>
      <c r="J11" s="44">
        <f t="shared" si="0"/>
        <v>0</v>
      </c>
      <c r="K11" s="17"/>
    </row>
    <row r="12" spans="1:11" ht="24.95" customHeight="1" x14ac:dyDescent="0.3">
      <c r="A12" s="53"/>
      <c r="B12" s="17" t="str">
        <f>진행현황!O8</f>
        <v>해성이니프</v>
      </c>
      <c r="C12" s="44">
        <f>COUNTIF(진행현황!$B:$B,일일현황!B12)</f>
        <v>0</v>
      </c>
      <c r="D12" s="44">
        <f>COUNTIFS(진행현황!$B:$B,일일현황!B12,진행현황!$E:$E,"&lt;&gt;")</f>
        <v>0</v>
      </c>
      <c r="E12" s="44">
        <f>COUNTIFS(진행현황!$B:$B,일일현황!B12,진행현황!$F:$F,"&lt;&gt;")</f>
        <v>0</v>
      </c>
      <c r="F12" s="44">
        <f>COUNTIFS(진행현황!$B:$B,일일현황!B12,진행현황!$G:$G,"&lt;&gt;")</f>
        <v>0</v>
      </c>
      <c r="G12" s="44">
        <f>COUNTIFS(진행현황!$B:$B,일일현황!B12,진행현황!$H:$H,"&lt;&gt;")</f>
        <v>0</v>
      </c>
      <c r="H12" s="44">
        <f ca="1">COUNTIFS(진행현황!$B:$B,B12,진행현황!$F:$F,TODAY())</f>
        <v>0</v>
      </c>
      <c r="I12" s="44">
        <f ca="1">COUNTIFS(진행현황!$B:$B,B12,진행현황!$E:$E,TODAY())</f>
        <v>0</v>
      </c>
      <c r="J12" s="44">
        <f t="shared" si="0"/>
        <v>0</v>
      </c>
      <c r="K12" s="17"/>
    </row>
    <row r="13" spans="1:11" ht="24.95" customHeight="1" x14ac:dyDescent="0.3">
      <c r="A13" s="53"/>
      <c r="B13" s="17" t="str">
        <f>진행현황!O9</f>
        <v>수인더스트리</v>
      </c>
      <c r="C13" s="44">
        <f>COUNTIF(진행현황!$B:$B,일일현황!B13)</f>
        <v>0</v>
      </c>
      <c r="D13" s="44">
        <f>COUNTIFS(진행현황!$B:$B,일일현황!B13,진행현황!$E:$E,"&lt;&gt;")</f>
        <v>0</v>
      </c>
      <c r="E13" s="44">
        <f>COUNTIFS(진행현황!$B:$B,일일현황!B13,진행현황!$F:$F,"&lt;&gt;")</f>
        <v>0</v>
      </c>
      <c r="F13" s="44">
        <f>COUNTIFS(진행현황!$B:$B,일일현황!B13,진행현황!$G:$G,"&lt;&gt;")</f>
        <v>0</v>
      </c>
      <c r="G13" s="44">
        <f>COUNTIFS(진행현황!$B:$B,일일현황!B13,진행현황!$H:$H,"&lt;&gt;")</f>
        <v>0</v>
      </c>
      <c r="H13" s="44">
        <f ca="1">COUNTIFS(진행현황!$B:$B,B13,진행현황!$F:$F,TODAY())</f>
        <v>0</v>
      </c>
      <c r="I13" s="44">
        <f ca="1">COUNTIFS(진행현황!$B:$B,B13,진행현황!$E:$E,TODAY())</f>
        <v>0</v>
      </c>
      <c r="J13" s="44">
        <f t="shared" si="0"/>
        <v>0</v>
      </c>
      <c r="K13" s="17"/>
    </row>
    <row r="14" spans="1:11" ht="24.95" customHeight="1" x14ac:dyDescent="0.3">
      <c r="A14" s="53"/>
      <c r="B14" s="17" t="str">
        <f>진행현황!O10</f>
        <v>㈜디케이디엔씨</v>
      </c>
      <c r="C14" s="44">
        <f>COUNTIF(진행현황!$B:$B,일일현황!B14)</f>
        <v>0</v>
      </c>
      <c r="D14" s="44">
        <f>COUNTIFS(진행현황!$B:$B,일일현황!B14,진행현황!$E:$E,"&lt;&gt;")</f>
        <v>0</v>
      </c>
      <c r="E14" s="44">
        <f>COUNTIFS(진행현황!$B:$B,일일현황!B14,진행현황!$F:$F,"&lt;&gt;")</f>
        <v>0</v>
      </c>
      <c r="F14" s="44">
        <f>COUNTIFS(진행현황!$B:$B,일일현황!B14,진행현황!$G:$G,"&lt;&gt;")</f>
        <v>0</v>
      </c>
      <c r="G14" s="44">
        <f>COUNTIFS(진행현황!$B:$B,일일현황!B14,진행현황!$H:$H,"&lt;&gt;")</f>
        <v>0</v>
      </c>
      <c r="H14" s="44">
        <f ca="1">COUNTIFS(진행현황!$B:$B,B14,진행현황!$F:$F,TODAY())</f>
        <v>0</v>
      </c>
      <c r="I14" s="44">
        <f ca="1">COUNTIFS(진행현황!$B:$B,B14,진행현황!$E:$E,TODAY())</f>
        <v>0</v>
      </c>
      <c r="J14" s="44">
        <f t="shared" si="0"/>
        <v>0</v>
      </c>
      <c r="K14" s="17"/>
    </row>
    <row r="15" spans="1:11" ht="24.95" customHeight="1" x14ac:dyDescent="0.3">
      <c r="A15" s="53"/>
      <c r="B15" s="17" t="str">
        <f>진행현황!O11</f>
        <v>(주)노바센스</v>
      </c>
      <c r="C15" s="44">
        <f>COUNTIF(진행현황!$B:$B,일일현황!B15)</f>
        <v>0</v>
      </c>
      <c r="D15" s="44">
        <f>COUNTIFS(진행현황!$B:$B,일일현황!B15,진행현황!$E:$E,"&lt;&gt;")</f>
        <v>0</v>
      </c>
      <c r="E15" s="44">
        <f>COUNTIFS(진행현황!$B:$B,일일현황!B15,진행현황!$F:$F,"&lt;&gt;")</f>
        <v>0</v>
      </c>
      <c r="F15" s="44">
        <f>COUNTIFS(진행현황!$B:$B,일일현황!B15,진행현황!$G:$G,"&lt;&gt;")</f>
        <v>0</v>
      </c>
      <c r="G15" s="44">
        <f>COUNTIFS(진행현황!$B:$B,일일현황!B15,진행현황!$H:$H,"&lt;&gt;")</f>
        <v>0</v>
      </c>
      <c r="H15" s="44">
        <f ca="1">COUNTIFS(진행현황!$B:$B,B15,진행현황!$F:$F,TODAY())</f>
        <v>0</v>
      </c>
      <c r="I15" s="44">
        <f ca="1">COUNTIFS(진행현황!$B:$B,B15,진행현황!$E:$E,TODAY())</f>
        <v>0</v>
      </c>
      <c r="J15" s="44">
        <f t="shared" si="0"/>
        <v>0</v>
      </c>
      <c r="K15" s="17"/>
    </row>
    <row r="16" spans="1:11" ht="24.95" customHeight="1" x14ac:dyDescent="0.3">
      <c r="A16" s="53"/>
      <c r="B16" s="17" t="str">
        <f>진행현황!O12</f>
        <v>(주)아라아이티이엔지</v>
      </c>
      <c r="C16" s="44">
        <f>COUNTIF(진행현황!$B:$B,일일현황!B16)</f>
        <v>0</v>
      </c>
      <c r="D16" s="44">
        <f>COUNTIFS(진행현황!$B:$B,일일현황!B16,진행현황!$E:$E,"&lt;&gt;")</f>
        <v>0</v>
      </c>
      <c r="E16" s="44">
        <f>COUNTIFS(진행현황!$B:$B,일일현황!B16,진행현황!$F:$F,"&lt;&gt;")</f>
        <v>0</v>
      </c>
      <c r="F16" s="44">
        <f>COUNTIFS(진행현황!$B:$B,일일현황!B16,진행현황!$G:$G,"&lt;&gt;")</f>
        <v>0</v>
      </c>
      <c r="G16" s="44">
        <f>COUNTIFS(진행현황!$B:$B,일일현황!B16,진행현황!$H:$H,"&lt;&gt;")</f>
        <v>0</v>
      </c>
      <c r="H16" s="44">
        <f ca="1">COUNTIFS(진행현황!$B:$B,B16,진행현황!$F:$F,TODAY())</f>
        <v>0</v>
      </c>
      <c r="I16" s="44">
        <f ca="1">COUNTIFS(진행현황!$B:$B,B16,진행현황!$E:$E,TODAY())</f>
        <v>0</v>
      </c>
      <c r="J16" s="44">
        <f t="shared" si="0"/>
        <v>0</v>
      </c>
      <c r="K16" s="17"/>
    </row>
    <row r="17" spans="1:11" ht="24.95" customHeight="1" x14ac:dyDescent="0.3">
      <c r="A17" s="53"/>
      <c r="B17" s="17" t="str">
        <f>진행현황!O13</f>
        <v>금화기계</v>
      </c>
      <c r="C17" s="44">
        <f>COUNTIF(진행현황!$B:$B,일일현황!B17)</f>
        <v>0</v>
      </c>
      <c r="D17" s="44">
        <f>COUNTIFS(진행현황!$B:$B,일일현황!B17,진행현황!$E:$E,"&lt;&gt;")</f>
        <v>0</v>
      </c>
      <c r="E17" s="44">
        <f>COUNTIFS(진행현황!$B:$B,일일현황!B17,진행현황!$F:$F,"&lt;&gt;")</f>
        <v>0</v>
      </c>
      <c r="F17" s="44">
        <f>COUNTIFS(진행현황!$B:$B,일일현황!B17,진행현황!$G:$G,"&lt;&gt;")</f>
        <v>0</v>
      </c>
      <c r="G17" s="44">
        <f>COUNTIFS(진행현황!$B:$B,일일현황!B17,진행현황!$H:$H,"&lt;&gt;")</f>
        <v>0</v>
      </c>
      <c r="H17" s="44">
        <f ca="1">COUNTIFS(진행현황!$B:$B,B17,진행현황!$F:$F,TODAY())</f>
        <v>0</v>
      </c>
      <c r="I17" s="44">
        <f ca="1">COUNTIFS(진행현황!$B:$B,B17,진행현황!$E:$E,TODAY())</f>
        <v>0</v>
      </c>
      <c r="J17" s="44">
        <f t="shared" ref="J17:J18" si="1">D17-E17</f>
        <v>0</v>
      </c>
      <c r="K17" s="17"/>
    </row>
    <row r="18" spans="1:11" ht="24.95" customHeight="1" x14ac:dyDescent="0.3">
      <c r="A18" s="53"/>
      <c r="B18" s="17" t="str">
        <f>진행현황!O14</f>
        <v>화천기계</v>
      </c>
      <c r="C18" s="44">
        <f>COUNTIF(진행현황!$B:$B,일일현황!B18)</f>
        <v>0</v>
      </c>
      <c r="D18" s="44">
        <f>COUNTIFS(진행현황!$B:$B,일일현황!B18,진행현황!$E:$E,"&lt;&gt;")</f>
        <v>0</v>
      </c>
      <c r="E18" s="44">
        <f>COUNTIFS(진행현황!$B:$B,일일현황!B18,진행현황!$F:$F,"&lt;&gt;")</f>
        <v>0</v>
      </c>
      <c r="F18" s="44">
        <f>COUNTIFS(진행현황!$B:$B,일일현황!B18,진행현황!$G:$G,"&lt;&gt;")</f>
        <v>0</v>
      </c>
      <c r="G18" s="44">
        <f>COUNTIFS(진행현황!$B:$B,일일현황!B18,진행현황!$H:$H,"&lt;&gt;")</f>
        <v>0</v>
      </c>
      <c r="H18" s="44">
        <f ca="1">COUNTIFS(진행현황!$B:$B,B18,진행현황!$F:$F,TODAY())</f>
        <v>0</v>
      </c>
      <c r="I18" s="44">
        <f ca="1">COUNTIFS(진행현황!$B:$B,B18,진행현황!$E:$E,TODAY())</f>
        <v>0</v>
      </c>
      <c r="J18" s="44">
        <f t="shared" si="1"/>
        <v>0</v>
      </c>
      <c r="K18" s="17"/>
    </row>
    <row r="19" spans="1:11" ht="24.95" customHeight="1" x14ac:dyDescent="0.3">
      <c r="A19" s="52" t="s">
        <v>28</v>
      </c>
      <c r="B19" s="52"/>
      <c r="C19" s="44">
        <f>SUM(C9:C18)</f>
        <v>0</v>
      </c>
      <c r="D19" s="44">
        <f t="shared" ref="D19" si="2">SUM(D9:D18)</f>
        <v>0</v>
      </c>
      <c r="E19" s="44">
        <f t="shared" ref="E19" si="3">SUM(E9:E18)</f>
        <v>0</v>
      </c>
      <c r="F19" s="44">
        <f t="shared" ref="F19" si="4">SUM(F9:F18)</f>
        <v>0</v>
      </c>
      <c r="G19" s="44">
        <f t="shared" ref="G19" si="5">SUM(G9:G18)</f>
        <v>0</v>
      </c>
      <c r="H19" s="44">
        <f t="shared" ref="H19" ca="1" si="6">SUM(H9:H18)</f>
        <v>0</v>
      </c>
      <c r="I19" s="44">
        <f t="shared" ref="I19" ca="1" si="7">SUM(I9:I18)</f>
        <v>0</v>
      </c>
      <c r="J19" s="44">
        <f t="shared" ref="J19" si="8">SUM(J9:J18)</f>
        <v>0</v>
      </c>
      <c r="K19" s="17"/>
    </row>
    <row r="20" spans="1:11" ht="24.95" customHeight="1" thickBot="1" x14ac:dyDescent="0.3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t="24.95" customHeight="1" x14ac:dyDescent="0.3">
      <c r="A21" s="46" t="s">
        <v>15</v>
      </c>
      <c r="B21" s="9" t="s">
        <v>16</v>
      </c>
      <c r="C21" s="12"/>
      <c r="D21" s="12"/>
      <c r="E21" s="12"/>
      <c r="F21" s="12"/>
      <c r="G21" s="12"/>
      <c r="H21" s="12"/>
      <c r="I21" s="12"/>
      <c r="J21" s="12"/>
      <c r="K21" s="13"/>
    </row>
    <row r="22" spans="1:11" ht="24.95" customHeight="1" thickBot="1" x14ac:dyDescent="0.35">
      <c r="A22" s="47"/>
      <c r="B22" s="10" t="s">
        <v>16</v>
      </c>
      <c r="C22" s="14"/>
      <c r="D22" s="14"/>
      <c r="E22" s="14"/>
      <c r="F22" s="14"/>
      <c r="G22" s="14"/>
      <c r="H22" s="14"/>
      <c r="I22" s="14"/>
      <c r="J22" s="14"/>
      <c r="K22" s="15"/>
    </row>
    <row r="23" spans="1:11" ht="24.95" customHeight="1" x14ac:dyDescent="0.3">
      <c r="A23" s="46" t="s">
        <v>17</v>
      </c>
      <c r="B23" s="9" t="s">
        <v>16</v>
      </c>
      <c r="C23" s="12"/>
      <c r="D23" s="12"/>
      <c r="E23" s="12"/>
      <c r="F23" s="12"/>
      <c r="G23" s="12"/>
      <c r="H23" s="12"/>
      <c r="I23" s="12"/>
      <c r="J23" s="12"/>
      <c r="K23" s="13"/>
    </row>
    <row r="24" spans="1:11" ht="24.95" customHeight="1" thickBot="1" x14ac:dyDescent="0.35">
      <c r="A24" s="47"/>
      <c r="B24" s="10" t="s">
        <v>16</v>
      </c>
      <c r="C24" s="14"/>
      <c r="D24" s="14"/>
      <c r="E24" s="14"/>
      <c r="F24" s="14"/>
      <c r="G24" s="14"/>
      <c r="H24" s="14"/>
      <c r="I24" s="14"/>
      <c r="J24" s="14"/>
      <c r="K24" s="15"/>
    </row>
    <row r="25" spans="1:11" ht="24.95" customHeight="1" x14ac:dyDescent="0.3">
      <c r="A25" s="46" t="s">
        <v>18</v>
      </c>
      <c r="B25" s="9" t="s">
        <v>16</v>
      </c>
      <c r="C25" s="12"/>
      <c r="D25" s="12"/>
      <c r="E25" s="12"/>
      <c r="F25" s="12"/>
      <c r="G25" s="12"/>
      <c r="H25" s="12"/>
      <c r="I25" s="12"/>
      <c r="J25" s="12"/>
      <c r="K25" s="13"/>
    </row>
    <row r="26" spans="1:11" ht="24.95" customHeight="1" thickBot="1" x14ac:dyDescent="0.35">
      <c r="A26" s="47"/>
      <c r="B26" s="10" t="s">
        <v>16</v>
      </c>
      <c r="C26" s="14"/>
      <c r="D26" s="14"/>
      <c r="E26" s="14"/>
      <c r="F26" s="14"/>
      <c r="G26" s="14"/>
      <c r="H26" s="14"/>
      <c r="I26" s="14"/>
      <c r="J26" s="14"/>
      <c r="K26" s="15"/>
    </row>
  </sheetData>
  <mergeCells count="13">
    <mergeCell ref="A2:K2"/>
    <mergeCell ref="A21:A22"/>
    <mergeCell ref="A23:A24"/>
    <mergeCell ref="A25:A26"/>
    <mergeCell ref="J6:K6"/>
    <mergeCell ref="C7:G7"/>
    <mergeCell ref="A19:B19"/>
    <mergeCell ref="A9:A18"/>
    <mergeCell ref="H7:I7"/>
    <mergeCell ref="J7:J8"/>
    <mergeCell ref="K7:K8"/>
    <mergeCell ref="A7:A8"/>
    <mergeCell ref="B7:B8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9" fitToWidth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61171-FDCD-442B-A8CA-2A50A2508E8F}">
  <sheetPr>
    <pageSetUpPr fitToPage="1"/>
  </sheetPr>
  <dimension ref="A1:H44"/>
  <sheetViews>
    <sheetView tabSelected="1" view="pageBreakPreview" zoomScale="85" zoomScaleNormal="100" zoomScaleSheetLayoutView="85" workbookViewId="0">
      <selection activeCell="A11" sqref="A11:B11"/>
    </sheetView>
  </sheetViews>
  <sheetFormatPr defaultRowHeight="24.95" customHeight="1" x14ac:dyDescent="0.3"/>
  <cols>
    <col min="1" max="1" width="5.625" style="29" customWidth="1"/>
    <col min="2" max="2" width="20.625" style="29" customWidth="1"/>
    <col min="3" max="8" width="11.625" style="29" customWidth="1"/>
    <col min="9" max="16384" width="9" style="29"/>
  </cols>
  <sheetData>
    <row r="1" spans="1:8" ht="20.100000000000001" customHeight="1" x14ac:dyDescent="0.3">
      <c r="A1" s="32"/>
      <c r="B1" s="32"/>
      <c r="C1" s="32"/>
      <c r="D1" s="32"/>
      <c r="E1" s="32"/>
      <c r="F1" s="32"/>
      <c r="G1" s="32"/>
      <c r="H1" s="32"/>
    </row>
    <row r="2" spans="1:8" ht="24.95" customHeight="1" x14ac:dyDescent="0.3">
      <c r="A2" s="58" t="s">
        <v>39</v>
      </c>
      <c r="B2" s="58"/>
      <c r="C2" s="58"/>
      <c r="D2" s="58"/>
      <c r="E2" s="58"/>
      <c r="F2" s="58"/>
      <c r="G2" s="58"/>
      <c r="H2" s="58"/>
    </row>
    <row r="3" spans="1:8" ht="20.100000000000001" customHeight="1" x14ac:dyDescent="0.3">
      <c r="A3" s="32"/>
      <c r="B3" s="32"/>
      <c r="C3" s="32"/>
      <c r="D3" s="32"/>
      <c r="E3" s="32"/>
      <c r="F3" s="32"/>
      <c r="G3" s="32"/>
      <c r="H3" s="32"/>
    </row>
    <row r="4" spans="1:8" ht="24.95" customHeight="1" x14ac:dyDescent="0.3">
      <c r="A4" s="33" t="s">
        <v>40</v>
      </c>
      <c r="B4" s="32"/>
      <c r="C4" s="32"/>
      <c r="D4" s="32"/>
      <c r="E4" s="32"/>
      <c r="F4" s="32"/>
      <c r="G4" s="32"/>
      <c r="H4" s="32"/>
    </row>
    <row r="5" spans="1:8" ht="24.95" customHeight="1" x14ac:dyDescent="0.3">
      <c r="A5" s="57" t="s">
        <v>41</v>
      </c>
      <c r="B5" s="57"/>
      <c r="C5" s="57" t="s">
        <v>54</v>
      </c>
      <c r="D5" s="57"/>
      <c r="E5" s="57"/>
      <c r="F5" s="57"/>
      <c r="G5" s="57"/>
      <c r="H5" s="30" t="s">
        <v>5</v>
      </c>
    </row>
    <row r="6" spans="1:8" ht="24.95" customHeight="1" x14ac:dyDescent="0.3">
      <c r="A6" s="63" t="s">
        <v>42</v>
      </c>
      <c r="B6" s="63"/>
      <c r="C6" s="63" t="s">
        <v>55</v>
      </c>
      <c r="D6" s="63"/>
      <c r="E6" s="63"/>
      <c r="F6" s="63"/>
      <c r="G6" s="63"/>
      <c r="H6" s="34"/>
    </row>
    <row r="7" spans="1:8" ht="24.95" customHeight="1" x14ac:dyDescent="0.3">
      <c r="A7" s="32"/>
      <c r="B7" s="32"/>
      <c r="C7" s="32"/>
      <c r="D7" s="32"/>
      <c r="E7" s="32"/>
      <c r="F7" s="32"/>
      <c r="G7" s="32"/>
      <c r="H7" s="32"/>
    </row>
    <row r="8" spans="1:8" ht="24.95" customHeight="1" x14ac:dyDescent="0.3">
      <c r="A8" s="33" t="s">
        <v>43</v>
      </c>
      <c r="B8" s="32"/>
      <c r="C8" s="32"/>
      <c r="D8" s="32"/>
      <c r="E8" s="32"/>
      <c r="F8" s="32"/>
      <c r="G8" s="32"/>
      <c r="H8" s="32"/>
    </row>
    <row r="9" spans="1:8" ht="24.95" customHeight="1" x14ac:dyDescent="0.3">
      <c r="A9" s="57" t="s">
        <v>44</v>
      </c>
      <c r="B9" s="57"/>
      <c r="C9" s="57" t="s">
        <v>46</v>
      </c>
      <c r="D9" s="57"/>
      <c r="E9" s="57"/>
      <c r="F9" s="57" t="s">
        <v>50</v>
      </c>
      <c r="G9" s="57"/>
      <c r="H9" s="57"/>
    </row>
    <row r="10" spans="1:8" ht="24.95" customHeight="1" x14ac:dyDescent="0.3">
      <c r="A10" s="57"/>
      <c r="B10" s="57"/>
      <c r="C10" s="31" t="s">
        <v>47</v>
      </c>
      <c r="D10" s="31" t="s">
        <v>48</v>
      </c>
      <c r="E10" s="31" t="s">
        <v>49</v>
      </c>
      <c r="F10" s="31" t="s">
        <v>51</v>
      </c>
      <c r="G10" s="31" t="s">
        <v>53</v>
      </c>
      <c r="H10" s="31" t="s">
        <v>52</v>
      </c>
    </row>
    <row r="11" spans="1:8" ht="24.95" customHeight="1" x14ac:dyDescent="0.3">
      <c r="A11" s="63" t="str">
        <f>A25&amp;"개 업체"</f>
        <v>10개 업체</v>
      </c>
      <c r="B11" s="63"/>
      <c r="C11" s="34">
        <f>C26</f>
        <v>0</v>
      </c>
      <c r="D11" s="34">
        <f t="shared" ref="D11:H11" si="0">D26</f>
        <v>0</v>
      </c>
      <c r="E11" s="34">
        <f t="shared" si="0"/>
        <v>0</v>
      </c>
      <c r="F11" s="34">
        <f t="shared" si="0"/>
        <v>0</v>
      </c>
      <c r="G11" s="34">
        <f t="shared" si="0"/>
        <v>0</v>
      </c>
      <c r="H11" s="34">
        <f t="shared" si="0"/>
        <v>0</v>
      </c>
    </row>
    <row r="12" spans="1:8" ht="24.95" customHeight="1" x14ac:dyDescent="0.3">
      <c r="A12" s="32"/>
      <c r="B12" s="32"/>
      <c r="C12" s="32"/>
      <c r="D12" s="32"/>
      <c r="E12" s="32"/>
      <c r="F12" s="32"/>
      <c r="G12" s="32"/>
      <c r="H12" s="32"/>
    </row>
    <row r="13" spans="1:8" ht="24.95" customHeight="1" x14ac:dyDescent="0.3">
      <c r="A13" s="33" t="s">
        <v>57</v>
      </c>
      <c r="B13" s="32"/>
      <c r="C13" s="32"/>
      <c r="D13" s="32"/>
      <c r="E13" s="32"/>
      <c r="F13" s="32"/>
      <c r="G13" s="32"/>
      <c r="H13" s="32"/>
    </row>
    <row r="14" spans="1:8" ht="24.95" customHeight="1" x14ac:dyDescent="0.3">
      <c r="A14" s="57" t="s">
        <v>0</v>
      </c>
      <c r="B14" s="57" t="s">
        <v>45</v>
      </c>
      <c r="C14" s="57" t="s">
        <v>46</v>
      </c>
      <c r="D14" s="57"/>
      <c r="E14" s="57"/>
      <c r="F14" s="57" t="s">
        <v>50</v>
      </c>
      <c r="G14" s="57"/>
      <c r="H14" s="57"/>
    </row>
    <row r="15" spans="1:8" ht="24.95" customHeight="1" x14ac:dyDescent="0.3">
      <c r="A15" s="57"/>
      <c r="B15" s="57"/>
      <c r="C15" s="31" t="s">
        <v>47</v>
      </c>
      <c r="D15" s="31" t="s">
        <v>48</v>
      </c>
      <c r="E15" s="31" t="s">
        <v>49</v>
      </c>
      <c r="F15" s="31" t="s">
        <v>51</v>
      </c>
      <c r="G15" s="31" t="s">
        <v>53</v>
      </c>
      <c r="H15" s="31" t="s">
        <v>52</v>
      </c>
    </row>
    <row r="16" spans="1:8" ht="24.95" customHeight="1" x14ac:dyDescent="0.3">
      <c r="A16" s="34">
        <v>1</v>
      </c>
      <c r="B16" s="34" t="str">
        <f>진행현황!O5</f>
        <v>이노플랜트</v>
      </c>
      <c r="C16" s="34">
        <f>COUNTIFS(진행현황!$B:$B,B16,진행현황!$E:$E,"&lt;&gt;")</f>
        <v>0</v>
      </c>
      <c r="D16" s="34">
        <f>COUNTIFS(진행현황!$B:$B,B16,진행현황!$F:$F,"&lt;&gt;")</f>
        <v>0</v>
      </c>
      <c r="E16" s="34">
        <f>C16-D16</f>
        <v>0</v>
      </c>
      <c r="F16" s="34">
        <f>COUNTIFS(진행현황!$B:$B,B16,진행현황!$G:$G,"&lt;&gt;")</f>
        <v>0</v>
      </c>
      <c r="G16" s="34">
        <f>COUNTIFS(진행현황!$B:$B,B16,진행현황!$H:$H,"&lt;&gt;")</f>
        <v>0</v>
      </c>
      <c r="H16" s="34">
        <f>F16-G16</f>
        <v>0</v>
      </c>
    </row>
    <row r="17" spans="1:8" ht="24.95" customHeight="1" x14ac:dyDescent="0.3">
      <c r="A17" s="34">
        <f>A16+1</f>
        <v>2</v>
      </c>
      <c r="B17" s="34" t="str">
        <f>진행현황!O6</f>
        <v>대진오토포밍</v>
      </c>
      <c r="C17" s="34">
        <f>COUNTIFS(진행현황!$B:$B,B17,진행현황!$E:$E,"&lt;&gt;")</f>
        <v>0</v>
      </c>
      <c r="D17" s="34">
        <f>COUNTIFS(진행현황!$B:$B,B17,진행현황!$F:$F,"&lt;&gt;")</f>
        <v>0</v>
      </c>
      <c r="E17" s="34">
        <f t="shared" ref="E17:E25" si="1">C17-D17</f>
        <v>0</v>
      </c>
      <c r="F17" s="34">
        <f>COUNTIFS(진행현황!$B:$B,B17,진행현황!$G:$G,"&lt;&gt;")</f>
        <v>0</v>
      </c>
      <c r="G17" s="34">
        <f>COUNTIFS(진행현황!$B:$B,B17,진행현황!$H:$H,"&lt;&gt;")</f>
        <v>0</v>
      </c>
      <c r="H17" s="34">
        <f t="shared" ref="H17:H25" si="2">F17-G17</f>
        <v>0</v>
      </c>
    </row>
    <row r="18" spans="1:8" ht="24.95" customHeight="1" x14ac:dyDescent="0.3">
      <c r="A18" s="34">
        <f t="shared" ref="A18:A25" si="3">A17+1</f>
        <v>3</v>
      </c>
      <c r="B18" s="34" t="str">
        <f>진행현황!O7</f>
        <v>대아엘리베이터</v>
      </c>
      <c r="C18" s="34">
        <f>COUNTIFS(진행현황!$B:$B,B18,진행현황!$E:$E,"&lt;&gt;")</f>
        <v>0</v>
      </c>
      <c r="D18" s="34">
        <f>COUNTIFS(진행현황!$B:$B,B18,진행현황!$F:$F,"&lt;&gt;")</f>
        <v>0</v>
      </c>
      <c r="E18" s="34">
        <f t="shared" si="1"/>
        <v>0</v>
      </c>
      <c r="F18" s="34">
        <f>COUNTIFS(진행현황!$B:$B,B18,진행현황!$G:$G,"&lt;&gt;")</f>
        <v>0</v>
      </c>
      <c r="G18" s="34">
        <f>COUNTIFS(진행현황!$B:$B,B18,진행현황!$H:$H,"&lt;&gt;")</f>
        <v>0</v>
      </c>
      <c r="H18" s="34">
        <f t="shared" si="2"/>
        <v>0</v>
      </c>
    </row>
    <row r="19" spans="1:8" ht="24.95" customHeight="1" x14ac:dyDescent="0.3">
      <c r="A19" s="34">
        <f t="shared" si="3"/>
        <v>4</v>
      </c>
      <c r="B19" s="34" t="str">
        <f>진행현황!O8</f>
        <v>해성이니프</v>
      </c>
      <c r="C19" s="34">
        <f>COUNTIFS(진행현황!$B:$B,B19,진행현황!$E:$E,"&lt;&gt;")</f>
        <v>0</v>
      </c>
      <c r="D19" s="34">
        <f>COUNTIFS(진행현황!$B:$B,B19,진행현황!$F:$F,"&lt;&gt;")</f>
        <v>0</v>
      </c>
      <c r="E19" s="34">
        <f t="shared" si="1"/>
        <v>0</v>
      </c>
      <c r="F19" s="34">
        <f>COUNTIFS(진행현황!$B:$B,B19,진행현황!$G:$G,"&lt;&gt;")</f>
        <v>0</v>
      </c>
      <c r="G19" s="34">
        <f>COUNTIFS(진행현황!$B:$B,B19,진행현황!$H:$H,"&lt;&gt;")</f>
        <v>0</v>
      </c>
      <c r="H19" s="34">
        <f t="shared" si="2"/>
        <v>0</v>
      </c>
    </row>
    <row r="20" spans="1:8" ht="24.95" customHeight="1" x14ac:dyDescent="0.3">
      <c r="A20" s="34">
        <f t="shared" si="3"/>
        <v>5</v>
      </c>
      <c r="B20" s="34" t="str">
        <f>진행현황!O9</f>
        <v>수인더스트리</v>
      </c>
      <c r="C20" s="34">
        <f>COUNTIFS(진행현황!$B:$B,B20,진행현황!$E:$E,"&lt;&gt;")</f>
        <v>0</v>
      </c>
      <c r="D20" s="34">
        <f>COUNTIFS(진행현황!$B:$B,B20,진행현황!$F:$F,"&lt;&gt;")</f>
        <v>0</v>
      </c>
      <c r="E20" s="34">
        <f t="shared" si="1"/>
        <v>0</v>
      </c>
      <c r="F20" s="34">
        <f>COUNTIFS(진행현황!$B:$B,B20,진행현황!$G:$G,"&lt;&gt;")</f>
        <v>0</v>
      </c>
      <c r="G20" s="34">
        <f>COUNTIFS(진행현황!$B:$B,B20,진행현황!$H:$H,"&lt;&gt;")</f>
        <v>0</v>
      </c>
      <c r="H20" s="34">
        <f t="shared" si="2"/>
        <v>0</v>
      </c>
    </row>
    <row r="21" spans="1:8" ht="24.95" customHeight="1" x14ac:dyDescent="0.3">
      <c r="A21" s="34">
        <f t="shared" si="3"/>
        <v>6</v>
      </c>
      <c r="B21" s="34" t="str">
        <f>진행현황!O10</f>
        <v>㈜디케이디엔씨</v>
      </c>
      <c r="C21" s="34">
        <f>COUNTIFS(진행현황!$B:$B,B21,진행현황!$E:$E,"&lt;&gt;")</f>
        <v>0</v>
      </c>
      <c r="D21" s="34">
        <f>COUNTIFS(진행현황!$B:$B,B21,진행현황!$F:$F,"&lt;&gt;")</f>
        <v>0</v>
      </c>
      <c r="E21" s="34">
        <f t="shared" si="1"/>
        <v>0</v>
      </c>
      <c r="F21" s="34">
        <f>COUNTIFS(진행현황!$B:$B,B21,진행현황!$G:$G,"&lt;&gt;")</f>
        <v>0</v>
      </c>
      <c r="G21" s="34">
        <f>COUNTIFS(진행현황!$B:$B,B21,진행현황!$H:$H,"&lt;&gt;")</f>
        <v>0</v>
      </c>
      <c r="H21" s="34">
        <f t="shared" si="2"/>
        <v>0</v>
      </c>
    </row>
    <row r="22" spans="1:8" ht="24.95" customHeight="1" x14ac:dyDescent="0.3">
      <c r="A22" s="34">
        <f t="shared" si="3"/>
        <v>7</v>
      </c>
      <c r="B22" s="34" t="str">
        <f>진행현황!O11</f>
        <v>(주)노바센스</v>
      </c>
      <c r="C22" s="34">
        <f>COUNTIFS(진행현황!$B:$B,B22,진행현황!$E:$E,"&lt;&gt;")</f>
        <v>0</v>
      </c>
      <c r="D22" s="34">
        <f>COUNTIFS(진행현황!$B:$B,B22,진행현황!$F:$F,"&lt;&gt;")</f>
        <v>0</v>
      </c>
      <c r="E22" s="34">
        <f t="shared" si="1"/>
        <v>0</v>
      </c>
      <c r="F22" s="34">
        <f>COUNTIFS(진행현황!$B:$B,B22,진행현황!$G:$G,"&lt;&gt;")</f>
        <v>0</v>
      </c>
      <c r="G22" s="34">
        <f>COUNTIFS(진행현황!$B:$B,B22,진행현황!$H:$H,"&lt;&gt;")</f>
        <v>0</v>
      </c>
      <c r="H22" s="34">
        <f t="shared" si="2"/>
        <v>0</v>
      </c>
    </row>
    <row r="23" spans="1:8" ht="24.95" customHeight="1" x14ac:dyDescent="0.3">
      <c r="A23" s="34">
        <f t="shared" si="3"/>
        <v>8</v>
      </c>
      <c r="B23" s="34" t="str">
        <f>진행현황!O12</f>
        <v>(주)아라아이티이엔지</v>
      </c>
      <c r="C23" s="34">
        <f>COUNTIFS(진행현황!$B:$B,B23,진행현황!$E:$E,"&lt;&gt;")</f>
        <v>0</v>
      </c>
      <c r="D23" s="34">
        <f>COUNTIFS(진행현황!$B:$B,B23,진행현황!$F:$F,"&lt;&gt;")</f>
        <v>0</v>
      </c>
      <c r="E23" s="34">
        <f t="shared" si="1"/>
        <v>0</v>
      </c>
      <c r="F23" s="34">
        <f>COUNTIFS(진행현황!$B:$B,B23,진행현황!$G:$G,"&lt;&gt;")</f>
        <v>0</v>
      </c>
      <c r="G23" s="34">
        <f>COUNTIFS(진행현황!$B:$B,B23,진행현황!$H:$H,"&lt;&gt;")</f>
        <v>0</v>
      </c>
      <c r="H23" s="34">
        <f t="shared" si="2"/>
        <v>0</v>
      </c>
    </row>
    <row r="24" spans="1:8" ht="24.95" customHeight="1" x14ac:dyDescent="0.3">
      <c r="A24" s="34">
        <f t="shared" si="3"/>
        <v>9</v>
      </c>
      <c r="B24" s="34" t="str">
        <f>진행현황!O13</f>
        <v>금화기계</v>
      </c>
      <c r="C24" s="34">
        <f>COUNTIFS(진행현황!$B:$B,B24,진행현황!$E:$E,"&lt;&gt;")</f>
        <v>0</v>
      </c>
      <c r="D24" s="34">
        <f>COUNTIFS(진행현황!$B:$B,B24,진행현황!$F:$F,"&lt;&gt;")</f>
        <v>0</v>
      </c>
      <c r="E24" s="34">
        <f t="shared" ref="E24" si="4">C24-D24</f>
        <v>0</v>
      </c>
      <c r="F24" s="34">
        <f>COUNTIFS(진행현황!$B:$B,B24,진행현황!$G:$G,"&lt;&gt;")</f>
        <v>0</v>
      </c>
      <c r="G24" s="34">
        <f>COUNTIFS(진행현황!$B:$B,B24,진행현황!$H:$H,"&lt;&gt;")</f>
        <v>0</v>
      </c>
      <c r="H24" s="34">
        <f t="shared" ref="H24" si="5">F24-G24</f>
        <v>0</v>
      </c>
    </row>
    <row r="25" spans="1:8" ht="24.95" customHeight="1" x14ac:dyDescent="0.3">
      <c r="A25" s="34">
        <f t="shared" si="3"/>
        <v>10</v>
      </c>
      <c r="B25" s="34" t="str">
        <f>진행현황!O14</f>
        <v>화천기계</v>
      </c>
      <c r="C25" s="34">
        <f>COUNTIFS(진행현황!$B:$B,B25,진행현황!$E:$E,"&lt;&gt;")</f>
        <v>0</v>
      </c>
      <c r="D25" s="34">
        <f>COUNTIFS(진행현황!$B:$B,B25,진행현황!$F:$F,"&lt;&gt;")</f>
        <v>0</v>
      </c>
      <c r="E25" s="34">
        <f t="shared" si="1"/>
        <v>0</v>
      </c>
      <c r="F25" s="34">
        <f>COUNTIFS(진행현황!$B:$B,B25,진행현황!$G:$G,"&lt;&gt;")</f>
        <v>0</v>
      </c>
      <c r="G25" s="34">
        <f>COUNTIFS(진행현황!$B:$B,B25,진행현황!$H:$H,"&lt;&gt;")</f>
        <v>0</v>
      </c>
      <c r="H25" s="34">
        <f t="shared" si="2"/>
        <v>0</v>
      </c>
    </row>
    <row r="26" spans="1:8" ht="24.95" customHeight="1" x14ac:dyDescent="0.3">
      <c r="A26" s="63" t="s">
        <v>28</v>
      </c>
      <c r="B26" s="63"/>
      <c r="C26" s="34">
        <f>SUM(C16:C25)</f>
        <v>0</v>
      </c>
      <c r="D26" s="34">
        <f t="shared" ref="D26:H26" si="6">SUM(D16:D25)</f>
        <v>0</v>
      </c>
      <c r="E26" s="34">
        <f t="shared" si="6"/>
        <v>0</v>
      </c>
      <c r="F26" s="34">
        <f t="shared" si="6"/>
        <v>0</v>
      </c>
      <c r="G26" s="34">
        <f t="shared" si="6"/>
        <v>0</v>
      </c>
      <c r="H26" s="34">
        <f t="shared" si="6"/>
        <v>0</v>
      </c>
    </row>
    <row r="27" spans="1:8" ht="24.95" customHeight="1" x14ac:dyDescent="0.3">
      <c r="A27" s="32"/>
      <c r="B27" s="32"/>
      <c r="C27" s="32"/>
      <c r="D27" s="32"/>
      <c r="E27" s="32"/>
      <c r="F27" s="32"/>
      <c r="G27" s="32"/>
      <c r="H27" s="32"/>
    </row>
    <row r="28" spans="1:8" ht="24.95" customHeight="1" x14ac:dyDescent="0.3">
      <c r="A28" s="33" t="s">
        <v>56</v>
      </c>
      <c r="B28" s="32"/>
      <c r="C28" s="32"/>
      <c r="D28" s="32"/>
      <c r="E28" s="32"/>
      <c r="F28" s="32"/>
      <c r="G28" s="32"/>
      <c r="H28" s="32"/>
    </row>
    <row r="29" spans="1:8" ht="24.95" customHeight="1" x14ac:dyDescent="0.3">
      <c r="A29" s="35" t="s">
        <v>0</v>
      </c>
      <c r="B29" s="35" t="s">
        <v>45</v>
      </c>
      <c r="C29" s="59" t="s">
        <v>65</v>
      </c>
      <c r="D29" s="57"/>
      <c r="E29" s="57"/>
      <c r="F29" s="57" t="s">
        <v>59</v>
      </c>
      <c r="G29" s="57"/>
      <c r="H29" s="57"/>
    </row>
    <row r="30" spans="1:8" ht="24.95" customHeight="1" x14ac:dyDescent="0.3">
      <c r="A30" s="34">
        <v>1</v>
      </c>
      <c r="B30" s="34" t="str">
        <f>진행현황!O5</f>
        <v>이노플랜트</v>
      </c>
      <c r="C30" s="60">
        <f>SUMIF(진행현황!$B:$B,집계!B30,진행현황!$I:$I)</f>
        <v>0</v>
      </c>
      <c r="D30" s="61"/>
      <c r="E30" s="62"/>
      <c r="F30" s="60">
        <f>SUMIF(진행현황!$B:$B,집계!B30,진행현황!$J:$J)</f>
        <v>0</v>
      </c>
      <c r="G30" s="61"/>
      <c r="H30" s="62"/>
    </row>
    <row r="31" spans="1:8" ht="24.95" customHeight="1" x14ac:dyDescent="0.3">
      <c r="A31" s="34">
        <f>A30+1</f>
        <v>2</v>
      </c>
      <c r="B31" s="34" t="str">
        <f>진행현황!O6</f>
        <v>대진오토포밍</v>
      </c>
      <c r="C31" s="60">
        <f>SUMIF(진행현황!B:B,집계!B31,진행현황!I:I)</f>
        <v>0</v>
      </c>
      <c r="D31" s="61"/>
      <c r="E31" s="62"/>
      <c r="F31" s="60">
        <f>SUMIF(진행현황!$B:$B,집계!B31,진행현황!$J:$J)</f>
        <v>0</v>
      </c>
      <c r="G31" s="61"/>
      <c r="H31" s="62"/>
    </row>
    <row r="32" spans="1:8" ht="24.95" customHeight="1" x14ac:dyDescent="0.3">
      <c r="A32" s="34">
        <f t="shared" ref="A32:A39" si="7">A31+1</f>
        <v>3</v>
      </c>
      <c r="B32" s="34" t="str">
        <f>진행현황!O7</f>
        <v>대아엘리베이터</v>
      </c>
      <c r="C32" s="60">
        <f>SUMIF(진행현황!B:B,집계!B32,진행현황!I:I)</f>
        <v>0</v>
      </c>
      <c r="D32" s="61"/>
      <c r="E32" s="62"/>
      <c r="F32" s="60">
        <f>SUMIF(진행현황!$B:$B,집계!B32,진행현황!$J:$J)</f>
        <v>0</v>
      </c>
      <c r="G32" s="61"/>
      <c r="H32" s="62"/>
    </row>
    <row r="33" spans="1:8" ht="24.95" customHeight="1" x14ac:dyDescent="0.3">
      <c r="A33" s="34">
        <f t="shared" si="7"/>
        <v>4</v>
      </c>
      <c r="B33" s="34" t="str">
        <f>진행현황!O8</f>
        <v>해성이니프</v>
      </c>
      <c r="C33" s="60">
        <f>SUMIF(진행현황!B:B,집계!B33,진행현황!I:I)</f>
        <v>0</v>
      </c>
      <c r="D33" s="61"/>
      <c r="E33" s="62"/>
      <c r="F33" s="60">
        <f>SUMIF(진행현황!$B:$B,집계!B33,진행현황!$J:$J)</f>
        <v>0</v>
      </c>
      <c r="G33" s="61"/>
      <c r="H33" s="62"/>
    </row>
    <row r="34" spans="1:8" ht="24.95" customHeight="1" x14ac:dyDescent="0.3">
      <c r="A34" s="34">
        <f t="shared" si="7"/>
        <v>5</v>
      </c>
      <c r="B34" s="34" t="str">
        <f>진행현황!O9</f>
        <v>수인더스트리</v>
      </c>
      <c r="C34" s="60">
        <f>SUMIF(진행현황!B:B,집계!B34,진행현황!I:I)</f>
        <v>0</v>
      </c>
      <c r="D34" s="61"/>
      <c r="E34" s="62"/>
      <c r="F34" s="60">
        <f>SUMIF(진행현황!$B:$B,집계!B34,진행현황!$J:$J)</f>
        <v>0</v>
      </c>
      <c r="G34" s="61"/>
      <c r="H34" s="62"/>
    </row>
    <row r="35" spans="1:8" ht="24.95" customHeight="1" x14ac:dyDescent="0.3">
      <c r="A35" s="34">
        <f t="shared" si="7"/>
        <v>6</v>
      </c>
      <c r="B35" s="34" t="str">
        <f>진행현황!O10</f>
        <v>㈜디케이디엔씨</v>
      </c>
      <c r="C35" s="60">
        <f>SUMIF(진행현황!B:B,집계!B35,진행현황!I:I)</f>
        <v>0</v>
      </c>
      <c r="D35" s="61"/>
      <c r="E35" s="62"/>
      <c r="F35" s="60">
        <f>SUMIF(진행현황!$B:$B,집계!B35,진행현황!$J:$J)</f>
        <v>0</v>
      </c>
      <c r="G35" s="61"/>
      <c r="H35" s="62"/>
    </row>
    <row r="36" spans="1:8" ht="24.95" customHeight="1" x14ac:dyDescent="0.3">
      <c r="A36" s="34">
        <f t="shared" si="7"/>
        <v>7</v>
      </c>
      <c r="B36" s="34" t="str">
        <f>진행현황!O11</f>
        <v>(주)노바센스</v>
      </c>
      <c r="C36" s="60">
        <f>SUMIF(진행현황!B:B,집계!B36,진행현황!I:I)</f>
        <v>0</v>
      </c>
      <c r="D36" s="61"/>
      <c r="E36" s="62"/>
      <c r="F36" s="60">
        <f>SUMIF(진행현황!$B:$B,집계!B36,진행현황!$J:$J)</f>
        <v>0</v>
      </c>
      <c r="G36" s="61"/>
      <c r="H36" s="62"/>
    </row>
    <row r="37" spans="1:8" ht="24.95" customHeight="1" x14ac:dyDescent="0.3">
      <c r="A37" s="34">
        <f t="shared" si="7"/>
        <v>8</v>
      </c>
      <c r="B37" s="34" t="str">
        <f>진행현황!O12</f>
        <v>(주)아라아이티이엔지</v>
      </c>
      <c r="C37" s="60">
        <f>SUMIF(진행현황!B:B,집계!B37,진행현황!I:I)</f>
        <v>0</v>
      </c>
      <c r="D37" s="61"/>
      <c r="E37" s="62"/>
      <c r="F37" s="60">
        <f>SUMIF(진행현황!$B:$B,집계!B37,진행현황!$J:$J)</f>
        <v>0</v>
      </c>
      <c r="G37" s="61"/>
      <c r="H37" s="62"/>
    </row>
    <row r="38" spans="1:8" ht="24.95" customHeight="1" x14ac:dyDescent="0.3">
      <c r="A38" s="34">
        <f t="shared" si="7"/>
        <v>9</v>
      </c>
      <c r="B38" s="34" t="str">
        <f>진행현황!O13</f>
        <v>금화기계</v>
      </c>
      <c r="C38" s="40"/>
      <c r="D38" s="41"/>
      <c r="E38" s="42"/>
      <c r="F38" s="40"/>
      <c r="G38" s="41"/>
      <c r="H38" s="42"/>
    </row>
    <row r="39" spans="1:8" ht="24.95" customHeight="1" x14ac:dyDescent="0.3">
      <c r="A39" s="34">
        <f t="shared" si="7"/>
        <v>10</v>
      </c>
      <c r="B39" s="34" t="str">
        <f>진행현황!O14</f>
        <v>화천기계</v>
      </c>
      <c r="C39" s="60">
        <f>SUMIF(진행현황!B:B,집계!B39,진행현황!I:I)</f>
        <v>0</v>
      </c>
      <c r="D39" s="61"/>
      <c r="E39" s="62"/>
      <c r="F39" s="60">
        <f>SUMIF(진행현황!$B:$B,집계!B39,진행현황!$J:$J)</f>
        <v>0</v>
      </c>
      <c r="G39" s="61"/>
      <c r="H39" s="62"/>
    </row>
    <row r="40" spans="1:8" ht="24.95" customHeight="1" x14ac:dyDescent="0.3">
      <c r="A40" s="64" t="s">
        <v>28</v>
      </c>
      <c r="B40" s="64"/>
      <c r="C40" s="65">
        <f>SUM(C30:E39)</f>
        <v>0</v>
      </c>
      <c r="D40" s="66"/>
      <c r="E40" s="66"/>
      <c r="F40" s="65">
        <f>SUM(F30:H39)</f>
        <v>0</v>
      </c>
      <c r="G40" s="66"/>
      <c r="H40" s="66"/>
    </row>
    <row r="41" spans="1:8" ht="24.95" customHeight="1" x14ac:dyDescent="0.3">
      <c r="A41" s="32"/>
      <c r="B41" s="32"/>
      <c r="C41" s="32"/>
      <c r="D41" s="32"/>
      <c r="E41" s="32"/>
      <c r="F41" s="32"/>
      <c r="G41" s="32"/>
      <c r="H41" s="32"/>
    </row>
    <row r="42" spans="1:8" ht="24.95" customHeight="1" x14ac:dyDescent="0.3">
      <c r="A42" s="33" t="s">
        <v>62</v>
      </c>
      <c r="B42" s="32"/>
      <c r="C42" s="32"/>
      <c r="D42" s="32"/>
      <c r="E42" s="32"/>
      <c r="F42" s="32"/>
      <c r="G42" s="32"/>
      <c r="H42" s="32"/>
    </row>
    <row r="43" spans="1:8" ht="24.95" customHeight="1" x14ac:dyDescent="0.3">
      <c r="A43" s="36" t="s">
        <v>63</v>
      </c>
      <c r="B43" s="32"/>
      <c r="C43" s="32"/>
      <c r="D43" s="32"/>
      <c r="E43" s="32"/>
      <c r="F43" s="32"/>
      <c r="G43" s="32"/>
      <c r="H43" s="32"/>
    </row>
    <row r="44" spans="1:8" ht="24.95" customHeight="1" x14ac:dyDescent="0.3">
      <c r="A44" s="36" t="s">
        <v>64</v>
      </c>
      <c r="B44" s="32"/>
      <c r="C44" s="32"/>
      <c r="D44" s="32"/>
      <c r="E44" s="32"/>
      <c r="F44" s="32"/>
      <c r="G44" s="32"/>
      <c r="H44" s="32"/>
    </row>
  </sheetData>
  <mergeCells count="37">
    <mergeCell ref="F39:H39"/>
    <mergeCell ref="F37:H37"/>
    <mergeCell ref="F36:H36"/>
    <mergeCell ref="A40:B40"/>
    <mergeCell ref="C31:E31"/>
    <mergeCell ref="F31:H31"/>
    <mergeCell ref="C32:E32"/>
    <mergeCell ref="F32:H32"/>
    <mergeCell ref="C33:E33"/>
    <mergeCell ref="C34:E34"/>
    <mergeCell ref="C35:E35"/>
    <mergeCell ref="C36:E36"/>
    <mergeCell ref="C37:E37"/>
    <mergeCell ref="F35:H35"/>
    <mergeCell ref="F34:H34"/>
    <mergeCell ref="F33:H33"/>
    <mergeCell ref="C39:E39"/>
    <mergeCell ref="C40:E40"/>
    <mergeCell ref="F40:H40"/>
    <mergeCell ref="C30:E30"/>
    <mergeCell ref="F30:H30"/>
    <mergeCell ref="A9:B10"/>
    <mergeCell ref="A11:B11"/>
    <mergeCell ref="A5:B5"/>
    <mergeCell ref="A6:B6"/>
    <mergeCell ref="C5:G5"/>
    <mergeCell ref="C6:G6"/>
    <mergeCell ref="F14:H14"/>
    <mergeCell ref="C14:E14"/>
    <mergeCell ref="B14:B15"/>
    <mergeCell ref="A14:A15"/>
    <mergeCell ref="A26:B26"/>
    <mergeCell ref="C9:E9"/>
    <mergeCell ref="F9:H9"/>
    <mergeCell ref="A2:H2"/>
    <mergeCell ref="C29:E29"/>
    <mergeCell ref="F29:H29"/>
  </mergeCells>
  <phoneticPr fontId="2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83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5639-769B-4BA7-A368-9FDD479EF377}">
  <sheetPr>
    <tabColor rgb="FFFFFF00"/>
    <pageSetUpPr fitToPage="1"/>
  </sheetPr>
  <dimension ref="A1:Q104"/>
  <sheetViews>
    <sheetView view="pageBreakPreview" zoomScale="85" zoomScaleNormal="100" zoomScaleSheetLayoutView="85" workbookViewId="0">
      <pane ySplit="4" topLeftCell="A5" activePane="bottomLeft" state="frozen"/>
      <selection pane="bottomLeft" activeCell="O6" sqref="O6"/>
    </sheetView>
  </sheetViews>
  <sheetFormatPr defaultRowHeight="24.95" customHeight="1" x14ac:dyDescent="0.3"/>
  <cols>
    <col min="1" max="1" width="5.625" style="2" customWidth="1"/>
    <col min="2" max="3" width="18.625" style="2" customWidth="1"/>
    <col min="4" max="4" width="30.625" style="2" customWidth="1"/>
    <col min="5" max="8" width="14.625" style="2" customWidth="1"/>
    <col min="9" max="10" width="14.625" style="18" customWidth="1"/>
    <col min="11" max="13" width="10.625" style="2" customWidth="1"/>
    <col min="14" max="14" width="9" style="2"/>
    <col min="15" max="15" width="15.625" style="7" customWidth="1"/>
    <col min="16" max="16" width="30.625" style="7" customWidth="1"/>
    <col min="17" max="17" width="10.625" style="2" customWidth="1"/>
    <col min="18" max="16384" width="9" style="2"/>
  </cols>
  <sheetData>
    <row r="1" spans="1:17" ht="39.950000000000003" customHeight="1" x14ac:dyDescent="0.3">
      <c r="A1" s="58" t="s">
        <v>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1:17" ht="24.95" customHeight="1" x14ac:dyDescent="0.3">
      <c r="A2" s="21"/>
      <c r="B2" s="21"/>
      <c r="C2" s="21"/>
      <c r="D2" s="21"/>
      <c r="E2" s="21"/>
      <c r="F2" s="21"/>
      <c r="G2" s="21"/>
      <c r="H2" s="21"/>
      <c r="I2" s="37"/>
      <c r="J2" s="37"/>
      <c r="K2" s="21"/>
      <c r="L2" s="21"/>
      <c r="M2" s="21"/>
    </row>
    <row r="3" spans="1:17" ht="24.95" customHeight="1" x14ac:dyDescent="0.3">
      <c r="A3" s="72" t="s">
        <v>0</v>
      </c>
      <c r="B3" s="72" t="s">
        <v>1</v>
      </c>
      <c r="C3" s="72" t="s">
        <v>2</v>
      </c>
      <c r="D3" s="72" t="s">
        <v>21</v>
      </c>
      <c r="E3" s="67" t="s">
        <v>60</v>
      </c>
      <c r="F3" s="68"/>
      <c r="G3" s="68"/>
      <c r="H3" s="69"/>
      <c r="I3" s="70" t="s">
        <v>58</v>
      </c>
      <c r="J3" s="71"/>
      <c r="K3" s="72" t="s">
        <v>3</v>
      </c>
      <c r="L3" s="72" t="s">
        <v>4</v>
      </c>
      <c r="M3" s="72" t="s">
        <v>5</v>
      </c>
    </row>
    <row r="4" spans="1:17" ht="35.1" customHeight="1" x14ac:dyDescent="0.3">
      <c r="A4" s="73"/>
      <c r="B4" s="73"/>
      <c r="C4" s="73"/>
      <c r="D4" s="73"/>
      <c r="E4" s="4" t="s">
        <v>31</v>
      </c>
      <c r="F4" s="4" t="s">
        <v>34</v>
      </c>
      <c r="G4" s="4" t="s">
        <v>38</v>
      </c>
      <c r="H4" s="4" t="s">
        <v>61</v>
      </c>
      <c r="I4" s="39" t="s">
        <v>20</v>
      </c>
      <c r="J4" s="38" t="s">
        <v>59</v>
      </c>
      <c r="K4" s="73"/>
      <c r="L4" s="73"/>
      <c r="M4" s="73"/>
      <c r="O4" s="8" t="s">
        <v>1</v>
      </c>
      <c r="P4" s="8" t="s">
        <v>21</v>
      </c>
      <c r="Q4" s="19" t="s">
        <v>20</v>
      </c>
    </row>
    <row r="5" spans="1:17" ht="24.95" customHeight="1" x14ac:dyDescent="0.3">
      <c r="A5" s="3">
        <v>1</v>
      </c>
      <c r="B5" s="22"/>
      <c r="C5" s="3"/>
      <c r="D5" s="3"/>
      <c r="E5" s="23"/>
      <c r="F5" s="23"/>
      <c r="G5" s="23"/>
      <c r="H5" s="5"/>
      <c r="I5" s="20"/>
      <c r="J5" s="20"/>
      <c r="K5" s="3"/>
      <c r="L5" s="3"/>
      <c r="M5" s="3"/>
      <c r="O5" s="8" t="s">
        <v>67</v>
      </c>
      <c r="P5" s="8" t="s">
        <v>22</v>
      </c>
      <c r="Q5" s="20"/>
    </row>
    <row r="6" spans="1:17" ht="24.95" customHeight="1" x14ac:dyDescent="0.3">
      <c r="A6" s="3">
        <f>A5+1</f>
        <v>2</v>
      </c>
      <c r="B6" s="22"/>
      <c r="C6" s="3"/>
      <c r="D6" s="3"/>
      <c r="E6" s="23"/>
      <c r="F6" s="23"/>
      <c r="G6" s="23"/>
      <c r="H6" s="5"/>
      <c r="I6" s="20"/>
      <c r="J6" s="20"/>
      <c r="K6" s="3"/>
      <c r="L6" s="3"/>
      <c r="M6" s="3"/>
      <c r="O6" s="8" t="s">
        <v>68</v>
      </c>
      <c r="P6" s="8" t="s">
        <v>23</v>
      </c>
      <c r="Q6" s="20"/>
    </row>
    <row r="7" spans="1:17" ht="24.95" customHeight="1" x14ac:dyDescent="0.3">
      <c r="A7" s="3">
        <f t="shared" ref="A7:A24" si="0">A6+1</f>
        <v>3</v>
      </c>
      <c r="B7" s="22"/>
      <c r="C7" s="3"/>
      <c r="D7" s="3"/>
      <c r="E7" s="23"/>
      <c r="F7" s="23"/>
      <c r="G7" s="23"/>
      <c r="H7" s="5"/>
      <c r="I7" s="20"/>
      <c r="J7" s="20"/>
      <c r="K7" s="3"/>
      <c r="L7" s="3"/>
      <c r="M7" s="3"/>
      <c r="O7" s="8" t="s">
        <v>69</v>
      </c>
      <c r="P7" s="8" t="s">
        <v>24</v>
      </c>
      <c r="Q7" s="20"/>
    </row>
    <row r="8" spans="1:17" ht="24.95" customHeight="1" x14ac:dyDescent="0.3">
      <c r="A8" s="3">
        <f t="shared" si="0"/>
        <v>4</v>
      </c>
      <c r="B8" s="22"/>
      <c r="C8" s="3"/>
      <c r="D8" s="3"/>
      <c r="E8" s="23"/>
      <c r="F8" s="23"/>
      <c r="G8" s="23"/>
      <c r="H8" s="5"/>
      <c r="I8" s="20"/>
      <c r="J8" s="20"/>
      <c r="K8" s="3"/>
      <c r="L8" s="3"/>
      <c r="M8" s="3"/>
      <c r="O8" s="8" t="s">
        <v>70</v>
      </c>
      <c r="P8" s="8" t="s">
        <v>25</v>
      </c>
      <c r="Q8" s="3"/>
    </row>
    <row r="9" spans="1:17" ht="24.95" customHeight="1" x14ac:dyDescent="0.3">
      <c r="A9" s="3">
        <f t="shared" si="0"/>
        <v>5</v>
      </c>
      <c r="B9" s="22"/>
      <c r="C9" s="3"/>
      <c r="D9" s="3"/>
      <c r="E9" s="23"/>
      <c r="F9" s="23"/>
      <c r="G9" s="23"/>
      <c r="H9" s="5"/>
      <c r="I9" s="20"/>
      <c r="J9" s="20"/>
      <c r="K9" s="3"/>
      <c r="L9" s="3"/>
      <c r="M9" s="3"/>
      <c r="O9" s="8" t="s">
        <v>71</v>
      </c>
      <c r="P9" s="8" t="s">
        <v>26</v>
      </c>
      <c r="Q9" s="3"/>
    </row>
    <row r="10" spans="1:17" ht="24.95" customHeight="1" x14ac:dyDescent="0.3">
      <c r="A10" s="3">
        <f t="shared" si="0"/>
        <v>6</v>
      </c>
      <c r="B10" s="22"/>
      <c r="C10" s="3"/>
      <c r="D10" s="3"/>
      <c r="E10" s="23"/>
      <c r="F10" s="23"/>
      <c r="G10" s="23"/>
      <c r="H10" s="5"/>
      <c r="I10" s="20"/>
      <c r="J10" s="20"/>
      <c r="K10" s="3"/>
      <c r="L10" s="3"/>
      <c r="M10" s="3"/>
      <c r="O10" s="8" t="s">
        <v>19</v>
      </c>
      <c r="P10" s="8" t="s">
        <v>27</v>
      </c>
      <c r="Q10" s="3"/>
    </row>
    <row r="11" spans="1:17" ht="24.95" customHeight="1" x14ac:dyDescent="0.3">
      <c r="A11" s="3">
        <f t="shared" si="0"/>
        <v>7</v>
      </c>
      <c r="B11" s="3"/>
      <c r="C11" s="3"/>
      <c r="D11" s="3"/>
      <c r="E11" s="5"/>
      <c r="F11" s="5"/>
      <c r="G11" s="5"/>
      <c r="H11" s="5"/>
      <c r="I11" s="20"/>
      <c r="J11" s="20"/>
      <c r="K11" s="3"/>
      <c r="L11" s="3"/>
      <c r="M11" s="3"/>
      <c r="O11" s="8" t="s">
        <v>72</v>
      </c>
      <c r="P11" s="8"/>
      <c r="Q11" s="3"/>
    </row>
    <row r="12" spans="1:17" ht="24.95" customHeight="1" x14ac:dyDescent="0.3">
      <c r="A12" s="3">
        <f t="shared" si="0"/>
        <v>8</v>
      </c>
      <c r="B12" s="3"/>
      <c r="C12" s="3"/>
      <c r="D12" s="3"/>
      <c r="E12" s="5"/>
      <c r="F12" s="5"/>
      <c r="G12" s="5"/>
      <c r="H12" s="5"/>
      <c r="I12" s="20"/>
      <c r="J12" s="20"/>
      <c r="K12" s="3"/>
      <c r="L12" s="3"/>
      <c r="M12" s="3"/>
      <c r="O12" s="8" t="s">
        <v>73</v>
      </c>
      <c r="P12" s="8"/>
      <c r="Q12" s="3"/>
    </row>
    <row r="13" spans="1:17" ht="24.95" customHeight="1" x14ac:dyDescent="0.3">
      <c r="A13" s="3">
        <f t="shared" si="0"/>
        <v>9</v>
      </c>
      <c r="B13" s="3"/>
      <c r="C13" s="3"/>
      <c r="D13" s="3"/>
      <c r="E13" s="5"/>
      <c r="F13" s="5"/>
      <c r="G13" s="5"/>
      <c r="H13" s="5"/>
      <c r="I13" s="20"/>
      <c r="J13" s="20"/>
      <c r="K13" s="3"/>
      <c r="L13" s="3"/>
      <c r="M13" s="3"/>
      <c r="O13" s="8" t="s">
        <v>74</v>
      </c>
      <c r="P13" s="8"/>
      <c r="Q13" s="3"/>
    </row>
    <row r="14" spans="1:17" ht="24.95" customHeight="1" x14ac:dyDescent="0.3">
      <c r="A14" s="3">
        <f t="shared" si="0"/>
        <v>10</v>
      </c>
      <c r="B14" s="3"/>
      <c r="C14" s="3"/>
      <c r="D14" s="3"/>
      <c r="E14" s="5"/>
      <c r="F14" s="5"/>
      <c r="G14" s="5"/>
      <c r="H14" s="5"/>
      <c r="I14" s="20"/>
      <c r="J14" s="20"/>
      <c r="K14" s="3"/>
      <c r="L14" s="3"/>
      <c r="M14" s="3"/>
      <c r="O14" s="8" t="s">
        <v>75</v>
      </c>
      <c r="P14" s="8"/>
      <c r="Q14" s="3"/>
    </row>
    <row r="15" spans="1:17" ht="24.95" customHeight="1" x14ac:dyDescent="0.3">
      <c r="A15" s="3">
        <f t="shared" si="0"/>
        <v>11</v>
      </c>
      <c r="B15" s="3"/>
      <c r="C15" s="3"/>
      <c r="D15" s="3"/>
      <c r="E15" s="5"/>
      <c r="F15" s="5"/>
      <c r="G15" s="5"/>
      <c r="H15" s="5"/>
      <c r="I15" s="20"/>
      <c r="J15" s="20"/>
      <c r="K15" s="3"/>
      <c r="L15" s="3"/>
      <c r="M15" s="3"/>
      <c r="O15" s="76"/>
      <c r="P15" s="76"/>
      <c r="Q15" s="77"/>
    </row>
    <row r="16" spans="1:17" ht="24.95" customHeight="1" x14ac:dyDescent="0.3">
      <c r="A16" s="3">
        <f>A15+1</f>
        <v>12</v>
      </c>
      <c r="B16" s="3"/>
      <c r="C16" s="3"/>
      <c r="D16" s="3"/>
      <c r="E16" s="5"/>
      <c r="F16" s="5"/>
      <c r="G16" s="5"/>
      <c r="H16" s="5"/>
      <c r="I16" s="20"/>
      <c r="J16" s="20"/>
      <c r="K16" s="3"/>
      <c r="L16" s="3"/>
      <c r="M16" s="3"/>
      <c r="O16" s="76"/>
      <c r="P16" s="76"/>
      <c r="Q16" s="77"/>
    </row>
    <row r="17" spans="1:13" ht="24.95" customHeight="1" x14ac:dyDescent="0.3">
      <c r="A17" s="3">
        <f t="shared" si="0"/>
        <v>13</v>
      </c>
      <c r="B17" s="3"/>
      <c r="C17" s="3"/>
      <c r="D17" s="3"/>
      <c r="E17" s="5"/>
      <c r="F17" s="5"/>
      <c r="G17" s="5"/>
      <c r="H17" s="5"/>
      <c r="I17" s="20"/>
      <c r="J17" s="20"/>
      <c r="K17" s="3"/>
      <c r="L17" s="3"/>
      <c r="M17" s="3"/>
    </row>
    <row r="18" spans="1:13" ht="24.95" customHeight="1" x14ac:dyDescent="0.3">
      <c r="A18" s="3">
        <f t="shared" si="0"/>
        <v>14</v>
      </c>
      <c r="B18" s="3"/>
      <c r="C18" s="3"/>
      <c r="D18" s="3"/>
      <c r="E18" s="5"/>
      <c r="F18" s="5"/>
      <c r="G18" s="5"/>
      <c r="H18" s="5"/>
      <c r="I18" s="20"/>
      <c r="J18" s="20"/>
      <c r="K18" s="3"/>
      <c r="L18" s="3"/>
      <c r="M18" s="3"/>
    </row>
    <row r="19" spans="1:13" ht="24.95" customHeight="1" x14ac:dyDescent="0.3">
      <c r="A19" s="3">
        <f t="shared" si="0"/>
        <v>15</v>
      </c>
      <c r="B19" s="3"/>
      <c r="C19" s="3"/>
      <c r="D19" s="3"/>
      <c r="E19" s="5"/>
      <c r="F19" s="5"/>
      <c r="G19" s="5"/>
      <c r="H19" s="5"/>
      <c r="I19" s="20"/>
      <c r="J19" s="20"/>
      <c r="K19" s="3"/>
      <c r="L19" s="3"/>
      <c r="M19" s="3"/>
    </row>
    <row r="20" spans="1:13" ht="24.95" customHeight="1" x14ac:dyDescent="0.3">
      <c r="A20" s="3">
        <f t="shared" si="0"/>
        <v>16</v>
      </c>
      <c r="B20" s="3"/>
      <c r="C20" s="3"/>
      <c r="D20" s="3"/>
      <c r="E20" s="5"/>
      <c r="F20" s="5"/>
      <c r="G20" s="5"/>
      <c r="H20" s="5"/>
      <c r="I20" s="20"/>
      <c r="J20" s="20"/>
      <c r="K20" s="3"/>
      <c r="L20" s="3"/>
      <c r="M20" s="3"/>
    </row>
    <row r="21" spans="1:13" ht="24.95" customHeight="1" x14ac:dyDescent="0.3">
      <c r="A21" s="3">
        <f t="shared" si="0"/>
        <v>17</v>
      </c>
      <c r="B21" s="3"/>
      <c r="C21" s="3"/>
      <c r="D21" s="3"/>
      <c r="E21" s="5"/>
      <c r="F21" s="5"/>
      <c r="G21" s="5"/>
      <c r="H21" s="5"/>
      <c r="I21" s="20"/>
      <c r="J21" s="20"/>
      <c r="K21" s="3"/>
      <c r="L21" s="3"/>
      <c r="M21" s="3"/>
    </row>
    <row r="22" spans="1:13" ht="24.95" customHeight="1" x14ac:dyDescent="0.3">
      <c r="A22" s="3">
        <f>A21+1</f>
        <v>18</v>
      </c>
      <c r="B22" s="3"/>
      <c r="C22" s="3"/>
      <c r="D22" s="3"/>
      <c r="E22" s="5"/>
      <c r="F22" s="5"/>
      <c r="G22" s="5"/>
      <c r="H22" s="5"/>
      <c r="I22" s="20"/>
      <c r="J22" s="20"/>
      <c r="K22" s="3"/>
      <c r="L22" s="3"/>
      <c r="M22" s="3"/>
    </row>
    <row r="23" spans="1:13" ht="24.95" customHeight="1" x14ac:dyDescent="0.3">
      <c r="A23" s="3">
        <f t="shared" si="0"/>
        <v>19</v>
      </c>
      <c r="B23" s="3"/>
      <c r="C23" s="3"/>
      <c r="D23" s="3"/>
      <c r="E23" s="5"/>
      <c r="F23" s="5"/>
      <c r="G23" s="5"/>
      <c r="H23" s="5"/>
      <c r="I23" s="20"/>
      <c r="J23" s="20"/>
      <c r="K23" s="3"/>
      <c r="L23" s="3"/>
      <c r="M23" s="3"/>
    </row>
    <row r="24" spans="1:13" ht="24.95" customHeight="1" x14ac:dyDescent="0.3">
      <c r="A24" s="3">
        <f t="shared" si="0"/>
        <v>20</v>
      </c>
      <c r="B24" s="3"/>
      <c r="C24" s="3"/>
      <c r="D24" s="3"/>
      <c r="E24" s="5"/>
      <c r="F24" s="5"/>
      <c r="G24" s="5"/>
      <c r="H24" s="5"/>
      <c r="I24" s="20"/>
      <c r="J24" s="20"/>
      <c r="K24" s="3"/>
      <c r="L24" s="3"/>
      <c r="M24" s="3"/>
    </row>
    <row r="25" spans="1:13" ht="24.95" customHeight="1" x14ac:dyDescent="0.3">
      <c r="A25" s="3">
        <f t="shared" ref="A25:A75" si="1">A24+1</f>
        <v>21</v>
      </c>
      <c r="B25" s="3"/>
      <c r="C25" s="3"/>
      <c r="D25" s="3"/>
      <c r="E25" s="5"/>
      <c r="F25" s="5"/>
      <c r="G25" s="5"/>
      <c r="H25" s="5"/>
      <c r="I25" s="20"/>
      <c r="J25" s="20"/>
      <c r="K25" s="3"/>
      <c r="L25" s="3"/>
      <c r="M25" s="3"/>
    </row>
    <row r="26" spans="1:13" ht="24.95" customHeight="1" x14ac:dyDescent="0.3">
      <c r="A26" s="3">
        <f t="shared" si="1"/>
        <v>22</v>
      </c>
      <c r="B26" s="3"/>
      <c r="C26" s="3"/>
      <c r="D26" s="3"/>
      <c r="E26" s="5"/>
      <c r="F26" s="5"/>
      <c r="G26" s="5"/>
      <c r="H26" s="5"/>
      <c r="I26" s="20"/>
      <c r="J26" s="20"/>
      <c r="K26" s="3"/>
      <c r="L26" s="3"/>
      <c r="M26" s="3"/>
    </row>
    <row r="27" spans="1:13" ht="24.95" customHeight="1" x14ac:dyDescent="0.3">
      <c r="A27" s="3">
        <f t="shared" si="1"/>
        <v>23</v>
      </c>
      <c r="B27" s="3"/>
      <c r="C27" s="3"/>
      <c r="D27" s="3"/>
      <c r="E27" s="5"/>
      <c r="F27" s="5"/>
      <c r="G27" s="5"/>
      <c r="H27" s="5"/>
      <c r="I27" s="20"/>
      <c r="J27" s="20"/>
      <c r="K27" s="3"/>
      <c r="L27" s="3"/>
      <c r="M27" s="3"/>
    </row>
    <row r="28" spans="1:13" ht="24.95" customHeight="1" x14ac:dyDescent="0.3">
      <c r="A28" s="3">
        <f t="shared" si="1"/>
        <v>24</v>
      </c>
      <c r="B28" s="3"/>
      <c r="C28" s="3"/>
      <c r="D28" s="3"/>
      <c r="E28" s="5"/>
      <c r="F28" s="5"/>
      <c r="G28" s="5"/>
      <c r="H28" s="5"/>
      <c r="I28" s="20"/>
      <c r="J28" s="20"/>
      <c r="K28" s="3"/>
      <c r="L28" s="3"/>
      <c r="M28" s="3"/>
    </row>
    <row r="29" spans="1:13" ht="24.95" customHeight="1" x14ac:dyDescent="0.3">
      <c r="A29" s="3">
        <f t="shared" si="1"/>
        <v>25</v>
      </c>
      <c r="B29" s="3"/>
      <c r="C29" s="3"/>
      <c r="D29" s="3"/>
      <c r="E29" s="5"/>
      <c r="F29" s="5"/>
      <c r="G29" s="5"/>
      <c r="H29" s="5"/>
      <c r="I29" s="20"/>
      <c r="J29" s="20"/>
      <c r="K29" s="3"/>
      <c r="L29" s="3"/>
      <c r="M29" s="3"/>
    </row>
    <row r="30" spans="1:13" ht="24.95" customHeight="1" x14ac:dyDescent="0.3">
      <c r="A30" s="3">
        <f t="shared" si="1"/>
        <v>26</v>
      </c>
      <c r="B30" s="3"/>
      <c r="C30" s="3"/>
      <c r="D30" s="3"/>
      <c r="E30" s="5"/>
      <c r="F30" s="5"/>
      <c r="G30" s="5"/>
      <c r="H30" s="5"/>
      <c r="I30" s="20"/>
      <c r="J30" s="20"/>
      <c r="K30" s="3"/>
      <c r="L30" s="3"/>
      <c r="M30" s="3"/>
    </row>
    <row r="31" spans="1:13" ht="24.95" customHeight="1" x14ac:dyDescent="0.3">
      <c r="A31" s="3">
        <f t="shared" si="1"/>
        <v>27</v>
      </c>
      <c r="B31" s="3"/>
      <c r="C31" s="3"/>
      <c r="D31" s="3"/>
      <c r="E31" s="5"/>
      <c r="F31" s="5"/>
      <c r="G31" s="5"/>
      <c r="H31" s="5"/>
      <c r="I31" s="20"/>
      <c r="J31" s="20"/>
      <c r="K31" s="3"/>
      <c r="L31" s="3"/>
      <c r="M31" s="3"/>
    </row>
    <row r="32" spans="1:13" ht="24.95" customHeight="1" x14ac:dyDescent="0.3">
      <c r="A32" s="3">
        <f t="shared" si="1"/>
        <v>28</v>
      </c>
      <c r="B32" s="3"/>
      <c r="C32" s="3"/>
      <c r="D32" s="3"/>
      <c r="E32" s="5"/>
      <c r="F32" s="5"/>
      <c r="G32" s="5"/>
      <c r="H32" s="5"/>
      <c r="I32" s="20"/>
      <c r="J32" s="20"/>
      <c r="K32" s="3"/>
      <c r="L32" s="3"/>
      <c r="M32" s="3"/>
    </row>
    <row r="33" spans="1:13" ht="24.95" customHeight="1" x14ac:dyDescent="0.3">
      <c r="A33" s="3">
        <f t="shared" si="1"/>
        <v>29</v>
      </c>
      <c r="B33" s="3"/>
      <c r="C33" s="3"/>
      <c r="D33" s="3"/>
      <c r="E33" s="5"/>
      <c r="F33" s="5"/>
      <c r="G33" s="5"/>
      <c r="H33" s="5"/>
      <c r="I33" s="20"/>
      <c r="J33" s="20"/>
      <c r="K33" s="3"/>
      <c r="L33" s="3"/>
      <c r="M33" s="3"/>
    </row>
    <row r="34" spans="1:13" ht="24.95" customHeight="1" x14ac:dyDescent="0.3">
      <c r="A34" s="3">
        <f t="shared" si="1"/>
        <v>30</v>
      </c>
      <c r="B34" s="3"/>
      <c r="C34" s="3"/>
      <c r="D34" s="3"/>
      <c r="E34" s="5"/>
      <c r="F34" s="5"/>
      <c r="G34" s="5"/>
      <c r="H34" s="5"/>
      <c r="I34" s="20"/>
      <c r="J34" s="20"/>
      <c r="K34" s="3"/>
      <c r="L34" s="3"/>
      <c r="M34" s="3"/>
    </row>
    <row r="35" spans="1:13" ht="24.95" customHeight="1" x14ac:dyDescent="0.3">
      <c r="A35" s="3">
        <f t="shared" si="1"/>
        <v>31</v>
      </c>
      <c r="B35" s="3"/>
      <c r="C35" s="3"/>
      <c r="D35" s="3"/>
      <c r="E35" s="5"/>
      <c r="F35" s="5"/>
      <c r="G35" s="5"/>
      <c r="H35" s="5"/>
      <c r="I35" s="20"/>
      <c r="J35" s="20"/>
      <c r="K35" s="3"/>
      <c r="L35" s="3"/>
      <c r="M35" s="3"/>
    </row>
    <row r="36" spans="1:13" ht="24.95" customHeight="1" x14ac:dyDescent="0.3">
      <c r="A36" s="3">
        <f t="shared" si="1"/>
        <v>32</v>
      </c>
      <c r="B36" s="3"/>
      <c r="C36" s="3"/>
      <c r="D36" s="3"/>
      <c r="E36" s="5"/>
      <c r="F36" s="5"/>
      <c r="G36" s="5"/>
      <c r="H36" s="5"/>
      <c r="I36" s="20"/>
      <c r="J36" s="20"/>
      <c r="K36" s="3"/>
      <c r="L36" s="3"/>
      <c r="M36" s="3"/>
    </row>
    <row r="37" spans="1:13" ht="24.95" customHeight="1" x14ac:dyDescent="0.3">
      <c r="A37" s="3">
        <f t="shared" si="1"/>
        <v>33</v>
      </c>
      <c r="B37" s="3"/>
      <c r="C37" s="3"/>
      <c r="D37" s="3"/>
      <c r="E37" s="5"/>
      <c r="F37" s="5"/>
      <c r="G37" s="5"/>
      <c r="H37" s="5"/>
      <c r="I37" s="20"/>
      <c r="J37" s="20"/>
      <c r="K37" s="3"/>
      <c r="L37" s="3"/>
      <c r="M37" s="3"/>
    </row>
    <row r="38" spans="1:13" ht="24.95" customHeight="1" x14ac:dyDescent="0.3">
      <c r="A38" s="3">
        <f t="shared" si="1"/>
        <v>34</v>
      </c>
      <c r="B38" s="3"/>
      <c r="C38" s="3"/>
      <c r="D38" s="3"/>
      <c r="E38" s="5"/>
      <c r="F38" s="5"/>
      <c r="G38" s="5"/>
      <c r="H38" s="5"/>
      <c r="I38" s="20"/>
      <c r="J38" s="20"/>
      <c r="K38" s="3"/>
      <c r="L38" s="3"/>
      <c r="M38" s="3"/>
    </row>
    <row r="39" spans="1:13" ht="24.95" customHeight="1" x14ac:dyDescent="0.3">
      <c r="A39" s="3">
        <f t="shared" si="1"/>
        <v>35</v>
      </c>
      <c r="B39" s="3"/>
      <c r="C39" s="3"/>
      <c r="D39" s="3"/>
      <c r="E39" s="5"/>
      <c r="F39" s="5"/>
      <c r="G39" s="5"/>
      <c r="H39" s="5"/>
      <c r="I39" s="20"/>
      <c r="J39" s="20"/>
      <c r="K39" s="3"/>
      <c r="L39" s="3"/>
      <c r="M39" s="3"/>
    </row>
    <row r="40" spans="1:13" ht="24.95" customHeight="1" x14ac:dyDescent="0.3">
      <c r="A40" s="3">
        <f t="shared" si="1"/>
        <v>36</v>
      </c>
      <c r="B40" s="3"/>
      <c r="C40" s="3"/>
      <c r="D40" s="3"/>
      <c r="E40" s="5"/>
      <c r="F40" s="5"/>
      <c r="G40" s="5"/>
      <c r="H40" s="5"/>
      <c r="I40" s="20"/>
      <c r="J40" s="20"/>
      <c r="K40" s="3"/>
      <c r="L40" s="3"/>
      <c r="M40" s="3"/>
    </row>
    <row r="41" spans="1:13" ht="24.95" customHeight="1" x14ac:dyDescent="0.3">
      <c r="A41" s="3">
        <f t="shared" si="1"/>
        <v>37</v>
      </c>
      <c r="B41" s="3"/>
      <c r="C41" s="3"/>
      <c r="D41" s="3"/>
      <c r="E41" s="5"/>
      <c r="F41" s="5"/>
      <c r="G41" s="5"/>
      <c r="H41" s="5"/>
      <c r="I41" s="20"/>
      <c r="J41" s="20"/>
      <c r="K41" s="3"/>
      <c r="L41" s="3"/>
      <c r="M41" s="3"/>
    </row>
    <row r="42" spans="1:13" ht="24.95" customHeight="1" x14ac:dyDescent="0.3">
      <c r="A42" s="3">
        <f t="shared" si="1"/>
        <v>38</v>
      </c>
      <c r="B42" s="3"/>
      <c r="C42" s="3"/>
      <c r="D42" s="3"/>
      <c r="E42" s="5"/>
      <c r="F42" s="5"/>
      <c r="G42" s="5"/>
      <c r="H42" s="5"/>
      <c r="I42" s="20"/>
      <c r="J42" s="20"/>
      <c r="K42" s="3"/>
      <c r="L42" s="3"/>
      <c r="M42" s="3"/>
    </row>
    <row r="43" spans="1:13" ht="24.95" customHeight="1" x14ac:dyDescent="0.3">
      <c r="A43" s="3">
        <f t="shared" si="1"/>
        <v>39</v>
      </c>
      <c r="B43" s="3"/>
      <c r="C43" s="3"/>
      <c r="D43" s="3"/>
      <c r="E43" s="5"/>
      <c r="F43" s="5"/>
      <c r="G43" s="5"/>
      <c r="H43" s="5"/>
      <c r="I43" s="20"/>
      <c r="J43" s="20"/>
      <c r="K43" s="3"/>
      <c r="L43" s="3"/>
      <c r="M43" s="3"/>
    </row>
    <row r="44" spans="1:13" ht="24.95" customHeight="1" x14ac:dyDescent="0.3">
      <c r="A44" s="3">
        <f t="shared" si="1"/>
        <v>40</v>
      </c>
      <c r="B44" s="3"/>
      <c r="C44" s="3"/>
      <c r="D44" s="3"/>
      <c r="E44" s="5"/>
      <c r="F44" s="5"/>
      <c r="G44" s="5"/>
      <c r="H44" s="5"/>
      <c r="I44" s="20"/>
      <c r="J44" s="20"/>
      <c r="K44" s="3"/>
      <c r="L44" s="3"/>
      <c r="M44" s="3"/>
    </row>
    <row r="45" spans="1:13" ht="24.95" customHeight="1" x14ac:dyDescent="0.3">
      <c r="A45" s="3">
        <f t="shared" si="1"/>
        <v>41</v>
      </c>
      <c r="B45" s="3"/>
      <c r="C45" s="3"/>
      <c r="D45" s="3"/>
      <c r="E45" s="5"/>
      <c r="F45" s="5"/>
      <c r="G45" s="5"/>
      <c r="H45" s="5"/>
      <c r="I45" s="20"/>
      <c r="J45" s="20"/>
      <c r="K45" s="3"/>
      <c r="L45" s="3"/>
      <c r="M45" s="3"/>
    </row>
    <row r="46" spans="1:13" ht="24.95" customHeight="1" x14ac:dyDescent="0.3">
      <c r="A46" s="3">
        <f t="shared" si="1"/>
        <v>42</v>
      </c>
      <c r="B46" s="3"/>
      <c r="C46" s="3"/>
      <c r="D46" s="3"/>
      <c r="E46" s="5"/>
      <c r="F46" s="5"/>
      <c r="G46" s="5"/>
      <c r="H46" s="5"/>
      <c r="I46" s="20"/>
      <c r="J46" s="20"/>
      <c r="K46" s="3"/>
      <c r="L46" s="3"/>
      <c r="M46" s="3"/>
    </row>
    <row r="47" spans="1:13" ht="24.95" customHeight="1" x14ac:dyDescent="0.3">
      <c r="A47" s="3">
        <f t="shared" si="1"/>
        <v>43</v>
      </c>
      <c r="B47" s="3"/>
      <c r="C47" s="3"/>
      <c r="D47" s="3"/>
      <c r="E47" s="5"/>
      <c r="F47" s="5"/>
      <c r="G47" s="5"/>
      <c r="H47" s="5"/>
      <c r="I47" s="20"/>
      <c r="J47" s="20"/>
      <c r="K47" s="3"/>
      <c r="L47" s="3"/>
      <c r="M47" s="3"/>
    </row>
    <row r="48" spans="1:13" ht="24.95" customHeight="1" x14ac:dyDescent="0.3">
      <c r="A48" s="3">
        <f t="shared" si="1"/>
        <v>44</v>
      </c>
      <c r="B48" s="3"/>
      <c r="C48" s="3"/>
      <c r="D48" s="3"/>
      <c r="E48" s="5"/>
      <c r="F48" s="5"/>
      <c r="G48" s="5"/>
      <c r="H48" s="5"/>
      <c r="I48" s="20"/>
      <c r="J48" s="20"/>
      <c r="K48" s="3"/>
      <c r="L48" s="3"/>
      <c r="M48" s="3"/>
    </row>
    <row r="49" spans="1:13" ht="24.95" customHeight="1" x14ac:dyDescent="0.3">
      <c r="A49" s="3">
        <f t="shared" si="1"/>
        <v>45</v>
      </c>
      <c r="B49" s="3"/>
      <c r="C49" s="3"/>
      <c r="D49" s="3"/>
      <c r="E49" s="5"/>
      <c r="F49" s="5"/>
      <c r="G49" s="5"/>
      <c r="H49" s="5"/>
      <c r="I49" s="20"/>
      <c r="J49" s="20"/>
      <c r="K49" s="3"/>
      <c r="L49" s="3"/>
      <c r="M49" s="3"/>
    </row>
    <row r="50" spans="1:13" ht="24.95" customHeight="1" x14ac:dyDescent="0.3">
      <c r="A50" s="3">
        <f t="shared" si="1"/>
        <v>46</v>
      </c>
      <c r="B50" s="3"/>
      <c r="C50" s="3"/>
      <c r="D50" s="3"/>
      <c r="E50" s="5"/>
      <c r="F50" s="5"/>
      <c r="G50" s="5"/>
      <c r="H50" s="5"/>
      <c r="I50" s="20"/>
      <c r="J50" s="20"/>
      <c r="K50" s="3"/>
      <c r="L50" s="3"/>
      <c r="M50" s="3"/>
    </row>
    <row r="51" spans="1:13" ht="24.95" customHeight="1" x14ac:dyDescent="0.3">
      <c r="A51" s="3">
        <f t="shared" si="1"/>
        <v>47</v>
      </c>
      <c r="B51" s="3"/>
      <c r="C51" s="3"/>
      <c r="D51" s="3"/>
      <c r="E51" s="5"/>
      <c r="F51" s="5"/>
      <c r="G51" s="5"/>
      <c r="H51" s="5"/>
      <c r="I51" s="20"/>
      <c r="J51" s="20"/>
      <c r="K51" s="3"/>
      <c r="L51" s="3"/>
      <c r="M51" s="3"/>
    </row>
    <row r="52" spans="1:13" ht="24.95" customHeight="1" x14ac:dyDescent="0.3">
      <c r="A52" s="3">
        <f t="shared" si="1"/>
        <v>48</v>
      </c>
      <c r="B52" s="3"/>
      <c r="C52" s="3"/>
      <c r="D52" s="3"/>
      <c r="E52" s="5"/>
      <c r="F52" s="5"/>
      <c r="G52" s="5"/>
      <c r="H52" s="5"/>
      <c r="I52" s="20"/>
      <c r="J52" s="20"/>
      <c r="K52" s="3"/>
      <c r="L52" s="3"/>
      <c r="M52" s="3"/>
    </row>
    <row r="53" spans="1:13" ht="24.95" customHeight="1" x14ac:dyDescent="0.3">
      <c r="A53" s="3">
        <f t="shared" si="1"/>
        <v>49</v>
      </c>
      <c r="B53" s="3"/>
      <c r="C53" s="3"/>
      <c r="D53" s="3"/>
      <c r="E53" s="5"/>
      <c r="F53" s="5"/>
      <c r="G53" s="5"/>
      <c r="H53" s="5"/>
      <c r="I53" s="20"/>
      <c r="J53" s="20"/>
      <c r="K53" s="3"/>
      <c r="L53" s="3"/>
      <c r="M53" s="3"/>
    </row>
    <row r="54" spans="1:13" ht="24.95" customHeight="1" x14ac:dyDescent="0.3">
      <c r="A54" s="3">
        <f t="shared" si="1"/>
        <v>50</v>
      </c>
      <c r="B54" s="3"/>
      <c r="C54" s="3"/>
      <c r="D54" s="3"/>
      <c r="E54" s="5"/>
      <c r="F54" s="5"/>
      <c r="G54" s="5"/>
      <c r="H54" s="5"/>
      <c r="I54" s="20"/>
      <c r="J54" s="20"/>
      <c r="K54" s="3"/>
      <c r="L54" s="3"/>
      <c r="M54" s="3"/>
    </row>
    <row r="55" spans="1:13" ht="24.95" customHeight="1" x14ac:dyDescent="0.3">
      <c r="A55" s="3">
        <f t="shared" si="1"/>
        <v>51</v>
      </c>
      <c r="B55" s="3"/>
      <c r="C55" s="3"/>
      <c r="D55" s="3"/>
      <c r="E55" s="5"/>
      <c r="F55" s="5"/>
      <c r="G55" s="5"/>
      <c r="H55" s="5"/>
      <c r="I55" s="20"/>
      <c r="J55" s="20"/>
      <c r="K55" s="3"/>
      <c r="L55" s="3"/>
      <c r="M55" s="3"/>
    </row>
    <row r="56" spans="1:13" ht="24.95" customHeight="1" x14ac:dyDescent="0.3">
      <c r="A56" s="3">
        <f t="shared" si="1"/>
        <v>52</v>
      </c>
      <c r="B56" s="3"/>
      <c r="C56" s="3"/>
      <c r="D56" s="3"/>
      <c r="E56" s="5"/>
      <c r="F56" s="5"/>
      <c r="G56" s="5"/>
      <c r="H56" s="5"/>
      <c r="I56" s="20"/>
      <c r="J56" s="20"/>
      <c r="K56" s="3"/>
      <c r="L56" s="3"/>
      <c r="M56" s="3"/>
    </row>
    <row r="57" spans="1:13" ht="24.95" customHeight="1" x14ac:dyDescent="0.3">
      <c r="A57" s="3">
        <f t="shared" si="1"/>
        <v>53</v>
      </c>
      <c r="B57" s="3"/>
      <c r="C57" s="3"/>
      <c r="D57" s="3"/>
      <c r="E57" s="5"/>
      <c r="F57" s="5"/>
      <c r="G57" s="5"/>
      <c r="H57" s="5"/>
      <c r="I57" s="20"/>
      <c r="J57" s="20"/>
      <c r="K57" s="3"/>
      <c r="L57" s="3"/>
      <c r="M57" s="3"/>
    </row>
    <row r="58" spans="1:13" ht="24.95" customHeight="1" x14ac:dyDescent="0.3">
      <c r="A58" s="3">
        <f t="shared" si="1"/>
        <v>54</v>
      </c>
      <c r="B58" s="3"/>
      <c r="C58" s="3"/>
      <c r="D58" s="3"/>
      <c r="E58" s="5"/>
      <c r="F58" s="5"/>
      <c r="G58" s="5"/>
      <c r="H58" s="5"/>
      <c r="I58" s="20"/>
      <c r="J58" s="20"/>
      <c r="K58" s="3"/>
      <c r="L58" s="3"/>
      <c r="M58" s="3"/>
    </row>
    <row r="59" spans="1:13" ht="24.95" customHeight="1" x14ac:dyDescent="0.3">
      <c r="A59" s="3">
        <f t="shared" si="1"/>
        <v>55</v>
      </c>
      <c r="B59" s="3"/>
      <c r="C59" s="3"/>
      <c r="D59" s="3"/>
      <c r="E59" s="5"/>
      <c r="F59" s="5"/>
      <c r="G59" s="5"/>
      <c r="H59" s="5"/>
      <c r="I59" s="20"/>
      <c r="J59" s="20"/>
      <c r="K59" s="3"/>
      <c r="L59" s="3"/>
      <c r="M59" s="3"/>
    </row>
    <row r="60" spans="1:13" ht="24.95" customHeight="1" x14ac:dyDescent="0.3">
      <c r="A60" s="3">
        <f t="shared" si="1"/>
        <v>56</v>
      </c>
      <c r="B60" s="3"/>
      <c r="C60" s="3"/>
      <c r="D60" s="3"/>
      <c r="E60" s="5"/>
      <c r="F60" s="5"/>
      <c r="G60" s="5"/>
      <c r="H60" s="5"/>
      <c r="I60" s="20"/>
      <c r="J60" s="20"/>
      <c r="K60" s="3"/>
      <c r="L60" s="3"/>
      <c r="M60" s="3"/>
    </row>
    <row r="61" spans="1:13" ht="24.95" customHeight="1" x14ac:dyDescent="0.3">
      <c r="A61" s="3">
        <f t="shared" si="1"/>
        <v>57</v>
      </c>
      <c r="B61" s="3"/>
      <c r="C61" s="3"/>
      <c r="D61" s="3"/>
      <c r="E61" s="5"/>
      <c r="F61" s="5"/>
      <c r="G61" s="5"/>
      <c r="H61" s="5"/>
      <c r="I61" s="20"/>
      <c r="J61" s="20"/>
      <c r="K61" s="3"/>
      <c r="L61" s="3"/>
      <c r="M61" s="3"/>
    </row>
    <row r="62" spans="1:13" ht="24.95" customHeight="1" x14ac:dyDescent="0.3">
      <c r="A62" s="3">
        <f t="shared" si="1"/>
        <v>58</v>
      </c>
      <c r="B62" s="3"/>
      <c r="C62" s="3"/>
      <c r="D62" s="3"/>
      <c r="E62" s="5"/>
      <c r="F62" s="5"/>
      <c r="G62" s="5"/>
      <c r="H62" s="5"/>
      <c r="I62" s="20"/>
      <c r="J62" s="20"/>
      <c r="K62" s="3"/>
      <c r="L62" s="3"/>
      <c r="M62" s="3"/>
    </row>
    <row r="63" spans="1:13" ht="24.95" customHeight="1" x14ac:dyDescent="0.3">
      <c r="A63" s="3">
        <f t="shared" si="1"/>
        <v>59</v>
      </c>
      <c r="B63" s="3"/>
      <c r="C63" s="3"/>
      <c r="D63" s="3"/>
      <c r="E63" s="5"/>
      <c r="F63" s="5"/>
      <c r="G63" s="5"/>
      <c r="H63" s="5"/>
      <c r="I63" s="20"/>
      <c r="J63" s="20"/>
      <c r="K63" s="3"/>
      <c r="L63" s="3"/>
      <c r="M63" s="3"/>
    </row>
    <row r="64" spans="1:13" ht="24.95" customHeight="1" x14ac:dyDescent="0.3">
      <c r="A64" s="3">
        <f t="shared" si="1"/>
        <v>60</v>
      </c>
      <c r="B64" s="3"/>
      <c r="C64" s="3"/>
      <c r="D64" s="3"/>
      <c r="E64" s="5"/>
      <c r="F64" s="5"/>
      <c r="G64" s="5"/>
      <c r="H64" s="5"/>
      <c r="I64" s="20"/>
      <c r="J64" s="20"/>
      <c r="K64" s="3"/>
      <c r="L64" s="3"/>
      <c r="M64" s="3"/>
    </row>
    <row r="65" spans="1:13" ht="24.95" customHeight="1" x14ac:dyDescent="0.3">
      <c r="A65" s="3">
        <f t="shared" si="1"/>
        <v>61</v>
      </c>
      <c r="B65" s="3"/>
      <c r="C65" s="3"/>
      <c r="D65" s="3"/>
      <c r="E65" s="5"/>
      <c r="F65" s="5"/>
      <c r="G65" s="5"/>
      <c r="H65" s="5"/>
      <c r="I65" s="20"/>
      <c r="J65" s="20"/>
      <c r="K65" s="3"/>
      <c r="L65" s="3"/>
      <c r="M65" s="3"/>
    </row>
    <row r="66" spans="1:13" ht="24.95" customHeight="1" x14ac:dyDescent="0.3">
      <c r="A66" s="3">
        <f t="shared" si="1"/>
        <v>62</v>
      </c>
      <c r="B66" s="3"/>
      <c r="C66" s="3"/>
      <c r="D66" s="3"/>
      <c r="E66" s="5"/>
      <c r="F66" s="5"/>
      <c r="G66" s="5"/>
      <c r="H66" s="5"/>
      <c r="I66" s="20"/>
      <c r="J66" s="20"/>
      <c r="K66" s="3"/>
      <c r="L66" s="3"/>
      <c r="M66" s="3"/>
    </row>
    <row r="67" spans="1:13" ht="24.95" customHeight="1" x14ac:dyDescent="0.3">
      <c r="A67" s="3">
        <f t="shared" si="1"/>
        <v>63</v>
      </c>
      <c r="B67" s="3"/>
      <c r="C67" s="3"/>
      <c r="D67" s="3"/>
      <c r="E67" s="5"/>
      <c r="F67" s="5"/>
      <c r="G67" s="5"/>
      <c r="H67" s="5"/>
      <c r="I67" s="20"/>
      <c r="J67" s="20"/>
      <c r="K67" s="3"/>
      <c r="L67" s="3"/>
      <c r="M67" s="3"/>
    </row>
    <row r="68" spans="1:13" ht="24.95" customHeight="1" x14ac:dyDescent="0.3">
      <c r="A68" s="3">
        <f t="shared" si="1"/>
        <v>64</v>
      </c>
      <c r="B68" s="3"/>
      <c r="C68" s="3"/>
      <c r="D68" s="3"/>
      <c r="E68" s="5"/>
      <c r="F68" s="5"/>
      <c r="G68" s="5"/>
      <c r="H68" s="5"/>
      <c r="I68" s="20"/>
      <c r="J68" s="20"/>
      <c r="K68" s="3"/>
      <c r="L68" s="3"/>
      <c r="M68" s="3"/>
    </row>
    <row r="69" spans="1:13" ht="24.95" customHeight="1" x14ac:dyDescent="0.3">
      <c r="A69" s="3">
        <f t="shared" si="1"/>
        <v>65</v>
      </c>
      <c r="B69" s="3"/>
      <c r="C69" s="3"/>
      <c r="D69" s="3"/>
      <c r="E69" s="5"/>
      <c r="F69" s="5"/>
      <c r="G69" s="5"/>
      <c r="H69" s="5"/>
      <c r="I69" s="20"/>
      <c r="J69" s="20"/>
      <c r="K69" s="3"/>
      <c r="L69" s="3"/>
      <c r="M69" s="3"/>
    </row>
    <row r="70" spans="1:13" ht="24.95" customHeight="1" x14ac:dyDescent="0.3">
      <c r="A70" s="3">
        <f t="shared" si="1"/>
        <v>66</v>
      </c>
      <c r="B70" s="3"/>
      <c r="C70" s="3"/>
      <c r="D70" s="3"/>
      <c r="E70" s="5"/>
      <c r="F70" s="5"/>
      <c r="G70" s="5"/>
      <c r="H70" s="5"/>
      <c r="I70" s="20"/>
      <c r="J70" s="20"/>
      <c r="K70" s="3"/>
      <c r="L70" s="3"/>
      <c r="M70" s="3"/>
    </row>
    <row r="71" spans="1:13" ht="24.95" customHeight="1" x14ac:dyDescent="0.3">
      <c r="A71" s="3">
        <f t="shared" si="1"/>
        <v>67</v>
      </c>
      <c r="B71" s="3"/>
      <c r="C71" s="3"/>
      <c r="D71" s="3"/>
      <c r="E71" s="5"/>
      <c r="F71" s="5"/>
      <c r="G71" s="5"/>
      <c r="H71" s="5"/>
      <c r="I71" s="20"/>
      <c r="J71" s="20"/>
      <c r="K71" s="3"/>
      <c r="L71" s="3"/>
      <c r="M71" s="3"/>
    </row>
    <row r="72" spans="1:13" ht="24.95" customHeight="1" x14ac:dyDescent="0.3">
      <c r="A72" s="3">
        <f t="shared" si="1"/>
        <v>68</v>
      </c>
      <c r="B72" s="3"/>
      <c r="C72" s="3"/>
      <c r="D72" s="3"/>
      <c r="E72" s="5"/>
      <c r="F72" s="5"/>
      <c r="G72" s="5"/>
      <c r="H72" s="5"/>
      <c r="I72" s="20"/>
      <c r="J72" s="20"/>
      <c r="K72" s="3"/>
      <c r="L72" s="3"/>
      <c r="M72" s="3"/>
    </row>
    <row r="73" spans="1:13" ht="24.95" customHeight="1" x14ac:dyDescent="0.3">
      <c r="A73" s="3">
        <f t="shared" si="1"/>
        <v>69</v>
      </c>
      <c r="B73" s="3"/>
      <c r="C73" s="3"/>
      <c r="D73" s="3"/>
      <c r="E73" s="5"/>
      <c r="F73" s="5"/>
      <c r="G73" s="5"/>
      <c r="H73" s="5"/>
      <c r="I73" s="20"/>
      <c r="J73" s="20"/>
      <c r="K73" s="3"/>
      <c r="L73" s="3"/>
      <c r="M73" s="3"/>
    </row>
    <row r="74" spans="1:13" ht="24.95" customHeight="1" x14ac:dyDescent="0.3">
      <c r="A74" s="3">
        <f t="shared" si="1"/>
        <v>70</v>
      </c>
      <c r="B74" s="3"/>
      <c r="C74" s="3"/>
      <c r="D74" s="3"/>
      <c r="E74" s="5"/>
      <c r="F74" s="5"/>
      <c r="G74" s="5"/>
      <c r="H74" s="5"/>
      <c r="I74" s="20"/>
      <c r="J74" s="20"/>
      <c r="K74" s="3"/>
      <c r="L74" s="3"/>
      <c r="M74" s="3"/>
    </row>
    <row r="75" spans="1:13" ht="24.95" customHeight="1" x14ac:dyDescent="0.3">
      <c r="A75" s="3">
        <f t="shared" si="1"/>
        <v>71</v>
      </c>
      <c r="B75" s="3"/>
      <c r="C75" s="3"/>
      <c r="D75" s="3"/>
      <c r="E75" s="5"/>
      <c r="F75" s="5"/>
      <c r="G75" s="5"/>
      <c r="H75" s="5"/>
      <c r="I75" s="20"/>
      <c r="J75" s="20"/>
      <c r="K75" s="3"/>
      <c r="L75" s="3"/>
      <c r="M75" s="3"/>
    </row>
    <row r="76" spans="1:13" ht="24.95" customHeight="1" x14ac:dyDescent="0.3">
      <c r="A76" s="3">
        <f t="shared" ref="A76:A91" si="2">A75+1</f>
        <v>72</v>
      </c>
      <c r="B76" s="3"/>
      <c r="C76" s="3"/>
      <c r="D76" s="3"/>
      <c r="E76" s="5"/>
      <c r="F76" s="5"/>
      <c r="G76" s="5"/>
      <c r="H76" s="5"/>
      <c r="I76" s="20"/>
      <c r="J76" s="20"/>
      <c r="K76" s="3"/>
      <c r="L76" s="3"/>
      <c r="M76" s="3"/>
    </row>
    <row r="77" spans="1:13" ht="24.95" customHeight="1" x14ac:dyDescent="0.3">
      <c r="A77" s="3">
        <f t="shared" si="2"/>
        <v>73</v>
      </c>
      <c r="B77" s="3"/>
      <c r="C77" s="3"/>
      <c r="D77" s="3"/>
      <c r="E77" s="5"/>
      <c r="F77" s="5"/>
      <c r="G77" s="5"/>
      <c r="H77" s="5"/>
      <c r="I77" s="20"/>
      <c r="J77" s="20"/>
      <c r="K77" s="3"/>
      <c r="L77" s="3"/>
      <c r="M77" s="3"/>
    </row>
    <row r="78" spans="1:13" ht="24.95" customHeight="1" x14ac:dyDescent="0.3">
      <c r="A78" s="3">
        <f t="shared" si="2"/>
        <v>74</v>
      </c>
      <c r="B78" s="3"/>
      <c r="C78" s="3"/>
      <c r="D78" s="3"/>
      <c r="E78" s="5"/>
      <c r="F78" s="5"/>
      <c r="G78" s="5"/>
      <c r="H78" s="5"/>
      <c r="I78" s="20"/>
      <c r="J78" s="20"/>
      <c r="K78" s="3"/>
      <c r="L78" s="3"/>
      <c r="M78" s="3"/>
    </row>
    <row r="79" spans="1:13" ht="24.95" customHeight="1" x14ac:dyDescent="0.3">
      <c r="A79" s="3">
        <f t="shared" si="2"/>
        <v>75</v>
      </c>
      <c r="B79" s="3"/>
      <c r="C79" s="3"/>
      <c r="D79" s="3"/>
      <c r="E79" s="5"/>
      <c r="F79" s="5"/>
      <c r="G79" s="5"/>
      <c r="H79" s="5"/>
      <c r="I79" s="20"/>
      <c r="J79" s="20"/>
      <c r="K79" s="3"/>
      <c r="L79" s="3"/>
      <c r="M79" s="3"/>
    </row>
    <row r="80" spans="1:13" ht="24.95" customHeight="1" x14ac:dyDescent="0.3">
      <c r="A80" s="3">
        <f t="shared" si="2"/>
        <v>76</v>
      </c>
      <c r="B80" s="3"/>
      <c r="C80" s="3"/>
      <c r="D80" s="3"/>
      <c r="E80" s="5"/>
      <c r="F80" s="5"/>
      <c r="G80" s="5"/>
      <c r="H80" s="5"/>
      <c r="I80" s="20"/>
      <c r="J80" s="20"/>
      <c r="K80" s="3"/>
      <c r="L80" s="3"/>
      <c r="M80" s="3"/>
    </row>
    <row r="81" spans="1:13" ht="24.95" customHeight="1" x14ac:dyDescent="0.3">
      <c r="A81" s="3">
        <f t="shared" si="2"/>
        <v>77</v>
      </c>
      <c r="B81" s="3"/>
      <c r="C81" s="3"/>
      <c r="D81" s="3"/>
      <c r="E81" s="5"/>
      <c r="F81" s="5"/>
      <c r="G81" s="5"/>
      <c r="H81" s="5"/>
      <c r="I81" s="20"/>
      <c r="J81" s="20"/>
      <c r="K81" s="3"/>
      <c r="L81" s="3"/>
      <c r="M81" s="3"/>
    </row>
    <row r="82" spans="1:13" ht="24.95" customHeight="1" x14ac:dyDescent="0.3">
      <c r="A82" s="3">
        <f t="shared" si="2"/>
        <v>78</v>
      </c>
      <c r="B82" s="3"/>
      <c r="C82" s="3"/>
      <c r="D82" s="3"/>
      <c r="E82" s="5"/>
      <c r="F82" s="5"/>
      <c r="G82" s="5"/>
      <c r="H82" s="5"/>
      <c r="I82" s="20"/>
      <c r="J82" s="20"/>
      <c r="K82" s="3"/>
      <c r="L82" s="3"/>
      <c r="M82" s="3"/>
    </row>
    <row r="83" spans="1:13" ht="24.95" customHeight="1" x14ac:dyDescent="0.3">
      <c r="A83" s="3">
        <f t="shared" si="2"/>
        <v>79</v>
      </c>
      <c r="B83" s="3"/>
      <c r="C83" s="3"/>
      <c r="D83" s="3"/>
      <c r="E83" s="5"/>
      <c r="F83" s="5"/>
      <c r="G83" s="5"/>
      <c r="H83" s="5"/>
      <c r="I83" s="20"/>
      <c r="J83" s="20"/>
      <c r="K83" s="3"/>
      <c r="L83" s="3"/>
      <c r="M83" s="3"/>
    </row>
    <row r="84" spans="1:13" ht="24.95" customHeight="1" x14ac:dyDescent="0.3">
      <c r="A84" s="3">
        <f t="shared" si="2"/>
        <v>80</v>
      </c>
      <c r="B84" s="3"/>
      <c r="C84" s="3"/>
      <c r="D84" s="3"/>
      <c r="E84" s="5"/>
      <c r="F84" s="5"/>
      <c r="G84" s="5"/>
      <c r="H84" s="5"/>
      <c r="I84" s="20"/>
      <c r="J84" s="20"/>
      <c r="K84" s="3"/>
      <c r="L84" s="3"/>
      <c r="M84" s="3"/>
    </row>
    <row r="85" spans="1:13" ht="24.95" customHeight="1" x14ac:dyDescent="0.3">
      <c r="A85" s="3">
        <f t="shared" si="2"/>
        <v>81</v>
      </c>
      <c r="B85" s="3"/>
      <c r="C85" s="3"/>
      <c r="D85" s="3"/>
      <c r="E85" s="5"/>
      <c r="F85" s="5"/>
      <c r="G85" s="5"/>
      <c r="H85" s="5"/>
      <c r="I85" s="20"/>
      <c r="J85" s="20"/>
      <c r="K85" s="3"/>
      <c r="L85" s="3"/>
      <c r="M85" s="3"/>
    </row>
    <row r="86" spans="1:13" ht="24.95" customHeight="1" x14ac:dyDescent="0.3">
      <c r="A86" s="3">
        <f t="shared" si="2"/>
        <v>82</v>
      </c>
      <c r="B86" s="3"/>
      <c r="C86" s="3"/>
      <c r="D86" s="3"/>
      <c r="E86" s="5"/>
      <c r="F86" s="5"/>
      <c r="G86" s="5"/>
      <c r="H86" s="5"/>
      <c r="I86" s="20"/>
      <c r="J86" s="20"/>
      <c r="K86" s="3"/>
      <c r="L86" s="3"/>
      <c r="M86" s="3"/>
    </row>
    <row r="87" spans="1:13" ht="24.95" customHeight="1" x14ac:dyDescent="0.3">
      <c r="A87" s="3">
        <f t="shared" si="2"/>
        <v>83</v>
      </c>
      <c r="B87" s="3"/>
      <c r="C87" s="3"/>
      <c r="D87" s="3"/>
      <c r="E87" s="5"/>
      <c r="F87" s="5"/>
      <c r="G87" s="5"/>
      <c r="H87" s="5"/>
      <c r="I87" s="20"/>
      <c r="J87" s="20"/>
      <c r="K87" s="3"/>
      <c r="L87" s="3"/>
      <c r="M87" s="3"/>
    </row>
    <row r="88" spans="1:13" ht="24.95" customHeight="1" x14ac:dyDescent="0.3">
      <c r="A88" s="3">
        <f t="shared" si="2"/>
        <v>84</v>
      </c>
      <c r="B88" s="3"/>
      <c r="C88" s="3"/>
      <c r="D88" s="3"/>
      <c r="E88" s="5"/>
      <c r="F88" s="5"/>
      <c r="G88" s="5"/>
      <c r="H88" s="5"/>
      <c r="I88" s="20"/>
      <c r="J88" s="20"/>
      <c r="K88" s="3"/>
      <c r="L88" s="3"/>
      <c r="M88" s="3"/>
    </row>
    <row r="89" spans="1:13" ht="24.95" customHeight="1" x14ac:dyDescent="0.3">
      <c r="A89" s="3">
        <f t="shared" si="2"/>
        <v>85</v>
      </c>
      <c r="B89" s="3"/>
      <c r="C89" s="3"/>
      <c r="D89" s="3"/>
      <c r="E89" s="5"/>
      <c r="F89" s="5"/>
      <c r="G89" s="5"/>
      <c r="H89" s="5"/>
      <c r="I89" s="20"/>
      <c r="J89" s="20"/>
      <c r="K89" s="3"/>
      <c r="L89" s="3"/>
      <c r="M89" s="3"/>
    </row>
    <row r="90" spans="1:13" ht="24.95" customHeight="1" x14ac:dyDescent="0.3">
      <c r="A90" s="3">
        <f t="shared" si="2"/>
        <v>86</v>
      </c>
      <c r="B90" s="3"/>
      <c r="C90" s="3"/>
      <c r="D90" s="3"/>
      <c r="E90" s="5"/>
      <c r="F90" s="5"/>
      <c r="G90" s="5"/>
      <c r="H90" s="5"/>
      <c r="I90" s="20"/>
      <c r="J90" s="20"/>
      <c r="K90" s="3"/>
      <c r="L90" s="3"/>
      <c r="M90" s="3"/>
    </row>
    <row r="91" spans="1:13" ht="24.95" customHeight="1" x14ac:dyDescent="0.3">
      <c r="A91" s="3">
        <f t="shared" si="2"/>
        <v>87</v>
      </c>
      <c r="B91" s="3"/>
      <c r="C91" s="3"/>
      <c r="D91" s="3"/>
      <c r="E91" s="5"/>
      <c r="F91" s="5"/>
      <c r="G91" s="5"/>
      <c r="H91" s="5"/>
      <c r="I91" s="20"/>
      <c r="J91" s="20"/>
      <c r="K91" s="3"/>
      <c r="L91" s="3"/>
      <c r="M91" s="3"/>
    </row>
    <row r="92" spans="1:13" ht="24.95" customHeight="1" x14ac:dyDescent="0.3">
      <c r="A92" s="3">
        <f t="shared" ref="A92:A104" si="3">A91+1</f>
        <v>88</v>
      </c>
      <c r="B92" s="3"/>
      <c r="C92" s="3"/>
      <c r="D92" s="3"/>
      <c r="E92" s="5"/>
      <c r="F92" s="5"/>
      <c r="G92" s="5"/>
      <c r="H92" s="5"/>
      <c r="I92" s="20"/>
      <c r="J92" s="20"/>
      <c r="K92" s="3"/>
      <c r="L92" s="3"/>
      <c r="M92" s="3"/>
    </row>
    <row r="93" spans="1:13" ht="24.95" customHeight="1" x14ac:dyDescent="0.3">
      <c r="A93" s="3">
        <f t="shared" si="3"/>
        <v>89</v>
      </c>
      <c r="B93" s="3"/>
      <c r="C93" s="3"/>
      <c r="D93" s="3"/>
      <c r="E93" s="5"/>
      <c r="F93" s="5"/>
      <c r="G93" s="5"/>
      <c r="H93" s="5"/>
      <c r="I93" s="20"/>
      <c r="J93" s="20"/>
      <c r="K93" s="3"/>
      <c r="L93" s="3"/>
      <c r="M93" s="3"/>
    </row>
    <row r="94" spans="1:13" ht="24.95" customHeight="1" x14ac:dyDescent="0.3">
      <c r="A94" s="3">
        <f t="shared" si="3"/>
        <v>90</v>
      </c>
      <c r="B94" s="3"/>
      <c r="C94" s="3"/>
      <c r="D94" s="3"/>
      <c r="E94" s="5"/>
      <c r="F94" s="5"/>
      <c r="G94" s="5"/>
      <c r="H94" s="5"/>
      <c r="I94" s="20"/>
      <c r="J94" s="20"/>
      <c r="K94" s="3"/>
      <c r="L94" s="3"/>
      <c r="M94" s="3"/>
    </row>
    <row r="95" spans="1:13" ht="24.95" customHeight="1" x14ac:dyDescent="0.3">
      <c r="A95" s="3">
        <f t="shared" si="3"/>
        <v>91</v>
      </c>
      <c r="B95" s="3"/>
      <c r="C95" s="3"/>
      <c r="D95" s="3"/>
      <c r="E95" s="5"/>
      <c r="F95" s="5"/>
      <c r="G95" s="5"/>
      <c r="H95" s="5"/>
      <c r="I95" s="20"/>
      <c r="J95" s="20"/>
      <c r="K95" s="3"/>
      <c r="L95" s="3"/>
      <c r="M95" s="3"/>
    </row>
    <row r="96" spans="1:13" ht="24.95" customHeight="1" x14ac:dyDescent="0.3">
      <c r="A96" s="3">
        <f t="shared" si="3"/>
        <v>92</v>
      </c>
      <c r="B96" s="3"/>
      <c r="C96" s="3"/>
      <c r="D96" s="3"/>
      <c r="E96" s="5"/>
      <c r="F96" s="5"/>
      <c r="G96" s="5"/>
      <c r="H96" s="5"/>
      <c r="I96" s="20"/>
      <c r="J96" s="20"/>
      <c r="K96" s="3"/>
      <c r="L96" s="3"/>
      <c r="M96" s="3"/>
    </row>
    <row r="97" spans="1:13" ht="24.95" customHeight="1" x14ac:dyDescent="0.3">
      <c r="A97" s="3">
        <f t="shared" si="3"/>
        <v>93</v>
      </c>
      <c r="B97" s="3"/>
      <c r="C97" s="3"/>
      <c r="D97" s="3"/>
      <c r="E97" s="5"/>
      <c r="F97" s="5"/>
      <c r="G97" s="5"/>
      <c r="H97" s="5"/>
      <c r="I97" s="20"/>
      <c r="J97" s="20"/>
      <c r="K97" s="3"/>
      <c r="L97" s="3"/>
      <c r="M97" s="3"/>
    </row>
    <row r="98" spans="1:13" ht="24.95" customHeight="1" x14ac:dyDescent="0.3">
      <c r="A98" s="3">
        <f t="shared" si="3"/>
        <v>94</v>
      </c>
      <c r="B98" s="3"/>
      <c r="C98" s="3"/>
      <c r="D98" s="3"/>
      <c r="E98" s="5"/>
      <c r="F98" s="5"/>
      <c r="G98" s="5"/>
      <c r="H98" s="5"/>
      <c r="I98" s="20"/>
      <c r="J98" s="20"/>
      <c r="K98" s="3"/>
      <c r="L98" s="3"/>
      <c r="M98" s="3"/>
    </row>
    <row r="99" spans="1:13" ht="24.95" customHeight="1" x14ac:dyDescent="0.3">
      <c r="A99" s="3">
        <f t="shared" si="3"/>
        <v>95</v>
      </c>
      <c r="B99" s="3"/>
      <c r="C99" s="3"/>
      <c r="D99" s="3"/>
      <c r="E99" s="5"/>
      <c r="F99" s="5"/>
      <c r="G99" s="5"/>
      <c r="H99" s="5"/>
      <c r="I99" s="20"/>
      <c r="J99" s="20"/>
      <c r="K99" s="3"/>
      <c r="L99" s="3"/>
      <c r="M99" s="3"/>
    </row>
    <row r="100" spans="1:13" ht="24.95" customHeight="1" x14ac:dyDescent="0.3">
      <c r="A100" s="3">
        <f t="shared" si="3"/>
        <v>96</v>
      </c>
      <c r="B100" s="3"/>
      <c r="C100" s="3"/>
      <c r="D100" s="3"/>
      <c r="E100" s="5"/>
      <c r="F100" s="5"/>
      <c r="G100" s="5"/>
      <c r="H100" s="5"/>
      <c r="I100" s="20"/>
      <c r="J100" s="20"/>
      <c r="K100" s="3"/>
      <c r="L100" s="3"/>
      <c r="M100" s="3"/>
    </row>
    <row r="101" spans="1:13" ht="24.95" customHeight="1" x14ac:dyDescent="0.3">
      <c r="A101" s="3">
        <f t="shared" si="3"/>
        <v>97</v>
      </c>
      <c r="B101" s="3"/>
      <c r="C101" s="3"/>
      <c r="D101" s="3"/>
      <c r="E101" s="5"/>
      <c r="F101" s="5"/>
      <c r="G101" s="5"/>
      <c r="H101" s="5"/>
      <c r="I101" s="20"/>
      <c r="J101" s="20"/>
      <c r="K101" s="3"/>
      <c r="L101" s="3"/>
      <c r="M101" s="3"/>
    </row>
    <row r="102" spans="1:13" ht="24.95" customHeight="1" x14ac:dyDescent="0.3">
      <c r="A102" s="3">
        <f t="shared" si="3"/>
        <v>98</v>
      </c>
      <c r="B102" s="3"/>
      <c r="C102" s="3"/>
      <c r="D102" s="3"/>
      <c r="E102" s="5"/>
      <c r="F102" s="5"/>
      <c r="G102" s="5"/>
      <c r="H102" s="5"/>
      <c r="I102" s="20"/>
      <c r="J102" s="20"/>
      <c r="K102" s="3"/>
      <c r="L102" s="3"/>
      <c r="M102" s="3"/>
    </row>
    <row r="103" spans="1:13" ht="24.95" customHeight="1" x14ac:dyDescent="0.3">
      <c r="A103" s="3">
        <f t="shared" si="3"/>
        <v>99</v>
      </c>
      <c r="B103" s="3"/>
      <c r="C103" s="3"/>
      <c r="D103" s="3"/>
      <c r="E103" s="5"/>
      <c r="F103" s="5"/>
      <c r="G103" s="5"/>
      <c r="H103" s="5"/>
      <c r="I103" s="20"/>
      <c r="J103" s="20"/>
      <c r="K103" s="3"/>
      <c r="L103" s="3"/>
      <c r="M103" s="3"/>
    </row>
    <row r="104" spans="1:13" ht="24.95" customHeight="1" x14ac:dyDescent="0.3">
      <c r="A104" s="3">
        <f t="shared" si="3"/>
        <v>100</v>
      </c>
      <c r="B104" s="3"/>
      <c r="C104" s="3"/>
      <c r="D104" s="3"/>
      <c r="E104" s="5"/>
      <c r="F104" s="5"/>
      <c r="G104" s="5"/>
      <c r="H104" s="5"/>
      <c r="I104" s="20"/>
      <c r="J104" s="20"/>
      <c r="K104" s="3"/>
      <c r="L104" s="3"/>
      <c r="M104" s="3"/>
    </row>
  </sheetData>
  <mergeCells count="10">
    <mergeCell ref="A1:M1"/>
    <mergeCell ref="E3:H3"/>
    <mergeCell ref="I3:J3"/>
    <mergeCell ref="D3:D4"/>
    <mergeCell ref="C3:C4"/>
    <mergeCell ref="B3:B4"/>
    <mergeCell ref="A3:A4"/>
    <mergeCell ref="K3:K4"/>
    <mergeCell ref="L3:L4"/>
    <mergeCell ref="M3:M4"/>
  </mergeCells>
  <phoneticPr fontId="2" type="noConversion"/>
  <dataValidations count="2">
    <dataValidation type="list" allowBlank="1" showInputMessage="1" showErrorMessage="1" sqref="B5:B104" xr:uid="{0FB4F007-5836-474D-AE56-360AD022836F}">
      <formula1>$O$5:$O$13</formula1>
    </dataValidation>
    <dataValidation type="list" allowBlank="1" showInputMessage="1" showErrorMessage="1" sqref="D5" xr:uid="{1FDB3BDF-7648-4829-A932-F21E556FE27D}">
      <formula1>$P$5:$P$13</formula1>
    </dataValidation>
  </dataValidations>
  <pageMargins left="0.7" right="0.7" top="0.75" bottom="0.75" header="0.3" footer="0.3"/>
  <pageSetup paperSize="9" scale="62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B556A-8C7D-4976-87FA-B54D0BD89077}">
  <dimension ref="A1:G5"/>
  <sheetViews>
    <sheetView view="pageBreakPreview" zoomScale="115" zoomScaleNormal="100" zoomScaleSheetLayoutView="115" workbookViewId="0">
      <selection activeCell="C4" sqref="C4"/>
    </sheetView>
  </sheetViews>
  <sheetFormatPr defaultRowHeight="16.5" x14ac:dyDescent="0.3"/>
  <cols>
    <col min="1" max="1" width="5.625" style="1" customWidth="1"/>
    <col min="2" max="2" width="4.625" style="1" customWidth="1"/>
    <col min="3" max="6" width="12.625" style="1" customWidth="1"/>
    <col min="7" max="7" width="5.625" style="1" customWidth="1"/>
    <col min="8" max="16384" width="9" style="1"/>
  </cols>
  <sheetData>
    <row r="1" spans="1:7" ht="15" customHeight="1" x14ac:dyDescent="0.3">
      <c r="A1" s="24"/>
      <c r="B1" s="24"/>
      <c r="C1" s="24"/>
      <c r="D1" s="24"/>
      <c r="E1" s="24"/>
      <c r="F1" s="24"/>
      <c r="G1" s="24"/>
    </row>
    <row r="2" spans="1:7" ht="24.95" customHeight="1" x14ac:dyDescent="0.3">
      <c r="A2" s="24"/>
      <c r="B2" s="74" t="s">
        <v>11</v>
      </c>
      <c r="C2" s="25" t="s">
        <v>7</v>
      </c>
      <c r="D2" s="25" t="s">
        <v>8</v>
      </c>
      <c r="E2" s="25" t="s">
        <v>9</v>
      </c>
      <c r="F2" s="25" t="s">
        <v>10</v>
      </c>
      <c r="G2" s="24"/>
    </row>
    <row r="3" spans="1:7" ht="60" customHeight="1" x14ac:dyDescent="0.3">
      <c r="A3" s="24"/>
      <c r="B3" s="75"/>
      <c r="C3" s="26" t="s">
        <v>66</v>
      </c>
      <c r="D3" s="26"/>
      <c r="E3" s="26"/>
      <c r="F3" s="26"/>
      <c r="G3" s="24"/>
    </row>
    <row r="4" spans="1:7" ht="24.95" customHeight="1" x14ac:dyDescent="0.3">
      <c r="A4" s="24"/>
      <c r="B4" s="75"/>
      <c r="C4" s="27">
        <f ca="1">TODAY()</f>
        <v>46189</v>
      </c>
      <c r="D4" s="28" t="s">
        <v>12</v>
      </c>
      <c r="E4" s="28" t="s">
        <v>12</v>
      </c>
      <c r="F4" s="28" t="s">
        <v>12</v>
      </c>
      <c r="G4" s="24"/>
    </row>
    <row r="5" spans="1:7" ht="15" customHeight="1" x14ac:dyDescent="0.3">
      <c r="A5" s="24"/>
      <c r="B5" s="24"/>
      <c r="C5" s="24"/>
      <c r="D5" s="24"/>
      <c r="E5" s="24"/>
      <c r="F5" s="24"/>
      <c r="G5" s="24"/>
    </row>
  </sheetData>
  <mergeCells count="1">
    <mergeCell ref="B2:B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일일현황</vt:lpstr>
      <vt:lpstr>집계</vt:lpstr>
      <vt:lpstr>진행현황</vt:lpstr>
      <vt:lpstr>결재라인</vt:lpstr>
      <vt:lpstr>결재라인!Print_Area</vt:lpstr>
      <vt:lpstr>일일현황!Print_Area</vt:lpstr>
      <vt:lpstr>진행현황!Print_Area</vt:lpstr>
      <vt:lpstr>집계!Print_Area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lmcfirm leader</dc:creator>
  <cp:lastModifiedBy>민선 김</cp:lastModifiedBy>
  <cp:lastPrinted>2025-12-31T05:14:24Z</cp:lastPrinted>
  <dcterms:created xsi:type="dcterms:W3CDTF">2025-12-31T01:37:05Z</dcterms:created>
  <dcterms:modified xsi:type="dcterms:W3CDTF">2026-06-16T08:50:18Z</dcterms:modified>
</cp:coreProperties>
</file>