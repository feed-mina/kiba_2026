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ecost3\kiba\02. 원가분석본부\2026년 원가계산\2026 중소기업혁신바우처사업\"/>
    </mc:Choice>
  </mc:AlternateContent>
  <xr:revisionPtr revIDLastSave="0" documentId="13_ncr:1_{2229C78A-4C78-4B47-B4E5-C28CB81574B9}" xr6:coauthVersionLast="47" xr6:coauthVersionMax="47" xr10:uidLastSave="{00000000-0000-0000-0000-000000000000}"/>
  <bookViews>
    <workbookView xWindow="-120" yWindow="-120" windowWidth="24240" windowHeight="13020" xr2:uid="{12F250FC-40A1-4513-A206-2CFD9C01CD93}"/>
  </bookViews>
  <sheets>
    <sheet name="일별현황_2026" sheetId="15" r:id="rId1"/>
    <sheet name="26년 LIST (산학연)" sheetId="21" r:id="rId2"/>
    <sheet name="수행" sheetId="18" r:id="rId3"/>
    <sheet name="도장, prg" sheetId="13" r:id="rId4"/>
    <sheet name="담당자 연락처" sheetId="22" r:id="rId5"/>
    <sheet name="진행상황표" sheetId="20" state="hidden" r:id="rId6"/>
  </sheets>
  <definedNames>
    <definedName name="_xlnm._FilterDatabase" localSheetId="1" hidden="1">'26년 LIST (산학연)'!$B$3:$P$1010</definedName>
    <definedName name="_xlnm._FilterDatabase" localSheetId="0" hidden="1">일별현황_2026!$B$1:$N$8</definedName>
    <definedName name="_xlnm._FilterDatabase" localSheetId="5" hidden="1">진행상황표!$A$9:$AB$1683</definedName>
    <definedName name="excelContent" localSheetId="0">#REF!</definedName>
    <definedName name="excelContent">#REF!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"&amp;REPT(LOCAL_HOUR_FORMAT,2)&amp;LOCAL_TIME_SEPARATOR&amp;REPT(LOCAL_MINUTE_FORMAT,2)&amp;LOCAL_TIME_SEPARATOR&amp;REPT([0]!LOCAL_SECOND_FORMAT,2)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"&amp;REPT(LOCAL_HOUR_FORMAT,2)&amp;LOCAL_TIME_SEPARATOR&amp;REPT(LOCAL_MINUTE_FORMAT,2)&amp;LOCAL_TIME_SEPARATOR&amp;REPT([0]!LOCAL_SECOND_FORMAT,2)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"&amp;REPT(LOCAL_HOUR_FORMAT,2)&amp;LOCAL_TIME_SEPARATOR&amp;REPT(LOCAL_MINUTE_FORMAT,2)&amp;LOCAL_TIME_SEPARATOR&amp;REPT([0]!LOCAL_SECOND_FORMAT,2)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 hidden="1">" "</definedName>
    <definedName name="_xlnm.Print_Area" localSheetId="1">'26년 LIST (산학연)'!$B$1:$N$938</definedName>
    <definedName name="_xlnm.Print_Area" localSheetId="2">수행!$A$1:$H$20</definedName>
    <definedName name="_xlnm.Print_Area" localSheetId="0">일별현황_2026!$A$1:$Q$34</definedName>
    <definedName name="_xlnm.Print_Area" localSheetId="5">진행상황표!$B$1:$Q$53</definedName>
    <definedName name="_xlnm.Print_Titles" localSheetId="1">'26년 LIST (산학연)'!$1:$3</definedName>
    <definedName name="_xlnm.Print_Titles" localSheetId="5">진행상황표!$1:$9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5" l="1"/>
  <c r="E8" i="15"/>
  <c r="E10" i="15" s="1"/>
  <c r="K8" i="15"/>
  <c r="J8" i="15"/>
  <c r="I8" i="15"/>
  <c r="H8" i="15"/>
  <c r="G8" i="15"/>
  <c r="D8" i="15"/>
  <c r="R22" i="13"/>
  <c r="R21" i="13"/>
  <c r="R19" i="13"/>
  <c r="R18" i="13"/>
  <c r="L8" i="15" l="1"/>
  <c r="D15" i="18"/>
  <c r="O4" i="21"/>
  <c r="B5" i="21"/>
  <c r="B6" i="21" s="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l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O53" i="21" s="1"/>
  <c r="O25" i="21"/>
  <c r="O17" i="21"/>
  <c r="O9" i="21"/>
  <c r="O16" i="21"/>
  <c r="O7" i="21"/>
  <c r="O22" i="21"/>
  <c r="O14" i="21"/>
  <c r="O6" i="21"/>
  <c r="O23" i="21"/>
  <c r="O29" i="21"/>
  <c r="O21" i="21"/>
  <c r="O13" i="21"/>
  <c r="O5" i="21"/>
  <c r="O24" i="21"/>
  <c r="O30" i="21"/>
  <c r="O28" i="21"/>
  <c r="O20" i="21"/>
  <c r="O12" i="21"/>
  <c r="O8" i="21"/>
  <c r="O15" i="21"/>
  <c r="O27" i="21"/>
  <c r="O19" i="21"/>
  <c r="O11" i="21"/>
  <c r="O26" i="21"/>
  <c r="O18" i="21"/>
  <c r="O10" i="21"/>
  <c r="O34" i="21" l="1"/>
  <c r="O31" i="21"/>
  <c r="O47" i="21"/>
  <c r="O42" i="21"/>
  <c r="O35" i="21"/>
  <c r="O33" i="21"/>
  <c r="O50" i="21"/>
  <c r="O43" i="21"/>
  <c r="O36" i="21"/>
  <c r="O38" i="21"/>
  <c r="O41" i="21"/>
  <c r="O51" i="21"/>
  <c r="O49" i="21"/>
  <c r="O44" i="21"/>
  <c r="O37" i="21"/>
  <c r="O32" i="21"/>
  <c r="O39" i="21"/>
  <c r="O46" i="21"/>
  <c r="O52" i="21"/>
  <c r="O45" i="21"/>
  <c r="O40" i="21"/>
  <c r="B54" i="21"/>
  <c r="O54" i="21" s="1"/>
  <c r="O48" i="21"/>
  <c r="H10" i="15"/>
  <c r="B55" i="21" l="1"/>
  <c r="O55" i="21" s="1"/>
  <c r="B56" i="21" l="1"/>
  <c r="O56" i="21" s="1"/>
  <c r="J31" i="15"/>
  <c r="G32" i="15"/>
  <c r="F32" i="15"/>
  <c r="D32" i="15"/>
  <c r="C5" i="15"/>
  <c r="B57" i="21" l="1"/>
  <c r="O57" i="21" s="1"/>
  <c r="B8" i="20"/>
  <c r="J28" i="20"/>
  <c r="J27" i="20"/>
  <c r="J26" i="20"/>
  <c r="J25" i="20"/>
  <c r="B31" i="20"/>
  <c r="B58" i="21" l="1"/>
  <c r="O58" i="21" s="1"/>
  <c r="J24" i="20"/>
  <c r="J23" i="20"/>
  <c r="B59" i="21" l="1"/>
  <c r="O59" i="21" s="1"/>
  <c r="J16" i="20"/>
  <c r="J18" i="20"/>
  <c r="J17" i="20"/>
  <c r="J20" i="20"/>
  <c r="J19" i="20"/>
  <c r="J22" i="20"/>
  <c r="J21" i="20"/>
  <c r="B60" i="21" l="1"/>
  <c r="O60" i="21" s="1"/>
  <c r="J57" i="20"/>
  <c r="J56" i="20"/>
  <c r="J55" i="20"/>
  <c r="J54" i="20"/>
  <c r="J53" i="20"/>
  <c r="J52" i="20"/>
  <c r="J51" i="20"/>
  <c r="J50" i="20"/>
  <c r="J49" i="20"/>
  <c r="J48" i="20"/>
  <c r="J35" i="20"/>
  <c r="J47" i="20"/>
  <c r="J46" i="20"/>
  <c r="J45" i="20"/>
  <c r="J44" i="20"/>
  <c r="J43" i="20"/>
  <c r="J42" i="20"/>
  <c r="J41" i="20"/>
  <c r="J40" i="20"/>
  <c r="J39" i="20"/>
  <c r="J38" i="20"/>
  <c r="J37" i="20"/>
  <c r="J15" i="20"/>
  <c r="B61" i="21" l="1"/>
  <c r="O61" i="21" s="1"/>
  <c r="J36" i="20"/>
  <c r="J11" i="20"/>
  <c r="J12" i="20"/>
  <c r="J13" i="20"/>
  <c r="J14" i="20"/>
  <c r="J34" i="20"/>
  <c r="B62" i="21" l="1"/>
  <c r="O62" i="21" s="1"/>
  <c r="S29" i="20"/>
  <c r="B63" i="21" l="1"/>
  <c r="O63" i="21" s="1"/>
  <c r="U29" i="20"/>
  <c r="J31" i="20"/>
  <c r="B64" i="21" l="1"/>
  <c r="O64" i="21" s="1"/>
  <c r="B65" i="21"/>
  <c r="O65" i="21" s="1"/>
  <c r="S22" i="13"/>
  <c r="S21" i="13"/>
  <c r="S19" i="13"/>
  <c r="S18" i="13"/>
  <c r="J30" i="15" l="1"/>
  <c r="I30" i="15"/>
  <c r="B66" i="21"/>
  <c r="O66" i="21" s="1"/>
  <c r="U9" i="15"/>
  <c r="V9" i="15" s="1"/>
  <c r="G10" i="15"/>
  <c r="S23" i="13"/>
  <c r="S20" i="13"/>
  <c r="B5" i="18"/>
  <c r="B17" i="18"/>
  <c r="C17" i="18" s="1"/>
  <c r="D16" i="18"/>
  <c r="B16" i="18"/>
  <c r="B15" i="18"/>
  <c r="B67" i="21" l="1"/>
  <c r="O67" i="21" s="1"/>
  <c r="S24" i="13"/>
  <c r="I10" i="15"/>
  <c r="F10" i="15"/>
  <c r="B68" i="21" l="1"/>
  <c r="O68" i="21" s="1"/>
  <c r="D17" i="18"/>
  <c r="E17" i="18" s="1"/>
  <c r="D10" i="15" l="1"/>
  <c r="I29" i="15"/>
  <c r="I32" i="15" s="1"/>
  <c r="B69" i="21"/>
  <c r="O69" i="21" s="1"/>
  <c r="J10" i="15"/>
  <c r="K10" i="15"/>
  <c r="J8" i="20"/>
  <c r="B70" i="21" l="1"/>
  <c r="O70" i="21" s="1"/>
  <c r="J29" i="15"/>
  <c r="J32" i="15" s="1"/>
  <c r="H32" i="15"/>
  <c r="L10" i="15"/>
  <c r="U10" i="15" s="1"/>
  <c r="V10" i="15" s="1"/>
  <c r="U8" i="15"/>
  <c r="X3" i="20"/>
  <c r="Y3" i="20"/>
  <c r="Y2" i="20"/>
  <c r="W2" i="20"/>
  <c r="X2" i="20"/>
  <c r="W3" i="20"/>
  <c r="B71" i="21" l="1"/>
  <c r="O71" i="21" s="1"/>
  <c r="B72" i="21" l="1"/>
  <c r="O72" i="21" s="1"/>
  <c r="B73" i="21" l="1"/>
  <c r="O73" i="21" s="1"/>
  <c r="D7" i="18"/>
  <c r="B7" i="18"/>
  <c r="D6" i="18"/>
  <c r="B6" i="18"/>
  <c r="B18" i="18" s="1"/>
  <c r="D5" i="18"/>
  <c r="B74" i="21" l="1"/>
  <c r="O74" i="21" s="1"/>
  <c r="D18" i="18"/>
  <c r="B75" i="21" l="1"/>
  <c r="O75" i="21" s="1"/>
  <c r="B76" i="21" l="1"/>
  <c r="O76" i="21" s="1"/>
  <c r="C16" i="18"/>
  <c r="C15" i="18"/>
  <c r="E7" i="18"/>
  <c r="E6" i="18"/>
  <c r="C7" i="18"/>
  <c r="C6" i="18"/>
  <c r="C5" i="18"/>
  <c r="E5" i="18"/>
  <c r="B77" i="21" l="1"/>
  <c r="O77" i="21" s="1"/>
  <c r="E8" i="18"/>
  <c r="E9" i="18" s="1"/>
  <c r="C8" i="18"/>
  <c r="C9" i="18" s="1"/>
  <c r="C18" i="18"/>
  <c r="B8" i="18"/>
  <c r="B9" i="18" s="1"/>
  <c r="D8" i="18"/>
  <c r="D9" i="18" s="1"/>
  <c r="G6" i="18"/>
  <c r="G7" i="18"/>
  <c r="F6" i="18"/>
  <c r="F7" i="18"/>
  <c r="F5" i="18"/>
  <c r="G5" i="18"/>
  <c r="B78" i="21" l="1"/>
  <c r="O78" i="21" s="1"/>
  <c r="G8" i="18"/>
  <c r="G9" i="18" s="1"/>
  <c r="F8" i="18"/>
  <c r="F9" i="18" s="1"/>
  <c r="B79" i="21" l="1"/>
  <c r="O79" i="21" s="1"/>
  <c r="E18" i="18"/>
  <c r="E16" i="18"/>
  <c r="E15" i="18"/>
  <c r="C19" i="18"/>
  <c r="B80" i="21" l="1"/>
  <c r="O80" i="21" s="1"/>
  <c r="E19" i="18"/>
  <c r="D19" i="18"/>
  <c r="B19" i="18"/>
  <c r="B81" i="21" l="1"/>
  <c r="O81" i="21" s="1"/>
  <c r="B82" i="21" l="1"/>
  <c r="O82" i="21" s="1"/>
  <c r="G14" i="13"/>
  <c r="B83" i="21" l="1"/>
  <c r="O83" i="21" s="1"/>
  <c r="J6" i="15"/>
  <c r="U4" i="15"/>
  <c r="B84" i="21" l="1"/>
  <c r="O84" i="21" s="1"/>
  <c r="V8" i="15"/>
  <c r="B85" i="21" l="1"/>
  <c r="O85" i="21" s="1"/>
  <c r="B86" i="21" l="1"/>
  <c r="O86" i="21" s="1"/>
  <c r="R23" i="13"/>
  <c r="R20" i="13"/>
  <c r="B87" i="21" l="1"/>
  <c r="O87" i="21" s="1"/>
  <c r="R24" i="13"/>
  <c r="B88" i="21" l="1"/>
  <c r="O88" i="21" s="1"/>
  <c r="B89" i="21" l="1"/>
  <c r="O89" i="21" s="1"/>
  <c r="B90" i="21" l="1"/>
  <c r="O90" i="21" s="1"/>
  <c r="B91" i="21" l="1"/>
  <c r="O91" i="21" s="1"/>
  <c r="B92" i="21" l="1"/>
  <c r="O92" i="21" s="1"/>
  <c r="B93" i="21" l="1"/>
  <c r="O93" i="21" s="1"/>
  <c r="B94" i="21" l="1"/>
  <c r="O94" i="21" s="1"/>
  <c r="B95" i="21" l="1"/>
  <c r="O95" i="21" s="1"/>
  <c r="B96" i="21" l="1"/>
  <c r="O96" i="21" s="1"/>
  <c r="B97" i="21" l="1"/>
  <c r="O97" i="21" s="1"/>
  <c r="B98" i="21" l="1"/>
  <c r="O98" i="21" s="1"/>
  <c r="B99" i="21" l="1"/>
  <c r="O99" i="21" s="1"/>
  <c r="B100" i="21" l="1"/>
  <c r="O100" i="21" s="1"/>
  <c r="B101" i="21" l="1"/>
  <c r="O101" i="21" s="1"/>
  <c r="B102" i="21" l="1"/>
  <c r="O102" i="21" s="1"/>
  <c r="B103" i="21" l="1"/>
  <c r="O103" i="21" s="1"/>
  <c r="B104" i="21" l="1"/>
  <c r="O104" i="21" s="1"/>
  <c r="B105" i="21" l="1"/>
  <c r="O105" i="21" s="1"/>
  <c r="B106" i="21" l="1"/>
  <c r="O106" i="21" s="1"/>
  <c r="B107" i="21" l="1"/>
  <c r="O107" i="21" s="1"/>
  <c r="B108" i="21" l="1"/>
  <c r="O108" i="21" s="1"/>
  <c r="B109" i="21" l="1"/>
  <c r="O109" i="21" s="1"/>
  <c r="B110" i="21" l="1"/>
  <c r="O110" i="21" s="1"/>
  <c r="B111" i="21" l="1"/>
  <c r="O111" i="21" s="1"/>
  <c r="B112" i="21" l="1"/>
  <c r="O112" i="21" s="1"/>
  <c r="B113" i="21" l="1"/>
  <c r="O113" i="21" s="1"/>
  <c r="B114" i="21" l="1"/>
  <c r="O114" i="21" s="1"/>
  <c r="B115" i="21" l="1"/>
  <c r="O115" i="21" s="1"/>
  <c r="B116" i="21" l="1"/>
  <c r="O116" i="21" s="1"/>
  <c r="B117" i="21" l="1"/>
  <c r="O117" i="21" s="1"/>
  <c r="B118" i="21" l="1"/>
  <c r="O118" i="21" s="1"/>
  <c r="B119" i="21" l="1"/>
  <c r="O119" i="21" s="1"/>
  <c r="B120" i="21" l="1"/>
  <c r="O120" i="21" s="1"/>
  <c r="B121" i="21" l="1"/>
  <c r="O121" i="21" s="1"/>
  <c r="B122" i="21" l="1"/>
  <c r="O122" i="21" s="1"/>
  <c r="B123" i="21" l="1"/>
  <c r="O123" i="21" s="1"/>
  <c r="B124" i="21" l="1"/>
  <c r="O124" i="21" s="1"/>
  <c r="B125" i="21" l="1"/>
  <c r="O125" i="21" s="1"/>
  <c r="B126" i="21" l="1"/>
  <c r="O126" i="21" s="1"/>
  <c r="B127" i="21" l="1"/>
  <c r="O127" i="21" s="1"/>
  <c r="B128" i="21" l="1"/>
  <c r="O128" i="21" s="1"/>
  <c r="B129" i="21" l="1"/>
  <c r="O129" i="21" s="1"/>
  <c r="B130" i="21" l="1"/>
  <c r="O130" i="21" s="1"/>
  <c r="B131" i="21" l="1"/>
  <c r="O131" i="21" s="1"/>
  <c r="B132" i="21" l="1"/>
  <c r="O132" i="21" s="1"/>
  <c r="B133" i="21" l="1"/>
  <c r="O133" i="21" s="1"/>
  <c r="B134" i="21" l="1"/>
  <c r="O134" i="21" s="1"/>
  <c r="B135" i="21" l="1"/>
  <c r="O135" i="21" s="1"/>
  <c r="B136" i="21" l="1"/>
  <c r="O136" i="21" s="1"/>
  <c r="B137" i="21" l="1"/>
  <c r="O137" i="21" s="1"/>
  <c r="B138" i="21" l="1"/>
  <c r="O138" i="21" s="1"/>
  <c r="B139" i="21" l="1"/>
  <c r="O139" i="21" s="1"/>
  <c r="B140" i="21" l="1"/>
  <c r="O140" i="21" s="1"/>
  <c r="B141" i="21" l="1"/>
  <c r="O141" i="21" s="1"/>
  <c r="B142" i="21" l="1"/>
  <c r="O142" i="21" s="1"/>
  <c r="B143" i="21" l="1"/>
  <c r="O143" i="21" s="1"/>
  <c r="B144" i="21" l="1"/>
  <c r="O144" i="21" s="1"/>
  <c r="B145" i="21" l="1"/>
  <c r="O145" i="21" s="1"/>
  <c r="B146" i="21" l="1"/>
  <c r="O146" i="21" s="1"/>
  <c r="B147" i="21" l="1"/>
  <c r="O147" i="21" s="1"/>
  <c r="B148" i="21" l="1"/>
  <c r="O148" i="21" s="1"/>
  <c r="B149" i="21" l="1"/>
  <c r="O149" i="21" s="1"/>
  <c r="B150" i="21" l="1"/>
  <c r="O150" i="21" s="1"/>
  <c r="B151" i="21" l="1"/>
  <c r="O151" i="21" s="1"/>
  <c r="B152" i="21" l="1"/>
  <c r="O152" i="21" s="1"/>
  <c r="B153" i="21" l="1"/>
  <c r="O153" i="21" s="1"/>
  <c r="B154" i="21" l="1"/>
  <c r="O154" i="21" s="1"/>
  <c r="B155" i="21" l="1"/>
  <c r="O155" i="21" s="1"/>
  <c r="B156" i="21" l="1"/>
  <c r="O156" i="21" s="1"/>
  <c r="B157" i="21" l="1"/>
  <c r="O157" i="21" s="1"/>
  <c r="B158" i="21" l="1"/>
  <c r="O158" i="21" s="1"/>
  <c r="B159" i="21" l="1"/>
  <c r="O159" i="21" s="1"/>
  <c r="B160" i="21" l="1"/>
  <c r="O160" i="21" s="1"/>
  <c r="B161" i="21" l="1"/>
  <c r="O161" i="21" s="1"/>
  <c r="B162" i="21" l="1"/>
  <c r="O162" i="21" s="1"/>
  <c r="B163" i="21" l="1"/>
  <c r="O163" i="21" s="1"/>
  <c r="B164" i="21" l="1"/>
  <c r="O164" i="21" s="1"/>
  <c r="B165" i="21" l="1"/>
  <c r="O165" i="21" s="1"/>
  <c r="B166" i="21" l="1"/>
  <c r="O166" i="21" s="1"/>
  <c r="B167" i="21" l="1"/>
  <c r="O167" i="21" s="1"/>
  <c r="B168" i="21" l="1"/>
  <c r="O168" i="21" s="1"/>
  <c r="B169" i="21" l="1"/>
  <c r="O169" i="21" s="1"/>
  <c r="B170" i="21" l="1"/>
  <c r="O170" i="21" s="1"/>
  <c r="B171" i="21" l="1"/>
  <c r="O171" i="21" s="1"/>
  <c r="B172" i="21" l="1"/>
  <c r="O172" i="21" s="1"/>
  <c r="B173" i="21" l="1"/>
  <c r="O173" i="21" s="1"/>
  <c r="B174" i="21" l="1"/>
  <c r="O174" i="21" s="1"/>
  <c r="B175" i="21" l="1"/>
  <c r="O175" i="21" s="1"/>
  <c r="B176" i="21" l="1"/>
  <c r="O176" i="21" s="1"/>
  <c r="B177" i="21" l="1"/>
  <c r="O177" i="21" s="1"/>
  <c r="B178" i="21" l="1"/>
  <c r="O178" i="21" s="1"/>
  <c r="B179" i="21" l="1"/>
  <c r="O179" i="21" s="1"/>
  <c r="B180" i="21" l="1"/>
  <c r="O180" i="21" s="1"/>
  <c r="B181" i="21" l="1"/>
  <c r="O181" i="21" s="1"/>
  <c r="B182" i="21" l="1"/>
  <c r="O182" i="21" s="1"/>
  <c r="B183" i="21" l="1"/>
  <c r="O183" i="21" s="1"/>
  <c r="B184" i="21" l="1"/>
  <c r="O184" i="21" s="1"/>
  <c r="B185" i="21" l="1"/>
  <c r="O185" i="21" s="1"/>
  <c r="B186" i="21" l="1"/>
  <c r="O186" i="21" s="1"/>
  <c r="B187" i="21" l="1"/>
  <c r="O187" i="21" s="1"/>
  <c r="B188" i="21" l="1"/>
  <c r="O188" i="21" s="1"/>
  <c r="B189" i="21" l="1"/>
  <c r="O189" i="21" s="1"/>
  <c r="B190" i="21" l="1"/>
  <c r="O190" i="21" s="1"/>
  <c r="B191" i="21" l="1"/>
  <c r="O191" i="21" s="1"/>
  <c r="B192" i="21" l="1"/>
  <c r="O192" i="21" s="1"/>
  <c r="B193" i="21" l="1"/>
  <c r="O193" i="21" s="1"/>
  <c r="B194" i="21" l="1"/>
  <c r="O194" i="21" s="1"/>
  <c r="B195" i="21" l="1"/>
  <c r="O195" i="21" s="1"/>
  <c r="B196" i="21" l="1"/>
  <c r="O196" i="21" s="1"/>
  <c r="B197" i="21" l="1"/>
  <c r="O197" i="21" s="1"/>
  <c r="B198" i="21" l="1"/>
  <c r="O198" i="21" s="1"/>
  <c r="B199" i="21" l="1"/>
  <c r="O199" i="21" s="1"/>
  <c r="B200" i="21" l="1"/>
  <c r="O200" i="21" s="1"/>
  <c r="B201" i="21" l="1"/>
  <c r="O201" i="21" s="1"/>
  <c r="B202" i="21" l="1"/>
  <c r="O202" i="21" s="1"/>
  <c r="B203" i="21" l="1"/>
  <c r="O203" i="21" s="1"/>
  <c r="B204" i="21" l="1"/>
  <c r="O204" i="21" s="1"/>
  <c r="B205" i="21" l="1"/>
  <c r="O205" i="21" s="1"/>
  <c r="B206" i="21" l="1"/>
  <c r="O206" i="21" s="1"/>
  <c r="B207" i="21" l="1"/>
  <c r="O207" i="21" s="1"/>
  <c r="B208" i="21" l="1"/>
  <c r="O208" i="21" s="1"/>
  <c r="B209" i="21" l="1"/>
  <c r="O209" i="21" s="1"/>
  <c r="B210" i="21" l="1"/>
  <c r="O210" i="21" s="1"/>
  <c r="B211" i="21" l="1"/>
  <c r="O211" i="21" s="1"/>
  <c r="B212" i="21" l="1"/>
  <c r="O212" i="21" s="1"/>
  <c r="B213" i="21" l="1"/>
  <c r="O213" i="21" s="1"/>
  <c r="B214" i="21" l="1"/>
  <c r="O214" i="21" s="1"/>
  <c r="B215" i="21" l="1"/>
  <c r="O215" i="21" s="1"/>
  <c r="B216" i="21" l="1"/>
  <c r="O216" i="21" s="1"/>
  <c r="B217" i="21" l="1"/>
  <c r="O217" i="21" s="1"/>
  <c r="B218" i="21" l="1"/>
  <c r="O218" i="21" s="1"/>
  <c r="B219" i="21" l="1"/>
  <c r="O219" i="21" s="1"/>
  <c r="B220" i="21" l="1"/>
  <c r="O220" i="21" s="1"/>
  <c r="B221" i="21" l="1"/>
  <c r="O221" i="21" s="1"/>
  <c r="B222" i="21" l="1"/>
  <c r="O222" i="21" s="1"/>
  <c r="B223" i="21" l="1"/>
  <c r="O223" i="21" s="1"/>
  <c r="B224" i="21" l="1"/>
  <c r="O224" i="21" s="1"/>
  <c r="B225" i="21" l="1"/>
  <c r="O225" i="21" s="1"/>
  <c r="B226" i="21" l="1"/>
  <c r="O226" i="21" s="1"/>
  <c r="B227" i="21" l="1"/>
  <c r="O227" i="21" s="1"/>
  <c r="B228" i="21" l="1"/>
  <c r="O228" i="21" s="1"/>
  <c r="B229" i="21" l="1"/>
  <c r="O229" i="21" s="1"/>
  <c r="B230" i="21" l="1"/>
  <c r="O230" i="21" s="1"/>
  <c r="B231" i="21" l="1"/>
  <c r="O231" i="21" s="1"/>
  <c r="B232" i="21" l="1"/>
  <c r="O232" i="21" s="1"/>
  <c r="B233" i="21" l="1"/>
  <c r="O233" i="21" s="1"/>
  <c r="B234" i="21" l="1"/>
  <c r="O234" i="21" s="1"/>
  <c r="B235" i="21" l="1"/>
  <c r="O235" i="21" s="1"/>
  <c r="B236" i="21" l="1"/>
  <c r="O236" i="21" s="1"/>
  <c r="B237" i="21" l="1"/>
  <c r="O237" i="21" s="1"/>
  <c r="B238" i="21" l="1"/>
  <c r="O238" i="21" s="1"/>
  <c r="B239" i="21" l="1"/>
  <c r="O239" i="21" s="1"/>
  <c r="B240" i="21" l="1"/>
  <c r="O240" i="21" s="1"/>
  <c r="B241" i="21" l="1"/>
  <c r="O241" i="21" s="1"/>
  <c r="B242" i="21" l="1"/>
  <c r="O242" i="21" s="1"/>
  <c r="B243" i="21" l="1"/>
  <c r="O243" i="21" s="1"/>
  <c r="B244" i="21" l="1"/>
  <c r="O244" i="21" s="1"/>
  <c r="B245" i="21" l="1"/>
  <c r="O245" i="21" s="1"/>
  <c r="B246" i="21" l="1"/>
  <c r="O246" i="21" s="1"/>
  <c r="B247" i="21" l="1"/>
  <c r="O247" i="21" s="1"/>
  <c r="B248" i="21" l="1"/>
  <c r="O248" i="21" s="1"/>
  <c r="B249" i="21" l="1"/>
  <c r="O249" i="21" s="1"/>
  <c r="B250" i="21" l="1"/>
  <c r="O250" i="21" s="1"/>
  <c r="B251" i="21" l="1"/>
  <c r="O251" i="21" s="1"/>
  <c r="B252" i="21" l="1"/>
  <c r="O252" i="21" s="1"/>
  <c r="B253" i="21" l="1"/>
  <c r="O253" i="21" s="1"/>
  <c r="B254" i="21" l="1"/>
  <c r="O254" i="21" s="1"/>
  <c r="B255" i="21" l="1"/>
  <c r="O255" i="21" s="1"/>
  <c r="B256" i="21" l="1"/>
  <c r="O256" i="21" s="1"/>
  <c r="B257" i="21" l="1"/>
  <c r="O257" i="21" s="1"/>
  <c r="B258" i="21" l="1"/>
  <c r="O258" i="21" s="1"/>
  <c r="B259" i="21" l="1"/>
  <c r="O259" i="21" s="1"/>
  <c r="B260" i="21" l="1"/>
  <c r="O260" i="21" s="1"/>
  <c r="B261" i="21" l="1"/>
  <c r="O261" i="21" s="1"/>
  <c r="B262" i="21" l="1"/>
  <c r="O262" i="21" s="1"/>
  <c r="B263" i="21" l="1"/>
  <c r="O263" i="21" s="1"/>
  <c r="B264" i="21" l="1"/>
  <c r="O264" i="21" s="1"/>
  <c r="B265" i="21" l="1"/>
  <c r="O265" i="21" s="1"/>
  <c r="B266" i="21" l="1"/>
  <c r="O266" i="21" s="1"/>
  <c r="B267" i="21" l="1"/>
  <c r="O267" i="21" s="1"/>
  <c r="B268" i="21" l="1"/>
  <c r="O268" i="21" s="1"/>
  <c r="B269" i="21" l="1"/>
  <c r="O269" i="21" s="1"/>
  <c r="B270" i="21" l="1"/>
  <c r="O270" i="21" s="1"/>
  <c r="B271" i="21" l="1"/>
  <c r="O271" i="21" s="1"/>
  <c r="B272" i="21" l="1"/>
  <c r="O272" i="21" s="1"/>
  <c r="B273" i="21" l="1"/>
  <c r="O273" i="21" s="1"/>
  <c r="B274" i="21" l="1"/>
  <c r="O274" i="21" s="1"/>
  <c r="B275" i="21" l="1"/>
  <c r="O275" i="21" s="1"/>
  <c r="B276" i="21" l="1"/>
  <c r="O276" i="21" s="1"/>
  <c r="B277" i="21" l="1"/>
  <c r="O277" i="21" s="1"/>
  <c r="B278" i="21" l="1"/>
  <c r="O278" i="21" s="1"/>
  <c r="B279" i="21" l="1"/>
  <c r="O279" i="21" s="1"/>
  <c r="B280" i="21" l="1"/>
  <c r="O280" i="21" s="1"/>
  <c r="B281" i="21" l="1"/>
  <c r="O281" i="21" s="1"/>
  <c r="B282" i="21" l="1"/>
  <c r="O282" i="21" s="1"/>
  <c r="B283" i="21" l="1"/>
  <c r="O283" i="21" s="1"/>
  <c r="B284" i="21" l="1"/>
  <c r="O284" i="21" s="1"/>
  <c r="B285" i="21" l="1"/>
  <c r="O285" i="21" s="1"/>
  <c r="B286" i="21" l="1"/>
  <c r="O286" i="21" s="1"/>
  <c r="B287" i="21" l="1"/>
  <c r="O287" i="21" s="1"/>
  <c r="B288" i="21" l="1"/>
  <c r="O288" i="21" s="1"/>
  <c r="B289" i="21" l="1"/>
  <c r="O289" i="21" s="1"/>
  <c r="B290" i="21" l="1"/>
  <c r="O290" i="21" s="1"/>
  <c r="B291" i="21" l="1"/>
  <c r="O291" i="21" s="1"/>
  <c r="B292" i="21" l="1"/>
  <c r="O292" i="21" s="1"/>
  <c r="B293" i="21" l="1"/>
  <c r="O293" i="21" s="1"/>
  <c r="B294" i="21" l="1"/>
  <c r="O294" i="21" s="1"/>
  <c r="B295" i="21" l="1"/>
  <c r="O295" i="21" s="1"/>
  <c r="B296" i="21" l="1"/>
  <c r="O296" i="21" s="1"/>
  <c r="B297" i="21" l="1"/>
  <c r="O297" i="21" s="1"/>
  <c r="B298" i="21" l="1"/>
  <c r="O298" i="21" s="1"/>
  <c r="B299" i="21" l="1"/>
  <c r="O299" i="21" s="1"/>
  <c r="B300" i="21" l="1"/>
  <c r="O300" i="21" s="1"/>
  <c r="B301" i="21" l="1"/>
  <c r="O301" i="21" s="1"/>
  <c r="B302" i="21" l="1"/>
  <c r="O302" i="21" s="1"/>
  <c r="B303" i="21" l="1"/>
  <c r="O303" i="21" s="1"/>
  <c r="B304" i="21" l="1"/>
  <c r="O304" i="21" s="1"/>
  <c r="B305" i="21" l="1"/>
  <c r="O305" i="21" s="1"/>
  <c r="B306" i="21" l="1"/>
  <c r="O306" i="21" s="1"/>
  <c r="B307" i="21" l="1"/>
  <c r="O307" i="21" s="1"/>
  <c r="B308" i="21" l="1"/>
  <c r="O308" i="21" s="1"/>
  <c r="B309" i="21" l="1"/>
  <c r="O309" i="21" s="1"/>
  <c r="B310" i="21" l="1"/>
  <c r="O310" i="21" s="1"/>
  <c r="B311" i="21" l="1"/>
  <c r="O311" i="21" s="1"/>
  <c r="B312" i="21" l="1"/>
  <c r="O312" i="21" s="1"/>
  <c r="B313" i="21" l="1"/>
  <c r="O313" i="21" s="1"/>
  <c r="B314" i="21" l="1"/>
  <c r="O314" i="21" s="1"/>
  <c r="B315" i="21" l="1"/>
  <c r="O315" i="21" s="1"/>
  <c r="B316" i="21" l="1"/>
  <c r="O316" i="21" s="1"/>
  <c r="B317" i="21" l="1"/>
  <c r="O317" i="21" s="1"/>
  <c r="B318" i="21" l="1"/>
  <c r="O318" i="21" s="1"/>
  <c r="B319" i="21" l="1"/>
  <c r="O319" i="21" s="1"/>
  <c r="B320" i="21" l="1"/>
  <c r="O320" i="21" s="1"/>
  <c r="B321" i="21" l="1"/>
  <c r="O321" i="21" s="1"/>
  <c r="B322" i="21" l="1"/>
  <c r="O322" i="21" s="1"/>
  <c r="B323" i="21" l="1"/>
  <c r="O323" i="21" s="1"/>
  <c r="B324" i="21" l="1"/>
  <c r="O324" i="21" s="1"/>
  <c r="B325" i="21" l="1"/>
  <c r="O325" i="21" s="1"/>
  <c r="B326" i="21" l="1"/>
  <c r="O326" i="21" s="1"/>
  <c r="B327" i="21" l="1"/>
  <c r="O327" i="21" s="1"/>
  <c r="B328" i="21" l="1"/>
  <c r="O328" i="21" s="1"/>
  <c r="B329" i="21" l="1"/>
  <c r="O329" i="21" s="1"/>
  <c r="B330" i="21" l="1"/>
  <c r="O330" i="21" s="1"/>
  <c r="B331" i="21" l="1"/>
  <c r="O331" i="21" s="1"/>
  <c r="B332" i="21" l="1"/>
  <c r="O332" i="21" s="1"/>
  <c r="B333" i="21" l="1"/>
  <c r="O333" i="21" s="1"/>
  <c r="B334" i="21" l="1"/>
  <c r="O334" i="21" s="1"/>
  <c r="B335" i="21" l="1"/>
  <c r="O335" i="21" s="1"/>
  <c r="B336" i="21" l="1"/>
  <c r="O336" i="21" s="1"/>
  <c r="B337" i="21" l="1"/>
  <c r="O337" i="21" s="1"/>
  <c r="B338" i="21" l="1"/>
  <c r="O338" i="21" s="1"/>
  <c r="B339" i="21" l="1"/>
  <c r="O339" i="21" s="1"/>
  <c r="B340" i="21" l="1"/>
  <c r="O340" i="21" s="1"/>
  <c r="B341" i="21" l="1"/>
  <c r="O341" i="21" s="1"/>
  <c r="B342" i="21" l="1"/>
  <c r="O342" i="21" s="1"/>
  <c r="B343" i="21" l="1"/>
  <c r="O343" i="21" s="1"/>
  <c r="B344" i="21" l="1"/>
  <c r="O344" i="21" s="1"/>
  <c r="B345" i="21" l="1"/>
  <c r="O345" i="21" s="1"/>
  <c r="B346" i="21" l="1"/>
  <c r="O346" i="21" s="1"/>
  <c r="B347" i="21" l="1"/>
  <c r="O347" i="21" s="1"/>
  <c r="B348" i="21" l="1"/>
  <c r="O348" i="21" s="1"/>
  <c r="B349" i="21" l="1"/>
  <c r="O349" i="21" s="1"/>
  <c r="B350" i="21" l="1"/>
  <c r="O350" i="21" s="1"/>
  <c r="B351" i="21" l="1"/>
  <c r="O351" i="21" s="1"/>
  <c r="B352" i="21" l="1"/>
  <c r="O352" i="21" s="1"/>
  <c r="B353" i="21" l="1"/>
  <c r="O353" i="21" s="1"/>
  <c r="B354" i="21" l="1"/>
  <c r="O354" i="21" s="1"/>
  <c r="B355" i="21" l="1"/>
  <c r="O355" i="21" s="1"/>
  <c r="B356" i="21" l="1"/>
  <c r="O356" i="21" s="1"/>
  <c r="B357" i="21" l="1"/>
  <c r="O357" i="21" s="1"/>
  <c r="B358" i="21" l="1"/>
  <c r="O358" i="21" s="1"/>
  <c r="B359" i="21" l="1"/>
  <c r="B360" i="21" l="1"/>
  <c r="O359" i="21"/>
  <c r="B361" i="21" l="1"/>
  <c r="O360" i="21"/>
  <c r="B362" i="21" l="1"/>
  <c r="O361" i="21"/>
  <c r="B363" i="21" l="1"/>
  <c r="O362" i="21"/>
  <c r="O363" i="21" l="1"/>
  <c r="B364" i="21"/>
  <c r="B365" i="21" l="1"/>
  <c r="O364" i="21"/>
  <c r="B366" i="21" l="1"/>
  <c r="O365" i="21"/>
  <c r="B367" i="21" l="1"/>
  <c r="O366" i="21"/>
  <c r="O367" i="21" l="1"/>
  <c r="B368" i="21"/>
  <c r="O368" i="21" l="1"/>
  <c r="B369" i="21"/>
  <c r="B370" i="21" l="1"/>
  <c r="O369" i="21"/>
  <c r="B371" i="21" l="1"/>
  <c r="O370" i="21"/>
  <c r="B372" i="21" l="1"/>
  <c r="O371" i="21"/>
  <c r="O372" i="21" l="1"/>
  <c r="B373" i="21"/>
  <c r="O373" i="21" l="1"/>
  <c r="B374" i="21"/>
  <c r="O374" i="21" l="1"/>
  <c r="B375" i="21"/>
  <c r="O375" i="21" l="1"/>
  <c r="B376" i="21"/>
  <c r="B377" i="21" l="1"/>
  <c r="O376" i="21"/>
  <c r="O377" i="21" l="1"/>
  <c r="B378" i="21"/>
  <c r="O378" i="21" l="1"/>
  <c r="B379" i="21"/>
  <c r="B380" i="21" l="1"/>
  <c r="O379" i="21"/>
  <c r="O380" i="21" l="1"/>
  <c r="B381" i="21"/>
  <c r="B382" i="21" l="1"/>
  <c r="O381" i="21"/>
  <c r="O382" i="21" l="1"/>
  <c r="B383" i="21"/>
  <c r="B384" i="21" l="1"/>
  <c r="O383" i="21"/>
  <c r="O384" i="21" l="1"/>
  <c r="B385" i="21"/>
  <c r="B386" i="21" l="1"/>
  <c r="O385" i="21"/>
  <c r="B387" i="21" l="1"/>
  <c r="O386" i="21"/>
  <c r="B388" i="21" l="1"/>
  <c r="O387" i="21"/>
  <c r="O388" i="21" l="1"/>
  <c r="B389" i="21"/>
  <c r="B390" i="21" l="1"/>
  <c r="O389" i="21"/>
  <c r="O390" i="21" l="1"/>
  <c r="B391" i="21"/>
  <c r="B392" i="21" l="1"/>
  <c r="O391" i="21"/>
  <c r="O392" i="21" l="1"/>
  <c r="B393" i="21"/>
  <c r="O393" i="21" l="1"/>
  <c r="B394" i="21"/>
  <c r="O394" i="21" l="1"/>
  <c r="B395" i="21"/>
  <c r="B396" i="21" l="1"/>
  <c r="O395" i="21"/>
  <c r="O396" i="21" l="1"/>
  <c r="B397" i="21"/>
  <c r="O397" i="21" l="1"/>
  <c r="B398" i="21"/>
  <c r="O398" i="21" l="1"/>
  <c r="B399" i="21"/>
  <c r="O399" i="21" l="1"/>
  <c r="B400" i="21"/>
  <c r="O400" i="21" l="1"/>
  <c r="B401" i="21"/>
  <c r="O401" i="21" l="1"/>
  <c r="B402" i="21"/>
  <c r="B403" i="21" l="1"/>
  <c r="O402" i="21"/>
  <c r="O403" i="21" l="1"/>
  <c r="B404" i="21"/>
  <c r="B405" i="21" l="1"/>
  <c r="O404" i="21"/>
  <c r="O405" i="21" l="1"/>
  <c r="B406" i="21"/>
  <c r="O406" i="21" l="1"/>
  <c r="B407" i="21"/>
  <c r="O407" i="21" l="1"/>
  <c r="B408" i="21"/>
  <c r="B409" i="21" l="1"/>
  <c r="O408" i="21"/>
  <c r="O409" i="21" l="1"/>
  <c r="B410" i="21"/>
  <c r="B411" i="21" l="1"/>
  <c r="O410" i="21"/>
  <c r="B412" i="21" l="1"/>
  <c r="O411" i="21"/>
  <c r="B413" i="21" l="1"/>
  <c r="O412" i="21"/>
  <c r="B414" i="21" l="1"/>
  <c r="O413" i="21"/>
  <c r="O414" i="21" l="1"/>
  <c r="B415" i="21"/>
  <c r="O415" i="21" l="1"/>
  <c r="B416" i="21"/>
  <c r="O416" i="21" l="1"/>
  <c r="B417" i="21"/>
  <c r="O417" i="21" l="1"/>
  <c r="B418" i="21"/>
  <c r="B419" i="21" l="1"/>
  <c r="O418" i="21"/>
  <c r="B420" i="21" l="1"/>
  <c r="O419" i="21"/>
  <c r="B421" i="21" l="1"/>
  <c r="O420" i="21"/>
  <c r="B422" i="21" l="1"/>
  <c r="O421" i="21"/>
  <c r="B423" i="21" l="1"/>
  <c r="O422" i="21"/>
  <c r="O423" i="21" l="1"/>
  <c r="B424" i="21"/>
  <c r="O424" i="21" l="1"/>
  <c r="B425" i="21"/>
  <c r="O425" i="21" l="1"/>
  <c r="B426" i="21"/>
  <c r="B427" i="21" l="1"/>
  <c r="O426" i="21"/>
  <c r="B428" i="21" l="1"/>
  <c r="O427" i="21"/>
  <c r="B429" i="21" l="1"/>
  <c r="O428" i="21"/>
  <c r="B430" i="21" l="1"/>
  <c r="O429" i="21"/>
  <c r="B431" i="21" l="1"/>
  <c r="O430" i="21"/>
  <c r="B432" i="21" l="1"/>
  <c r="O431" i="21"/>
  <c r="O432" i="21" l="1"/>
  <c r="B433" i="21"/>
  <c r="B434" i="21" l="1"/>
  <c r="O433" i="21"/>
  <c r="O434" i="21" l="1"/>
  <c r="B435" i="21"/>
  <c r="B436" i="21" l="1"/>
  <c r="O435" i="21"/>
  <c r="O436" i="21" l="1"/>
  <c r="B437" i="21"/>
  <c r="B438" i="21" l="1"/>
  <c r="O437" i="21"/>
  <c r="B439" i="21" l="1"/>
  <c r="O438" i="21"/>
  <c r="B440" i="21" l="1"/>
  <c r="O439" i="21"/>
  <c r="O440" i="21" l="1"/>
  <c r="B441" i="21"/>
  <c r="B442" i="21" l="1"/>
  <c r="O441" i="21"/>
  <c r="B443" i="21" l="1"/>
  <c r="O442" i="21"/>
  <c r="B444" i="21" l="1"/>
  <c r="O443" i="21"/>
  <c r="O444" i="21" l="1"/>
  <c r="B445" i="21"/>
  <c r="B446" i="21" l="1"/>
  <c r="O445" i="21"/>
  <c r="O446" i="21" l="1"/>
  <c r="B447" i="21"/>
  <c r="B448" i="21" l="1"/>
  <c r="O447" i="21"/>
  <c r="O448" i="21" l="1"/>
  <c r="B449" i="21"/>
  <c r="B450" i="21" l="1"/>
  <c r="O449" i="21"/>
  <c r="B451" i="21" l="1"/>
  <c r="O450" i="21"/>
  <c r="B452" i="21" l="1"/>
  <c r="O451" i="21"/>
  <c r="O452" i="21" l="1"/>
  <c r="B453" i="21"/>
  <c r="B454" i="21" l="1"/>
  <c r="O453" i="21"/>
  <c r="B455" i="21" l="1"/>
  <c r="O454" i="21"/>
  <c r="O455" i="21" l="1"/>
  <c r="B456" i="21"/>
  <c r="B457" i="21" l="1"/>
  <c r="O456" i="21"/>
  <c r="B458" i="21" l="1"/>
  <c r="O457" i="21"/>
  <c r="B459" i="21" l="1"/>
  <c r="O458" i="21"/>
  <c r="B460" i="21" l="1"/>
  <c r="O459" i="21"/>
  <c r="O460" i="21" l="1"/>
  <c r="B461" i="21"/>
  <c r="B462" i="21" l="1"/>
  <c r="O461" i="21"/>
  <c r="B463" i="21" l="1"/>
  <c r="O462" i="21"/>
  <c r="O463" i="21" l="1"/>
  <c r="B464" i="21"/>
  <c r="O464" i="21" l="1"/>
  <c r="B465" i="21"/>
  <c r="B466" i="21" l="1"/>
  <c r="O465" i="21"/>
  <c r="O466" i="21" l="1"/>
  <c r="B467" i="21"/>
  <c r="O467" i="21" l="1"/>
  <c r="B468" i="21"/>
  <c r="O468" i="21" l="1"/>
  <c r="B469" i="21"/>
  <c r="B470" i="21" l="1"/>
  <c r="O469" i="21"/>
  <c r="O470" i="21" l="1"/>
  <c r="B471" i="21"/>
  <c r="O471" i="21" l="1"/>
  <c r="B472" i="21"/>
  <c r="O472" i="21" l="1"/>
  <c r="B473" i="21"/>
  <c r="O473" i="21" l="1"/>
  <c r="B474" i="21"/>
  <c r="B475" i="21" l="1"/>
  <c r="O474" i="21"/>
  <c r="B476" i="21" l="1"/>
  <c r="O475" i="21"/>
  <c r="O476" i="21" l="1"/>
  <c r="B477" i="21"/>
  <c r="B478" i="21" l="1"/>
  <c r="O477" i="21"/>
  <c r="O478" i="21" l="1"/>
  <c r="B479" i="21"/>
  <c r="O479" i="21" l="1"/>
  <c r="B480" i="21"/>
  <c r="O480" i="21" l="1"/>
  <c r="B481" i="21"/>
  <c r="B482" i="21" l="1"/>
  <c r="O481" i="21"/>
  <c r="O482" i="21" l="1"/>
  <c r="B483" i="21"/>
  <c r="O483" i="21" l="1"/>
  <c r="B484" i="21"/>
  <c r="B485" i="21" l="1"/>
  <c r="O484" i="21"/>
  <c r="O485" i="21" l="1"/>
  <c r="B486" i="21"/>
  <c r="B487" i="21" l="1"/>
  <c r="O486" i="21"/>
  <c r="O487" i="21" l="1"/>
  <c r="B488" i="21"/>
  <c r="B489" i="21" l="1"/>
  <c r="O488" i="21"/>
  <c r="B490" i="21" l="1"/>
  <c r="O489" i="21"/>
  <c r="O490" i="21" l="1"/>
  <c r="B491" i="21"/>
  <c r="B492" i="21" l="1"/>
  <c r="O491" i="21"/>
  <c r="O492" i="21" l="1"/>
  <c r="B493" i="21"/>
  <c r="B494" i="21" l="1"/>
  <c r="O493" i="21"/>
  <c r="O494" i="21" l="1"/>
  <c r="B495" i="21"/>
  <c r="O495" i="21" l="1"/>
  <c r="B496" i="21"/>
  <c r="O496" i="21" l="1"/>
  <c r="B497" i="21"/>
  <c r="O497" i="21" l="1"/>
  <c r="B498" i="21"/>
  <c r="B499" i="21" l="1"/>
  <c r="O498" i="21"/>
  <c r="B500" i="21" l="1"/>
  <c r="O499" i="21"/>
  <c r="B501" i="21" l="1"/>
  <c r="O500" i="21"/>
  <c r="O501" i="21" l="1"/>
  <c r="B502" i="21"/>
  <c r="B503" i="21" l="1"/>
  <c r="O502" i="21"/>
  <c r="B504" i="21" l="1"/>
  <c r="O503" i="21"/>
  <c r="B505" i="21" l="1"/>
  <c r="O504" i="21"/>
  <c r="B506" i="21" l="1"/>
  <c r="O505" i="21"/>
  <c r="B507" i="21" l="1"/>
  <c r="O506" i="21"/>
  <c r="O507" i="21" l="1"/>
  <c r="B508" i="21"/>
  <c r="O508" i="21" l="1"/>
  <c r="B509" i="21"/>
  <c r="B510" i="21" l="1"/>
  <c r="O509" i="21"/>
  <c r="O510" i="21" l="1"/>
  <c r="B511" i="21"/>
  <c r="O511" i="21" l="1"/>
  <c r="B512" i="21"/>
  <c r="O512" i="21" l="1"/>
  <c r="B513" i="21"/>
  <c r="B514" i="21" l="1"/>
  <c r="O513" i="21"/>
  <c r="O514" i="21" l="1"/>
  <c r="B515" i="21"/>
  <c r="O515" i="21" l="1"/>
  <c r="B516" i="21"/>
  <c r="O516" i="21" l="1"/>
  <c r="B517" i="21"/>
  <c r="O517" i="21" l="1"/>
  <c r="B518" i="21"/>
  <c r="B519" i="21" l="1"/>
  <c r="O518" i="21"/>
  <c r="B520" i="21" l="1"/>
  <c r="O519" i="21"/>
  <c r="B521" i="21" l="1"/>
  <c r="O520" i="21"/>
  <c r="B522" i="21" l="1"/>
  <c r="O521" i="21"/>
  <c r="O522" i="21" l="1"/>
  <c r="B523" i="21"/>
  <c r="B524" i="21" l="1"/>
  <c r="O523" i="21"/>
  <c r="O524" i="21" l="1"/>
  <c r="B525" i="21"/>
  <c r="O525" i="21" l="1"/>
  <c r="B526" i="21"/>
  <c r="B527" i="21" l="1"/>
  <c r="O526" i="21"/>
  <c r="O527" i="21" l="1"/>
  <c r="B528" i="21"/>
  <c r="O528" i="21" l="1"/>
  <c r="B529" i="21"/>
  <c r="O529" i="21" l="1"/>
  <c r="B530" i="21"/>
  <c r="O530" i="21" l="1"/>
  <c r="B531" i="21"/>
  <c r="B532" i="21" l="1"/>
  <c r="O531" i="21"/>
  <c r="O532" i="21" l="1"/>
  <c r="B533" i="21"/>
  <c r="B534" i="21" l="1"/>
  <c r="O533" i="21"/>
  <c r="O534" i="21" l="1"/>
  <c r="B535" i="21"/>
  <c r="O535" i="21" l="1"/>
  <c r="B536" i="21"/>
  <c r="B537" i="21" l="1"/>
  <c r="O536" i="21"/>
  <c r="O537" i="21" l="1"/>
  <c r="B538" i="21"/>
  <c r="B539" i="21" l="1"/>
  <c r="O538" i="21"/>
  <c r="O539" i="21" l="1"/>
  <c r="B540" i="21"/>
  <c r="O540" i="21" l="1"/>
  <c r="B541" i="21"/>
  <c r="B542" i="21" l="1"/>
  <c r="O541" i="21"/>
  <c r="B543" i="21" l="1"/>
  <c r="O542" i="21"/>
  <c r="B544" i="21" l="1"/>
  <c r="O543" i="21"/>
  <c r="B545" i="21" l="1"/>
  <c r="O544" i="21"/>
  <c r="B546" i="21" l="1"/>
  <c r="O545" i="21"/>
  <c r="O546" i="21" l="1"/>
  <c r="B547" i="21"/>
  <c r="B548" i="21" l="1"/>
  <c r="O547" i="21"/>
  <c r="B549" i="21" l="1"/>
  <c r="O548" i="21"/>
  <c r="O549" i="21" l="1"/>
  <c r="B550" i="21"/>
  <c r="O550" i="21" l="1"/>
  <c r="B551" i="21"/>
  <c r="O551" i="21" l="1"/>
  <c r="B552" i="21"/>
  <c r="O552" i="21" l="1"/>
  <c r="B553" i="21"/>
  <c r="B554" i="21" l="1"/>
  <c r="O553" i="21"/>
  <c r="B555" i="21" l="1"/>
  <c r="O554" i="21"/>
  <c r="O555" i="21" l="1"/>
  <c r="B556" i="21"/>
  <c r="O556" i="21" l="1"/>
  <c r="B557" i="21"/>
  <c r="B558" i="21" l="1"/>
  <c r="O557" i="21"/>
  <c r="O558" i="21" l="1"/>
  <c r="B559" i="21"/>
  <c r="O559" i="21" l="1"/>
  <c r="B560" i="21"/>
  <c r="O560" i="21" l="1"/>
  <c r="B561" i="21"/>
  <c r="B562" i="21" l="1"/>
  <c r="O561" i="21"/>
  <c r="B563" i="21" l="1"/>
  <c r="O562" i="21"/>
  <c r="B564" i="21" l="1"/>
  <c r="O563" i="21"/>
  <c r="B565" i="21" l="1"/>
  <c r="O564" i="21"/>
  <c r="B566" i="21" l="1"/>
  <c r="O565" i="21"/>
  <c r="B567" i="21" l="1"/>
  <c r="O566" i="21"/>
  <c r="B568" i="21" l="1"/>
  <c r="O567" i="21"/>
  <c r="O568" i="21" l="1"/>
  <c r="B569" i="21"/>
  <c r="B570" i="21" l="1"/>
  <c r="O569" i="21"/>
  <c r="O570" i="21" l="1"/>
  <c r="B571" i="21"/>
  <c r="O571" i="21" l="1"/>
  <c r="B572" i="21"/>
  <c r="O572" i="21" l="1"/>
  <c r="B573" i="21"/>
  <c r="O573" i="21" l="1"/>
  <c r="B574" i="21"/>
  <c r="B575" i="21" l="1"/>
  <c r="O574" i="21"/>
  <c r="O575" i="21" l="1"/>
  <c r="B576" i="21"/>
  <c r="O576" i="21" l="1"/>
  <c r="B577" i="21"/>
  <c r="B578" i="21" l="1"/>
  <c r="O577" i="21"/>
  <c r="O578" i="21" l="1"/>
  <c r="B579" i="21"/>
  <c r="O579" i="21" l="1"/>
  <c r="B580" i="21"/>
  <c r="O580" i="21" l="1"/>
  <c r="B581" i="21"/>
  <c r="O581" i="21" l="1"/>
  <c r="B582" i="21"/>
  <c r="O582" i="21" l="1"/>
  <c r="B583" i="21"/>
  <c r="O583" i="21" l="1"/>
  <c r="B584" i="21"/>
  <c r="B585" i="21" l="1"/>
  <c r="O584" i="21"/>
  <c r="O585" i="21" l="1"/>
  <c r="B586" i="21"/>
  <c r="O586" i="21" l="1"/>
  <c r="B587" i="21"/>
  <c r="B588" i="21" l="1"/>
  <c r="O587" i="21"/>
  <c r="O588" i="21" l="1"/>
  <c r="B589" i="21"/>
  <c r="O589" i="21" l="1"/>
  <c r="B590" i="21"/>
  <c r="B591" i="21" l="1"/>
  <c r="O590" i="21"/>
  <c r="B592" i="21" l="1"/>
  <c r="O591" i="21"/>
  <c r="O592" i="21" l="1"/>
  <c r="B593" i="21"/>
  <c r="O593" i="21" l="1"/>
  <c r="B594" i="21"/>
  <c r="B595" i="21" l="1"/>
  <c r="O594" i="21"/>
  <c r="O595" i="21" l="1"/>
  <c r="B596" i="21"/>
  <c r="B597" i="21" l="1"/>
  <c r="O596" i="21"/>
  <c r="B598" i="21" l="1"/>
  <c r="O597" i="21"/>
  <c r="B599" i="21" l="1"/>
  <c r="O598" i="21"/>
  <c r="B600" i="21" l="1"/>
  <c r="O599" i="21"/>
  <c r="B601" i="21" l="1"/>
  <c r="O600" i="21"/>
  <c r="B602" i="21" l="1"/>
  <c r="O601" i="21"/>
  <c r="B603" i="21" l="1"/>
  <c r="O602" i="21"/>
  <c r="O603" i="21" l="1"/>
  <c r="B604" i="21"/>
  <c r="O604" i="21" l="1"/>
  <c r="B605" i="21"/>
  <c r="B606" i="21" l="1"/>
  <c r="O605" i="21"/>
  <c r="O606" i="21" l="1"/>
  <c r="B607" i="21"/>
  <c r="B608" i="21" l="1"/>
  <c r="O607" i="21"/>
  <c r="B609" i="21" l="1"/>
  <c r="O608" i="21"/>
  <c r="B610" i="21" l="1"/>
  <c r="O609" i="21"/>
  <c r="O610" i="21" l="1"/>
  <c r="B611" i="21"/>
  <c r="B612" i="21" l="1"/>
  <c r="O611" i="21"/>
  <c r="B613" i="21" l="1"/>
  <c r="O612" i="21"/>
  <c r="B614" i="21" l="1"/>
  <c r="O613" i="21"/>
  <c r="B615" i="21" l="1"/>
  <c r="O614" i="21"/>
  <c r="O615" i="21" l="1"/>
  <c r="B616" i="21"/>
  <c r="O616" i="21" l="1"/>
  <c r="B617" i="21"/>
  <c r="B618" i="21" l="1"/>
  <c r="O617" i="21"/>
  <c r="O618" i="21" l="1"/>
  <c r="B619" i="21"/>
  <c r="O619" i="21" l="1"/>
  <c r="B620" i="21"/>
  <c r="O620" i="21" l="1"/>
  <c r="B621" i="21"/>
  <c r="B622" i="21" l="1"/>
  <c r="O621" i="21"/>
  <c r="O622" i="21" l="1"/>
  <c r="B623" i="21"/>
  <c r="O623" i="21" l="1"/>
  <c r="B624" i="21"/>
  <c r="B625" i="21" l="1"/>
  <c r="O624" i="21"/>
  <c r="B626" i="21" l="1"/>
  <c r="O625" i="21"/>
  <c r="O626" i="21" l="1"/>
  <c r="B627" i="21"/>
  <c r="O627" i="21" l="1"/>
  <c r="B628" i="21"/>
  <c r="B629" i="21" l="1"/>
  <c r="O628" i="21"/>
  <c r="O629" i="21" l="1"/>
  <c r="B630" i="21"/>
  <c r="O630" i="21" l="1"/>
  <c r="B631" i="21"/>
  <c r="B632" i="21" l="1"/>
  <c r="O631" i="21"/>
  <c r="O632" i="21" l="1"/>
  <c r="B633" i="21"/>
  <c r="B634" i="21" l="1"/>
  <c r="O633" i="21"/>
  <c r="B635" i="21" l="1"/>
  <c r="O634" i="21"/>
  <c r="B636" i="21" l="1"/>
  <c r="O635" i="21"/>
  <c r="O636" i="21" l="1"/>
  <c r="B637" i="21"/>
  <c r="B638" i="21" l="1"/>
  <c r="O637" i="21"/>
  <c r="B639" i="21" l="1"/>
  <c r="O638" i="21"/>
  <c r="O639" i="21" l="1"/>
  <c r="B640" i="21"/>
  <c r="O640" i="21" l="1"/>
  <c r="B641" i="21"/>
  <c r="B642" i="21" l="1"/>
  <c r="O641" i="21"/>
  <c r="B643" i="21" l="1"/>
  <c r="O642" i="21"/>
  <c r="O643" i="21" l="1"/>
  <c r="B644" i="21"/>
  <c r="O644" i="21" l="1"/>
  <c r="B645" i="21"/>
  <c r="B646" i="21" l="1"/>
  <c r="O645" i="21"/>
  <c r="O646" i="21" l="1"/>
  <c r="B647" i="21"/>
  <c r="B648" i="21" l="1"/>
  <c r="O647" i="21"/>
  <c r="B649" i="21" l="1"/>
  <c r="O648" i="21"/>
  <c r="O649" i="21" l="1"/>
  <c r="B650" i="21"/>
  <c r="B651" i="21" l="1"/>
  <c r="O650" i="21"/>
  <c r="B652" i="21" l="1"/>
  <c r="O651" i="21"/>
  <c r="B653" i="21" l="1"/>
  <c r="O652" i="21"/>
  <c r="O653" i="21" l="1"/>
  <c r="B654" i="21"/>
  <c r="B655" i="21" l="1"/>
  <c r="O654" i="21"/>
  <c r="B656" i="21" l="1"/>
  <c r="O655" i="21"/>
  <c r="B657" i="21" l="1"/>
  <c r="O656" i="21"/>
  <c r="O657" i="21" l="1"/>
  <c r="B658" i="21"/>
  <c r="O658" i="21" l="1"/>
  <c r="B659" i="21"/>
  <c r="O659" i="21" l="1"/>
  <c r="B660" i="21"/>
  <c r="O660" i="21" l="1"/>
  <c r="B661" i="21"/>
  <c r="B662" i="21" l="1"/>
  <c r="O661" i="21"/>
  <c r="B663" i="21" l="1"/>
  <c r="O662" i="21"/>
  <c r="O663" i="21" l="1"/>
  <c r="B664" i="21"/>
  <c r="B665" i="21" l="1"/>
  <c r="O664" i="21"/>
  <c r="O665" i="21" l="1"/>
  <c r="B666" i="21"/>
  <c r="B667" i="21" l="1"/>
  <c r="O666" i="21"/>
  <c r="B668" i="21" l="1"/>
  <c r="O667" i="21"/>
  <c r="O668" i="21" l="1"/>
  <c r="B669" i="21"/>
  <c r="B670" i="21" l="1"/>
  <c r="O669" i="21"/>
  <c r="O670" i="21" l="1"/>
  <c r="B671" i="21"/>
  <c r="O671" i="21" l="1"/>
  <c r="B672" i="21"/>
  <c r="B673" i="21" l="1"/>
  <c r="O672" i="21"/>
  <c r="O673" i="21" l="1"/>
  <c r="B674" i="21"/>
  <c r="B675" i="21" l="1"/>
  <c r="O674" i="21"/>
  <c r="B676" i="21" l="1"/>
  <c r="O675" i="21"/>
  <c r="B677" i="21" l="1"/>
  <c r="O676" i="21"/>
  <c r="B678" i="21" l="1"/>
  <c r="O677" i="21"/>
  <c r="O678" i="21" l="1"/>
  <c r="B679" i="21"/>
  <c r="B680" i="21" l="1"/>
  <c r="O679" i="21"/>
  <c r="B681" i="21" l="1"/>
  <c r="O680" i="21"/>
  <c r="B682" i="21" l="1"/>
  <c r="O681" i="21"/>
  <c r="O682" i="21" l="1"/>
  <c r="B683" i="21"/>
  <c r="O683" i="21" l="1"/>
  <c r="B684" i="21"/>
  <c r="O684" i="21" l="1"/>
  <c r="B685" i="21"/>
  <c r="O685" i="21" l="1"/>
  <c r="B686" i="21"/>
  <c r="B687" i="21" l="1"/>
  <c r="O686" i="21"/>
  <c r="O687" i="21" l="1"/>
  <c r="B688" i="21"/>
  <c r="O688" i="21" l="1"/>
  <c r="B689" i="21"/>
  <c r="O689" i="21" l="1"/>
  <c r="B690" i="21"/>
  <c r="B691" i="21" l="1"/>
  <c r="O690" i="21"/>
  <c r="B692" i="21" l="1"/>
  <c r="O691" i="21"/>
  <c r="B693" i="21" l="1"/>
  <c r="O692" i="21"/>
  <c r="O693" i="21" l="1"/>
  <c r="B694" i="21"/>
  <c r="O694" i="21" l="1"/>
  <c r="B695" i="21"/>
  <c r="O695" i="21" l="1"/>
  <c r="B696" i="21"/>
  <c r="O696" i="21" l="1"/>
  <c r="B697" i="21"/>
  <c r="O697" i="21" l="1"/>
  <c r="B698" i="21"/>
  <c r="B699" i="21" l="1"/>
  <c r="O698" i="21"/>
  <c r="B700" i="21" l="1"/>
  <c r="O699" i="21"/>
  <c r="B701" i="21" l="1"/>
  <c r="O700" i="21"/>
  <c r="O701" i="21" l="1"/>
  <c r="B702" i="21"/>
  <c r="B703" i="21" l="1"/>
  <c r="O702" i="21"/>
  <c r="B704" i="21" l="1"/>
  <c r="O703" i="21"/>
  <c r="B705" i="21" l="1"/>
  <c r="O704" i="21"/>
  <c r="O705" i="21" l="1"/>
  <c r="B706" i="21"/>
  <c r="O706" i="21" l="1"/>
  <c r="B707" i="21"/>
  <c r="B708" i="21" l="1"/>
  <c r="O707" i="21"/>
  <c r="B709" i="21" l="1"/>
  <c r="O708" i="21"/>
  <c r="B710" i="21" l="1"/>
  <c r="O709" i="21"/>
  <c r="O710" i="21" l="1"/>
  <c r="B711" i="21"/>
  <c r="B712" i="21" l="1"/>
  <c r="O711" i="21"/>
  <c r="O712" i="21" l="1"/>
  <c r="B713" i="21"/>
  <c r="B714" i="21" l="1"/>
  <c r="O713" i="21"/>
  <c r="O714" i="21" l="1"/>
  <c r="B715" i="21"/>
  <c r="O715" i="21" l="1"/>
  <c r="B716" i="21"/>
  <c r="O716" i="21" l="1"/>
  <c r="B717" i="21"/>
  <c r="B718" i="21" l="1"/>
  <c r="O717" i="21"/>
  <c r="B719" i="21" l="1"/>
  <c r="O718" i="21"/>
  <c r="O719" i="21" l="1"/>
  <c r="B720" i="21"/>
  <c r="O720" i="21" l="1"/>
  <c r="B721" i="21"/>
  <c r="B722" i="21" l="1"/>
  <c r="O721" i="21"/>
  <c r="O722" i="21" l="1"/>
  <c r="B723" i="21"/>
  <c r="O723" i="21" l="1"/>
  <c r="B724" i="21"/>
  <c r="O724" i="21" l="1"/>
  <c r="B725" i="21"/>
  <c r="B726" i="21" l="1"/>
  <c r="O725" i="21"/>
  <c r="B727" i="21" l="1"/>
  <c r="O726" i="21"/>
  <c r="B728" i="21" l="1"/>
  <c r="O727" i="21"/>
  <c r="B729" i="21" l="1"/>
  <c r="O728" i="21"/>
  <c r="O729" i="21" l="1"/>
  <c r="B730" i="21"/>
  <c r="B731" i="21" l="1"/>
  <c r="O730" i="21"/>
  <c r="B732" i="21" l="1"/>
  <c r="O731" i="21"/>
  <c r="O732" i="21" l="1"/>
  <c r="B733" i="21"/>
  <c r="B734" i="21" l="1"/>
  <c r="O733" i="21"/>
  <c r="O734" i="21" l="1"/>
  <c r="B735" i="21"/>
  <c r="O735" i="21" l="1"/>
  <c r="B736" i="21"/>
  <c r="O736" i="21" l="1"/>
  <c r="B737" i="21"/>
  <c r="O737" i="21" l="1"/>
  <c r="B738" i="21"/>
  <c r="O738" i="21" l="1"/>
  <c r="B739" i="21"/>
  <c r="B740" i="21" l="1"/>
  <c r="O739" i="21"/>
  <c r="O740" i="21" l="1"/>
  <c r="B741" i="21"/>
  <c r="O741" i="21" l="1"/>
  <c r="B742" i="21"/>
  <c r="B743" i="21" l="1"/>
  <c r="O742" i="21"/>
  <c r="O743" i="21" l="1"/>
  <c r="B744" i="21"/>
  <c r="B745" i="21" l="1"/>
  <c r="O744" i="21"/>
  <c r="O745" i="21" l="1"/>
  <c r="B746" i="21"/>
  <c r="B747" i="21" l="1"/>
  <c r="O746" i="21"/>
  <c r="B748" i="21" l="1"/>
  <c r="O747" i="21"/>
  <c r="B749" i="21" l="1"/>
  <c r="O748" i="21"/>
  <c r="B750" i="21" l="1"/>
  <c r="O749" i="21"/>
  <c r="O750" i="21" l="1"/>
  <c r="B751" i="21"/>
  <c r="B752" i="21" l="1"/>
  <c r="O751" i="21"/>
  <c r="O752" i="21" l="1"/>
  <c r="B753" i="21"/>
  <c r="O753" i="21" l="1"/>
  <c r="B754" i="21"/>
  <c r="O754" i="21" l="1"/>
  <c r="B755" i="21"/>
  <c r="O755" i="21" l="1"/>
  <c r="B756" i="21"/>
  <c r="B757" i="21" l="1"/>
  <c r="O756" i="21"/>
  <c r="O757" i="21" l="1"/>
  <c r="B758" i="21"/>
  <c r="O758" i="21" l="1"/>
  <c r="B759" i="21"/>
  <c r="B760" i="21" l="1"/>
  <c r="O759" i="21"/>
  <c r="O760" i="21" l="1"/>
  <c r="B761" i="21"/>
  <c r="B762" i="21" l="1"/>
  <c r="O761" i="21"/>
  <c r="O762" i="21" l="1"/>
  <c r="B763" i="21"/>
  <c r="O763" i="21" l="1"/>
  <c r="B764" i="21"/>
  <c r="B765" i="21" l="1"/>
  <c r="O764" i="21"/>
  <c r="B766" i="21" l="1"/>
  <c r="O765" i="21"/>
  <c r="B767" i="21" l="1"/>
  <c r="O766" i="21"/>
  <c r="B768" i="21" l="1"/>
  <c r="O767" i="21"/>
  <c r="O768" i="21" l="1"/>
  <c r="B769" i="21"/>
  <c r="O769" i="21" l="1"/>
  <c r="B770" i="21"/>
  <c r="B771" i="21" l="1"/>
  <c r="O770" i="21"/>
  <c r="B772" i="21" l="1"/>
  <c r="O771" i="21"/>
  <c r="B773" i="21" l="1"/>
  <c r="O772" i="21"/>
  <c r="O773" i="21" l="1"/>
  <c r="B774" i="21"/>
  <c r="O774" i="21" l="1"/>
  <c r="B775" i="21"/>
  <c r="B776" i="21" l="1"/>
  <c r="O775" i="21"/>
  <c r="B777" i="21" l="1"/>
  <c r="O776" i="21"/>
  <c r="O777" i="21" l="1"/>
  <c r="B778" i="21"/>
  <c r="O778" i="21" l="1"/>
  <c r="B779" i="21"/>
  <c r="O779" i="21" l="1"/>
  <c r="B780" i="21"/>
  <c r="O780" i="21" l="1"/>
  <c r="B781" i="21"/>
  <c r="B782" i="21" l="1"/>
  <c r="O781" i="21"/>
  <c r="O782" i="21" l="1"/>
  <c r="B783" i="21"/>
  <c r="B784" i="21" l="1"/>
  <c r="O783" i="21"/>
  <c r="O784" i="21" l="1"/>
  <c r="B785" i="21"/>
  <c r="B786" i="21" l="1"/>
  <c r="O785" i="21"/>
  <c r="O786" i="21" l="1"/>
  <c r="B787" i="21"/>
  <c r="O787" i="21" l="1"/>
  <c r="B788" i="21"/>
  <c r="O788" i="21" l="1"/>
  <c r="B789" i="21"/>
  <c r="O789" i="21" l="1"/>
  <c r="B790" i="21"/>
  <c r="B791" i="21" l="1"/>
  <c r="O790" i="21"/>
  <c r="B792" i="21" l="1"/>
  <c r="O791" i="21"/>
  <c r="B793" i="21" l="1"/>
  <c r="O792" i="21"/>
  <c r="O793" i="21" l="1"/>
  <c r="B794" i="21"/>
  <c r="O794" i="21" l="1"/>
  <c r="B795" i="21"/>
  <c r="O795" i="21" l="1"/>
  <c r="B796" i="21"/>
  <c r="B797" i="21" l="1"/>
  <c r="O796" i="21"/>
  <c r="O797" i="21" l="1"/>
  <c r="B798" i="21"/>
  <c r="B799" i="21" l="1"/>
  <c r="O798" i="21"/>
  <c r="O799" i="21" l="1"/>
  <c r="B800" i="21"/>
  <c r="O800" i="21" l="1"/>
  <c r="B801" i="21"/>
  <c r="O801" i="21" l="1"/>
  <c r="B802" i="21"/>
  <c r="B803" i="21" l="1"/>
  <c r="O802" i="21"/>
  <c r="O803" i="21" l="1"/>
  <c r="B804" i="21"/>
  <c r="B805" i="21" l="1"/>
  <c r="O804" i="21"/>
  <c r="O805" i="21" l="1"/>
  <c r="B806" i="21"/>
  <c r="B807" i="21" l="1"/>
  <c r="O806" i="21"/>
  <c r="O807" i="21" l="1"/>
  <c r="B808" i="21"/>
  <c r="B809" i="21" l="1"/>
  <c r="O808" i="21"/>
  <c r="O809" i="21" l="1"/>
  <c r="B810" i="21"/>
  <c r="B811" i="21" l="1"/>
  <c r="O810" i="21"/>
  <c r="O811" i="21" l="1"/>
  <c r="B812" i="21"/>
  <c r="O812" i="21" l="1"/>
  <c r="B813" i="21"/>
  <c r="O813" i="21" l="1"/>
  <c r="B814" i="21"/>
  <c r="O814" i="21" l="1"/>
  <c r="B815" i="21"/>
  <c r="B816" i="21" l="1"/>
  <c r="O815" i="21"/>
  <c r="B817" i="21" l="1"/>
  <c r="O816" i="21"/>
  <c r="B818" i="21" l="1"/>
  <c r="O817" i="21"/>
  <c r="O818" i="21" l="1"/>
  <c r="B819" i="21"/>
  <c r="B820" i="21" l="1"/>
  <c r="O819" i="21"/>
  <c r="O820" i="21" l="1"/>
  <c r="B821" i="21"/>
  <c r="B822" i="21" l="1"/>
  <c r="O821" i="21"/>
  <c r="O822" i="21" l="1"/>
  <c r="B823" i="21"/>
  <c r="B824" i="21" l="1"/>
  <c r="O823" i="21"/>
  <c r="O824" i="21" l="1"/>
  <c r="B825" i="21"/>
  <c r="O825" i="21" l="1"/>
  <c r="B826" i="21"/>
  <c r="O826" i="21" l="1"/>
  <c r="B827" i="21"/>
  <c r="B828" i="21" l="1"/>
  <c r="O827" i="21"/>
  <c r="B829" i="21" l="1"/>
  <c r="O828" i="21"/>
  <c r="O829" i="21" l="1"/>
  <c r="B830" i="21"/>
  <c r="O830" i="21" l="1"/>
  <c r="B831" i="21"/>
  <c r="B832" i="21" l="1"/>
  <c r="O831" i="21"/>
  <c r="B833" i="21" l="1"/>
  <c r="O832" i="21"/>
  <c r="O833" i="21" l="1"/>
  <c r="B834" i="21"/>
  <c r="O834" i="21" l="1"/>
  <c r="B835" i="21"/>
  <c r="B836" i="21" l="1"/>
  <c r="O835" i="21"/>
  <c r="B837" i="21" l="1"/>
  <c r="O836" i="21"/>
  <c r="B838" i="21" l="1"/>
  <c r="O837" i="21"/>
  <c r="O838" i="21" l="1"/>
  <c r="B839" i="21"/>
  <c r="O839" i="21" l="1"/>
  <c r="B840" i="21"/>
  <c r="B841" i="21" l="1"/>
  <c r="O840" i="21"/>
  <c r="B842" i="21" l="1"/>
  <c r="O841" i="21"/>
  <c r="B843" i="21" l="1"/>
  <c r="O842" i="21"/>
  <c r="B844" i="21" l="1"/>
  <c r="O843" i="21"/>
  <c r="O844" i="21" l="1"/>
  <c r="B845" i="21"/>
  <c r="O845" i="21" l="1"/>
  <c r="B846" i="21"/>
  <c r="O846" i="21" l="1"/>
  <c r="B847" i="21"/>
  <c r="O847" i="21" l="1"/>
  <c r="B848" i="21"/>
  <c r="B849" i="21" l="1"/>
  <c r="O848" i="21"/>
  <c r="O849" i="21" l="1"/>
  <c r="B850" i="21"/>
  <c r="O850" i="21" l="1"/>
  <c r="B851" i="21"/>
  <c r="B852" i="21" l="1"/>
  <c r="O851" i="21"/>
  <c r="O852" i="21" l="1"/>
  <c r="B853" i="21"/>
  <c r="B854" i="21" l="1"/>
  <c r="O853" i="21"/>
  <c r="O854" i="21" l="1"/>
  <c r="B855" i="21"/>
  <c r="O855" i="21" l="1"/>
  <c r="B856" i="21"/>
  <c r="O856" i="21" l="1"/>
  <c r="B857" i="21"/>
  <c r="B858" i="21" l="1"/>
  <c r="O857" i="21"/>
  <c r="O858" i="21" l="1"/>
  <c r="B859" i="21"/>
  <c r="O859" i="21" l="1"/>
  <c r="B860" i="21"/>
  <c r="O860" i="21" l="1"/>
  <c r="B861" i="21"/>
  <c r="O861" i="21" l="1"/>
  <c r="B862" i="21"/>
  <c r="B863" i="21" l="1"/>
  <c r="O862" i="21"/>
  <c r="B864" i="21" l="1"/>
  <c r="O863" i="21"/>
  <c r="B865" i="21" l="1"/>
  <c r="O864" i="21"/>
  <c r="B866" i="21" l="1"/>
  <c r="O865" i="21"/>
  <c r="O866" i="21" l="1"/>
  <c r="B867" i="21"/>
  <c r="B868" i="21" l="1"/>
  <c r="O867" i="21"/>
  <c r="O868" i="21" l="1"/>
  <c r="B869" i="21"/>
  <c r="O869" i="21" l="1"/>
  <c r="B870" i="21"/>
  <c r="O870" i="21" l="1"/>
  <c r="B871" i="21"/>
  <c r="O871" i="21" l="1"/>
  <c r="B872" i="21"/>
  <c r="B873" i="21" l="1"/>
  <c r="O872" i="21"/>
  <c r="B874" i="21" l="1"/>
  <c r="O873" i="21"/>
  <c r="O874" i="21" l="1"/>
  <c r="B875" i="21"/>
  <c r="O875" i="21" l="1"/>
  <c r="B876" i="21"/>
  <c r="B877" i="21" l="1"/>
  <c r="O876" i="21"/>
  <c r="B878" i="21" l="1"/>
  <c r="O877" i="21"/>
  <c r="O878" i="21" l="1"/>
  <c r="B879" i="21"/>
  <c r="B880" i="21" l="1"/>
  <c r="O879" i="21"/>
  <c r="O880" i="21" l="1"/>
  <c r="B881" i="21"/>
  <c r="O881" i="21" l="1"/>
  <c r="B882" i="21"/>
  <c r="B883" i="21" l="1"/>
  <c r="O882" i="21"/>
  <c r="B884" i="21" l="1"/>
  <c r="O883" i="21"/>
  <c r="O884" i="21" l="1"/>
  <c r="B885" i="21"/>
  <c r="B886" i="21" l="1"/>
  <c r="O885" i="21"/>
  <c r="O886" i="21" l="1"/>
  <c r="B887" i="21"/>
  <c r="O887" i="21" l="1"/>
  <c r="B888" i="21"/>
  <c r="B889" i="21" l="1"/>
  <c r="O888" i="21"/>
  <c r="B890" i="21" l="1"/>
  <c r="O889" i="21"/>
  <c r="B891" i="21" l="1"/>
  <c r="O890" i="21"/>
  <c r="O891" i="21" l="1"/>
  <c r="B892" i="21"/>
  <c r="B893" i="21" l="1"/>
  <c r="O892" i="21"/>
  <c r="B894" i="21" l="1"/>
  <c r="O893" i="21"/>
  <c r="O894" i="21" l="1"/>
  <c r="B895" i="21"/>
  <c r="B896" i="21" l="1"/>
  <c r="O895" i="21"/>
  <c r="O896" i="21" l="1"/>
  <c r="B897" i="21"/>
  <c r="O897" i="21" l="1"/>
  <c r="B898" i="21"/>
  <c r="B899" i="21" l="1"/>
  <c r="O898" i="21"/>
  <c r="B900" i="21" l="1"/>
  <c r="O899" i="21"/>
  <c r="B901" i="21" l="1"/>
  <c r="O900" i="21"/>
  <c r="B902" i="21" l="1"/>
  <c r="O901" i="21"/>
  <c r="O902" i="21" l="1"/>
  <c r="B903" i="21"/>
  <c r="B904" i="21" l="1"/>
  <c r="O903" i="21"/>
  <c r="B905" i="21" l="1"/>
  <c r="O904" i="21"/>
  <c r="B906" i="21" l="1"/>
  <c r="O905" i="21"/>
  <c r="B907" i="21" l="1"/>
  <c r="O906" i="21"/>
  <c r="B908" i="21" l="1"/>
  <c r="O907" i="21"/>
  <c r="B909" i="21" l="1"/>
  <c r="O908" i="21"/>
  <c r="O909" i="21" l="1"/>
  <c r="B910" i="21"/>
  <c r="B911" i="21" l="1"/>
  <c r="O910" i="21"/>
  <c r="O911" i="21" l="1"/>
  <c r="B912" i="21"/>
  <c r="B913" i="21" l="1"/>
  <c r="O912" i="21"/>
  <c r="O913" i="21" l="1"/>
  <c r="B914" i="21"/>
  <c r="B915" i="21" l="1"/>
  <c r="O914" i="21"/>
  <c r="O915" i="21" l="1"/>
  <c r="B916" i="21"/>
  <c r="B917" i="21" l="1"/>
  <c r="O916" i="21"/>
  <c r="B918" i="21" l="1"/>
  <c r="O917" i="21"/>
  <c r="B919" i="21" l="1"/>
  <c r="O918" i="21"/>
  <c r="B920" i="21" l="1"/>
  <c r="O919" i="21"/>
  <c r="B921" i="21" l="1"/>
  <c r="O920" i="21"/>
  <c r="O921" i="21" l="1"/>
  <c r="B922" i="21"/>
  <c r="B923" i="21" l="1"/>
  <c r="O922" i="21"/>
  <c r="B924" i="21" l="1"/>
  <c r="O923" i="21"/>
  <c r="B925" i="21" l="1"/>
  <c r="O924" i="21"/>
  <c r="B926" i="21" l="1"/>
  <c r="O925" i="21"/>
  <c r="B927" i="21" l="1"/>
  <c r="O926" i="21"/>
  <c r="B928" i="21" l="1"/>
  <c r="O927" i="21"/>
  <c r="B929" i="21" l="1"/>
  <c r="O928" i="21"/>
  <c r="O929" i="21" l="1"/>
  <c r="B930" i="21"/>
  <c r="B931" i="21" l="1"/>
  <c r="O930" i="21"/>
  <c r="B932" i="21" l="1"/>
  <c r="O931" i="21"/>
  <c r="B933" i="21" l="1"/>
  <c r="O932" i="21"/>
  <c r="B934" i="21" l="1"/>
  <c r="O933" i="21"/>
  <c r="B935" i="21" l="1"/>
  <c r="O934" i="21"/>
  <c r="O935" i="21" l="1"/>
  <c r="B936" i="21"/>
  <c r="O936" i="21" l="1"/>
  <c r="B937" i="21"/>
  <c r="B938" i="21" l="1"/>
  <c r="O937" i="21"/>
  <c r="B939" i="21" l="1"/>
  <c r="O938" i="21"/>
  <c r="B940" i="21" l="1"/>
  <c r="O939" i="21"/>
  <c r="O940" i="21" l="1"/>
  <c r="B941" i="21"/>
  <c r="O941" i="21" l="1"/>
  <c r="B942" i="21"/>
  <c r="B943" i="21" l="1"/>
  <c r="O942" i="21"/>
  <c r="O943" i="21" l="1"/>
  <c r="B944" i="21"/>
  <c r="O944" i="21" l="1"/>
  <c r="B945" i="21"/>
  <c r="B946" i="21" l="1"/>
  <c r="O945" i="21"/>
  <c r="B947" i="21" l="1"/>
  <c r="O946" i="21"/>
  <c r="O947" i="21" l="1"/>
  <c r="B948" i="21"/>
  <c r="O948" i="21" l="1"/>
  <c r="B949" i="21"/>
  <c r="B950" i="21" l="1"/>
  <c r="O949" i="21"/>
  <c r="O950" i="21" l="1"/>
  <c r="B951" i="21"/>
  <c r="O951" i="21" l="1"/>
  <c r="B952" i="21"/>
  <c r="B953" i="21" l="1"/>
  <c r="O952" i="21"/>
  <c r="B954" i="21" l="1"/>
  <c r="O953" i="21"/>
  <c r="O954" i="21" l="1"/>
  <c r="B955" i="21"/>
  <c r="B956" i="21" l="1"/>
  <c r="O955" i="21"/>
  <c r="O956" i="21" l="1"/>
  <c r="B957" i="21"/>
  <c r="O957" i="21" l="1"/>
  <c r="B958" i="21"/>
  <c r="B959" i="21" l="1"/>
  <c r="O958" i="21"/>
  <c r="B960" i="21" l="1"/>
  <c r="O959" i="21"/>
  <c r="O960" i="21" l="1"/>
  <c r="B961" i="21"/>
  <c r="O961" i="21" l="1"/>
  <c r="B962" i="21"/>
  <c r="O962" i="21" l="1"/>
  <c r="B963" i="21"/>
  <c r="O963" i="21" l="1"/>
  <c r="B964" i="21"/>
  <c r="O964" i="21" l="1"/>
  <c r="B965" i="21"/>
  <c r="O965" i="21" l="1"/>
  <c r="B966" i="21"/>
  <c r="O966" i="21" l="1"/>
  <c r="B967" i="21"/>
  <c r="O967" i="21" l="1"/>
  <c r="B968" i="21"/>
  <c r="B969" i="21" l="1"/>
  <c r="O968" i="21"/>
  <c r="O969" i="21" l="1"/>
  <c r="B970" i="21"/>
  <c r="B971" i="21" l="1"/>
  <c r="O970" i="21"/>
  <c r="B972" i="21" l="1"/>
  <c r="O971" i="21"/>
  <c r="B973" i="21" l="1"/>
  <c r="O972" i="21"/>
  <c r="O973" i="21" l="1"/>
  <c r="B974" i="21"/>
  <c r="O974" i="21" l="1"/>
  <c r="B975" i="21"/>
  <c r="B976" i="21" l="1"/>
  <c r="O975" i="21"/>
  <c r="B977" i="21" l="1"/>
  <c r="O976" i="21"/>
  <c r="B978" i="21" l="1"/>
  <c r="O977" i="21"/>
  <c r="B979" i="21" l="1"/>
  <c r="O978" i="21"/>
  <c r="O979" i="21" l="1"/>
  <c r="B980" i="21"/>
  <c r="O980" i="21" l="1"/>
  <c r="B981" i="21"/>
  <c r="O981" i="21" l="1"/>
  <c r="B982" i="21"/>
  <c r="O982" i="21" l="1"/>
  <c r="B983" i="21"/>
  <c r="B984" i="21" l="1"/>
  <c r="O983" i="21"/>
  <c r="B985" i="21" l="1"/>
  <c r="O984" i="21"/>
  <c r="O985" i="21" l="1"/>
  <c r="B986" i="21"/>
  <c r="O986" i="21" l="1"/>
  <c r="B987" i="21"/>
  <c r="O987" i="21" l="1"/>
  <c r="B988" i="21"/>
  <c r="O988" i="21" l="1"/>
  <c r="B989" i="21"/>
  <c r="B990" i="21" l="1"/>
  <c r="O989" i="21"/>
  <c r="O990" i="21" l="1"/>
  <c r="B991" i="21"/>
  <c r="B992" i="21" l="1"/>
  <c r="O991" i="21"/>
  <c r="O992" i="21" l="1"/>
  <c r="B993" i="21"/>
  <c r="O993" i="21" l="1"/>
  <c r="B994" i="21"/>
  <c r="B995" i="21" l="1"/>
  <c r="O994" i="21"/>
  <c r="B996" i="21" l="1"/>
  <c r="O995" i="21"/>
  <c r="O996" i="21" l="1"/>
  <c r="B997" i="21"/>
  <c r="O997" i="21" l="1"/>
  <c r="B998" i="21"/>
  <c r="B999" i="21" l="1"/>
  <c r="O998" i="21"/>
  <c r="B1000" i="21" l="1"/>
  <c r="O999" i="21"/>
  <c r="B1001" i="21" l="1"/>
  <c r="O1000" i="21"/>
  <c r="O1001" i="21" l="1"/>
  <c r="B1002" i="21"/>
  <c r="B1003" i="21" l="1"/>
  <c r="O1002" i="21"/>
  <c r="O1003" i="21" l="1"/>
  <c r="B1004" i="21"/>
  <c r="B1005" i="21" l="1"/>
  <c r="O1004" i="21"/>
  <c r="B1006" i="21" l="1"/>
  <c r="O1005" i="21"/>
  <c r="B1007" i="21" l="1"/>
  <c r="O1006" i="21"/>
  <c r="B1008" i="21" l="1"/>
  <c r="O1007" i="21"/>
  <c r="B1009" i="21" l="1"/>
  <c r="O1008" i="21"/>
  <c r="O1009" i="21" l="1"/>
  <c r="B1010" i="21"/>
  <c r="U39" i="20" l="1"/>
  <c r="E45" i="20"/>
  <c r="F48" i="20"/>
  <c r="F54" i="20"/>
  <c r="E44" i="20"/>
  <c r="U50" i="20"/>
  <c r="U45" i="20"/>
  <c r="F43" i="20"/>
  <c r="F39" i="20"/>
  <c r="E53" i="20"/>
  <c r="D35" i="20"/>
  <c r="F53" i="20"/>
  <c r="E54" i="20"/>
  <c r="F44" i="20"/>
  <c r="E42" i="20"/>
  <c r="U57" i="20"/>
  <c r="F46" i="20"/>
  <c r="F42" i="20"/>
  <c r="U43" i="20"/>
  <c r="D51" i="20"/>
  <c r="U53" i="20"/>
  <c r="D48" i="20"/>
  <c r="D57" i="20"/>
  <c r="U35" i="20"/>
  <c r="U56" i="20"/>
  <c r="E41" i="20"/>
  <c r="D44" i="20"/>
  <c r="U49" i="20"/>
  <c r="D46" i="20"/>
  <c r="E55" i="20"/>
  <c r="F52" i="20"/>
  <c r="U55" i="20"/>
  <c r="D42" i="20"/>
  <c r="U37" i="20"/>
  <c r="E47" i="20"/>
  <c r="E48" i="20"/>
  <c r="D54" i="20"/>
  <c r="E38" i="20"/>
  <c r="F40" i="20"/>
  <c r="F55" i="20"/>
  <c r="F47" i="20"/>
  <c r="F37" i="20"/>
  <c r="D56" i="20"/>
  <c r="E46" i="20"/>
  <c r="D53" i="20"/>
  <c r="U42" i="20"/>
  <c r="F57" i="20"/>
  <c r="E37" i="20"/>
  <c r="E49" i="20"/>
  <c r="D50" i="20"/>
  <c r="D41" i="20"/>
  <c r="D43" i="20"/>
  <c r="D39" i="20"/>
  <c r="U41" i="20"/>
  <c r="U52" i="20"/>
  <c r="D52" i="20"/>
  <c r="U44" i="20"/>
  <c r="D37" i="20"/>
  <c r="U48" i="20"/>
  <c r="U40" i="20"/>
  <c r="D47" i="20"/>
  <c r="F56" i="20"/>
  <c r="E40" i="20"/>
  <c r="F45" i="20"/>
  <c r="F51" i="20"/>
  <c r="F38" i="20"/>
  <c r="E35" i="20"/>
  <c r="F49" i="20"/>
  <c r="E56" i="20"/>
  <c r="F41" i="20"/>
  <c r="U47" i="20"/>
  <c r="D40" i="20"/>
  <c r="U38" i="20"/>
  <c r="E52" i="20"/>
  <c r="U54" i="20"/>
  <c r="E50" i="20"/>
  <c r="D49" i="20"/>
  <c r="E51" i="20"/>
  <c r="D45" i="20"/>
  <c r="E43" i="20"/>
  <c r="E57" i="20"/>
  <c r="E39" i="20"/>
  <c r="D55" i="20"/>
  <c r="U46" i="20"/>
  <c r="D38" i="20"/>
  <c r="F35" i="20"/>
  <c r="F50" i="20"/>
  <c r="U51" i="20"/>
  <c r="O1010" i="21"/>
  <c r="D34" i="20"/>
  <c r="D36" i="20"/>
  <c r="U36" i="20"/>
  <c r="U34" i="20"/>
  <c r="F34" i="20"/>
  <c r="E34" i="20"/>
  <c r="F36" i="20"/>
  <c r="E36" i="20"/>
  <c r="U26" i="20" l="1"/>
  <c r="D27" i="20"/>
  <c r="E28" i="20"/>
  <c r="E27" i="20"/>
  <c r="D25" i="20"/>
  <c r="F25" i="20"/>
  <c r="U27" i="20"/>
  <c r="F28" i="20"/>
  <c r="E25" i="20"/>
  <c r="E26" i="20"/>
  <c r="U28" i="20"/>
  <c r="D28" i="20"/>
  <c r="F27" i="20"/>
  <c r="F26" i="20"/>
  <c r="D26" i="20"/>
  <c r="U25" i="20"/>
  <c r="E24" i="20"/>
  <c r="F18" i="20"/>
  <c r="D24" i="20"/>
  <c r="U24" i="20"/>
  <c r="F24" i="20"/>
  <c r="F17" i="20"/>
  <c r="D19" i="20"/>
  <c r="E20" i="20"/>
  <c r="D23" i="20"/>
  <c r="F15" i="20"/>
  <c r="F21" i="20"/>
  <c r="U18" i="20"/>
  <c r="D15" i="20"/>
  <c r="E19" i="20"/>
  <c r="U17" i="20"/>
  <c r="U21" i="20"/>
  <c r="U16" i="20"/>
  <c r="U20" i="20"/>
  <c r="F20" i="20"/>
  <c r="E21" i="20"/>
  <c r="F22" i="20"/>
  <c r="E23" i="20"/>
  <c r="U22" i="20"/>
  <c r="E18" i="20"/>
  <c r="E17" i="20"/>
  <c r="U23" i="20"/>
  <c r="E22" i="20"/>
  <c r="F19" i="20"/>
  <c r="E15" i="20"/>
  <c r="D16" i="20"/>
  <c r="D20" i="20"/>
  <c r="D22" i="20"/>
  <c r="D18" i="20"/>
  <c r="D17" i="20"/>
  <c r="F16" i="20"/>
  <c r="U19" i="20"/>
  <c r="F23" i="20"/>
  <c r="D21" i="20"/>
  <c r="E16" i="20"/>
  <c r="U15" i="20"/>
  <c r="E13" i="20"/>
  <c r="U14" i="20"/>
  <c r="U12" i="20"/>
  <c r="F14" i="20"/>
  <c r="D14" i="20"/>
  <c r="D13" i="20"/>
  <c r="D11" i="20"/>
  <c r="F13" i="20"/>
  <c r="D12" i="20"/>
  <c r="U13" i="20"/>
  <c r="U11" i="20"/>
  <c r="F11" i="20"/>
  <c r="F12" i="20"/>
  <c r="E11" i="20"/>
  <c r="E12" i="20"/>
  <c r="E14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6" authorId="0" shapeId="0" xr:uid="{6B39A301-E042-4E70-B18B-33F972D0DDD9}">
      <text>
        <r>
          <rPr>
            <sz val="9"/>
            <color indexed="81"/>
            <rFont val="돋움"/>
            <family val="3"/>
            <charset val="129"/>
          </rPr>
          <t>신규지만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당일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해줘야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Ex) </t>
        </r>
        <r>
          <rPr>
            <sz val="9"/>
            <color indexed="81"/>
            <rFont val="돋움"/>
            <family val="3"/>
            <charset val="129"/>
          </rPr>
          <t>자료수령</t>
        </r>
        <r>
          <rPr>
            <sz val="9"/>
            <color indexed="81"/>
            <rFont val="Tahoma"/>
            <family val="2"/>
          </rPr>
          <t xml:space="preserve"> 4 (E8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)
    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4 (I8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)
    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당일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2
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기본적으로</t>
        </r>
        <r>
          <rPr>
            <sz val="9"/>
            <color indexed="81"/>
            <rFont val="Tahoma"/>
            <family val="2"/>
          </rPr>
          <t xml:space="preserve"> E8+I8=8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걸려있으므로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뒤에</t>
        </r>
        <r>
          <rPr>
            <sz val="9"/>
            <color indexed="81"/>
            <rFont val="Tahoma"/>
            <family val="2"/>
          </rPr>
          <t xml:space="preserve"> -2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3" authorId="0" shapeId="0" xr:uid="{0345FA31-D898-4A8E-9589-BC89C23E9571}">
      <text>
        <r>
          <rPr>
            <b/>
            <sz val="9"/>
            <color indexed="81"/>
            <rFont val="돋움"/>
            <family val="3"/>
            <charset val="129"/>
          </rPr>
          <t>금일신규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미착수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미완료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취소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9" authorId="0" shapeId="0" xr:uid="{F46B81D0-BF40-4482-9BA6-97D670813BC0}">
      <text>
        <r>
          <rPr>
            <b/>
            <sz val="9"/>
            <color indexed="81"/>
            <rFont val="돋움"/>
            <family val="3"/>
            <charset val="129"/>
          </rPr>
          <t>수식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번호</t>
        </r>
        <r>
          <rPr>
            <b/>
            <sz val="9"/>
            <color indexed="81"/>
            <rFont val="Tahoma"/>
            <family val="2"/>
          </rPr>
          <t xml:space="preserve">+1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마세요</t>
        </r>
        <r>
          <rPr>
            <b/>
            <sz val="9"/>
            <color indexed="81"/>
            <rFont val="Tahoma"/>
            <family val="2"/>
          </rPr>
          <t>!!!!
(ex: C12</t>
        </r>
        <r>
          <rPr>
            <b/>
            <sz val="9"/>
            <color indexed="81"/>
            <rFont val="돋움"/>
            <family val="3"/>
            <charset val="129"/>
          </rPr>
          <t>셀에</t>
        </r>
        <r>
          <rPr>
            <b/>
            <sz val="9"/>
            <color indexed="81"/>
            <rFont val="Tahoma"/>
            <family val="2"/>
          </rPr>
          <t xml:space="preserve"> =C11+1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X)
</t>
        </r>
        <r>
          <rPr>
            <b/>
            <sz val="9"/>
            <color indexed="81"/>
            <rFont val="돋움"/>
            <family val="3"/>
            <charset val="129"/>
          </rPr>
          <t>진행률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내림차순으로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정리할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폴더번호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틀어져요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9" authorId="0" shapeId="0" xr:uid="{D2541F5C-55D6-4A69-B16A-D91AF0D8F365}">
      <text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!! </t>
        </r>
        <r>
          <rPr>
            <sz val="9"/>
            <color indexed="81"/>
            <rFont val="돋움"/>
            <family val="3"/>
            <charset val="129"/>
          </rPr>
          <t>누적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날라가게</t>
        </r>
      </text>
    </comment>
    <comment ref="C32" authorId="0" shapeId="0" xr:uid="{8B9069A6-638C-423C-A6D1-624DDC36D65F}">
      <text>
        <r>
          <rPr>
            <b/>
            <sz val="9"/>
            <color indexed="81"/>
            <rFont val="돋움"/>
            <family val="3"/>
            <charset val="129"/>
          </rPr>
          <t>수식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번호</t>
        </r>
        <r>
          <rPr>
            <b/>
            <sz val="9"/>
            <color indexed="81"/>
            <rFont val="Tahoma"/>
            <family val="2"/>
          </rPr>
          <t xml:space="preserve">+1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마세요</t>
        </r>
        <r>
          <rPr>
            <b/>
            <sz val="9"/>
            <color indexed="81"/>
            <rFont val="Tahoma"/>
            <family val="2"/>
          </rPr>
          <t>!!!!
(ex: C12</t>
        </r>
        <r>
          <rPr>
            <b/>
            <sz val="9"/>
            <color indexed="81"/>
            <rFont val="돋움"/>
            <family val="3"/>
            <charset val="129"/>
          </rPr>
          <t>셀에</t>
        </r>
        <r>
          <rPr>
            <b/>
            <sz val="9"/>
            <color indexed="81"/>
            <rFont val="Tahoma"/>
            <family val="2"/>
          </rPr>
          <t xml:space="preserve"> =C11+1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X)
</t>
        </r>
        <r>
          <rPr>
            <b/>
            <sz val="9"/>
            <color indexed="81"/>
            <rFont val="돋움"/>
            <family val="3"/>
            <charset val="129"/>
          </rPr>
          <t>진행률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내림차순으로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정리할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폴더번호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틀어져요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32" authorId="0" shapeId="0" xr:uid="{3FBCAD96-C9D9-4580-ACAC-4D4756D9E811}">
      <text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!! </t>
        </r>
        <r>
          <rPr>
            <sz val="9"/>
            <color indexed="81"/>
            <rFont val="돋움"/>
            <family val="3"/>
            <charset val="129"/>
          </rPr>
          <t>누적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날라가게</t>
        </r>
      </text>
    </comment>
  </commentList>
</comments>
</file>

<file path=xl/sharedStrings.xml><?xml version="1.0" encoding="utf-8"?>
<sst xmlns="http://schemas.openxmlformats.org/spreadsheetml/2006/main" count="819" uniqueCount="457">
  <si>
    <t>연번</t>
    <phoneticPr fontId="4" type="noConversion"/>
  </si>
  <si>
    <t>수요기업</t>
    <phoneticPr fontId="4" type="noConversion"/>
  </si>
  <si>
    <t>수행기관</t>
    <phoneticPr fontId="4" type="noConversion"/>
  </si>
  <si>
    <t>의뢰일</t>
    <phoneticPr fontId="4" type="noConversion"/>
  </si>
  <si>
    <t>제출일</t>
    <phoneticPr fontId="4" type="noConversion"/>
  </si>
  <si>
    <t>비고</t>
    <phoneticPr fontId="4" type="noConversion"/>
  </si>
  <si>
    <t>취소</t>
    <phoneticPr fontId="4" type="noConversion"/>
  </si>
  <si>
    <t>Prog.분류</t>
    <phoneticPr fontId="4" type="noConversion"/>
  </si>
  <si>
    <t>일반</t>
    <phoneticPr fontId="4" type="noConversion"/>
  </si>
  <si>
    <t>탄소</t>
    <phoneticPr fontId="4" type="noConversion"/>
  </si>
  <si>
    <t>애로사항</t>
    <phoneticPr fontId="4" type="noConversion"/>
  </si>
  <si>
    <t>system 현황</t>
    <phoneticPr fontId="4" type="noConversion"/>
  </si>
  <si>
    <t>총 투입공수
(HR)</t>
    <phoneticPr fontId="4" type="noConversion"/>
  </si>
  <si>
    <t>대금청구일</t>
    <phoneticPr fontId="4" type="noConversion"/>
  </si>
  <si>
    <t>특이사항</t>
    <phoneticPr fontId="4" type="noConversion"/>
  </si>
  <si>
    <t>완료</t>
    <phoneticPr fontId="4" type="noConversion"/>
  </si>
  <si>
    <t>중소기업 혁신바우처 사업</t>
    <phoneticPr fontId="4" type="noConversion"/>
  </si>
  <si>
    <t xml:space="preserve"> 원가감리 업무 일별 현황</t>
  </si>
  <si>
    <t>기준일 :</t>
    <phoneticPr fontId="4" type="noConversion"/>
  </si>
  <si>
    <t>사업연도</t>
    <phoneticPr fontId="4" type="noConversion"/>
  </si>
  <si>
    <t>제출상태</t>
    <phoneticPr fontId="4" type="noConversion"/>
  </si>
  <si>
    <t>누계</t>
    <phoneticPr fontId="4" type="noConversion"/>
  </si>
  <si>
    <t>신규</t>
    <phoneticPr fontId="4" type="noConversion"/>
  </si>
  <si>
    <t>취소*</t>
    <phoneticPr fontId="4" type="noConversion"/>
  </si>
  <si>
    <t>금일 제출완료</t>
    <phoneticPr fontId="4" type="noConversion"/>
  </si>
  <si>
    <t>금일 신규</t>
    <phoneticPr fontId="4" type="noConversion"/>
  </si>
  <si>
    <t>검  토</t>
    <phoneticPr fontId="4" type="noConversion"/>
  </si>
  <si>
    <t xml:space="preserve">  </t>
    <phoneticPr fontId="4" type="noConversion"/>
  </si>
  <si>
    <t>결
재</t>
    <phoneticPr fontId="4" type="noConversion"/>
  </si>
  <si>
    <t>프로그램별 건수 분류</t>
    <phoneticPr fontId="4" type="noConversion"/>
  </si>
  <si>
    <t>시제품제작
(정부한도 : 3천만원)</t>
    <phoneticPr fontId="4" type="noConversion"/>
  </si>
  <si>
    <t>시스템 및 시설구축
(정부한도 : 2천만원)</t>
    <phoneticPr fontId="4" type="noConversion"/>
  </si>
  <si>
    <t>일반 계</t>
    <phoneticPr fontId="4" type="noConversion"/>
  </si>
  <si>
    <t>시제품제작
(정부한도 : 5천만원)</t>
    <phoneticPr fontId="4" type="noConversion"/>
  </si>
  <si>
    <t>에너지 효율 향상 
시스템 및 시설구축
(정부한도 : 5천만원)</t>
    <phoneticPr fontId="4" type="noConversion"/>
  </si>
  <si>
    <t>탄소 계</t>
    <phoneticPr fontId="4" type="noConversion"/>
  </si>
  <si>
    <t>구분</t>
    <phoneticPr fontId="19" type="noConversion"/>
  </si>
  <si>
    <t>김기태</t>
    <phoneticPr fontId="19" type="noConversion"/>
  </si>
  <si>
    <t>지승연</t>
    <phoneticPr fontId="19" type="noConversion"/>
  </si>
  <si>
    <t>신규(수행계획서 수령 및 견적요청)</t>
    <phoneticPr fontId="19" type="noConversion"/>
  </si>
  <si>
    <t>진행중</t>
    <phoneticPr fontId="19" type="noConversion"/>
  </si>
  <si>
    <t>완료</t>
    <phoneticPr fontId="19" type="noConversion"/>
  </si>
  <si>
    <t>검토 후 보완요청 완료</t>
    <phoneticPr fontId="19" type="noConversion"/>
  </si>
  <si>
    <t>완료건-&gt;맨 위로</t>
    <phoneticPr fontId="19" type="noConversion"/>
  </si>
  <si>
    <t>보고서 작성(감리 전)</t>
    <phoneticPr fontId="19" type="noConversion"/>
  </si>
  <si>
    <t>#</t>
    <phoneticPr fontId="19" type="noConversion"/>
  </si>
  <si>
    <t>폴더
번호</t>
    <phoneticPr fontId="19" type="noConversion"/>
  </si>
  <si>
    <t>수요기업</t>
    <phoneticPr fontId="19" type="noConversion"/>
  </si>
  <si>
    <t>수행기관</t>
    <phoneticPr fontId="19" type="noConversion"/>
  </si>
  <si>
    <t>의뢰일</t>
    <phoneticPr fontId="19" type="noConversion"/>
  </si>
  <si>
    <t>예상완료일</t>
    <phoneticPr fontId="19" type="noConversion"/>
  </si>
  <si>
    <t>진행상황</t>
    <phoneticPr fontId="19" type="noConversion"/>
  </si>
  <si>
    <t>일일
투입시간(h)</t>
    <phoneticPr fontId="19" type="noConversion"/>
  </si>
  <si>
    <t>누적시간
(h)</t>
    <phoneticPr fontId="19" type="noConversion"/>
  </si>
  <si>
    <t>담당</t>
    <phoneticPr fontId="19" type="noConversion"/>
  </si>
  <si>
    <t>보고서 제출</t>
    <phoneticPr fontId="19" type="noConversion"/>
  </si>
  <si>
    <t>최종
작성자</t>
    <phoneticPr fontId="4" type="noConversion"/>
  </si>
  <si>
    <t>지승연</t>
    <phoneticPr fontId="4" type="noConversion"/>
  </si>
  <si>
    <t>●원장님께 검토 올릴 시, 수행계획서·견적서 등 증빙자료 출력해가기</t>
    <phoneticPr fontId="4" type="noConversion"/>
  </si>
  <si>
    <t>구분</t>
    <phoneticPr fontId="4" type="noConversion"/>
  </si>
  <si>
    <t>합계</t>
    <phoneticPr fontId="4" type="noConversion"/>
  </si>
  <si>
    <t>자료 
보완요청</t>
    <phoneticPr fontId="4" type="noConversion"/>
  </si>
  <si>
    <t>●요청자료 검토방법: 플랫폼에 신규 건 올라오면 담당자 확인 후 추가 자료 요청</t>
    <phoneticPr fontId="4" type="noConversion"/>
  </si>
  <si>
    <t>*파란칠: 감액</t>
    <phoneticPr fontId="4" type="noConversion"/>
  </si>
  <si>
    <t>現진행률</t>
    <phoneticPr fontId="4" type="noConversion"/>
  </si>
  <si>
    <t>진행률(%)별 수행일자</t>
    <phoneticPr fontId="4" type="noConversion"/>
  </si>
  <si>
    <t xml:space="preserve"> </t>
    <phoneticPr fontId="4" type="noConversion"/>
  </si>
  <si>
    <t>건수</t>
    <phoneticPr fontId="4" type="noConversion"/>
  </si>
  <si>
    <t>금액</t>
    <phoneticPr fontId="4" type="noConversion"/>
  </si>
  <si>
    <t>(단위 : 건, 원)</t>
    <phoneticPr fontId="4" type="noConversion"/>
  </si>
  <si>
    <t>기준일</t>
    <phoneticPr fontId="4" type="noConversion"/>
  </si>
  <si>
    <t>전체 수주현황</t>
    <phoneticPr fontId="4" type="noConversion"/>
  </si>
  <si>
    <t>자료수령포함</t>
    <phoneticPr fontId="4" type="noConversion"/>
  </si>
  <si>
    <t>수주건수 및 금액</t>
    <phoneticPr fontId="4" type="noConversion"/>
  </si>
  <si>
    <t>취소 제외</t>
    <phoneticPr fontId="4" type="noConversion"/>
  </si>
  <si>
    <t>인원별 수행금액 집계표(완료건에 한함)</t>
    <phoneticPr fontId="4" type="noConversion"/>
  </si>
  <si>
    <t>https://mssmiv.com/portal/Main</t>
    <phoneticPr fontId="4" type="noConversion"/>
  </si>
  <si>
    <t>견적서 수령(자료 다운)</t>
    <phoneticPr fontId="19" type="noConversion"/>
  </si>
  <si>
    <t>2025년</t>
    <phoneticPr fontId="4" type="noConversion"/>
  </si>
  <si>
    <t>24.12~2025</t>
    <phoneticPr fontId="4" type="noConversion"/>
  </si>
  <si>
    <t>진행중</t>
    <phoneticPr fontId="4" type="noConversion"/>
  </si>
  <si>
    <t>2024년 미제출분 (12월 의뢰)</t>
    <phoneticPr fontId="4" type="noConversion"/>
  </si>
  <si>
    <t>●업체 제출 사업비 기준
8천만원 초과: 김민선 원장
5천만원 초과~8천만원 이하: 하은정 이사
5천만원 이하: 담당자</t>
    <phoneticPr fontId="4" type="noConversion"/>
  </si>
  <si>
    <t>●검토라인 순서 지킬 것 (담당자 → 하은정 이사 → 품질관리실 → 김민선 원장)</t>
    <phoneticPr fontId="4" type="noConversion"/>
  </si>
  <si>
    <t>운영기관</t>
    <phoneticPr fontId="4" type="noConversion"/>
  </si>
  <si>
    <t>김연아</t>
    <phoneticPr fontId="4" type="noConversion"/>
  </si>
  <si>
    <t>(사)한국경영혁신
중소기업협회
(메인비즈)</t>
    <phoneticPr fontId="4" type="noConversion"/>
  </si>
  <si>
    <t>한국산학연협회
(산학연)</t>
    <phoneticPr fontId="4" type="noConversion"/>
  </si>
  <si>
    <t>메인비즈</t>
    <phoneticPr fontId="4" type="noConversion"/>
  </si>
  <si>
    <t>산학연</t>
    <phoneticPr fontId="4" type="noConversion"/>
  </si>
  <si>
    <t>&lt;진행상황표&gt;</t>
    <phoneticPr fontId="19" type="noConversion"/>
  </si>
  <si>
    <t>&lt;메인비즈&gt;</t>
    <phoneticPr fontId="4" type="noConversion"/>
  </si>
  <si>
    <t>&lt;산학연&gt;</t>
    <phoneticPr fontId="4" type="noConversion"/>
  </si>
  <si>
    <t>플랫폼</t>
    <phoneticPr fontId="4" type="noConversion"/>
  </si>
  <si>
    <t>이름</t>
    <phoneticPr fontId="4" type="noConversion"/>
  </si>
  <si>
    <t>직책</t>
    <phoneticPr fontId="4" type="noConversion"/>
  </si>
  <si>
    <t>전화번호</t>
    <phoneticPr fontId="4" type="noConversion"/>
  </si>
  <si>
    <t>이메일</t>
    <phoneticPr fontId="4" type="noConversion"/>
  </si>
  <si>
    <t>담당업무</t>
    <phoneticPr fontId="4" type="noConversion"/>
  </si>
  <si>
    <t>3자 협약 (원가감리 단계 포함)</t>
    <phoneticPr fontId="4" type="noConversion"/>
  </si>
  <si>
    <t>과장</t>
    <phoneticPr fontId="4" type="noConversion"/>
  </si>
  <si>
    <t>문지한</t>
    <phoneticPr fontId="4" type="noConversion"/>
  </si>
  <si>
    <t>선임</t>
    <phoneticPr fontId="4" type="noConversion"/>
  </si>
  <si>
    <t>퓨테크</t>
    <phoneticPr fontId="4" type="noConversion"/>
  </si>
  <si>
    <t>송석환</t>
    <phoneticPr fontId="4" type="noConversion"/>
  </si>
  <si>
    <t>02-735-2450</t>
    <phoneticPr fontId="4" type="noConversion"/>
  </si>
  <si>
    <t>shsong@futechsoft.com</t>
    <phoneticPr fontId="4" type="noConversion"/>
  </si>
  <si>
    <t>플랫폼 사용에 관한 응대
(오류 개선 요청 등이 있을 때 연락)</t>
    <phoneticPr fontId="4" type="noConversion"/>
  </si>
  <si>
    <t>김한나</t>
    <phoneticPr fontId="4" type="noConversion"/>
  </si>
  <si>
    <t>khn37@mainbiz.or.kr</t>
    <phoneticPr fontId="4" type="noConversion"/>
  </si>
  <si>
    <t>구분</t>
  </si>
  <si>
    <t>폴더
번호</t>
  </si>
  <si>
    <t>수요기업</t>
  </si>
  <si>
    <t>수행기관</t>
  </si>
  <si>
    <t>의뢰일</t>
  </si>
  <si>
    <t>예상완료일</t>
  </si>
  <si>
    <t>진행상황</t>
  </si>
  <si>
    <t>일일
투입시간(h)</t>
  </si>
  <si>
    <t>누적시간
(h)</t>
  </si>
  <si>
    <t>現진행률</t>
  </si>
  <si>
    <t>02-2230-2157</t>
    <phoneticPr fontId="4" type="noConversion"/>
  </si>
  <si>
    <t>윤세준</t>
    <phoneticPr fontId="4" type="noConversion"/>
  </si>
  <si>
    <t>전날 누적
(값 복사)</t>
    <phoneticPr fontId="4" type="noConversion"/>
  </si>
  <si>
    <t>당일</t>
    <phoneticPr fontId="4" type="noConversion"/>
  </si>
  <si>
    <t>검토담당</t>
    <phoneticPr fontId="4" type="noConversion"/>
  </si>
  <si>
    <t>비비에 기재</t>
    <phoneticPr fontId="4" type="noConversion"/>
  </si>
  <si>
    <t>신규 확인만</t>
    <phoneticPr fontId="4" type="noConversion"/>
  </si>
  <si>
    <t>044-410-3333
(010-6403-3207)</t>
    <phoneticPr fontId="4" type="noConversion"/>
  </si>
  <si>
    <t>mun@auri.go.kr
voucher@auri.go.kr</t>
    <phoneticPr fontId="4" type="noConversion"/>
  </si>
  <si>
    <t>진행중=자료수령+금일신규-금일신규中당일완료</t>
    <phoneticPr fontId="4" type="noConversion"/>
  </si>
  <si>
    <t>○ 연간 진행현황</t>
    <phoneticPr fontId="4" type="noConversion"/>
  </si>
  <si>
    <t>원가감리기관</t>
    <phoneticPr fontId="4" type="noConversion"/>
  </si>
  <si>
    <t>(사)한국경영분석연구원</t>
    <phoneticPr fontId="4" type="noConversion"/>
  </si>
  <si>
    <t>(재)21세기경제연구소</t>
    <phoneticPr fontId="4" type="noConversion"/>
  </si>
  <si>
    <t>한국산학연협회</t>
    <phoneticPr fontId="4" type="noConversion"/>
  </si>
  <si>
    <t>(사)한국경영혁신중소기업협회</t>
    <phoneticPr fontId="4" type="noConversion"/>
  </si>
  <si>
    <t>2023~2024</t>
    <phoneticPr fontId="4" type="noConversion"/>
  </si>
  <si>
    <t>주1) 2023~2024년은 계약기간 중 산학연 자체 플랫폼 사용으로 변경, 타 기관 일부만 집계됨</t>
    <phoneticPr fontId="4" type="noConversion"/>
  </si>
  <si>
    <t>연간 합계</t>
    <phoneticPr fontId="4" type="noConversion"/>
  </si>
  <si>
    <t>(단위: 건)</t>
    <phoneticPr fontId="4" type="noConversion"/>
  </si>
  <si>
    <t>-</t>
    <phoneticPr fontId="4" type="noConversion"/>
  </si>
  <si>
    <t>010-3939-6771</t>
    <phoneticPr fontId="4" type="noConversion"/>
  </si>
  <si>
    <t>대리</t>
    <phoneticPr fontId="4" type="noConversion"/>
  </si>
  <si>
    <t>(과장님 연차일 때 연락)</t>
    <phoneticPr fontId="4" type="noConversion"/>
  </si>
  <si>
    <t>세금계산서 발행
(누적)</t>
    <phoneticPr fontId="4" type="noConversion"/>
  </si>
  <si>
    <t>미완료</t>
    <phoneticPr fontId="4" type="noConversion"/>
  </si>
  <si>
    <t>● 해당 없음</t>
    <phoneticPr fontId="4" type="noConversion"/>
  </si>
  <si>
    <t>● 운영기관 메인비즈: 해당 없음</t>
    <phoneticPr fontId="4" type="noConversion"/>
  </si>
  <si>
    <t>주2) 2023년~2024년은 계약서 1건으로 진행. 23년도 진행현황파일에 합산하여 정리</t>
    <phoneticPr fontId="4" type="noConversion"/>
  </si>
  <si>
    <t>● 운영기관 산학연: 해당 없음</t>
    <phoneticPr fontId="4" type="noConversion"/>
  </si>
  <si>
    <r>
      <t xml:space="preserve">2026년도
</t>
    </r>
    <r>
      <rPr>
        <b/>
        <sz val="12"/>
        <color theme="1"/>
        <rFont val="맑은 고딕"/>
        <family val="3"/>
        <charset val="129"/>
        <scheme val="minor"/>
      </rPr>
      <t>(26.01.01 ~ 26.12.31)</t>
    </r>
    <phoneticPr fontId="4" type="noConversion"/>
  </si>
  <si>
    <t>□ 26년 중소기업 혁신 바우처사업 원가감리 현황 회신요청 (한국산학연 협회(산학연))</t>
    <phoneticPr fontId="4" type="noConversion"/>
  </si>
  <si>
    <t>김용전</t>
    <phoneticPr fontId="4" type="noConversion"/>
  </si>
  <si>
    <t>2026년</t>
    <phoneticPr fontId="4" type="noConversion"/>
  </si>
  <si>
    <t>㈜라온솔루션</t>
    <phoneticPr fontId="4" type="noConversion"/>
  </si>
  <si>
    <t>주식회사 샘플피씨비</t>
    <phoneticPr fontId="4" type="noConversion"/>
  </si>
  <si>
    <t>완료</t>
    <phoneticPr fontId="4" type="noConversion"/>
  </si>
  <si>
    <t>씨엠아이주식회사</t>
    <phoneticPr fontId="4" type="noConversion"/>
  </si>
  <si>
    <t>주식회사 아성정공</t>
    <phoneticPr fontId="4" type="noConversion"/>
  </si>
  <si>
    <t>제이디엘(JDL)</t>
    <phoneticPr fontId="4" type="noConversion"/>
  </si>
  <si>
    <t>(주)태성이엠씨</t>
    <phoneticPr fontId="4" type="noConversion"/>
  </si>
  <si>
    <t>㈜우영실업</t>
    <phoneticPr fontId="4" type="noConversion"/>
  </si>
  <si>
    <t>프로인 주식회사</t>
    <phoneticPr fontId="4" type="noConversion"/>
  </si>
  <si>
    <t>㈜크레탐</t>
    <phoneticPr fontId="4" type="noConversion"/>
  </si>
  <si>
    <t>힐링스</t>
    <phoneticPr fontId="4" type="noConversion"/>
  </si>
  <si>
    <t>㈜포어스딜라이트</t>
    <phoneticPr fontId="4" type="noConversion"/>
  </si>
  <si>
    <t>삼화메디칼</t>
    <phoneticPr fontId="4" type="noConversion"/>
  </si>
  <si>
    <t>㈜루트아이템</t>
    <phoneticPr fontId="4" type="noConversion"/>
  </si>
  <si>
    <t>㈜소닉랩</t>
    <phoneticPr fontId="4" type="noConversion"/>
  </si>
  <si>
    <t>이에스플러스</t>
    <phoneticPr fontId="4" type="noConversion"/>
  </si>
  <si>
    <t>주식회사 알파큐</t>
    <phoneticPr fontId="4" type="noConversion"/>
  </si>
  <si>
    <t>주식회사 로맨</t>
    <phoneticPr fontId="4" type="noConversion"/>
  </si>
  <si>
    <t>유니스파테크 주식회사</t>
    <phoneticPr fontId="4" type="noConversion"/>
  </si>
  <si>
    <t>주식회사 큐네스글로벌(QNES Global)</t>
    <phoneticPr fontId="4" type="noConversion"/>
  </si>
  <si>
    <t>주식회사 브러쉬포유</t>
    <phoneticPr fontId="4" type="noConversion"/>
  </si>
  <si>
    <t>㈜제이스</t>
    <phoneticPr fontId="4" type="noConversion"/>
  </si>
  <si>
    <t>온플러스</t>
    <phoneticPr fontId="4" type="noConversion"/>
  </si>
  <si>
    <t>㈜성심메디케어</t>
    <phoneticPr fontId="4" type="noConversion"/>
  </si>
  <si>
    <t>㈜코엔</t>
    <phoneticPr fontId="4" type="noConversion"/>
  </si>
  <si>
    <t>㈜뉴돈테크</t>
    <phoneticPr fontId="4" type="noConversion"/>
  </si>
  <si>
    <t>㈜네이카</t>
    <phoneticPr fontId="4" type="noConversion"/>
  </si>
  <si>
    <t>지니스㈜</t>
    <phoneticPr fontId="4" type="noConversion"/>
  </si>
  <si>
    <t>㈜포디믹스</t>
    <phoneticPr fontId="4" type="noConversion"/>
  </si>
  <si>
    <t>대영금형정공사</t>
    <phoneticPr fontId="4" type="noConversion"/>
  </si>
  <si>
    <t>㈜에이티홀딩스</t>
    <phoneticPr fontId="4" type="noConversion"/>
  </si>
  <si>
    <t>㈜엡스코어</t>
    <phoneticPr fontId="4" type="noConversion"/>
  </si>
  <si>
    <t>㈜이앤비솔루션</t>
    <phoneticPr fontId="4" type="noConversion"/>
  </si>
  <si>
    <t>㈜포러스젠</t>
    <phoneticPr fontId="4" type="noConversion"/>
  </si>
  <si>
    <t>이레테크</t>
    <phoneticPr fontId="4" type="noConversion"/>
  </si>
  <si>
    <t>한빛이노텍</t>
    <phoneticPr fontId="4" type="noConversion"/>
  </si>
  <si>
    <t>㈜맨엔텔</t>
    <phoneticPr fontId="4" type="noConversion"/>
  </si>
  <si>
    <t>노바센㈜</t>
    <phoneticPr fontId="4" type="noConversion"/>
  </si>
  <si>
    <t>㈜하다</t>
    <phoneticPr fontId="4" type="noConversion"/>
  </si>
  <si>
    <t>㈜쓰리디플러스</t>
    <phoneticPr fontId="4" type="noConversion"/>
  </si>
  <si>
    <t>㈜씨넷</t>
    <phoneticPr fontId="4" type="noConversion"/>
  </si>
  <si>
    <t>㈜엑스오컴퍼니</t>
    <phoneticPr fontId="4" type="noConversion"/>
  </si>
  <si>
    <t>㈜엠티에스</t>
    <phoneticPr fontId="4" type="noConversion"/>
  </si>
  <si>
    <t>㈜엘에이치바이오메드</t>
    <phoneticPr fontId="4" type="noConversion"/>
  </si>
  <si>
    <t>메디칼리서치</t>
    <phoneticPr fontId="4" type="noConversion"/>
  </si>
  <si>
    <t>농업회사법인 주식회사 드레스푸드</t>
    <phoneticPr fontId="4" type="noConversion"/>
  </si>
  <si>
    <t>한일정밀화학</t>
    <phoneticPr fontId="4" type="noConversion"/>
  </si>
  <si>
    <t>유니드</t>
    <phoneticPr fontId="4" type="noConversion"/>
  </si>
  <si>
    <t>㈜파인디자인</t>
    <phoneticPr fontId="4" type="noConversion"/>
  </si>
  <si>
    <t>㈜파인에스텍</t>
    <phoneticPr fontId="4" type="noConversion"/>
  </si>
  <si>
    <t>㈜이엘엠디</t>
    <phoneticPr fontId="4" type="noConversion"/>
  </si>
  <si>
    <t>굿라이프</t>
    <phoneticPr fontId="4" type="noConversion"/>
  </si>
  <si>
    <t>주식회사 시어니스트</t>
    <phoneticPr fontId="4" type="noConversion"/>
  </si>
  <si>
    <t>㈜셀드로우</t>
    <phoneticPr fontId="4" type="noConversion"/>
  </si>
  <si>
    <t>㈜화진몰테크</t>
    <phoneticPr fontId="4" type="noConversion"/>
  </si>
  <si>
    <t>㈜대광에프앤지</t>
    <phoneticPr fontId="4" type="noConversion"/>
  </si>
  <si>
    <t>㈜아주화장품</t>
    <phoneticPr fontId="4" type="noConversion"/>
  </si>
  <si>
    <t>씨에프티 유한책임회사</t>
    <phoneticPr fontId="4" type="noConversion"/>
  </si>
  <si>
    <t>㈜레피오</t>
    <phoneticPr fontId="4" type="noConversion"/>
  </si>
  <si>
    <t>㈜티디지</t>
    <phoneticPr fontId="4" type="noConversion"/>
  </si>
  <si>
    <t>㈜클린존</t>
    <phoneticPr fontId="4" type="noConversion"/>
  </si>
  <si>
    <t>㈜에스엠전자</t>
    <phoneticPr fontId="4" type="noConversion"/>
  </si>
  <si>
    <t>㈜에스디테크</t>
    <phoneticPr fontId="4" type="noConversion"/>
  </si>
  <si>
    <t>무니디자인</t>
    <phoneticPr fontId="4" type="noConversion"/>
  </si>
  <si>
    <t>주식회사 엘엠</t>
    <phoneticPr fontId="4" type="noConversion"/>
  </si>
  <si>
    <t>에스진㈜</t>
    <phoneticPr fontId="4" type="noConversion"/>
  </si>
  <si>
    <t>재융공업</t>
    <phoneticPr fontId="4" type="noConversion"/>
  </si>
  <si>
    <t>㈜아이토프</t>
    <phoneticPr fontId="4" type="noConversion"/>
  </si>
  <si>
    <t>㈜세퍼드</t>
    <phoneticPr fontId="4" type="noConversion"/>
  </si>
  <si>
    <t>주식회사 티나</t>
    <phoneticPr fontId="4" type="noConversion"/>
  </si>
  <si>
    <t>주식회사 제이솔루션</t>
    <phoneticPr fontId="4" type="noConversion"/>
  </si>
  <si>
    <t>㈜엠아이씨유</t>
    <phoneticPr fontId="4" type="noConversion"/>
  </si>
  <si>
    <t>㈜팜에이스</t>
    <phoneticPr fontId="4" type="noConversion"/>
  </si>
  <si>
    <t>㈜마마포레스트</t>
    <phoneticPr fontId="4" type="noConversion"/>
  </si>
  <si>
    <t>㈜에이치앤엠바이오</t>
    <phoneticPr fontId="4" type="noConversion"/>
  </si>
  <si>
    <t>에이치비테크㈜</t>
    <phoneticPr fontId="4" type="noConversion"/>
  </si>
  <si>
    <t>㈜세컨드홀리데이</t>
    <phoneticPr fontId="4" type="noConversion"/>
  </si>
  <si>
    <t>멀티펑션</t>
    <phoneticPr fontId="4" type="noConversion"/>
  </si>
  <si>
    <t>㈜엘에스금속</t>
    <phoneticPr fontId="4" type="noConversion"/>
  </si>
  <si>
    <t>㈜에너드림</t>
    <phoneticPr fontId="4" type="noConversion"/>
  </si>
  <si>
    <t>㈜세인블루텍</t>
    <phoneticPr fontId="4" type="noConversion"/>
  </si>
  <si>
    <t>에이치에스테크㈜</t>
    <phoneticPr fontId="4" type="noConversion"/>
  </si>
  <si>
    <t>다인시스템 주식회사</t>
    <phoneticPr fontId="4" type="noConversion"/>
  </si>
  <si>
    <t>㈜파인하이텍</t>
    <phoneticPr fontId="4" type="noConversion"/>
  </si>
  <si>
    <t>㈜코드</t>
    <phoneticPr fontId="4" type="noConversion"/>
  </si>
  <si>
    <t>㈜게이트웨이즈</t>
    <phoneticPr fontId="4" type="noConversion"/>
  </si>
  <si>
    <t>㈜케이엠씨(KMC)</t>
    <phoneticPr fontId="4" type="noConversion"/>
  </si>
  <si>
    <t>㈜동광</t>
    <phoneticPr fontId="4" type="noConversion"/>
  </si>
  <si>
    <t>㈜멀티밸런스(사업비: 12,858,000원)</t>
    <phoneticPr fontId="4" type="noConversion"/>
  </si>
  <si>
    <t>㈜멀티밸런스(사업비: 30,000,000원)</t>
    <phoneticPr fontId="4" type="noConversion"/>
  </si>
  <si>
    <t>㈜리즈코스</t>
    <phoneticPr fontId="4" type="noConversion"/>
  </si>
  <si>
    <t>㈜드림이앤씨</t>
    <phoneticPr fontId="4" type="noConversion"/>
  </si>
  <si>
    <t>주식회사 대림산업</t>
    <phoneticPr fontId="4" type="noConversion"/>
  </si>
  <si>
    <t>㈜센서테크</t>
    <phoneticPr fontId="4" type="noConversion"/>
  </si>
  <si>
    <t>㈜강동테크</t>
    <phoneticPr fontId="4" type="noConversion"/>
  </si>
  <si>
    <t>드론테크</t>
    <phoneticPr fontId="4" type="noConversion"/>
  </si>
  <si>
    <t>㈜이임테크</t>
    <phoneticPr fontId="4" type="noConversion"/>
  </si>
  <si>
    <t>㈜동도</t>
    <phoneticPr fontId="4" type="noConversion"/>
  </si>
  <si>
    <t>한섬컴</t>
    <phoneticPr fontId="4" type="noConversion"/>
  </si>
  <si>
    <t>㈜사이언스프로버</t>
    <phoneticPr fontId="4" type="noConversion"/>
  </si>
  <si>
    <t>주식회사 알앤에스랩</t>
    <phoneticPr fontId="4" type="noConversion"/>
  </si>
  <si>
    <t>㈜카라</t>
    <phoneticPr fontId="4" type="noConversion"/>
  </si>
  <si>
    <t>온경영기술 주식회사</t>
    <phoneticPr fontId="4" type="noConversion"/>
  </si>
  <si>
    <t>㈜네트워크코리아</t>
    <phoneticPr fontId="4" type="noConversion"/>
  </si>
  <si>
    <t>이노경영기술원㈜</t>
    <phoneticPr fontId="4" type="noConversion"/>
  </si>
  <si>
    <t>㈜이크림프로젝트</t>
    <phoneticPr fontId="4" type="noConversion"/>
  </si>
  <si>
    <t>주식회사 세컨드홀리데이</t>
    <phoneticPr fontId="4" type="noConversion"/>
  </si>
  <si>
    <t>뮤지쿠스</t>
    <phoneticPr fontId="4" type="noConversion"/>
  </si>
  <si>
    <t>㈜유니체스트</t>
    <phoneticPr fontId="4" type="noConversion"/>
  </si>
  <si>
    <t>완료</t>
    <phoneticPr fontId="4" type="noConversion"/>
  </si>
  <si>
    <t>주식회사 골드테크</t>
    <phoneticPr fontId="4" type="noConversion"/>
  </si>
  <si>
    <t>입금일</t>
    <phoneticPr fontId="4" type="noConversion"/>
  </si>
  <si>
    <t>자료누락여부</t>
    <phoneticPr fontId="4" type="noConversion"/>
  </si>
  <si>
    <t>㈜태린</t>
    <phoneticPr fontId="4" type="noConversion"/>
  </si>
  <si>
    <t>㈜리드경영기술원</t>
    <phoneticPr fontId="4" type="noConversion"/>
  </si>
  <si>
    <t>주식회사 인투앱</t>
    <phoneticPr fontId="4" type="noConversion"/>
  </si>
  <si>
    <t>사천편백림</t>
    <phoneticPr fontId="4" type="noConversion"/>
  </si>
  <si>
    <t>주식회사 대동씨엠씨</t>
    <phoneticPr fontId="4" type="noConversion"/>
  </si>
  <si>
    <t>자료없음</t>
    <phoneticPr fontId="4" type="noConversion"/>
  </si>
  <si>
    <t>주식회사 에스앤에이치솔루션</t>
    <phoneticPr fontId="4" type="noConversion"/>
  </si>
  <si>
    <t>그로스디자인</t>
    <phoneticPr fontId="4" type="noConversion"/>
  </si>
  <si>
    <t>비바코리아</t>
    <phoneticPr fontId="4" type="noConversion"/>
  </si>
  <si>
    <t>주식회사 이엘엠디</t>
    <phoneticPr fontId="4" type="noConversion"/>
  </si>
  <si>
    <t>(주)파이온텍</t>
    <phoneticPr fontId="4" type="noConversion"/>
  </si>
  <si>
    <t>주식회사포어스딜라이트</t>
    <phoneticPr fontId="4" type="noConversion"/>
  </si>
  <si>
    <t>(주)마루엘앤씨</t>
    <phoneticPr fontId="4" type="noConversion"/>
  </si>
  <si>
    <t>(주)리드경영기술원</t>
    <phoneticPr fontId="4" type="noConversion"/>
  </si>
  <si>
    <t>제이에이치테크</t>
    <phoneticPr fontId="4" type="noConversion"/>
  </si>
  <si>
    <t>주식회사 청우아이앤에스</t>
    <phoneticPr fontId="4" type="noConversion"/>
  </si>
  <si>
    <t>1차 75건 청구함</t>
    <phoneticPr fontId="4" type="noConversion"/>
  </si>
  <si>
    <t>담당</t>
    <phoneticPr fontId="4" type="noConversion"/>
  </si>
  <si>
    <t>검토</t>
    <phoneticPr fontId="4" type="noConversion"/>
  </si>
  <si>
    <t>이사</t>
    <phoneticPr fontId="4" type="noConversion"/>
  </si>
  <si>
    <t>원장</t>
    <phoneticPr fontId="4" type="noConversion"/>
  </si>
  <si>
    <t>김나경</t>
    <phoneticPr fontId="4" type="noConversion"/>
  </si>
  <si>
    <t xml:space="preserve"> </t>
    <phoneticPr fontId="4" type="noConversion"/>
  </si>
  <si>
    <t>1. 한국산학협회(최혜리 연구원 / 044-410-3334)</t>
    <phoneticPr fontId="4" type="noConversion"/>
  </si>
  <si>
    <t>- 모집완료, 5월 중 감리 요청 시작 예정</t>
    <phoneticPr fontId="4" type="noConversion"/>
  </si>
  <si>
    <t>- 기업별 서류 준비시기 상이하여 나눠서 감리 요청 예상</t>
    <phoneticPr fontId="4" type="noConversion"/>
  </si>
  <si>
    <t xml:space="preserve">2. 메인비즈 협회(유원석 과장 / 02-2230-2112) </t>
    <phoneticPr fontId="4" type="noConversion"/>
  </si>
  <si>
    <t>- 2026년도 운영기관 참여중</t>
    <phoneticPr fontId="4" type="noConversion"/>
  </si>
  <si>
    <t>- 중진고에서 운영기관 두 곳이 몰려 감리 요청시 마감 일정이 촉박하여 운영기관 별로 나우어 감리   요청으로 2026년도 메인비즈는 타연구원에 의뢰</t>
    <phoneticPr fontId="4" type="noConversion"/>
  </si>
  <si>
    <t>㈜어텍</t>
    <phoneticPr fontId="4" type="noConversion"/>
  </si>
  <si>
    <t>제일금형</t>
    <phoneticPr fontId="4" type="noConversion"/>
  </si>
  <si>
    <r>
      <rPr>
        <sz val="11"/>
        <color theme="1"/>
        <rFont val="굴림"/>
        <family val="3"/>
        <charset val="129"/>
      </rPr>
      <t>※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지역별 특화산업 육성 및 현안해결 등의 사업목적 달성을 위한 총괄기관의 방침이 있을 경우 한시적으로 프로그램을 신설하거나 </t>
    </r>
    <r>
      <rPr>
        <u/>
        <sz val="11"/>
        <color theme="1"/>
        <rFont val="맑은 고딕"/>
        <family val="3"/>
        <charset val="129"/>
        <scheme val="minor"/>
      </rPr>
      <t xml:space="preserve">프로그램별 한도를 조정하여 운영할 수 있다. </t>
    </r>
    <r>
      <rPr>
        <sz val="11"/>
        <color theme="1"/>
        <rFont val="맑은 고딕"/>
        <family val="2"/>
        <charset val="129"/>
        <scheme val="minor"/>
      </rPr>
      <t xml:space="preserve">
-['26.01.] 2026년_중소기업_혁신바우처사업_운영지침 6페이지 발췌</t>
    </r>
    <phoneticPr fontId="4" type="noConversion"/>
  </si>
  <si>
    <t>포유</t>
    <phoneticPr fontId="4" type="noConversion"/>
  </si>
  <si>
    <t>(주)유리드알앤디</t>
    <phoneticPr fontId="4" type="noConversion"/>
  </si>
  <si>
    <t>완료</t>
  </si>
  <si>
    <t>㈜온비치</t>
    <phoneticPr fontId="4" type="noConversion"/>
  </si>
  <si>
    <t>와이스토리</t>
    <phoneticPr fontId="4" type="noConversion"/>
  </si>
  <si>
    <t>㈜끄레망</t>
    <phoneticPr fontId="4" type="noConversion"/>
  </si>
  <si>
    <t>㈜에이치비</t>
    <phoneticPr fontId="4" type="noConversion"/>
  </si>
  <si>
    <t>㈜디자인고</t>
    <phoneticPr fontId="4" type="noConversion"/>
  </si>
  <si>
    <t>㈜영우솔루션</t>
    <phoneticPr fontId="4" type="noConversion"/>
  </si>
  <si>
    <t>㈜유니컴퍼니</t>
    <phoneticPr fontId="4" type="noConversion"/>
  </si>
  <si>
    <t>미착수</t>
    <phoneticPr fontId="4" type="noConversion"/>
  </si>
  <si>
    <t>튜비콘(TUBYCON)</t>
    <phoneticPr fontId="4" type="noConversion"/>
  </si>
  <si>
    <t>제이와이솔루션㈜</t>
    <phoneticPr fontId="4" type="noConversion"/>
  </si>
  <si>
    <t>주식회사 이룸디엔티</t>
    <phoneticPr fontId="4" type="noConversion"/>
  </si>
  <si>
    <t>디자인부스터</t>
    <phoneticPr fontId="4" type="noConversion"/>
  </si>
  <si>
    <t>포스텍</t>
  </si>
  <si>
    <t>오션커뮤니케이션즈</t>
  </si>
  <si>
    <t>㈜클린존</t>
    <phoneticPr fontId="4" type="noConversion"/>
  </si>
  <si>
    <t>㈜이앤비솔루션</t>
    <phoneticPr fontId="4" type="noConversion"/>
  </si>
  <si>
    <t>디에스이아이엔씨</t>
    <phoneticPr fontId="4" type="noConversion"/>
  </si>
  <si>
    <t>이원테크원</t>
    <phoneticPr fontId="4" type="noConversion"/>
  </si>
  <si>
    <t>㈜디와이에코</t>
    <phoneticPr fontId="4" type="noConversion"/>
  </si>
  <si>
    <t>㈜동양테크</t>
    <phoneticPr fontId="4" type="noConversion"/>
  </si>
  <si>
    <t>㈜케이이알</t>
    <phoneticPr fontId="4" type="noConversion"/>
  </si>
  <si>
    <t>㈜능인솔루션</t>
    <phoneticPr fontId="4" type="noConversion"/>
  </si>
  <si>
    <t>성신기계공업㈜</t>
    <phoneticPr fontId="4" type="noConversion"/>
  </si>
  <si>
    <t>㈜와이씨코퍼레이션</t>
    <phoneticPr fontId="4" type="noConversion"/>
  </si>
  <si>
    <t>주식회사 스카이텍</t>
    <phoneticPr fontId="4" type="noConversion"/>
  </si>
  <si>
    <t>무니디자인</t>
    <phoneticPr fontId="4" type="noConversion"/>
  </si>
  <si>
    <t>㈜케이마린바이오테크</t>
  </si>
  <si>
    <t>㈜네이카</t>
  </si>
  <si>
    <t>㈜밸릭스</t>
    <phoneticPr fontId="4" type="noConversion"/>
  </si>
  <si>
    <t>㈜레이아웃</t>
    <phoneticPr fontId="4" type="noConversion"/>
  </si>
  <si>
    <t>㈜파이헬스케어</t>
    <phoneticPr fontId="4" type="noConversion"/>
  </si>
  <si>
    <t>니즈로봇</t>
    <phoneticPr fontId="4" type="noConversion"/>
  </si>
  <si>
    <t>㈜우석엔지니어링</t>
    <phoneticPr fontId="4" type="noConversion"/>
  </si>
  <si>
    <t>모이니</t>
    <phoneticPr fontId="4" type="noConversion"/>
  </si>
  <si>
    <t>㈜로보아이</t>
    <phoneticPr fontId="4" type="noConversion"/>
  </si>
  <si>
    <t>모펙</t>
    <phoneticPr fontId="4" type="noConversion"/>
  </si>
  <si>
    <t>㈜이알에스</t>
    <phoneticPr fontId="4" type="noConversion"/>
  </si>
  <si>
    <t>㈜쓰레망</t>
    <phoneticPr fontId="4" type="noConversion"/>
  </si>
  <si>
    <t>엑셉턴스 레터 스튜디오</t>
    <phoneticPr fontId="4" type="noConversion"/>
  </si>
  <si>
    <t>㈜대동CMC</t>
    <phoneticPr fontId="4" type="noConversion"/>
  </si>
  <si>
    <t>거인커뮤니케이션즈</t>
    <phoneticPr fontId="4" type="noConversion"/>
  </si>
  <si>
    <t>온플러스</t>
    <phoneticPr fontId="4" type="noConversion"/>
  </si>
  <si>
    <t>명신에이텍</t>
    <phoneticPr fontId="4" type="noConversion"/>
  </si>
  <si>
    <t>모노스케일</t>
    <phoneticPr fontId="4" type="noConversion"/>
  </si>
  <si>
    <t>디모스먼트</t>
    <phoneticPr fontId="4" type="noConversion"/>
  </si>
  <si>
    <t>잇다커뮤니케이션</t>
    <phoneticPr fontId="4" type="noConversion"/>
  </si>
  <si>
    <t>㈜나이테</t>
    <phoneticPr fontId="4" type="noConversion"/>
  </si>
  <si>
    <t>회광정밀</t>
    <phoneticPr fontId="4" type="noConversion"/>
  </si>
  <si>
    <t>주식회사 그리닝</t>
    <phoneticPr fontId="4" type="noConversion"/>
  </si>
  <si>
    <t>(주)잇다커뮤니케이션</t>
    <phoneticPr fontId="4" type="noConversion"/>
  </si>
  <si>
    <t>주식회사 렌다</t>
    <phoneticPr fontId="4" type="noConversion"/>
  </si>
  <si>
    <t>주식회사 코엔</t>
    <phoneticPr fontId="4" type="noConversion"/>
  </si>
  <si>
    <t>협동조합 서울가죽소년단</t>
    <phoneticPr fontId="4" type="noConversion"/>
  </si>
  <si>
    <t>(주)대동CMC</t>
    <phoneticPr fontId="4" type="noConversion"/>
  </si>
  <si>
    <t>리녹스㈜</t>
    <phoneticPr fontId="4" type="noConversion"/>
  </si>
  <si>
    <t>주식회사 다정한마켓</t>
    <phoneticPr fontId="4" type="noConversion"/>
  </si>
  <si>
    <t>(주)이음새농업회사법인</t>
    <phoneticPr fontId="4" type="noConversion"/>
  </si>
  <si>
    <t>(주)나루아토</t>
    <phoneticPr fontId="4" type="noConversion"/>
  </si>
  <si>
    <t>지아이시스템주식회사</t>
    <phoneticPr fontId="4" type="noConversion"/>
  </si>
  <si>
    <t>알에이치테크</t>
    <phoneticPr fontId="4" type="noConversion"/>
  </si>
  <si>
    <t>경원기계공업㈜</t>
    <phoneticPr fontId="4" type="noConversion"/>
  </si>
  <si>
    <t>대호산업</t>
    <phoneticPr fontId="4" type="noConversion"/>
  </si>
  <si>
    <t>한일콘크리트 주식회사</t>
    <phoneticPr fontId="4" type="noConversion"/>
  </si>
  <si>
    <t>주식회사 씨넷</t>
    <phoneticPr fontId="4" type="noConversion"/>
  </si>
  <si>
    <t>아이다인</t>
    <phoneticPr fontId="4" type="noConversion"/>
  </si>
  <si>
    <t>케이에이앤</t>
    <phoneticPr fontId="4" type="noConversion"/>
  </si>
  <si>
    <t>파이어킴이에스 주식회사</t>
    <phoneticPr fontId="4" type="noConversion"/>
  </si>
  <si>
    <t>나진금형</t>
    <phoneticPr fontId="4" type="noConversion"/>
  </si>
  <si>
    <t>(주)새너</t>
    <phoneticPr fontId="4" type="noConversion"/>
  </si>
  <si>
    <t>성신기계공업 주식회사</t>
    <phoneticPr fontId="4" type="noConversion"/>
  </si>
  <si>
    <t>주식회사 디노바</t>
    <phoneticPr fontId="4" type="noConversion"/>
  </si>
  <si>
    <t>혜영 킴(HYEYEONG KIM)</t>
    <phoneticPr fontId="4" type="noConversion"/>
  </si>
  <si>
    <t>주식회사 세컨드홀리데이</t>
    <phoneticPr fontId="4" type="noConversion"/>
  </si>
  <si>
    <t>(주)가솔릭</t>
    <phoneticPr fontId="4" type="noConversion"/>
  </si>
  <si>
    <t>목원대학교 산학협력단</t>
    <phoneticPr fontId="4" type="noConversion"/>
  </si>
  <si>
    <t>(주)오토콘테크</t>
    <phoneticPr fontId="4" type="noConversion"/>
  </si>
  <si>
    <t>(주)금오공업</t>
    <phoneticPr fontId="4" type="noConversion"/>
  </si>
  <si>
    <t>(주)펨토하이테크</t>
    <phoneticPr fontId="4" type="noConversion"/>
  </si>
  <si>
    <t>(주)프린스콜렉션</t>
    <phoneticPr fontId="4" type="noConversion"/>
  </si>
  <si>
    <t>큐플릭스</t>
    <phoneticPr fontId="4" type="noConversion"/>
  </si>
  <si>
    <t>주식회사 셀코</t>
    <phoneticPr fontId="4" type="noConversion"/>
  </si>
  <si>
    <t>주식회사 비트버스</t>
    <phoneticPr fontId="4" type="noConversion"/>
  </si>
  <si>
    <t>주식회사 쿠달</t>
    <phoneticPr fontId="4" type="noConversion"/>
  </si>
  <si>
    <t>팩토리풀</t>
    <phoneticPr fontId="4" type="noConversion"/>
  </si>
  <si>
    <t>(주)삼영메탈</t>
    <phoneticPr fontId="4" type="noConversion"/>
  </si>
  <si>
    <t>(주)이알에스</t>
    <phoneticPr fontId="4" type="noConversion"/>
  </si>
  <si>
    <t>(주)양원농장농업법인회사</t>
    <phoneticPr fontId="4" type="noConversion"/>
  </si>
  <si>
    <t>(주)조은환경</t>
    <phoneticPr fontId="4" type="noConversion"/>
  </si>
  <si>
    <t>행복스토리</t>
    <phoneticPr fontId="4" type="noConversion"/>
  </si>
  <si>
    <t>(주)카네비모빌리티</t>
    <phoneticPr fontId="4" type="noConversion"/>
  </si>
  <si>
    <t>(주)네모아이씨지</t>
    <phoneticPr fontId="4" type="noConversion"/>
  </si>
  <si>
    <t>(주)케이테크</t>
    <phoneticPr fontId="4" type="noConversion"/>
  </si>
  <si>
    <t>(주)하다</t>
    <phoneticPr fontId="4" type="noConversion"/>
  </si>
  <si>
    <t>FREAKS</t>
    <phoneticPr fontId="4" type="noConversion"/>
  </si>
  <si>
    <t>(사)캠틱종합기술원</t>
    <phoneticPr fontId="4" type="noConversion"/>
  </si>
  <si>
    <t>발산공업</t>
    <phoneticPr fontId="4" type="noConversion"/>
  </si>
  <si>
    <t>베티에르</t>
    <phoneticPr fontId="4" type="noConversion"/>
  </si>
  <si>
    <t>세컨드클로젯</t>
    <phoneticPr fontId="4" type="noConversion"/>
  </si>
  <si>
    <t>주식회사 다원냉각기</t>
    <phoneticPr fontId="4" type="noConversion"/>
  </si>
  <si>
    <t>(주)디자인고</t>
    <phoneticPr fontId="4" type="noConversion"/>
  </si>
  <si>
    <t>(주)온유어사이드</t>
    <phoneticPr fontId="4" type="noConversion"/>
  </si>
  <si>
    <t>(주)라임프렌즈</t>
    <phoneticPr fontId="4" type="noConversion"/>
  </si>
  <si>
    <t>올리브</t>
    <phoneticPr fontId="4" type="noConversion"/>
  </si>
  <si>
    <t>니즈로봇</t>
    <phoneticPr fontId="4" type="noConversion"/>
  </si>
  <si>
    <t>(주)홍성산업</t>
    <phoneticPr fontId="4" type="noConversion"/>
  </si>
  <si>
    <t>(주)대동CMC</t>
    <phoneticPr fontId="4" type="noConversion"/>
  </si>
  <si>
    <t>(주)기산</t>
    <phoneticPr fontId="4" type="noConversion"/>
  </si>
  <si>
    <t>한섬컴</t>
    <phoneticPr fontId="4" type="noConversion"/>
  </si>
  <si>
    <t>스튜디오 하이</t>
    <phoneticPr fontId="4" type="noConversion"/>
  </si>
  <si>
    <t>(주)세컨드홀리데이</t>
    <phoneticPr fontId="4" type="noConversion"/>
  </si>
  <si>
    <t>(주)동우글로벌</t>
    <phoneticPr fontId="4" type="noConversion"/>
  </si>
  <si>
    <t>(주)케이엠씨</t>
    <phoneticPr fontId="4" type="noConversion"/>
  </si>
  <si>
    <t>한세</t>
    <phoneticPr fontId="4" type="noConversion"/>
  </si>
  <si>
    <t>옵토파워㈜</t>
    <phoneticPr fontId="4" type="noConversion"/>
  </si>
  <si>
    <t>한빛전자</t>
    <phoneticPr fontId="4" type="noConversion"/>
  </si>
  <si>
    <t>경향산업㈜</t>
    <phoneticPr fontId="4" type="noConversion"/>
  </si>
  <si>
    <t>(주)포어스딜라이트</t>
    <phoneticPr fontId="4" type="noConversion"/>
  </si>
  <si>
    <t>어업회사법인오늘의삼천포㈜</t>
    <phoneticPr fontId="4" type="noConversion"/>
  </si>
  <si>
    <t>(주)나루아토</t>
    <phoneticPr fontId="4" type="noConversion"/>
  </si>
  <si>
    <t>(주)새한염공</t>
    <phoneticPr fontId="4" type="noConversion"/>
  </si>
  <si>
    <t>(주)이알에스</t>
    <phoneticPr fontId="4" type="noConversion"/>
  </si>
  <si>
    <t>백운커피</t>
    <phoneticPr fontId="4" type="noConversion"/>
  </si>
  <si>
    <t>(주)씨앤비코스메틱</t>
    <phoneticPr fontId="4" type="noConversion"/>
  </si>
  <si>
    <t>(주)현대화이바</t>
    <phoneticPr fontId="4" type="noConversion"/>
  </si>
  <si>
    <t>에코22엔지니어링</t>
    <phoneticPr fontId="4" type="noConversion"/>
  </si>
  <si>
    <t>(주)오앤에스</t>
    <phoneticPr fontId="4" type="noConversion"/>
  </si>
  <si>
    <t>(주)이앤비솔루션</t>
    <phoneticPr fontId="4" type="noConversion"/>
  </si>
  <si>
    <t>Autol</t>
    <phoneticPr fontId="4" type="noConversion"/>
  </si>
  <si>
    <t>가온알앤디</t>
    <phoneticPr fontId="4" type="noConversion"/>
  </si>
  <si>
    <t>수일개발</t>
    <phoneticPr fontId="4" type="noConversion"/>
  </si>
  <si>
    <t>(주)포어스딜라이트</t>
    <phoneticPr fontId="4" type="noConversion"/>
  </si>
  <si>
    <t>(주)제일알에너지솔루션</t>
    <phoneticPr fontId="4" type="noConversion"/>
  </si>
  <si>
    <t>(주)유유랑컴퍼티</t>
    <phoneticPr fontId="4" type="noConversion"/>
  </si>
  <si>
    <t>(주)그린리소스</t>
    <phoneticPr fontId="4" type="noConversion"/>
  </si>
  <si>
    <t>(주)아이지스</t>
    <phoneticPr fontId="4" type="noConversion"/>
  </si>
  <si>
    <t>(주)파인하이텍</t>
    <phoneticPr fontId="4" type="noConversion"/>
  </si>
  <si>
    <t>(주)벨리오니스</t>
    <phoneticPr fontId="4" type="noConversion"/>
  </si>
  <si>
    <t>유닉스전자</t>
    <phoneticPr fontId="4" type="noConversion"/>
  </si>
  <si>
    <t>단미푸드</t>
    <phoneticPr fontId="4" type="noConversion"/>
  </si>
  <si>
    <t>(주)씨넷</t>
    <phoneticPr fontId="4" type="noConversion"/>
  </si>
  <si>
    <t>(주)라피끄</t>
    <phoneticPr fontId="4" type="noConversion"/>
  </si>
  <si>
    <t>(주)드레인필터</t>
    <phoneticPr fontId="4" type="noConversion"/>
  </si>
  <si>
    <t>엔에스케이테크</t>
    <phoneticPr fontId="4" type="noConversion"/>
  </si>
  <si>
    <t>아리베베</t>
    <phoneticPr fontId="4" type="noConversion"/>
  </si>
  <si>
    <t>아이디앤파트너스(주)</t>
    <phoneticPr fontId="4" type="noConversion"/>
  </si>
  <si>
    <t>(주)이데아</t>
    <phoneticPr fontId="4" type="noConversion"/>
  </si>
  <si>
    <t>엘펙</t>
    <phoneticPr fontId="4" type="noConversion"/>
  </si>
  <si>
    <t>에이스이노텍㈜</t>
    <phoneticPr fontId="4" type="noConversion"/>
  </si>
  <si>
    <t>정화테크</t>
    <phoneticPr fontId="4" type="noConversion"/>
  </si>
  <si>
    <t>(주)아르비젼</t>
    <phoneticPr fontId="4" type="noConversion"/>
  </si>
  <si>
    <t>(주)영진엠앤피</t>
    <phoneticPr fontId="4" type="noConversion"/>
  </si>
  <si>
    <t>(주)해담솔</t>
    <phoneticPr fontId="4" type="noConversion"/>
  </si>
  <si>
    <t>(주)디자인톡톡</t>
    <phoneticPr fontId="4" type="noConversion"/>
  </si>
  <si>
    <t>(주)워케이션</t>
    <phoneticPr fontId="4" type="noConversion"/>
  </si>
  <si>
    <t>(주)베이컨디자인스튜디오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</si>
</sst>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mm&quot;월&quot;\ dd&quot;일&quot;"/>
    <numFmt numFmtId="177" formatCode="yyyy/mm/dd&quot; 당일 업무 진행&quot;"/>
    <numFmt numFmtId="178" formatCode="0_);\(0\)"/>
    <numFmt numFmtId="179" formatCode="_-* #,##0;\-* #,##0;_-* &quot;&quot;_-;_-@_-"/>
    <numFmt numFmtId="180" formatCode="0_);[Red]\(0\)"/>
    <numFmt numFmtId="181" formatCode="m\ \/\ d"/>
    <numFmt numFmtId="182" formatCode="[$-F800]dddd\,\ mmmm\ dd\,\ yyyy"/>
    <numFmt numFmtId="183" formatCode="yyyy/mm/dd\ \(aaa\)"/>
  </numFmts>
  <fonts count="63">
    <font>
      <sz val="11"/>
      <color theme="1"/>
      <name val="맑은 고딕"/>
      <family val="2"/>
      <charset val="129"/>
      <scheme val="minor"/>
    </font>
    <font>
      <sz val="11"/>
      <color theme="1"/>
      <name val="한컴바탕"/>
      <family val="2"/>
      <charset val="129"/>
    </font>
    <font>
      <sz val="11"/>
      <color theme="1"/>
      <name val="한컴바탕"/>
      <family val="2"/>
      <charset val="129"/>
    </font>
    <font>
      <sz val="11"/>
      <color theme="1"/>
      <name val="HY견고딕"/>
      <family val="2"/>
      <charset val="129"/>
    </font>
    <font>
      <sz val="8"/>
      <name val="맑은 고딕"/>
      <family val="2"/>
      <charset val="129"/>
      <scheme val="minor"/>
    </font>
    <font>
      <sz val="16"/>
      <color theme="1"/>
      <name val="HY헤드라인M"/>
      <family val="1"/>
      <charset val="129"/>
    </font>
    <font>
      <sz val="11"/>
      <color theme="1"/>
      <name val="나눔스퀘어OTF_ac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HY견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11"/>
      <color theme="1"/>
      <name val="굴림"/>
      <family val="3"/>
      <charset val="129"/>
    </font>
    <font>
      <sz val="8"/>
      <name val="한컴바탕"/>
      <family val="2"/>
      <charset val="129"/>
    </font>
    <font>
      <b/>
      <sz val="25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2"/>
      <color rgb="FF3F3F3F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name val="HancomEQN"/>
      <family val="3"/>
      <charset val="129"/>
    </font>
    <font>
      <sz val="1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11"/>
      <color theme="1"/>
      <name val="함초롬돋움"/>
      <family val="3"/>
      <charset val="129"/>
    </font>
    <font>
      <b/>
      <sz val="15"/>
      <color theme="1"/>
      <name val="함초롬돋움"/>
      <family val="3"/>
      <charset val="129"/>
    </font>
    <font>
      <sz val="9"/>
      <color theme="1"/>
      <name val="함초롬돋움"/>
      <family val="3"/>
      <charset val="129"/>
    </font>
    <font>
      <b/>
      <sz val="9"/>
      <color theme="1"/>
      <name val="함초롬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2"/>
      <name val="맑은 고딕"/>
      <family val="3"/>
      <charset val="129"/>
    </font>
    <font>
      <sz val="10"/>
      <name val="Arial Narrow"/>
      <family val="2"/>
    </font>
    <font>
      <b/>
      <sz val="14"/>
      <color rgb="FF0070C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9" tint="0.79998168889431442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9"/>
      <color theme="0" tint="-4.9989318521683403E-2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4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sz val="11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rgb="FF333333"/>
      <name val="굴림체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/>
      <diagonal/>
    </border>
    <border>
      <left style="thin">
        <color indexed="64"/>
      </left>
      <right style="double">
        <color auto="1"/>
      </right>
      <top/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27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3" fillId="3" borderId="13" applyNumberFormat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7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19">
    <xf numFmtId="0" fontId="0" fillId="0" borderId="0" xfId="0">
      <alignment vertical="center"/>
    </xf>
    <xf numFmtId="0" fontId="0" fillId="0" borderId="1" xfId="0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14" fontId="0" fillId="0" borderId="1" xfId="0" applyNumberFormat="1" applyBorder="1">
      <alignment vertical="center"/>
    </xf>
    <xf numFmtId="14" fontId="0" fillId="0" borderId="0" xfId="0" applyNumberFormat="1">
      <alignment vertical="center"/>
    </xf>
    <xf numFmtId="14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5" borderId="1" xfId="1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24" fillId="5" borderId="1" xfId="10" applyFont="1" applyFill="1" applyBorder="1" applyAlignment="1">
      <alignment horizontal="center" vertical="center" wrapText="1"/>
    </xf>
    <xf numFmtId="178" fontId="26" fillId="6" borderId="1" xfId="1" applyNumberFormat="1" applyFont="1" applyFill="1" applyBorder="1" applyAlignment="1">
      <alignment horizontal="center" vertical="center"/>
    </xf>
    <xf numFmtId="178" fontId="26" fillId="6" borderId="3" xfId="1" applyNumberFormat="1" applyFont="1" applyFill="1" applyBorder="1" applyAlignment="1">
      <alignment horizontal="center" vertical="center"/>
    </xf>
    <xf numFmtId="178" fontId="28" fillId="6" borderId="1" xfId="1" applyNumberFormat="1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0" fontId="25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179" fontId="30" fillId="0" borderId="0" xfId="1" applyNumberFormat="1" applyFont="1" applyFill="1" applyBorder="1" applyAlignment="1">
      <alignment horizontal="center" vertical="center"/>
    </xf>
    <xf numFmtId="179" fontId="30" fillId="0" borderId="0" xfId="1" applyNumberFormat="1" applyFont="1" applyFill="1" applyBorder="1">
      <alignment vertical="center"/>
    </xf>
    <xf numFmtId="0" fontId="27" fillId="0" borderId="7" xfId="0" applyFont="1" applyBorder="1">
      <alignment vertical="center"/>
    </xf>
    <xf numFmtId="0" fontId="27" fillId="0" borderId="0" xfId="0" applyFont="1">
      <alignment vertical="center"/>
    </xf>
    <xf numFmtId="0" fontId="30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4" fontId="24" fillId="5" borderId="1" xfId="10" applyNumberFormat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6" fillId="0" borderId="0" xfId="0" quotePrefix="1" applyFont="1" applyAlignment="1">
      <alignment horizontal="left" vertical="center" wrapText="1"/>
    </xf>
    <xf numFmtId="0" fontId="26" fillId="0" borderId="0" xfId="0" quotePrefix="1" applyFont="1" applyAlignment="1">
      <alignment horizontal="left" vertical="center"/>
    </xf>
    <xf numFmtId="0" fontId="26" fillId="0" borderId="0" xfId="0" applyFont="1" applyAlignment="1">
      <alignment vertical="center" wrapText="1"/>
    </xf>
    <xf numFmtId="14" fontId="26" fillId="0" borderId="0" xfId="0" applyNumberFormat="1" applyFont="1">
      <alignment vertical="center"/>
    </xf>
    <xf numFmtId="0" fontId="27" fillId="0" borderId="0" xfId="0" applyFont="1" applyAlignment="1">
      <alignment horizontal="center" vertical="center" wrapText="1"/>
    </xf>
    <xf numFmtId="0" fontId="0" fillId="2" borderId="1" xfId="0" applyFill="1" applyBorder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43" fillId="0" borderId="1" xfId="0" applyFont="1" applyBorder="1">
      <alignment vertical="center"/>
    </xf>
    <xf numFmtId="0" fontId="43" fillId="0" borderId="1" xfId="0" applyFont="1" applyBorder="1" applyAlignment="1">
      <alignment horizontal="center" vertical="center"/>
    </xf>
    <xf numFmtId="41" fontId="43" fillId="0" borderId="1" xfId="1" applyFont="1" applyBorder="1">
      <alignment vertical="center"/>
    </xf>
    <xf numFmtId="0" fontId="44" fillId="7" borderId="1" xfId="0" applyFont="1" applyFill="1" applyBorder="1" applyAlignment="1">
      <alignment horizontal="center" vertical="center"/>
    </xf>
    <xf numFmtId="0" fontId="43" fillId="0" borderId="0" xfId="0" applyFont="1" applyAlignment="1">
      <alignment horizontal="right" vertical="center"/>
    </xf>
    <xf numFmtId="41" fontId="43" fillId="0" borderId="1" xfId="0" applyNumberFormat="1" applyFont="1" applyBorder="1">
      <alignment vertical="center"/>
    </xf>
    <xf numFmtId="0" fontId="43" fillId="0" borderId="0" xfId="0" applyFont="1" applyAlignment="1">
      <alignment horizontal="center" vertical="center"/>
    </xf>
    <xf numFmtId="41" fontId="43" fillId="0" borderId="0" xfId="1" applyFont="1" applyBorder="1">
      <alignment vertical="center"/>
    </xf>
    <xf numFmtId="14" fontId="43" fillId="0" borderId="1" xfId="0" applyNumberFormat="1" applyFont="1" applyBorder="1" applyAlignment="1">
      <alignment horizontal="center" vertical="center"/>
    </xf>
    <xf numFmtId="14" fontId="43" fillId="0" borderId="0" xfId="0" applyNumberFormat="1" applyFont="1" applyAlignment="1">
      <alignment horizontal="center" vertical="center"/>
    </xf>
    <xf numFmtId="41" fontId="43" fillId="0" borderId="0" xfId="1" applyFont="1">
      <alignment vertical="center"/>
    </xf>
    <xf numFmtId="9" fontId="0" fillId="0" borderId="0" xfId="13" applyFont="1">
      <alignment vertical="center"/>
    </xf>
    <xf numFmtId="0" fontId="43" fillId="0" borderId="0" xfId="1" applyNumberFormat="1" applyFont="1" applyBorder="1" applyAlignment="1">
      <alignment horizontal="center" vertical="center"/>
    </xf>
    <xf numFmtId="0" fontId="45" fillId="0" borderId="0" xfId="14">
      <alignment vertical="center"/>
    </xf>
    <xf numFmtId="9" fontId="35" fillId="0" borderId="25" xfId="13" applyFont="1" applyBorder="1" applyAlignment="1">
      <alignment horizontal="center" vertical="center"/>
    </xf>
    <xf numFmtId="9" fontId="35" fillId="0" borderId="25" xfId="13" applyFont="1" applyFill="1" applyBorder="1" applyAlignment="1">
      <alignment horizontal="center" vertical="center"/>
    </xf>
    <xf numFmtId="0" fontId="10" fillId="0" borderId="0" xfId="16" applyFont="1" applyAlignment="1">
      <alignment horizontal="center" vertical="center"/>
    </xf>
    <xf numFmtId="0" fontId="34" fillId="0" borderId="0" xfId="16" applyFont="1" applyAlignment="1">
      <alignment horizontal="left" vertical="center"/>
    </xf>
    <xf numFmtId="0" fontId="37" fillId="0" borderId="0" xfId="16" applyFont="1" applyAlignment="1">
      <alignment horizontal="center" vertical="center"/>
    </xf>
    <xf numFmtId="182" fontId="10" fillId="0" borderId="0" xfId="16" applyNumberFormat="1" applyFont="1" applyAlignment="1">
      <alignment horizontal="right"/>
    </xf>
    <xf numFmtId="182" fontId="10" fillId="0" borderId="0" xfId="16" applyNumberFormat="1" applyFont="1" applyAlignment="1">
      <alignment horizontal="center"/>
    </xf>
    <xf numFmtId="0" fontId="10" fillId="0" borderId="0" xfId="16" applyFont="1">
      <alignment vertical="center"/>
    </xf>
    <xf numFmtId="0" fontId="35" fillId="0" borderId="1" xfId="16" applyFont="1" applyBorder="1" applyAlignment="1">
      <alignment horizontal="center" vertical="center"/>
    </xf>
    <xf numFmtId="9" fontId="10" fillId="0" borderId="1" xfId="16" applyNumberFormat="1" applyFont="1" applyBorder="1" applyAlignment="1">
      <alignment horizontal="center" vertical="center"/>
    </xf>
    <xf numFmtId="41" fontId="35" fillId="0" borderId="1" xfId="17" applyFont="1" applyFill="1" applyBorder="1" applyAlignment="1">
      <alignment horizontal="center" vertical="center"/>
    </xf>
    <xf numFmtId="0" fontId="10" fillId="0" borderId="1" xfId="16" applyFont="1" applyBorder="1" applyAlignment="1">
      <alignment vertical="center" shrinkToFit="1"/>
    </xf>
    <xf numFmtId="9" fontId="10" fillId="0" borderId="1" xfId="16" applyNumberFormat="1" applyFont="1" applyBorder="1">
      <alignment vertical="center"/>
    </xf>
    <xf numFmtId="0" fontId="36" fillId="0" borderId="0" xfId="16" applyFont="1" applyAlignment="1">
      <alignment horizontal="center" vertical="center"/>
    </xf>
    <xf numFmtId="0" fontId="35" fillId="0" borderId="0" xfId="16" applyFont="1">
      <alignment vertical="center"/>
    </xf>
    <xf numFmtId="0" fontId="10" fillId="0" borderId="0" xfId="16" applyFont="1" applyAlignment="1">
      <alignment horizontal="left" vertical="center"/>
    </xf>
    <xf numFmtId="0" fontId="35" fillId="0" borderId="5" xfId="16" applyFont="1" applyBorder="1" applyAlignment="1">
      <alignment horizontal="center" vertical="center"/>
    </xf>
    <xf numFmtId="0" fontId="35" fillId="0" borderId="0" xfId="16" applyFont="1" applyAlignment="1">
      <alignment horizontal="center" vertical="center"/>
    </xf>
    <xf numFmtId="14" fontId="35" fillId="0" borderId="1" xfId="16" applyNumberFormat="1" applyFont="1" applyBorder="1" applyAlignment="1">
      <alignment horizontal="center" vertical="center"/>
    </xf>
    <xf numFmtId="14" fontId="35" fillId="0" borderId="5" xfId="16" applyNumberFormat="1" applyFont="1" applyBorder="1" applyAlignment="1">
      <alignment horizontal="center" vertical="center"/>
    </xf>
    <xf numFmtId="0" fontId="35" fillId="0" borderId="3" xfId="16" applyFont="1" applyBorder="1" applyAlignment="1">
      <alignment horizontal="center" vertical="center"/>
    </xf>
    <xf numFmtId="0" fontId="35" fillId="0" borderId="21" xfId="16" quotePrefix="1" applyFont="1" applyBorder="1" applyAlignment="1">
      <alignment horizontal="center" vertical="center"/>
    </xf>
    <xf numFmtId="0" fontId="35" fillId="0" borderId="1" xfId="16" applyFont="1" applyBorder="1" applyAlignment="1">
      <alignment horizontal="left" vertical="center"/>
    </xf>
    <xf numFmtId="0" fontId="35" fillId="0" borderId="1" xfId="16" quotePrefix="1" applyFont="1" applyBorder="1" applyAlignment="1">
      <alignment horizontal="center" vertical="center"/>
    </xf>
    <xf numFmtId="0" fontId="10" fillId="0" borderId="12" xfId="16" applyFont="1" applyBorder="1" applyAlignment="1">
      <alignment horizontal="center" vertical="center"/>
    </xf>
    <xf numFmtId="0" fontId="10" fillId="0" borderId="22" xfId="16" applyFont="1" applyBorder="1" applyAlignment="1">
      <alignment horizontal="center" vertical="center"/>
    </xf>
    <xf numFmtId="14" fontId="35" fillId="0" borderId="1" xfId="11" applyNumberFormat="1" applyFont="1" applyBorder="1" applyAlignment="1">
      <alignment horizontal="center" vertical="center" shrinkToFit="1"/>
    </xf>
    <xf numFmtId="14" fontId="35" fillId="0" borderId="1" xfId="11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9" fillId="0" borderId="0" xfId="0" applyFont="1">
      <alignment vertical="center"/>
    </xf>
    <xf numFmtId="0" fontId="26" fillId="0" borderId="0" xfId="0" applyFont="1" applyAlignment="1">
      <alignment horizontal="left" vertical="center"/>
    </xf>
    <xf numFmtId="0" fontId="13" fillId="6" borderId="11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1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1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14" fontId="11" fillId="0" borderId="1" xfId="0" applyNumberFormat="1" applyFont="1" applyBorder="1">
      <alignment vertical="center"/>
    </xf>
    <xf numFmtId="0" fontId="50" fillId="0" borderId="0" xfId="0" applyFont="1">
      <alignment vertical="center"/>
    </xf>
    <xf numFmtId="0" fontId="11" fillId="0" borderId="1" xfId="0" applyFont="1" applyBorder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>
      <alignment vertical="center"/>
    </xf>
    <xf numFmtId="0" fontId="10" fillId="0" borderId="1" xfId="0" applyFont="1" applyBorder="1">
      <alignment vertical="center"/>
    </xf>
    <xf numFmtId="14" fontId="10" fillId="0" borderId="1" xfId="0" applyNumberFormat="1" applyFont="1" applyBorder="1">
      <alignment vertical="center"/>
    </xf>
    <xf numFmtId="14" fontId="11" fillId="0" borderId="1" xfId="0" applyNumberFormat="1" applyFont="1" applyBorder="1" applyAlignment="1">
      <alignment horizontal="right" vertical="center"/>
    </xf>
    <xf numFmtId="0" fontId="10" fillId="0" borderId="0" xfId="2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14" fontId="11" fillId="0" borderId="1" xfId="0" applyNumberFormat="1" applyFont="1" applyBorder="1" applyAlignment="1">
      <alignment horizontal="right" vertical="center" shrinkToFit="1"/>
    </xf>
    <xf numFmtId="2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vertical="center" wrapText="1"/>
    </xf>
    <xf numFmtId="14" fontId="11" fillId="0" borderId="0" xfId="0" applyNumberFormat="1" applyFont="1">
      <alignment vertical="center"/>
    </xf>
    <xf numFmtId="14" fontId="11" fillId="0" borderId="5" xfId="0" applyNumberFormat="1" applyFont="1" applyBorder="1">
      <alignment vertical="center"/>
    </xf>
    <xf numFmtId="0" fontId="39" fillId="0" borderId="0" xfId="0" applyFont="1">
      <alignment vertical="center"/>
    </xf>
    <xf numFmtId="14" fontId="10" fillId="0" borderId="1" xfId="11" applyNumberFormat="1" applyFont="1" applyBorder="1" applyAlignment="1">
      <alignment horizontal="center" vertical="center"/>
    </xf>
    <xf numFmtId="14" fontId="11" fillId="0" borderId="11" xfId="0" applyNumberFormat="1" applyFont="1" applyBorder="1">
      <alignment vertical="center"/>
    </xf>
    <xf numFmtId="0" fontId="10" fillId="0" borderId="0" xfId="0" applyFont="1">
      <alignment vertical="center"/>
    </xf>
    <xf numFmtId="14" fontId="10" fillId="0" borderId="11" xfId="0" applyNumberFormat="1" applyFont="1" applyBorder="1">
      <alignment vertical="center"/>
    </xf>
    <xf numFmtId="14" fontId="10" fillId="0" borderId="0" xfId="0" applyNumberFormat="1" applyFont="1">
      <alignment vertical="center"/>
    </xf>
    <xf numFmtId="176" fontId="10" fillId="0" borderId="1" xfId="0" applyNumberFormat="1" applyFont="1" applyBorder="1">
      <alignment vertical="center"/>
    </xf>
    <xf numFmtId="14" fontId="0" fillId="0" borderId="11" xfId="0" applyNumberFormat="1" applyBorder="1">
      <alignment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>
      <alignment vertical="center"/>
    </xf>
    <xf numFmtId="14" fontId="0" fillId="0" borderId="1" xfId="0" quotePrefix="1" applyNumberFormat="1" applyBorder="1">
      <alignment vertical="center"/>
    </xf>
    <xf numFmtId="178" fontId="25" fillId="6" borderId="1" xfId="1" applyNumberFormat="1" applyFont="1" applyFill="1" applyBorder="1" applyAlignment="1">
      <alignment horizontal="center" vertical="center"/>
    </xf>
    <xf numFmtId="178" fontId="52" fillId="6" borderId="1" xfId="1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37" fillId="0" borderId="0" xfId="16" applyFont="1" applyAlignment="1">
      <alignment horizontal="left" vertical="center"/>
    </xf>
    <xf numFmtId="0" fontId="35" fillId="8" borderId="5" xfId="16" applyFont="1" applyFill="1" applyBorder="1" applyAlignment="1">
      <alignment horizontal="center" vertical="center"/>
    </xf>
    <xf numFmtId="0" fontId="35" fillId="8" borderId="5" xfId="16" applyFont="1" applyFill="1" applyBorder="1" applyAlignment="1">
      <alignment horizontal="center" vertical="center" wrapText="1"/>
    </xf>
    <xf numFmtId="0" fontId="35" fillId="8" borderId="23" xfId="16" applyFont="1" applyFill="1" applyBorder="1" applyAlignment="1">
      <alignment horizontal="center" vertical="center" wrapText="1"/>
    </xf>
    <xf numFmtId="0" fontId="35" fillId="8" borderId="4" xfId="16" applyFont="1" applyFill="1" applyBorder="1" applyAlignment="1">
      <alignment horizontal="left" vertical="center"/>
    </xf>
    <xf numFmtId="0" fontId="35" fillId="8" borderId="4" xfId="16" applyFont="1" applyFill="1" applyBorder="1" applyAlignment="1">
      <alignment vertical="center" wrapText="1"/>
    </xf>
    <xf numFmtId="0" fontId="35" fillId="8" borderId="3" xfId="16" applyFont="1" applyFill="1" applyBorder="1" applyAlignment="1">
      <alignment vertical="center" wrapText="1"/>
    </xf>
    <xf numFmtId="0" fontId="35" fillId="8" borderId="5" xfId="16" applyFont="1" applyFill="1" applyBorder="1" applyAlignment="1">
      <alignment horizontal="center" vertical="center" shrinkToFit="1"/>
    </xf>
    <xf numFmtId="0" fontId="40" fillId="8" borderId="6" xfId="16" applyFont="1" applyFill="1" applyBorder="1" applyAlignment="1">
      <alignment horizontal="center" vertical="center"/>
    </xf>
    <xf numFmtId="0" fontId="40" fillId="8" borderId="6" xfId="16" applyFont="1" applyFill="1" applyBorder="1" applyAlignment="1">
      <alignment horizontal="center" vertical="center" wrapText="1"/>
    </xf>
    <xf numFmtId="0" fontId="40" fillId="8" borderId="24" xfId="16" applyFont="1" applyFill="1" applyBorder="1" applyAlignment="1">
      <alignment horizontal="center" vertical="center" wrapText="1"/>
    </xf>
    <xf numFmtId="9" fontId="35" fillId="8" borderId="3" xfId="16" applyNumberFormat="1" applyFont="1" applyFill="1" applyBorder="1" applyAlignment="1">
      <alignment horizontal="center" vertical="center" wrapText="1"/>
    </xf>
    <xf numFmtId="9" fontId="35" fillId="8" borderId="1" xfId="16" applyNumberFormat="1" applyFont="1" applyFill="1" applyBorder="1" applyAlignment="1">
      <alignment horizontal="center" vertical="center" wrapText="1"/>
    </xf>
    <xf numFmtId="0" fontId="40" fillId="8" borderId="6" xfId="16" applyFont="1" applyFill="1" applyBorder="1" applyAlignment="1">
      <alignment horizontal="center" vertical="center" shrinkToFit="1"/>
    </xf>
    <xf numFmtId="14" fontId="35" fillId="0" borderId="0" xfId="11" applyNumberFormat="1" applyFont="1" applyAlignment="1">
      <alignment horizontal="center" vertical="center" shrinkToFit="1"/>
    </xf>
    <xf numFmtId="14" fontId="35" fillId="0" borderId="0" xfId="11" applyNumberFormat="1" applyFont="1" applyAlignment="1">
      <alignment horizontal="center" vertical="center"/>
    </xf>
    <xf numFmtId="14" fontId="35" fillId="0" borderId="0" xfId="16" applyNumberFormat="1" applyFont="1" applyAlignment="1">
      <alignment horizontal="center" vertical="center"/>
    </xf>
    <xf numFmtId="0" fontId="35" fillId="0" borderId="0" xfId="16" applyFont="1" applyAlignment="1">
      <alignment horizontal="left" vertical="center"/>
    </xf>
    <xf numFmtId="9" fontId="35" fillId="0" borderId="0" xfId="13" applyFont="1" applyFill="1" applyBorder="1" applyAlignment="1">
      <alignment horizontal="center" vertical="center"/>
    </xf>
    <xf numFmtId="0" fontId="35" fillId="0" borderId="0" xfId="16" quotePrefix="1" applyFont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45" fillId="0" borderId="1" xfId="14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3" fillId="8" borderId="6" xfId="16" applyFont="1" applyFill="1" applyBorder="1" applyAlignment="1">
      <alignment horizontal="center" vertical="center"/>
    </xf>
    <xf numFmtId="0" fontId="53" fillId="8" borderId="6" xfId="16" applyFont="1" applyFill="1" applyBorder="1" applyAlignment="1">
      <alignment horizontal="center" vertical="center" wrapText="1"/>
    </xf>
    <xf numFmtId="0" fontId="53" fillId="8" borderId="24" xfId="16" applyFont="1" applyFill="1" applyBorder="1" applyAlignment="1">
      <alignment horizontal="center" vertical="center" wrapText="1"/>
    </xf>
    <xf numFmtId="0" fontId="35" fillId="0" borderId="1" xfId="16" applyFont="1" applyBorder="1" applyAlignment="1">
      <alignment horizontal="left" vertical="center" wrapText="1"/>
    </xf>
    <xf numFmtId="0" fontId="54" fillId="0" borderId="0" xfId="16" applyFont="1">
      <alignment vertical="center"/>
    </xf>
    <xf numFmtId="0" fontId="0" fillId="10" borderId="0" xfId="0" applyFill="1">
      <alignment vertical="center"/>
    </xf>
    <xf numFmtId="14" fontId="35" fillId="0" borderId="0" xfId="16" applyNumberFormat="1" applyFont="1" applyAlignment="1">
      <alignment horizontal="right" vertical="center"/>
    </xf>
    <xf numFmtId="14" fontId="10" fillId="0" borderId="0" xfId="16" applyNumberFormat="1" applyFont="1" applyAlignment="1">
      <alignment horizontal="center"/>
    </xf>
    <xf numFmtId="9" fontId="10" fillId="0" borderId="0" xfId="16" applyNumberFormat="1" applyFont="1" applyAlignment="1">
      <alignment horizontal="center" vertical="center"/>
    </xf>
    <xf numFmtId="0" fontId="50" fillId="10" borderId="0" xfId="0" applyFont="1" applyFill="1">
      <alignment vertical="center"/>
    </xf>
    <xf numFmtId="0" fontId="35" fillId="0" borderId="3" xfId="16" quotePrefix="1" applyFont="1" applyBorder="1" applyAlignment="1">
      <alignment horizontal="center" vertical="center"/>
    </xf>
    <xf numFmtId="0" fontId="35" fillId="0" borderId="1" xfId="16" applyFont="1" applyBorder="1" applyAlignment="1">
      <alignment horizontal="center"/>
    </xf>
    <xf numFmtId="0" fontId="11" fillId="11" borderId="0" xfId="0" applyFont="1" applyFill="1">
      <alignment vertical="center"/>
    </xf>
    <xf numFmtId="0" fontId="0" fillId="11" borderId="0" xfId="0" applyFill="1">
      <alignment vertical="center"/>
    </xf>
    <xf numFmtId="0" fontId="45" fillId="0" borderId="1" xfId="14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78" fontId="48" fillId="4" borderId="0" xfId="0" applyNumberFormat="1" applyFont="1" applyFill="1">
      <alignment vertical="center"/>
    </xf>
    <xf numFmtId="180" fontId="48" fillId="4" borderId="0" xfId="0" applyNumberFormat="1" applyFont="1" applyFill="1">
      <alignment vertical="center"/>
    </xf>
    <xf numFmtId="0" fontId="26" fillId="0" borderId="1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5" fillId="7" borderId="1" xfId="1" applyNumberFormat="1" applyFont="1" applyFill="1" applyBorder="1" applyAlignment="1">
      <alignment horizontal="center" vertical="center"/>
    </xf>
    <xf numFmtId="179" fontId="26" fillId="0" borderId="1" xfId="1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 shrinkToFit="1"/>
    </xf>
    <xf numFmtId="179" fontId="26" fillId="0" borderId="1" xfId="0" applyNumberFormat="1" applyFont="1" applyBorder="1" applyAlignment="1">
      <alignment horizontal="center" vertical="center"/>
    </xf>
    <xf numFmtId="0" fontId="26" fillId="0" borderId="0" xfId="0" quotePrefix="1" applyFont="1" applyAlignment="1">
      <alignment horizontal="right" vertical="center"/>
    </xf>
    <xf numFmtId="0" fontId="25" fillId="7" borderId="11" xfId="1" applyNumberFormat="1" applyFont="1" applyFill="1" applyBorder="1" applyAlignment="1">
      <alignment horizontal="center" vertical="center"/>
    </xf>
    <xf numFmtId="179" fontId="26" fillId="0" borderId="11" xfId="1" applyNumberFormat="1" applyFont="1" applyFill="1" applyBorder="1" applyAlignment="1">
      <alignment horizontal="center" vertical="center"/>
    </xf>
    <xf numFmtId="179" fontId="26" fillId="0" borderId="11" xfId="0" applyNumberFormat="1" applyFont="1" applyBorder="1" applyAlignment="1">
      <alignment horizontal="center" vertical="center"/>
    </xf>
    <xf numFmtId="179" fontId="25" fillId="7" borderId="3" xfId="1" applyNumberFormat="1" applyFont="1" applyFill="1" applyBorder="1" applyAlignment="1">
      <alignment horizontal="center" vertical="center"/>
    </xf>
    <xf numFmtId="179" fontId="26" fillId="0" borderId="3" xfId="1" applyNumberFormat="1" applyFont="1" applyFill="1" applyBorder="1" applyAlignment="1">
      <alignment horizontal="center" vertical="center"/>
    </xf>
    <xf numFmtId="179" fontId="26" fillId="0" borderId="3" xfId="0" applyNumberFormat="1" applyFont="1" applyBorder="1" applyAlignment="1">
      <alignment horizontal="center" vertical="center"/>
    </xf>
    <xf numFmtId="0" fontId="25" fillId="7" borderId="27" xfId="1" applyNumberFormat="1" applyFont="1" applyFill="1" applyBorder="1" applyAlignment="1">
      <alignment horizontal="center" vertical="center"/>
    </xf>
    <xf numFmtId="179" fontId="26" fillId="0" borderId="28" xfId="1" applyNumberFormat="1" applyFont="1" applyFill="1" applyBorder="1" applyAlignment="1">
      <alignment horizontal="center" vertical="center"/>
    </xf>
    <xf numFmtId="179" fontId="26" fillId="0" borderId="29" xfId="0" applyNumberFormat="1" applyFont="1" applyBorder="1" applyAlignment="1">
      <alignment horizontal="center" vertical="center"/>
    </xf>
    <xf numFmtId="179" fontId="26" fillId="0" borderId="1" xfId="1" quotePrefix="1" applyNumberFormat="1" applyFont="1" applyFill="1" applyBorder="1" applyAlignment="1">
      <alignment horizontal="center" vertical="center"/>
    </xf>
    <xf numFmtId="179" fontId="26" fillId="0" borderId="11" xfId="1" quotePrefix="1" applyNumberFormat="1" applyFont="1" applyFill="1" applyBorder="1" applyAlignment="1">
      <alignment horizontal="center" vertical="center"/>
    </xf>
    <xf numFmtId="179" fontId="26" fillId="0" borderId="28" xfId="1" quotePrefix="1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0" fillId="11" borderId="0" xfId="0" applyFont="1" applyFill="1">
      <alignment vertical="center"/>
    </xf>
    <xf numFmtId="0" fontId="11" fillId="13" borderId="0" xfId="0" applyFont="1" applyFill="1">
      <alignment vertical="center"/>
    </xf>
    <xf numFmtId="0" fontId="0" fillId="13" borderId="0" xfId="0" applyFill="1">
      <alignment vertical="center"/>
    </xf>
    <xf numFmtId="183" fontId="58" fillId="12" borderId="0" xfId="0" applyNumberFormat="1" applyFont="1" applyFill="1" applyAlignment="1">
      <alignment horizontal="left" vertical="center"/>
    </xf>
    <xf numFmtId="0" fontId="58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>
      <alignment vertical="center"/>
    </xf>
    <xf numFmtId="0" fontId="0" fillId="0" borderId="3" xfId="0" applyBorder="1">
      <alignment vertical="center"/>
    </xf>
    <xf numFmtId="14" fontId="11" fillId="0" borderId="4" xfId="0" applyNumberFormat="1" applyFont="1" applyBorder="1">
      <alignment vertical="center"/>
    </xf>
    <xf numFmtId="14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59" fillId="0" borderId="1" xfId="0" applyFont="1" applyBorder="1" applyAlignment="1">
      <alignment vertical="center" shrinkToFit="1"/>
    </xf>
    <xf numFmtId="0" fontId="60" fillId="0" borderId="1" xfId="0" applyFont="1" applyBorder="1" applyAlignment="1">
      <alignment vertical="center" shrinkToFit="1"/>
    </xf>
    <xf numFmtId="14" fontId="59" fillId="0" borderId="1" xfId="16" applyNumberFormat="1" applyFont="1" applyBorder="1" applyAlignment="1">
      <alignment horizontal="left" vertical="center" shrinkToFit="1"/>
    </xf>
    <xf numFmtId="0" fontId="59" fillId="0" borderId="1" xfId="0" applyFont="1" applyBorder="1" applyAlignment="1">
      <alignment horizontal="left" vertical="center" shrinkToFit="1"/>
    </xf>
    <xf numFmtId="0" fontId="59" fillId="0" borderId="3" xfId="0" applyFont="1" applyBorder="1" applyAlignment="1">
      <alignment horizontal="left" vertical="center" shrinkToFit="1"/>
    </xf>
    <xf numFmtId="0" fontId="59" fillId="0" borderId="3" xfId="2" applyFont="1" applyBorder="1" applyAlignment="1">
      <alignment horizontal="left" vertical="center" shrinkToFit="1"/>
    </xf>
    <xf numFmtId="0" fontId="26" fillId="0" borderId="43" xfId="0" quotePrefix="1" applyFont="1" applyBorder="1" applyAlignment="1">
      <alignment horizontal="left" vertical="center"/>
    </xf>
    <xf numFmtId="0" fontId="27" fillId="0" borderId="43" xfId="0" applyFont="1" applyBorder="1">
      <alignment vertical="center"/>
    </xf>
    <xf numFmtId="0" fontId="30" fillId="0" borderId="43" xfId="0" applyFont="1" applyBorder="1" applyAlignment="1">
      <alignment vertical="center" wrapText="1"/>
    </xf>
    <xf numFmtId="0" fontId="30" fillId="0" borderId="44" xfId="0" applyFont="1" applyBorder="1" applyAlignment="1">
      <alignment vertical="center" wrapText="1"/>
    </xf>
    <xf numFmtId="0" fontId="30" fillId="0" borderId="22" xfId="0" applyFont="1" applyBorder="1" applyAlignment="1">
      <alignment vertical="center" wrapText="1"/>
    </xf>
    <xf numFmtId="179" fontId="30" fillId="0" borderId="45" xfId="1" quotePrefix="1" applyNumberFormat="1" applyFont="1" applyFill="1" applyBorder="1">
      <alignment vertical="center"/>
    </xf>
    <xf numFmtId="0" fontId="30" fillId="0" borderId="42" xfId="0" quotePrefix="1" applyFont="1" applyBorder="1" applyAlignment="1">
      <alignment horizontal="left" vertical="center"/>
    </xf>
    <xf numFmtId="0" fontId="30" fillId="0" borderId="45" xfId="0" applyFont="1" applyBorder="1">
      <alignment vertical="center"/>
    </xf>
    <xf numFmtId="0" fontId="60" fillId="0" borderId="0" xfId="0" applyFont="1">
      <alignment vertical="center"/>
    </xf>
    <xf numFmtId="0" fontId="60" fillId="2" borderId="1" xfId="0" applyFont="1" applyFill="1" applyBorder="1" applyAlignment="1">
      <alignment horizontal="center" vertical="center"/>
    </xf>
    <xf numFmtId="0" fontId="59" fillId="0" borderId="1" xfId="0" applyFont="1" applyBorder="1">
      <alignment vertical="center"/>
    </xf>
    <xf numFmtId="0" fontId="59" fillId="0" borderId="1" xfId="0" applyFont="1" applyBorder="1" applyAlignment="1">
      <alignment horizontal="left" vertical="center"/>
    </xf>
    <xf numFmtId="0" fontId="60" fillId="0" borderId="11" xfId="0" applyFont="1" applyBorder="1">
      <alignment vertical="center"/>
    </xf>
    <xf numFmtId="0" fontId="59" fillId="0" borderId="1" xfId="2" applyFont="1" applyBorder="1" applyAlignment="1">
      <alignment horizontal="left" vertical="center"/>
    </xf>
    <xf numFmtId="0" fontId="59" fillId="0" borderId="0" xfId="0" applyFont="1">
      <alignment vertical="center"/>
    </xf>
    <xf numFmtId="0" fontId="60" fillId="0" borderId="1" xfId="0" applyFont="1" applyBorder="1">
      <alignment vertical="center"/>
    </xf>
    <xf numFmtId="0" fontId="59" fillId="0" borderId="2" xfId="0" applyFont="1" applyBorder="1">
      <alignment vertical="center"/>
    </xf>
    <xf numFmtId="0" fontId="59" fillId="0" borderId="2" xfId="0" applyFont="1" applyBorder="1" applyAlignment="1">
      <alignment horizontal="left" vertical="center"/>
    </xf>
    <xf numFmtId="0" fontId="59" fillId="0" borderId="1" xfId="0" applyFont="1" applyBorder="1" applyAlignment="1"/>
    <xf numFmtId="0" fontId="59" fillId="0" borderId="5" xfId="0" applyFont="1" applyBorder="1" applyAlignment="1">
      <alignment horizontal="left" vertical="center"/>
    </xf>
    <xf numFmtId="0" fontId="61" fillId="0" borderId="1" xfId="15" applyFont="1" applyBorder="1" applyAlignment="1">
      <alignment horizontal="center" vertical="center" shrinkToFit="1"/>
    </xf>
    <xf numFmtId="49" fontId="61" fillId="0" borderId="1" xfId="15" applyNumberFormat="1" applyFont="1" applyBorder="1" applyAlignment="1">
      <alignment horizontal="center" vertical="center" shrinkToFit="1"/>
    </xf>
    <xf numFmtId="0" fontId="60" fillId="0" borderId="5" xfId="0" applyFont="1" applyBorder="1">
      <alignment vertical="center"/>
    </xf>
    <xf numFmtId="0" fontId="60" fillId="0" borderId="2" xfId="0" applyFont="1" applyBorder="1">
      <alignment vertical="center"/>
    </xf>
    <xf numFmtId="0" fontId="59" fillId="0" borderId="26" xfId="15" applyFont="1" applyBorder="1" applyAlignment="1">
      <alignment horizontal="left" vertical="center" wrapText="1" shrinkToFit="1"/>
    </xf>
    <xf numFmtId="0" fontId="59" fillId="0" borderId="3" xfId="0" applyFont="1" applyBorder="1" applyAlignment="1">
      <alignment horizontal="left" vertical="center"/>
    </xf>
    <xf numFmtId="0" fontId="59" fillId="0" borderId="3" xfId="2" applyFont="1" applyBorder="1" applyAlignment="1">
      <alignment horizontal="left" vertical="center"/>
    </xf>
    <xf numFmtId="0" fontId="59" fillId="0" borderId="12" xfId="2" applyFont="1" applyBorder="1" applyAlignment="1">
      <alignment horizontal="left" vertical="center"/>
    </xf>
    <xf numFmtId="0" fontId="59" fillId="0" borderId="4" xfId="0" applyFont="1" applyBorder="1" applyAlignment="1">
      <alignment horizontal="left" vertical="center"/>
    </xf>
    <xf numFmtId="0" fontId="59" fillId="0" borderId="1" xfId="0" applyFont="1" applyBorder="1" applyAlignment="1">
      <alignment horizontal="center" vertical="center"/>
    </xf>
    <xf numFmtId="14" fontId="59" fillId="0" borderId="1" xfId="0" applyNumberFormat="1" applyFont="1" applyBorder="1">
      <alignment vertical="center"/>
    </xf>
    <xf numFmtId="0" fontId="62" fillId="0" borderId="0" xfId="0" applyFont="1">
      <alignment vertical="center"/>
    </xf>
    <xf numFmtId="58" fontId="25" fillId="5" borderId="11" xfId="0" applyNumberFormat="1" applyFont="1" applyFill="1" applyBorder="1" applyAlignment="1">
      <alignment horizontal="center" vertical="center"/>
    </xf>
    <xf numFmtId="58" fontId="25" fillId="5" borderId="4" xfId="0" applyNumberFormat="1" applyFont="1" applyFill="1" applyBorder="1" applyAlignment="1">
      <alignment horizontal="center" vertical="center"/>
    </xf>
    <xf numFmtId="58" fontId="25" fillId="5" borderId="3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58" fontId="26" fillId="4" borderId="1" xfId="0" applyNumberFormat="1" applyFont="1" applyFill="1" applyBorder="1" applyAlignment="1">
      <alignment horizontal="center" vertical="center"/>
    </xf>
    <xf numFmtId="58" fontId="25" fillId="5" borderId="5" xfId="0" applyNumberFormat="1" applyFont="1" applyFill="1" applyBorder="1" applyAlignment="1">
      <alignment horizontal="center" vertical="center" wrapText="1"/>
    </xf>
    <xf numFmtId="58" fontId="25" fillId="5" borderId="6" xfId="0" applyNumberFormat="1" applyFont="1" applyFill="1" applyBorder="1" applyAlignment="1">
      <alignment horizontal="center" vertical="center"/>
    </xf>
    <xf numFmtId="0" fontId="24" fillId="4" borderId="1" xfId="10" applyFont="1" applyFill="1" applyBorder="1" applyAlignment="1">
      <alignment horizontal="center" vertical="center"/>
    </xf>
    <xf numFmtId="177" fontId="25" fillId="5" borderId="1" xfId="0" applyNumberFormat="1" applyFont="1" applyFill="1" applyBorder="1" applyAlignment="1">
      <alignment horizontal="center" vertical="center"/>
    </xf>
    <xf numFmtId="0" fontId="26" fillId="0" borderId="14" xfId="0" quotePrefix="1" applyFont="1" applyBorder="1" applyAlignment="1">
      <alignment horizontal="left" vertical="center" wrapText="1"/>
    </xf>
    <xf numFmtId="0" fontId="26" fillId="0" borderId="15" xfId="0" quotePrefix="1" applyFont="1" applyBorder="1" applyAlignment="1">
      <alignment horizontal="left" vertical="center" wrapText="1"/>
    </xf>
    <xf numFmtId="0" fontId="26" fillId="0" borderId="16" xfId="0" quotePrefix="1" applyFont="1" applyBorder="1" applyAlignment="1">
      <alignment horizontal="left" vertical="center" wrapText="1"/>
    </xf>
    <xf numFmtId="0" fontId="26" fillId="0" borderId="7" xfId="0" quotePrefix="1" applyFont="1" applyBorder="1" applyAlignment="1">
      <alignment horizontal="left" vertical="center" wrapText="1"/>
    </xf>
    <xf numFmtId="0" fontId="26" fillId="0" borderId="0" xfId="0" quotePrefix="1" applyFont="1" applyAlignment="1">
      <alignment horizontal="left" vertical="center" wrapText="1"/>
    </xf>
    <xf numFmtId="0" fontId="26" fillId="0" borderId="18" xfId="0" quotePrefix="1" applyFont="1" applyBorder="1" applyAlignment="1">
      <alignment horizontal="left" vertical="center" wrapText="1"/>
    </xf>
    <xf numFmtId="0" fontId="26" fillId="0" borderId="8" xfId="0" quotePrefix="1" applyFont="1" applyBorder="1" applyAlignment="1">
      <alignment horizontal="left" vertical="center"/>
    </xf>
    <xf numFmtId="0" fontId="26" fillId="0" borderId="9" xfId="0" quotePrefix="1" applyFont="1" applyBorder="1" applyAlignment="1">
      <alignment horizontal="left" vertical="center"/>
    </xf>
    <xf numFmtId="0" fontId="26" fillId="0" borderId="19" xfId="0" quotePrefix="1" applyFont="1" applyBorder="1" applyAlignment="1">
      <alignment horizontal="left" vertical="center"/>
    </xf>
    <xf numFmtId="0" fontId="30" fillId="0" borderId="46" xfId="0" quotePrefix="1" applyFont="1" applyBorder="1" applyAlignment="1">
      <alignment horizontal="left" vertical="center" wrapText="1"/>
    </xf>
    <xf numFmtId="0" fontId="30" fillId="0" borderId="47" xfId="0" quotePrefix="1" applyFont="1" applyBorder="1" applyAlignment="1">
      <alignment horizontal="left" vertical="center" wrapText="1"/>
    </xf>
    <xf numFmtId="0" fontId="30" fillId="0" borderId="48" xfId="0" quotePrefix="1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26" fillId="0" borderId="8" xfId="0" quotePrefix="1" applyFont="1" applyBorder="1" applyAlignment="1">
      <alignment horizontal="left" vertical="center" wrapText="1"/>
    </xf>
    <xf numFmtId="0" fontId="26" fillId="0" borderId="9" xfId="0" quotePrefix="1" applyFont="1" applyBorder="1" applyAlignment="1">
      <alignment horizontal="left" vertical="center" wrapText="1"/>
    </xf>
    <xf numFmtId="0" fontId="26" fillId="0" borderId="19" xfId="0" quotePrefix="1" applyFont="1" applyBorder="1" applyAlignment="1">
      <alignment horizontal="left" vertical="center" wrapText="1"/>
    </xf>
    <xf numFmtId="0" fontId="25" fillId="0" borderId="7" xfId="0" quotePrefix="1" applyFont="1" applyBorder="1" applyAlignment="1">
      <alignment horizontal="left" vertical="center" wrapText="1"/>
    </xf>
    <xf numFmtId="0" fontId="25" fillId="0" borderId="0" xfId="0" quotePrefix="1" applyFont="1" applyAlignment="1">
      <alignment horizontal="left" vertical="center" wrapText="1"/>
    </xf>
    <xf numFmtId="0" fontId="25" fillId="0" borderId="18" xfId="0" quotePrefix="1" applyFont="1" applyBorder="1" applyAlignment="1">
      <alignment horizontal="left" vertical="center" wrapText="1"/>
    </xf>
    <xf numFmtId="0" fontId="38" fillId="0" borderId="8" xfId="0" quotePrefix="1" applyFont="1" applyBorder="1" applyAlignment="1">
      <alignment horizontal="left" vertical="center"/>
    </xf>
    <xf numFmtId="0" fontId="38" fillId="0" borderId="9" xfId="0" quotePrefix="1" applyFont="1" applyBorder="1" applyAlignment="1">
      <alignment horizontal="left" vertical="center"/>
    </xf>
    <xf numFmtId="0" fontId="38" fillId="0" borderId="19" xfId="0" quotePrefix="1" applyFont="1" applyBorder="1" applyAlignment="1">
      <alignment horizontal="left" vertical="center"/>
    </xf>
    <xf numFmtId="0" fontId="24" fillId="4" borderId="5" xfId="10" applyFont="1" applyFill="1" applyBorder="1" applyAlignment="1">
      <alignment horizontal="center" vertical="center"/>
    </xf>
    <xf numFmtId="0" fontId="24" fillId="4" borderId="6" xfId="10" applyFont="1" applyFill="1" applyBorder="1" applyAlignment="1">
      <alignment horizontal="center" vertical="center"/>
    </xf>
    <xf numFmtId="0" fontId="27" fillId="0" borderId="5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46" fillId="0" borderId="14" xfId="0" quotePrefix="1" applyFont="1" applyBorder="1" applyAlignment="1">
      <alignment horizontal="left" vertical="center" wrapText="1"/>
    </xf>
    <xf numFmtId="0" fontId="46" fillId="0" borderId="15" xfId="0" quotePrefix="1" applyFont="1" applyBorder="1" applyAlignment="1">
      <alignment horizontal="left" vertical="center" wrapText="1"/>
    </xf>
    <xf numFmtId="0" fontId="46" fillId="0" borderId="16" xfId="0" quotePrefix="1" applyFont="1" applyBorder="1" applyAlignment="1">
      <alignment horizontal="left" vertical="center" wrapText="1"/>
    </xf>
    <xf numFmtId="0" fontId="46" fillId="0" borderId="7" xfId="0" quotePrefix="1" applyFont="1" applyBorder="1" applyAlignment="1">
      <alignment horizontal="left" vertical="center" wrapText="1"/>
    </xf>
    <xf numFmtId="0" fontId="46" fillId="0" borderId="0" xfId="0" quotePrefix="1" applyFont="1" applyAlignment="1">
      <alignment horizontal="left" vertical="center" wrapText="1"/>
    </xf>
    <xf numFmtId="0" fontId="46" fillId="0" borderId="18" xfId="0" quotePrefix="1" applyFont="1" applyBorder="1" applyAlignment="1">
      <alignment horizontal="left" vertical="center" wrapText="1"/>
    </xf>
    <xf numFmtId="0" fontId="46" fillId="0" borderId="8" xfId="0" quotePrefix="1" applyFont="1" applyBorder="1" applyAlignment="1">
      <alignment horizontal="left" vertical="center" wrapText="1"/>
    </xf>
    <xf numFmtId="0" fontId="46" fillId="0" borderId="9" xfId="0" quotePrefix="1" applyFont="1" applyBorder="1" applyAlignment="1">
      <alignment horizontal="left" vertical="center" wrapText="1"/>
    </xf>
    <xf numFmtId="0" fontId="46" fillId="0" borderId="19" xfId="0" quotePrefix="1" applyFont="1" applyBorder="1" applyAlignment="1">
      <alignment horizontal="left" vertical="center" wrapText="1"/>
    </xf>
    <xf numFmtId="0" fontId="44" fillId="7" borderId="1" xfId="0" applyFont="1" applyFill="1" applyBorder="1" applyAlignment="1">
      <alignment horizontal="center" vertical="center"/>
    </xf>
    <xf numFmtId="0" fontId="44" fillId="7" borderId="5" xfId="0" applyFont="1" applyFill="1" applyBorder="1" applyAlignment="1">
      <alignment horizontal="center" vertical="center"/>
    </xf>
    <xf numFmtId="0" fontId="44" fillId="7" borderId="6" xfId="0" applyFont="1" applyFill="1" applyBorder="1" applyAlignment="1">
      <alignment horizontal="center" vertical="center"/>
    </xf>
    <xf numFmtId="0" fontId="31" fillId="0" borderId="31" xfId="0" applyFont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/>
    </xf>
    <xf numFmtId="0" fontId="31" fillId="0" borderId="39" xfId="0" applyFont="1" applyBorder="1" applyAlignment="1">
      <alignment horizontal="center" vertical="center"/>
    </xf>
    <xf numFmtId="0" fontId="51" fillId="0" borderId="35" xfId="0" applyFont="1" applyBorder="1" applyAlignment="1">
      <alignment horizontal="center" vertical="center"/>
    </xf>
    <xf numFmtId="0" fontId="51" fillId="0" borderId="36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81" fontId="56" fillId="0" borderId="40" xfId="0" applyNumberFormat="1" applyFont="1" applyBorder="1" applyAlignment="1">
      <alignment horizontal="center" vertical="center"/>
    </xf>
    <xf numFmtId="181" fontId="56" fillId="0" borderId="41" xfId="0" applyNumberFormat="1" applyFont="1" applyBorder="1" applyAlignment="1">
      <alignment horizontal="center" vertical="center"/>
    </xf>
    <xf numFmtId="0" fontId="51" fillId="0" borderId="32" xfId="0" applyFont="1" applyBorder="1" applyAlignment="1">
      <alignment horizontal="center" vertical="center"/>
    </xf>
    <xf numFmtId="0" fontId="51" fillId="0" borderId="33" xfId="0" applyFont="1" applyBorder="1" applyAlignment="1">
      <alignment horizontal="center" vertical="center"/>
    </xf>
    <xf numFmtId="0" fontId="51" fillId="0" borderId="3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/>
    </xf>
    <xf numFmtId="0" fontId="35" fillId="8" borderId="5" xfId="16" applyFont="1" applyFill="1" applyBorder="1" applyAlignment="1">
      <alignment horizontal="center" vertical="center" wrapText="1" shrinkToFit="1"/>
    </xf>
    <xf numFmtId="0" fontId="35" fillId="8" borderId="6" xfId="16" applyFont="1" applyFill="1" applyBorder="1" applyAlignment="1">
      <alignment horizontal="center" vertical="center" shrinkToFit="1"/>
    </xf>
    <xf numFmtId="14" fontId="35" fillId="0" borderId="0" xfId="16" applyNumberFormat="1" applyFont="1" applyAlignment="1">
      <alignment horizontal="right" vertical="center"/>
    </xf>
    <xf numFmtId="14" fontId="10" fillId="0" borderId="0" xfId="16" applyNumberFormat="1" applyFont="1" applyAlignment="1">
      <alignment horizontal="center"/>
    </xf>
    <xf numFmtId="0" fontId="10" fillId="0" borderId="1" xfId="16" applyFont="1" applyBorder="1" applyAlignment="1">
      <alignment horizontal="center" vertical="center" shrinkToFit="1"/>
    </xf>
  </cellXfs>
  <cellStyles count="27">
    <cellStyle name="백분율" xfId="13" builtinId="5"/>
    <cellStyle name="쉼표 [0]" xfId="1" builtinId="6"/>
    <cellStyle name="쉼표 [0] 2" xfId="4" xr:uid="{CBC5AD2A-B734-4DFF-AD7D-6A02B86C85D3}"/>
    <cellStyle name="쉼표 [0] 2 2" xfId="7" xr:uid="{70899B55-BE78-4640-8DE1-7A3C7C1CE0F0}"/>
    <cellStyle name="쉼표 [0] 2 2 2" xfId="23" xr:uid="{57033934-9DE7-432D-A3D9-33D130E3D1CE}"/>
    <cellStyle name="쉼표 [0] 2 3" xfId="20" xr:uid="{0B3E8D85-6B00-4A47-8120-D46DCB3BF38E}"/>
    <cellStyle name="쉼표 [0] 3" xfId="5" xr:uid="{8F0AC731-FD4A-4670-BE77-10CF684C755C}"/>
    <cellStyle name="쉼표 [0] 3 2" xfId="8" xr:uid="{2BA44259-D507-4969-B5C5-BB790D2F4C49}"/>
    <cellStyle name="쉼표 [0] 3 2 2" xfId="24" xr:uid="{FB16405D-4579-44E6-9575-7BD3FAA79ABD}"/>
    <cellStyle name="쉼표 [0] 3 3" xfId="21" xr:uid="{79ECC1D7-6E5B-4559-B8CD-4537A1787033}"/>
    <cellStyle name="쉼표 [0] 4" xfId="6" xr:uid="{4F13DDFC-D549-4D0A-94FA-F63E4619E7E9}"/>
    <cellStyle name="쉼표 [0] 4 2" xfId="22" xr:uid="{B88CD02A-87C3-4674-BFF1-9E16128AB1FF}"/>
    <cellStyle name="쉼표 [0] 5" xfId="12" xr:uid="{43A33FDB-589D-475D-961A-C938B6BAF080}"/>
    <cellStyle name="쉼표 [0] 5 2" xfId="17" xr:uid="{73B36620-C905-4FC7-B11F-ADFC06BB2724}"/>
    <cellStyle name="쉼표 [0] 5 2 2" xfId="26" xr:uid="{C4AE2631-E19C-42BE-82B3-B4CD325D85F4}"/>
    <cellStyle name="쉼표 [0] 5 3" xfId="25" xr:uid="{60C14FBB-F2F2-4E4E-8169-84089138010A}"/>
    <cellStyle name="쉼표 [0] 6" xfId="18" xr:uid="{1D822FE6-B927-4D28-A624-6B39BFFA7C24}"/>
    <cellStyle name="출력 2" xfId="10" xr:uid="{08E4259C-CECE-4B60-A840-ECDE5B75CE74}"/>
    <cellStyle name="표준" xfId="0" builtinId="0"/>
    <cellStyle name="표준 2" xfId="2" xr:uid="{DC2544C3-23E8-4BAB-8D72-4EE5AF8EC509}"/>
    <cellStyle name="표준 3" xfId="3" xr:uid="{EAD5BF49-26BE-4FBA-8AF2-6B7A4478450E}"/>
    <cellStyle name="표준 3 2" xfId="19" xr:uid="{1430D1CF-4E7A-4F19-9F14-43FCC0626A91}"/>
    <cellStyle name="표준 4" xfId="9" xr:uid="{C4F42017-A4B7-42F6-B7B8-BB84E5E778DC}"/>
    <cellStyle name="표준 5" xfId="11" xr:uid="{39C955A2-0348-4F18-85FE-9EE7B0C34B02}"/>
    <cellStyle name="표준 5 2" xfId="16" xr:uid="{06C77F3C-355E-4EB9-A45F-3A6313D31741}"/>
    <cellStyle name="표준_(100707)_11년_정보화예산_총괄(1차_심의)_v3" xfId="15" xr:uid="{17D238B2-C131-49CB-9C87-BC32A0DAE8F8}"/>
    <cellStyle name="하이퍼링크" xfId="14" builtinId="8"/>
  </cellStyles>
  <dxfs count="115"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49998474074526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381000</xdr:colOff>
          <xdr:row>4</xdr:row>
          <xdr:rowOff>0</xdr:rowOff>
        </xdr:from>
        <xdr:to>
          <xdr:col>3</xdr:col>
          <xdr:colOff>828675</xdr:colOff>
          <xdr:row>4</xdr:row>
          <xdr:rowOff>190500</xdr:rowOff>
        </xdr:to>
        <xdr:sp macro="" textlink="">
          <xdr:nvSpPr>
            <xdr:cNvPr id="25601" name="Button 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00000000-0008-0000-00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오늘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847725</xdr:colOff>
          <xdr:row>4</xdr:row>
          <xdr:rowOff>0</xdr:rowOff>
        </xdr:from>
        <xdr:to>
          <xdr:col>5</xdr:col>
          <xdr:colOff>638175</xdr:colOff>
          <xdr:row>4</xdr:row>
          <xdr:rowOff>190500</xdr:rowOff>
        </xdr:to>
        <xdr:sp macro="" textlink="">
          <xdr:nvSpPr>
            <xdr:cNvPr id="25603" name="Button 3" hidden="1">
              <a:extLst>
                <a:ext uri="{63B3BB69-23CF-44E3-9099-C40C66FF867C}">
                  <a14:compatExt spid="_x0000_s25603"/>
                </a:ext>
                <a:ext uri="{FF2B5EF4-FFF2-40B4-BE49-F238E27FC236}">
                  <a16:creationId xmlns:a16="http://schemas.microsoft.com/office/drawing/2014/main" id="{00000000-0008-0000-0000-000003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+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95253</xdr:colOff>
          <xdr:row>4</xdr:row>
          <xdr:rowOff>320181</xdr:rowOff>
        </xdr:from>
        <xdr:to>
          <xdr:col>16</xdr:col>
          <xdr:colOff>993323</xdr:colOff>
          <xdr:row>19</xdr:row>
          <xdr:rowOff>372276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도장, prg'!$P$16:$R$32" spid="_x0000_s21697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988396" y="1735324"/>
              <a:ext cx="4000498" cy="671959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1381125</xdr:colOff>
          <xdr:row>4</xdr:row>
          <xdr:rowOff>0</xdr:rowOff>
        </xdr:from>
        <xdr:to>
          <xdr:col>3</xdr:col>
          <xdr:colOff>0</xdr:colOff>
          <xdr:row>4</xdr:row>
          <xdr:rowOff>190500</xdr:rowOff>
        </xdr:to>
        <xdr:sp macro="" textlink="">
          <xdr:nvSpPr>
            <xdr:cNvPr id="208911" name="Button 14351" hidden="1">
              <a:extLst>
                <a:ext uri="{63B3BB69-23CF-44E3-9099-C40C66FF867C}">
                  <a14:compatExt spid="_x0000_s208911"/>
                </a:ext>
                <a:ext uri="{FF2B5EF4-FFF2-40B4-BE49-F238E27FC236}">
                  <a16:creationId xmlns:a16="http://schemas.microsoft.com/office/drawing/2014/main" id="{00000000-0008-0000-0000-00000F3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-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1190625</xdr:colOff>
          <xdr:row>3</xdr:row>
          <xdr:rowOff>342900</xdr:rowOff>
        </xdr:from>
        <xdr:to>
          <xdr:col>3</xdr:col>
          <xdr:colOff>381000</xdr:colOff>
          <xdr:row>4</xdr:row>
          <xdr:rowOff>190500</xdr:rowOff>
        </xdr:to>
        <xdr:sp macro="" textlink="">
          <xdr:nvSpPr>
            <xdr:cNvPr id="208912" name="Button 14352" hidden="1">
              <a:extLst>
                <a:ext uri="{63B3BB69-23CF-44E3-9099-C40C66FF867C}">
                  <a14:compatExt spid="_x0000_s208912"/>
                </a:ext>
                <a:ext uri="{FF2B5EF4-FFF2-40B4-BE49-F238E27FC236}">
                  <a16:creationId xmlns:a16="http://schemas.microsoft.com/office/drawing/2014/main" id="{00000000-0008-0000-0000-0000103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-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69272</xdr:colOff>
          <xdr:row>0</xdr:row>
          <xdr:rowOff>121227</xdr:rowOff>
        </xdr:from>
        <xdr:to>
          <xdr:col>16</xdr:col>
          <xdr:colOff>936047</xdr:colOff>
          <xdr:row>4</xdr:row>
          <xdr:rowOff>264102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6D37E79C-FDE8-5F96-E7EC-4BEFD937478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도장, prg'!$F$8:$N$14" spid="_x0000_s21697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4928272" y="121227"/>
              <a:ext cx="5023139" cy="152833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mssmiv.com/portal/Main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khn37@mainbiz.or.kr" TargetMode="External"/><Relationship Id="rId2" Type="http://schemas.openxmlformats.org/officeDocument/2006/relationships/hyperlink" Target="mailto:shsong@futechsoft.com" TargetMode="External"/><Relationship Id="rId1" Type="http://schemas.openxmlformats.org/officeDocument/2006/relationships/hyperlink" Target="mailto:mun@auri.go.kr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CEB7C-2413-44F8-BB8B-506B03C55C04}">
  <sheetPr codeName="Sheet2">
    <tabColor rgb="FF00B050"/>
    <pageSetUpPr fitToPage="1"/>
  </sheetPr>
  <dimension ref="B1:X51"/>
  <sheetViews>
    <sheetView showGridLines="0" tabSelected="1" view="pageBreakPreview" zoomScale="55" zoomScaleNormal="55" zoomScaleSheetLayoutView="55" workbookViewId="0">
      <selection activeCell="O42" sqref="O42"/>
    </sheetView>
  </sheetViews>
  <sheetFormatPr defaultRowHeight="14.1" customHeight="1"/>
  <cols>
    <col min="2" max="2" width="24.625" customWidth="1"/>
    <col min="3" max="3" width="28.625" customWidth="1"/>
    <col min="4" max="12" width="16.625" customWidth="1"/>
    <col min="13" max="17" width="13.625" customWidth="1"/>
    <col min="21" max="21" width="12.25" bestFit="1" customWidth="1"/>
  </cols>
  <sheetData>
    <row r="1" spans="2:24" ht="27.95" customHeight="1">
      <c r="B1" s="268" t="s">
        <v>16</v>
      </c>
      <c r="C1" s="268"/>
      <c r="D1" s="268"/>
      <c r="E1" s="268"/>
      <c r="F1" s="268"/>
      <c r="G1" s="268"/>
      <c r="H1" s="268"/>
      <c r="I1" s="268"/>
      <c r="J1" s="268"/>
      <c r="K1" s="10"/>
      <c r="L1" s="10"/>
      <c r="M1" s="10"/>
      <c r="N1" s="10"/>
    </row>
    <row r="2" spans="2:24" ht="27.95" customHeight="1">
      <c r="B2" s="268" t="s">
        <v>17</v>
      </c>
      <c r="C2" s="268"/>
      <c r="D2" s="268"/>
      <c r="E2" s="268"/>
      <c r="F2" s="268"/>
      <c r="G2" s="268"/>
      <c r="H2" s="268"/>
      <c r="I2" s="268"/>
      <c r="J2" s="268"/>
      <c r="K2" s="11"/>
      <c r="L2" s="11"/>
      <c r="M2" s="11"/>
      <c r="N2" s="11"/>
    </row>
    <row r="3" spans="2:24" ht="27.95" customHeight="1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2:24" ht="27.95" customHeight="1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U4" s="4">
        <f ca="1">TODAY()</f>
        <v>46189</v>
      </c>
      <c r="V4" s="4"/>
    </row>
    <row r="5" spans="2:24" ht="25.5" customHeight="1">
      <c r="B5" s="194" t="s">
        <v>18</v>
      </c>
      <c r="C5" s="193">
        <f ca="1">TODAY()</f>
        <v>46189</v>
      </c>
      <c r="D5" s="12"/>
      <c r="E5" s="12"/>
      <c r="F5" s="12"/>
      <c r="G5" s="12"/>
      <c r="H5" s="12"/>
      <c r="I5" s="12"/>
      <c r="J5" s="12"/>
    </row>
    <row r="6" spans="2:24" s="14" customFormat="1" ht="27" customHeight="1">
      <c r="B6" s="254" t="s">
        <v>19</v>
      </c>
      <c r="C6" s="278" t="s">
        <v>84</v>
      </c>
      <c r="D6" s="13">
        <v>2026</v>
      </c>
      <c r="E6" s="239" t="s">
        <v>20</v>
      </c>
      <c r="F6" s="240"/>
      <c r="G6" s="240"/>
      <c r="H6" s="240"/>
      <c r="I6" s="241"/>
      <c r="J6" s="255">
        <f ca="1">TODAY()</f>
        <v>46189</v>
      </c>
      <c r="K6" s="255"/>
      <c r="L6" s="252" t="s">
        <v>80</v>
      </c>
      <c r="M6" s="251" t="s">
        <v>5</v>
      </c>
      <c r="N6" s="248"/>
      <c r="O6" s="248"/>
      <c r="P6" s="248"/>
      <c r="Q6" s="248"/>
    </row>
    <row r="7" spans="2:24" s="14" customFormat="1" ht="37.5" customHeight="1">
      <c r="B7" s="254"/>
      <c r="C7" s="279"/>
      <c r="D7" s="15" t="s">
        <v>21</v>
      </c>
      <c r="E7" s="15" t="s">
        <v>309</v>
      </c>
      <c r="F7" s="15" t="s">
        <v>145</v>
      </c>
      <c r="G7" s="29" t="s">
        <v>15</v>
      </c>
      <c r="H7" s="29" t="s">
        <v>144</v>
      </c>
      <c r="I7" s="15" t="s">
        <v>23</v>
      </c>
      <c r="J7" s="15" t="s">
        <v>24</v>
      </c>
      <c r="K7" s="15" t="s">
        <v>25</v>
      </c>
      <c r="L7" s="253"/>
      <c r="M7" s="251"/>
      <c r="N7" s="249"/>
      <c r="O7" s="250"/>
      <c r="P7" s="250"/>
      <c r="Q7" s="250"/>
    </row>
    <row r="8" spans="2:24" ht="60" customHeight="1">
      <c r="B8" s="280" t="s">
        <v>150</v>
      </c>
      <c r="C8" s="90" t="s">
        <v>87</v>
      </c>
      <c r="D8" s="16">
        <f>COUNTA('26년 LIST (산학연)'!$C$4:$C$1999)</f>
        <v>160</v>
      </c>
      <c r="E8" s="16">
        <f>COUNTIF('26년 LIST (산학연)'!$E$4:$E$1999, "미착수")</f>
        <v>0</v>
      </c>
      <c r="F8" s="16">
        <f>COUNTIF('26년 LIST (산학연)'!$E$4:$E$1999, "미완료")+COUNTIF('26년 LIST (산학연)'!$E$4:$E$1999, "금일신규")</f>
        <v>0</v>
      </c>
      <c r="G8" s="16">
        <f>COUNTIF('26년 LIST (산학연)'!$E$4:$E$1999, "완료")</f>
        <v>160</v>
      </c>
      <c r="H8" s="16">
        <f>COUNTIF('26년 LIST (산학연)'!$J$4:$J$1999,"&lt;&gt;")</f>
        <v>75</v>
      </c>
      <c r="I8" s="16">
        <f>COUNTIF('26년 LIST (산학연)'!$E$4:$E$1999, "취소")</f>
        <v>0</v>
      </c>
      <c r="J8" s="17">
        <f ca="1">COUNTIF('26년 LIST (산학연)'!I:I,TODAY())</f>
        <v>4</v>
      </c>
      <c r="K8" s="18">
        <f ca="1">COUNTIF('26년 LIST (산학연)'!H:H,TODAY())</f>
        <v>0</v>
      </c>
      <c r="L8" s="17">
        <f>D8-G8</f>
        <v>0</v>
      </c>
      <c r="M8" s="30"/>
      <c r="N8" s="250"/>
      <c r="O8" s="250"/>
      <c r="P8" s="250"/>
      <c r="Q8" s="250"/>
      <c r="U8" s="19">
        <f>G8+L8</f>
        <v>160</v>
      </c>
      <c r="V8" t="b">
        <f>D8=U8</f>
        <v>1</v>
      </c>
      <c r="X8" t="s">
        <v>129</v>
      </c>
    </row>
    <row r="9" spans="2:24" ht="60" customHeight="1">
      <c r="B9" s="281"/>
      <c r="C9" s="90" t="s">
        <v>86</v>
      </c>
      <c r="D9" s="16"/>
      <c r="E9" s="16"/>
      <c r="F9" s="16"/>
      <c r="G9" s="16"/>
      <c r="H9" s="16"/>
      <c r="I9" s="16"/>
      <c r="J9" s="17"/>
      <c r="K9" s="18"/>
      <c r="L9" s="17"/>
      <c r="M9" s="30"/>
      <c r="N9" s="84"/>
      <c r="O9" s="84"/>
      <c r="P9" s="84"/>
      <c r="Q9" s="84"/>
      <c r="U9" s="19">
        <f>G9+L9</f>
        <v>0</v>
      </c>
      <c r="V9" t="b">
        <f>D9=U9</f>
        <v>1</v>
      </c>
      <c r="X9" t="s">
        <v>129</v>
      </c>
    </row>
    <row r="10" spans="2:24" ht="30" customHeight="1">
      <c r="B10" s="282"/>
      <c r="C10" s="89" t="s">
        <v>60</v>
      </c>
      <c r="D10" s="124">
        <f>SUM(D8:D9)</f>
        <v>160</v>
      </c>
      <c r="E10" s="124">
        <f>SUM(E8:E9)</f>
        <v>0</v>
      </c>
      <c r="F10" s="124">
        <f t="shared" ref="F10:L10" si="0">SUM(F8:F9)</f>
        <v>0</v>
      </c>
      <c r="G10" s="124">
        <f>SUM(G8:G9)</f>
        <v>160</v>
      </c>
      <c r="H10" s="124">
        <f>SUM(H8:H9)</f>
        <v>75</v>
      </c>
      <c r="I10" s="124">
        <f t="shared" si="0"/>
        <v>0</v>
      </c>
      <c r="J10" s="124">
        <f t="shared" ca="1" si="0"/>
        <v>4</v>
      </c>
      <c r="K10" s="125">
        <f ca="1">SUM(K8:K9)</f>
        <v>0</v>
      </c>
      <c r="L10" s="124">
        <f t="shared" si="0"/>
        <v>0</v>
      </c>
      <c r="M10" s="30"/>
      <c r="N10" s="84"/>
      <c r="O10" s="84"/>
      <c r="P10" s="84"/>
      <c r="Q10" s="84"/>
      <c r="U10" s="19">
        <f>G10+L10</f>
        <v>160</v>
      </c>
      <c r="V10" t="b">
        <f>D10=U10</f>
        <v>1</v>
      </c>
      <c r="X10" t="s">
        <v>129</v>
      </c>
    </row>
    <row r="11" spans="2:24" ht="18" customHeight="1">
      <c r="B11" s="20"/>
      <c r="C11" s="20"/>
      <c r="D11" s="22"/>
      <c r="E11" s="22"/>
      <c r="F11" s="22"/>
      <c r="G11" s="22"/>
      <c r="H11" s="22"/>
      <c r="I11" s="22"/>
      <c r="J11" s="22"/>
      <c r="K11" s="23"/>
      <c r="L11" s="23"/>
      <c r="M11" s="23"/>
      <c r="U11" s="4"/>
    </row>
    <row r="12" spans="2:24" ht="12" customHeight="1" thickBot="1">
      <c r="B12" s="20"/>
      <c r="C12" s="20"/>
      <c r="D12" s="22"/>
      <c r="E12" s="22"/>
      <c r="F12" s="22"/>
      <c r="G12" s="22"/>
      <c r="H12" s="22"/>
      <c r="I12" s="22"/>
      <c r="J12" s="22"/>
      <c r="K12" s="23"/>
      <c r="L12" s="23"/>
      <c r="M12" s="23"/>
      <c r="U12" s="4"/>
    </row>
    <row r="13" spans="2:24" ht="36" customHeight="1">
      <c r="B13" s="245" t="s">
        <v>10</v>
      </c>
      <c r="C13" s="283"/>
      <c r="D13" s="284"/>
      <c r="E13" s="284"/>
      <c r="F13" s="284"/>
      <c r="G13" s="284"/>
      <c r="H13" s="284"/>
      <c r="I13" s="284"/>
      <c r="J13" s="284"/>
      <c r="K13" s="284"/>
      <c r="L13" s="284"/>
      <c r="M13" s="285"/>
      <c r="U13" s="4"/>
    </row>
    <row r="14" spans="2:24" ht="36" customHeight="1">
      <c r="B14" s="246"/>
      <c r="C14" s="286" t="s">
        <v>146</v>
      </c>
      <c r="D14" s="287"/>
      <c r="E14" s="287"/>
      <c r="F14" s="287"/>
      <c r="G14" s="287"/>
      <c r="H14" s="287"/>
      <c r="I14" s="287"/>
      <c r="J14" s="287"/>
      <c r="K14" s="287"/>
      <c r="L14" s="287"/>
      <c r="M14" s="288"/>
      <c r="N14" s="24"/>
      <c r="T14" s="166"/>
      <c r="U14" s="167"/>
      <c r="V14" s="166"/>
    </row>
    <row r="15" spans="2:24" ht="36" customHeight="1" thickBot="1">
      <c r="B15" s="246"/>
      <c r="C15" s="289"/>
      <c r="D15" s="290"/>
      <c r="E15" s="290"/>
      <c r="F15" s="290"/>
      <c r="G15" s="290"/>
      <c r="H15" s="290"/>
      <c r="I15" s="290"/>
      <c r="J15" s="290"/>
      <c r="K15" s="290"/>
      <c r="L15" s="290"/>
      <c r="M15" s="291"/>
      <c r="N15" s="24"/>
      <c r="T15" s="168"/>
      <c r="U15" s="169"/>
      <c r="V15" s="168"/>
      <c r="W15" s="83"/>
    </row>
    <row r="16" spans="2:24" ht="36" customHeight="1">
      <c r="B16" s="245" t="s">
        <v>14</v>
      </c>
      <c r="C16" s="259" t="s">
        <v>149</v>
      </c>
      <c r="D16" s="260"/>
      <c r="E16" s="260"/>
      <c r="F16" s="260"/>
      <c r="G16" s="260"/>
      <c r="H16" s="260"/>
      <c r="I16" s="260"/>
      <c r="J16" s="260"/>
      <c r="K16" s="260"/>
      <c r="L16" s="260"/>
      <c r="M16" s="261"/>
      <c r="P16" s="82"/>
      <c r="Q16" s="82"/>
      <c r="U16" s="4"/>
    </row>
    <row r="17" spans="2:23" ht="36" customHeight="1">
      <c r="B17" s="246"/>
      <c r="C17" s="259" t="s">
        <v>147</v>
      </c>
      <c r="D17" s="260"/>
      <c r="E17" s="260"/>
      <c r="F17" s="260"/>
      <c r="G17" s="260"/>
      <c r="H17" s="260"/>
      <c r="I17" s="260"/>
      <c r="J17" s="260"/>
      <c r="K17" s="260"/>
      <c r="L17" s="260"/>
      <c r="M17" s="261"/>
      <c r="N17" s="25"/>
      <c r="O17" s="82"/>
      <c r="P17" s="82"/>
      <c r="Q17" s="82"/>
      <c r="U17" s="4"/>
    </row>
    <row r="18" spans="2:23" ht="36" customHeight="1">
      <c r="B18" s="246"/>
      <c r="C18" s="259"/>
      <c r="D18" s="260"/>
      <c r="E18" s="260"/>
      <c r="F18" s="260"/>
      <c r="G18" s="260"/>
      <c r="H18" s="260"/>
      <c r="I18" s="260"/>
      <c r="J18" s="260"/>
      <c r="K18" s="260"/>
      <c r="L18" s="260"/>
      <c r="M18" s="261"/>
      <c r="N18" s="25"/>
      <c r="P18" s="26"/>
      <c r="Q18" s="26"/>
      <c r="U18" s="4"/>
    </row>
    <row r="19" spans="2:23" ht="36" customHeight="1" thickBot="1">
      <c r="B19" s="247"/>
      <c r="C19" s="269"/>
      <c r="D19" s="270"/>
      <c r="E19" s="270"/>
      <c r="F19" s="270"/>
      <c r="G19" s="270"/>
      <c r="H19" s="270"/>
      <c r="I19" s="270"/>
      <c r="J19" s="270"/>
      <c r="K19" s="270"/>
      <c r="L19" s="270"/>
      <c r="M19" s="271"/>
      <c r="N19" s="25"/>
      <c r="P19" s="26"/>
      <c r="Q19" s="26"/>
      <c r="U19" s="4"/>
    </row>
    <row r="20" spans="2:23" ht="36" customHeight="1">
      <c r="B20" s="245" t="s">
        <v>61</v>
      </c>
      <c r="C20" s="256"/>
      <c r="D20" s="257"/>
      <c r="E20" s="257"/>
      <c r="F20" s="257"/>
      <c r="G20" s="257"/>
      <c r="H20" s="257"/>
      <c r="I20" s="257"/>
      <c r="J20" s="257"/>
      <c r="K20" s="257"/>
      <c r="L20" s="257"/>
      <c r="M20" s="258"/>
      <c r="N20" s="25"/>
      <c r="O20" s="26"/>
      <c r="P20" s="26"/>
      <c r="Q20" s="26"/>
      <c r="U20" s="4"/>
    </row>
    <row r="21" spans="2:23" ht="36" customHeight="1">
      <c r="B21" s="246"/>
      <c r="C21" s="272" t="s">
        <v>146</v>
      </c>
      <c r="D21" s="273"/>
      <c r="E21" s="273"/>
      <c r="F21" s="273"/>
      <c r="G21" s="273"/>
      <c r="H21" s="273"/>
      <c r="I21" s="273"/>
      <c r="J21" s="273"/>
      <c r="K21" s="273"/>
      <c r="L21" s="273"/>
      <c r="M21" s="274"/>
      <c r="N21" s="25"/>
      <c r="O21" s="26"/>
      <c r="P21" s="26"/>
      <c r="Q21" s="26"/>
      <c r="U21" s="4"/>
    </row>
    <row r="22" spans="2:23" ht="36" customHeight="1" thickBot="1">
      <c r="B22" s="247"/>
      <c r="C22" s="275"/>
      <c r="D22" s="276"/>
      <c r="E22" s="276"/>
      <c r="F22" s="276"/>
      <c r="G22" s="276"/>
      <c r="H22" s="276"/>
      <c r="I22" s="276"/>
      <c r="J22" s="276"/>
      <c r="K22" s="276"/>
      <c r="L22" s="276"/>
      <c r="M22" s="277"/>
      <c r="N22" s="25"/>
      <c r="O22" s="26"/>
      <c r="P22" s="26"/>
      <c r="Q22" s="26"/>
      <c r="U22" s="4"/>
      <c r="W22" t="s">
        <v>66</v>
      </c>
    </row>
    <row r="23" spans="2:23" ht="32.1" customHeight="1">
      <c r="B23" s="245" t="s">
        <v>26</v>
      </c>
      <c r="C23" s="256" t="s">
        <v>82</v>
      </c>
      <c r="D23" s="257"/>
      <c r="E23" s="257"/>
      <c r="F23" s="257"/>
      <c r="G23" s="257"/>
      <c r="H23" s="258"/>
      <c r="I23" s="256" t="s">
        <v>62</v>
      </c>
      <c r="J23" s="257"/>
      <c r="K23" s="257"/>
      <c r="L23" s="257"/>
      <c r="M23" s="258"/>
      <c r="N23" s="25"/>
      <c r="O23" s="26"/>
      <c r="P23" s="26"/>
      <c r="Q23" s="26"/>
      <c r="U23" s="51"/>
    </row>
    <row r="24" spans="2:23" ht="32.1" customHeight="1">
      <c r="B24" s="246"/>
      <c r="C24" s="259"/>
      <c r="D24" s="260"/>
      <c r="E24" s="260"/>
      <c r="F24" s="260"/>
      <c r="G24" s="260"/>
      <c r="H24" s="261"/>
      <c r="I24" s="259" t="s">
        <v>83</v>
      </c>
      <c r="J24" s="260"/>
      <c r="K24" s="260"/>
      <c r="L24" s="260"/>
      <c r="M24" s="261"/>
      <c r="N24" s="25"/>
      <c r="O24" s="26"/>
      <c r="P24" s="26"/>
      <c r="Q24" s="26"/>
      <c r="U24" s="4"/>
    </row>
    <row r="25" spans="2:23" ht="32.1" customHeight="1" thickBot="1">
      <c r="B25" s="247"/>
      <c r="C25" s="269"/>
      <c r="D25" s="270"/>
      <c r="E25" s="270"/>
      <c r="F25" s="270"/>
      <c r="G25" s="270"/>
      <c r="H25" s="271"/>
      <c r="I25" s="262" t="s">
        <v>58</v>
      </c>
      <c r="J25" s="263"/>
      <c r="K25" s="263"/>
      <c r="L25" s="263"/>
      <c r="M25" s="264"/>
      <c r="N25" s="25"/>
      <c r="O25" s="26"/>
      <c r="P25" s="26"/>
      <c r="Q25" s="26"/>
      <c r="U25" s="4"/>
    </row>
    <row r="26" spans="2:23" ht="36" customHeight="1" thickBot="1">
      <c r="N26" s="25"/>
      <c r="O26" s="26"/>
      <c r="P26" s="26"/>
      <c r="Q26" s="26"/>
      <c r="R26" t="s">
        <v>27</v>
      </c>
      <c r="U26" s="4"/>
    </row>
    <row r="27" spans="2:23" ht="30" customHeight="1" thickTop="1" thickBot="1">
      <c r="B27" s="14" t="s">
        <v>130</v>
      </c>
      <c r="C27" s="35"/>
      <c r="D27" s="31"/>
      <c r="E27" s="31"/>
      <c r="F27" s="32"/>
      <c r="G27" s="32"/>
      <c r="H27" s="32"/>
      <c r="I27" s="176" t="s">
        <v>139</v>
      </c>
      <c r="K27" s="32"/>
      <c r="L27" s="213" t="s">
        <v>290</v>
      </c>
      <c r="M27" s="207"/>
      <c r="N27" s="208"/>
      <c r="O27" s="209"/>
      <c r="P27" s="210"/>
      <c r="Q27" s="26"/>
      <c r="U27" s="4"/>
    </row>
    <row r="28" spans="2:23" ht="30" customHeight="1">
      <c r="B28" s="171" t="s">
        <v>131</v>
      </c>
      <c r="C28" s="171" t="s">
        <v>84</v>
      </c>
      <c r="D28" s="172">
        <v>2021</v>
      </c>
      <c r="E28" s="172"/>
      <c r="F28" s="172">
        <v>2022</v>
      </c>
      <c r="G28" s="177" t="s">
        <v>136</v>
      </c>
      <c r="H28" s="177">
        <v>2025</v>
      </c>
      <c r="I28" s="183">
        <v>2026</v>
      </c>
      <c r="J28" s="180" t="s">
        <v>60</v>
      </c>
      <c r="K28" s="23" t="s">
        <v>27</v>
      </c>
      <c r="L28" s="212" t="s">
        <v>291</v>
      </c>
      <c r="M28" s="23"/>
      <c r="N28" s="25"/>
      <c r="O28" s="26"/>
      <c r="P28" s="211"/>
      <c r="Q28" s="26"/>
      <c r="U28" s="4"/>
    </row>
    <row r="29" spans="2:23" ht="30" customHeight="1">
      <c r="B29" s="242" t="s">
        <v>132</v>
      </c>
      <c r="C29" s="174" t="s">
        <v>134</v>
      </c>
      <c r="D29" s="186" t="s">
        <v>140</v>
      </c>
      <c r="E29" s="186"/>
      <c r="F29" s="186" t="s">
        <v>140</v>
      </c>
      <c r="G29" s="187" t="s">
        <v>140</v>
      </c>
      <c r="H29" s="178">
        <v>336</v>
      </c>
      <c r="I29" s="184">
        <f>D8</f>
        <v>160</v>
      </c>
      <c r="J29" s="181">
        <f>SUM(D29:H29)</f>
        <v>336</v>
      </c>
      <c r="K29" s="23"/>
      <c r="L29" s="212" t="s">
        <v>292</v>
      </c>
      <c r="M29" s="23"/>
      <c r="N29" s="25"/>
      <c r="O29" s="26"/>
      <c r="P29" s="211"/>
      <c r="Q29" s="26"/>
      <c r="U29" s="4"/>
    </row>
    <row r="30" spans="2:23" ht="30" customHeight="1">
      <c r="B30" s="242"/>
      <c r="C30" s="174" t="s">
        <v>135</v>
      </c>
      <c r="D30" s="173">
        <v>35</v>
      </c>
      <c r="E30" s="173"/>
      <c r="F30" s="173">
        <v>604</v>
      </c>
      <c r="G30" s="178">
        <v>895</v>
      </c>
      <c r="H30" s="178">
        <v>355</v>
      </c>
      <c r="I30" s="184">
        <f>D9</f>
        <v>0</v>
      </c>
      <c r="J30" s="181">
        <f>SUM(D30:H30)</f>
        <v>1889</v>
      </c>
      <c r="K30" s="23"/>
      <c r="L30" s="214" t="s">
        <v>293</v>
      </c>
      <c r="M30" s="23"/>
      <c r="N30" s="25"/>
      <c r="O30" s="26"/>
      <c r="P30" s="211"/>
      <c r="Q30" s="26"/>
      <c r="U30" s="4"/>
    </row>
    <row r="31" spans="2:23" ht="30" customHeight="1">
      <c r="B31" s="170" t="s">
        <v>133</v>
      </c>
      <c r="C31" s="170" t="s">
        <v>134</v>
      </c>
      <c r="D31" s="173">
        <v>52</v>
      </c>
      <c r="E31" s="173"/>
      <c r="F31" s="173">
        <v>506</v>
      </c>
      <c r="G31" s="178">
        <v>519</v>
      </c>
      <c r="H31" s="187" t="s">
        <v>140</v>
      </c>
      <c r="I31" s="188" t="s">
        <v>140</v>
      </c>
      <c r="J31" s="181">
        <f>SUM(D31:H31)</f>
        <v>1077</v>
      </c>
      <c r="K31" s="23"/>
      <c r="L31" s="212" t="s">
        <v>294</v>
      </c>
      <c r="M31" s="23"/>
      <c r="N31" s="25"/>
      <c r="O31" s="26"/>
      <c r="P31" s="211"/>
      <c r="Q31" s="26"/>
      <c r="U31" s="4"/>
    </row>
    <row r="32" spans="2:23" s="14" customFormat="1" ht="30" customHeight="1" thickBot="1">
      <c r="B32" s="243" t="s">
        <v>138</v>
      </c>
      <c r="C32" s="244"/>
      <c r="D32" s="175">
        <f t="shared" ref="D32:J32" si="1">SUM(D29:D31)</f>
        <v>87</v>
      </c>
      <c r="E32" s="175"/>
      <c r="F32" s="175">
        <f t="shared" si="1"/>
        <v>1110</v>
      </c>
      <c r="G32" s="179">
        <f t="shared" si="1"/>
        <v>1414</v>
      </c>
      <c r="H32" s="179">
        <f t="shared" si="1"/>
        <v>691</v>
      </c>
      <c r="I32" s="185">
        <f t="shared" si="1"/>
        <v>160</v>
      </c>
      <c r="J32" s="182">
        <f t="shared" si="1"/>
        <v>3302</v>
      </c>
      <c r="L32" s="265" t="s">
        <v>295</v>
      </c>
      <c r="M32" s="266"/>
      <c r="N32" s="266"/>
      <c r="O32" s="266"/>
      <c r="P32" s="267"/>
      <c r="Q32" s="33"/>
      <c r="U32" s="34"/>
    </row>
    <row r="33" spans="2:21" s="14" customFormat="1" ht="32.1" customHeight="1">
      <c r="B33" s="14" t="s">
        <v>137</v>
      </c>
      <c r="U33" s="34"/>
    </row>
    <row r="34" spans="2:21" s="14" customFormat="1" ht="32.1" customHeight="1">
      <c r="B34" s="14" t="s">
        <v>148</v>
      </c>
      <c r="U34" s="34"/>
    </row>
    <row r="35" spans="2:21" s="14" customFormat="1" ht="32.1" customHeight="1">
      <c r="U35" s="34"/>
    </row>
    <row r="36" spans="2:21" s="14" customFormat="1" ht="32.1" customHeight="1">
      <c r="U36" s="34"/>
    </row>
    <row r="37" spans="2:21" s="14" customFormat="1" ht="32.1" customHeight="1">
      <c r="U37" s="34"/>
    </row>
    <row r="38" spans="2:21" ht="14.1" customHeight="1">
      <c r="B38" s="21"/>
      <c r="C38" s="21"/>
      <c r="D38" s="22"/>
      <c r="E38" s="22"/>
      <c r="F38" s="22"/>
      <c r="G38" s="22"/>
      <c r="H38" s="22"/>
      <c r="I38" s="22"/>
      <c r="J38" s="22"/>
      <c r="K38" s="23"/>
      <c r="L38" s="23"/>
      <c r="M38" s="23"/>
      <c r="U38" s="4"/>
    </row>
    <row r="39" spans="2:21" ht="14.1" customHeight="1">
      <c r="B39" s="21"/>
      <c r="C39" s="21"/>
      <c r="D39" s="22"/>
      <c r="E39" s="22"/>
      <c r="F39" s="22"/>
      <c r="G39" s="22"/>
      <c r="H39" s="22"/>
      <c r="I39" s="22"/>
      <c r="J39" s="22"/>
      <c r="K39" s="23"/>
      <c r="L39" s="23"/>
      <c r="M39" s="23"/>
      <c r="U39" s="4"/>
    </row>
    <row r="40" spans="2:21" ht="14.1" customHeight="1">
      <c r="B40" s="21"/>
      <c r="C40" s="21"/>
      <c r="D40" s="22"/>
      <c r="E40" s="22"/>
      <c r="F40" s="22"/>
      <c r="G40" s="22"/>
      <c r="H40" s="22"/>
      <c r="I40" s="22"/>
      <c r="J40" s="22"/>
      <c r="K40" s="23"/>
      <c r="L40" s="23"/>
      <c r="M40" s="23"/>
      <c r="U40" s="4"/>
    </row>
    <row r="41" spans="2:21" ht="14.1" customHeight="1">
      <c r="B41" s="21"/>
      <c r="C41" s="21"/>
      <c r="D41" s="22"/>
      <c r="E41" s="22"/>
      <c r="F41" s="22"/>
      <c r="G41" s="22"/>
      <c r="H41" s="22"/>
      <c r="I41" s="22"/>
      <c r="J41" s="22"/>
      <c r="K41" s="23"/>
      <c r="L41" s="23"/>
      <c r="M41" s="23"/>
      <c r="U41" s="4"/>
    </row>
    <row r="42" spans="2:21" ht="14.1" customHeight="1">
      <c r="B42" s="21"/>
      <c r="C42" s="21"/>
      <c r="D42" s="22"/>
      <c r="E42" s="22"/>
      <c r="F42" s="22"/>
      <c r="G42" s="22"/>
      <c r="H42" s="22"/>
      <c r="I42" s="22"/>
      <c r="J42" s="22"/>
      <c r="K42" s="23"/>
      <c r="L42" s="23"/>
      <c r="M42" s="23"/>
      <c r="U42" s="4"/>
    </row>
    <row r="43" spans="2:21" ht="14.1" customHeight="1">
      <c r="B43" s="21"/>
      <c r="C43" s="21"/>
      <c r="D43" s="22"/>
      <c r="E43" s="22"/>
      <c r="F43" s="22"/>
      <c r="G43" s="22"/>
      <c r="H43" s="22"/>
      <c r="I43" s="22"/>
      <c r="J43" s="22"/>
      <c r="K43" s="23"/>
      <c r="L43" s="23"/>
      <c r="M43" s="23"/>
      <c r="U43" s="4"/>
    </row>
    <row r="44" spans="2:21" ht="14.1" customHeight="1">
      <c r="B44" s="21"/>
      <c r="C44" s="21"/>
      <c r="D44" s="22"/>
      <c r="E44" s="22"/>
      <c r="F44" s="22"/>
      <c r="G44" s="22"/>
      <c r="H44" s="22"/>
      <c r="I44" s="22"/>
      <c r="J44" s="22"/>
      <c r="K44" s="23"/>
      <c r="L44" s="23"/>
      <c r="M44" s="23"/>
      <c r="N44" s="25"/>
      <c r="O44" s="26"/>
      <c r="P44" s="26"/>
      <c r="Q44" s="26"/>
      <c r="U44" s="4"/>
    </row>
    <row r="45" spans="2:21" ht="14.1" customHeight="1">
      <c r="B45" s="21"/>
      <c r="C45" s="21"/>
      <c r="D45" s="22"/>
      <c r="E45" s="22"/>
      <c r="F45" s="22"/>
      <c r="G45" s="22"/>
      <c r="H45" s="22"/>
      <c r="I45" s="22"/>
      <c r="J45" s="22"/>
      <c r="K45" s="23"/>
      <c r="L45" s="23"/>
      <c r="M45" s="23"/>
      <c r="N45" s="25"/>
      <c r="O45" s="26"/>
      <c r="P45" s="26"/>
      <c r="Q45" s="26"/>
      <c r="U45" s="4"/>
    </row>
    <row r="46" spans="2:21" ht="14.1" customHeight="1">
      <c r="B46" s="21"/>
      <c r="C46" s="21"/>
      <c r="D46" s="22"/>
      <c r="E46" s="22"/>
      <c r="F46" s="22"/>
      <c r="G46" s="22"/>
      <c r="H46" s="22"/>
      <c r="I46" s="22"/>
      <c r="J46" s="22"/>
      <c r="K46" s="23"/>
      <c r="L46" s="23"/>
      <c r="M46" s="23"/>
      <c r="N46" s="25"/>
      <c r="O46" s="26"/>
      <c r="P46" s="26"/>
      <c r="Q46" s="26"/>
      <c r="U46" s="4"/>
    </row>
    <row r="47" spans="2:21" ht="14.1" customHeight="1">
      <c r="B47" s="21"/>
      <c r="C47" s="21"/>
      <c r="D47" s="22"/>
      <c r="E47" s="22"/>
      <c r="F47" s="22"/>
      <c r="G47" s="22"/>
      <c r="H47" s="22"/>
      <c r="I47" s="22"/>
      <c r="J47" s="22"/>
      <c r="K47" s="23"/>
      <c r="L47" s="23"/>
      <c r="M47" s="23"/>
      <c r="N47" s="25"/>
      <c r="O47" s="26"/>
      <c r="P47" s="26"/>
      <c r="Q47" s="26"/>
      <c r="U47" s="4"/>
    </row>
    <row r="48" spans="2:21" ht="14.1" customHeight="1">
      <c r="B48" s="21"/>
      <c r="C48" s="21"/>
      <c r="D48" s="22"/>
      <c r="E48" s="22"/>
      <c r="F48" s="22"/>
      <c r="G48" s="22"/>
      <c r="H48" s="22"/>
      <c r="I48" s="22"/>
      <c r="J48" s="22"/>
      <c r="K48" s="23"/>
      <c r="L48" s="23"/>
      <c r="M48" s="23"/>
      <c r="N48" s="25"/>
      <c r="O48" s="26"/>
      <c r="P48" s="26"/>
      <c r="Q48" s="26"/>
      <c r="U48" s="4"/>
    </row>
    <row r="49" spans="2:21" ht="14.1" customHeight="1">
      <c r="B49" s="21"/>
      <c r="C49" s="21"/>
      <c r="D49" s="22"/>
      <c r="E49" s="22"/>
      <c r="F49" s="22"/>
      <c r="G49" s="22"/>
      <c r="H49" s="22"/>
      <c r="I49" s="22"/>
      <c r="J49" s="22"/>
      <c r="K49" s="23"/>
      <c r="L49" s="23"/>
      <c r="M49" s="23"/>
      <c r="N49" s="25"/>
      <c r="O49" s="26"/>
      <c r="P49" s="26"/>
      <c r="Q49" s="26"/>
      <c r="U49" s="4"/>
    </row>
    <row r="50" spans="2:21" ht="14.1" customHeight="1">
      <c r="B50" s="21"/>
      <c r="C50" s="21"/>
      <c r="D50" s="22"/>
      <c r="E50" s="22"/>
      <c r="F50" s="22"/>
      <c r="G50" s="22"/>
      <c r="H50" s="22"/>
      <c r="I50" s="22"/>
      <c r="J50" s="22"/>
      <c r="K50" s="23"/>
      <c r="L50" s="23"/>
      <c r="M50" s="23"/>
      <c r="N50" s="25"/>
      <c r="O50" s="26"/>
      <c r="P50" s="26"/>
      <c r="Q50" s="26"/>
      <c r="U50" s="4"/>
    </row>
    <row r="51" spans="2:21" ht="14.1" customHeight="1">
      <c r="B51" s="21"/>
      <c r="C51" s="21"/>
      <c r="D51" s="22"/>
      <c r="E51" s="22"/>
      <c r="F51" s="22"/>
      <c r="G51" s="22"/>
      <c r="H51" s="22"/>
      <c r="I51" s="22"/>
      <c r="J51" s="22"/>
      <c r="K51" s="23"/>
      <c r="L51" s="23"/>
      <c r="M51" s="23"/>
      <c r="N51" s="25"/>
      <c r="O51" s="26"/>
      <c r="P51" s="26"/>
      <c r="Q51" s="26"/>
      <c r="U51" s="4"/>
    </row>
  </sheetData>
  <mergeCells count="32">
    <mergeCell ref="L32:P32"/>
    <mergeCell ref="B1:J1"/>
    <mergeCell ref="B2:J2"/>
    <mergeCell ref="C23:H25"/>
    <mergeCell ref="C16:M16"/>
    <mergeCell ref="C17:M17"/>
    <mergeCell ref="C18:M18"/>
    <mergeCell ref="C19:M19"/>
    <mergeCell ref="C20:M20"/>
    <mergeCell ref="C21:M21"/>
    <mergeCell ref="C22:M22"/>
    <mergeCell ref="C6:C7"/>
    <mergeCell ref="B8:B10"/>
    <mergeCell ref="C13:M13"/>
    <mergeCell ref="C14:M14"/>
    <mergeCell ref="C15:M15"/>
    <mergeCell ref="E6:I6"/>
    <mergeCell ref="B29:B30"/>
    <mergeCell ref="B32:C32"/>
    <mergeCell ref="B23:B25"/>
    <mergeCell ref="N6:Q6"/>
    <mergeCell ref="N7:Q8"/>
    <mergeCell ref="M6:M7"/>
    <mergeCell ref="L6:L7"/>
    <mergeCell ref="B13:B15"/>
    <mergeCell ref="B6:B7"/>
    <mergeCell ref="J6:K6"/>
    <mergeCell ref="B20:B22"/>
    <mergeCell ref="B16:B19"/>
    <mergeCell ref="I23:M23"/>
    <mergeCell ref="I24:M24"/>
    <mergeCell ref="I25:M25"/>
  </mergeCells>
  <phoneticPr fontId="4" type="noConversion"/>
  <conditionalFormatting sqref="J6">
    <cfRule type="expression" dxfId="114" priority="79">
      <formula>#REF!="삭제"</formula>
    </cfRule>
    <cfRule type="expression" dxfId="113" priority="80">
      <formula>#REF!="확인완료"</formula>
    </cfRule>
    <cfRule type="expression" dxfId="112" priority="81">
      <formula>#REF!="승인"</formula>
    </cfRule>
    <cfRule type="expression" dxfId="111" priority="82">
      <formula>#REF!="사업지연"</formula>
    </cfRule>
    <cfRule type="expression" dxfId="110" priority="83">
      <formula>#REF!="수정요청"</formula>
    </cfRule>
    <cfRule type="expression" dxfId="109" priority="84">
      <formula>#REF!="완료"</formula>
    </cfRule>
    <cfRule type="expression" dxfId="108" priority="85">
      <formula>#REF!="사업포기"</formula>
    </cfRule>
    <cfRule type="expression" dxfId="107" priority="86">
      <formula>#REF!="현장평가 미진행"</formula>
    </cfRule>
    <cfRule type="expression" dxfId="106" priority="87">
      <formula>#REF!="미제출"</formula>
    </cfRule>
    <cfRule type="expression" dxfId="105" priority="88">
      <formula>#REF!="작성중"</formula>
    </cfRule>
    <cfRule type="expression" dxfId="104" priority="89">
      <formula>#REF!="기업확인"</formula>
    </cfRule>
  </conditionalFormatting>
  <conditionalFormatting sqref="L6:M6">
    <cfRule type="expression" dxfId="103" priority="68">
      <formula>#REF!="삭제"</formula>
    </cfRule>
    <cfRule type="expression" dxfId="102" priority="69">
      <formula>#REF!="확인완료"</formula>
    </cfRule>
    <cfRule type="expression" dxfId="101" priority="70">
      <formula>#REF!="승인"</formula>
    </cfRule>
    <cfRule type="expression" dxfId="100" priority="71">
      <formula>#REF!="사업지연"</formula>
    </cfRule>
    <cfRule type="expression" dxfId="99" priority="72">
      <formula>#REF!="수정요청"</formula>
    </cfRule>
    <cfRule type="expression" dxfId="98" priority="73">
      <formula>#REF!="완료"</formula>
    </cfRule>
    <cfRule type="expression" dxfId="97" priority="74">
      <formula>#REF!="사업포기"</formula>
    </cfRule>
    <cfRule type="expression" dxfId="96" priority="75">
      <formula>#REF!="현장평가 미진행"</formula>
    </cfRule>
    <cfRule type="expression" dxfId="95" priority="76">
      <formula>#REF!="미제출"</formula>
    </cfRule>
    <cfRule type="expression" dxfId="94" priority="77">
      <formula>#REF!="작성중"</formula>
    </cfRule>
    <cfRule type="expression" dxfId="93" priority="78">
      <formula>#REF!="기업확인"</formula>
    </cfRule>
  </conditionalFormatting>
  <pageMargins left="0.98425196850393704" right="0" top="0.55118110236220474" bottom="0.27559055118110237" header="0.31496062992125984" footer="0.31496062992125984"/>
  <pageSetup paperSize="9" scale="4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4" name="Button 1">
              <controlPr defaultSize="0" print="0" autoFill="0" autoPict="0">
                <anchor moveWithCells="1" sizeWithCells="1">
                  <from>
                    <xdr:col>3</xdr:col>
                    <xdr:colOff>381000</xdr:colOff>
                    <xdr:row>4</xdr:row>
                    <xdr:rowOff>0</xdr:rowOff>
                  </from>
                  <to>
                    <xdr:col>3</xdr:col>
                    <xdr:colOff>828675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3" r:id="rId5" name="Button 3">
              <controlPr defaultSize="0" print="0" autoFill="0" autoPict="0">
                <anchor moveWithCells="1" sizeWithCells="1">
                  <from>
                    <xdr:col>3</xdr:col>
                    <xdr:colOff>847725</xdr:colOff>
                    <xdr:row>4</xdr:row>
                    <xdr:rowOff>0</xdr:rowOff>
                  </from>
                  <to>
                    <xdr:col>5</xdr:col>
                    <xdr:colOff>638175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11" r:id="rId6" name="Button 14351">
              <controlPr defaultSize="0" print="0" autoFill="0" autoPict="0">
                <anchor moveWithCells="1" sizeWithCells="1">
                  <from>
                    <xdr:col>2</xdr:col>
                    <xdr:colOff>1381125</xdr:colOff>
                    <xdr:row>4</xdr:row>
                    <xdr:rowOff>0</xdr:rowOff>
                  </from>
                  <to>
                    <xdr:col>3</xdr:col>
                    <xdr:colOff>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12" r:id="rId7" name="Button 14352">
              <controlPr defaultSize="0" print="0" autoFill="0" autoPict="0">
                <anchor moveWithCells="1" sizeWithCells="1">
                  <from>
                    <xdr:col>2</xdr:col>
                    <xdr:colOff>1190625</xdr:colOff>
                    <xdr:row>3</xdr:row>
                    <xdr:rowOff>342900</xdr:rowOff>
                  </from>
                  <to>
                    <xdr:col>3</xdr:col>
                    <xdr:colOff>381000</xdr:colOff>
                    <xdr:row>4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2686-4F98-4176-A789-B62AF0E5D641}">
  <sheetPr>
    <pageSetUpPr fitToPage="1"/>
  </sheetPr>
  <dimension ref="A1:R1048575"/>
  <sheetViews>
    <sheetView view="pageBreakPreview" zoomScale="85" zoomScaleNormal="100" zoomScaleSheetLayoutView="85" workbookViewId="0">
      <pane xSplit="1" ySplit="3" topLeftCell="B48" activePane="bottomRight" state="frozen"/>
      <selection activeCell="I9" sqref="I9"/>
      <selection pane="topRight" activeCell="I9" sqref="I9"/>
      <selection pane="bottomLeft" activeCell="I9" sqref="I9"/>
      <selection pane="bottomRight" activeCell="I167" sqref="I167"/>
    </sheetView>
  </sheetViews>
  <sheetFormatPr defaultRowHeight="16.5"/>
  <cols>
    <col min="1" max="1" width="4" bestFit="1" customWidth="1"/>
    <col min="2" max="2" width="7.625" style="6" customWidth="1"/>
    <col min="3" max="3" width="33.125" style="215" bestFit="1" customWidth="1"/>
    <col min="4" max="4" width="35.75" style="215" bestFit="1" customWidth="1"/>
    <col min="5" max="5" width="10.125" style="6" customWidth="1"/>
    <col min="6" max="6" width="10.625" style="6" customWidth="1"/>
    <col min="7" max="7" width="8.375" style="6" customWidth="1"/>
    <col min="8" max="12" width="10.625" style="4" customWidth="1"/>
    <col min="13" max="13" width="20" style="4" bestFit="1" customWidth="1"/>
    <col min="14" max="14" width="6.625" customWidth="1"/>
    <col min="15" max="15" width="12.375" bestFit="1" customWidth="1"/>
    <col min="16" max="16" width="16.5" bestFit="1" customWidth="1"/>
  </cols>
  <sheetData>
    <row r="1" spans="1:18" ht="20.25">
      <c r="B1" s="7" t="s">
        <v>151</v>
      </c>
      <c r="O1" s="53" t="s">
        <v>76</v>
      </c>
    </row>
    <row r="2" spans="1:18">
      <c r="B2" s="9" t="s">
        <v>63</v>
      </c>
    </row>
    <row r="3" spans="1:18" ht="27">
      <c r="B3" s="2" t="s">
        <v>0</v>
      </c>
      <c r="C3" s="216" t="s">
        <v>1</v>
      </c>
      <c r="D3" s="216" t="s">
        <v>2</v>
      </c>
      <c r="E3" s="2" t="s">
        <v>11</v>
      </c>
      <c r="F3" s="8" t="s">
        <v>12</v>
      </c>
      <c r="G3" s="8" t="s">
        <v>56</v>
      </c>
      <c r="H3" s="5" t="s">
        <v>3</v>
      </c>
      <c r="I3" s="5" t="s">
        <v>4</v>
      </c>
      <c r="J3" s="5" t="s">
        <v>13</v>
      </c>
      <c r="K3" s="5" t="s">
        <v>265</v>
      </c>
      <c r="L3" s="5" t="s">
        <v>266</v>
      </c>
      <c r="M3" s="5" t="s">
        <v>14</v>
      </c>
      <c r="N3" s="36" t="s">
        <v>7</v>
      </c>
    </row>
    <row r="4" spans="1:18">
      <c r="A4" s="91">
        <v>1</v>
      </c>
      <c r="B4" s="92">
        <v>1</v>
      </c>
      <c r="C4" s="201" t="s">
        <v>267</v>
      </c>
      <c r="D4" s="201" t="s">
        <v>268</v>
      </c>
      <c r="E4" s="88" t="s">
        <v>156</v>
      </c>
      <c r="F4" s="92"/>
      <c r="G4" s="92"/>
      <c r="H4" s="93"/>
      <c r="I4" s="3"/>
      <c r="J4" s="93">
        <v>46120</v>
      </c>
      <c r="K4" s="93"/>
      <c r="L4" s="98"/>
      <c r="M4" s="93"/>
      <c r="N4" s="1" t="s">
        <v>289</v>
      </c>
      <c r="O4" t="str">
        <f t="shared" ref="O4:O66" si="0">CONCATENATE(B4,". ",C4,"_",D4)</f>
        <v>1. ㈜태린_㈜리드경영기술원</v>
      </c>
    </row>
    <row r="5" spans="1:18">
      <c r="A5" s="91">
        <v>1</v>
      </c>
      <c r="B5" s="92">
        <f>B4+1</f>
        <v>2</v>
      </c>
      <c r="C5" s="202" t="s">
        <v>269</v>
      </c>
      <c r="D5" s="202" t="s">
        <v>165</v>
      </c>
      <c r="E5" s="88" t="s">
        <v>15</v>
      </c>
      <c r="F5" s="92"/>
      <c r="G5" s="92"/>
      <c r="H5" s="93"/>
      <c r="I5" s="3"/>
      <c r="J5" s="93">
        <v>46120</v>
      </c>
      <c r="K5" s="93"/>
      <c r="L5" s="98"/>
      <c r="M5" s="93"/>
      <c r="N5" s="1"/>
      <c r="O5" t="str">
        <f t="shared" si="0"/>
        <v>2. 주식회사 인투앱_㈜포어스딜라이트</v>
      </c>
    </row>
    <row r="6" spans="1:18">
      <c r="A6" s="91">
        <v>1</v>
      </c>
      <c r="B6" s="92">
        <f t="shared" ref="B6:B68" si="1">B5+1</f>
        <v>3</v>
      </c>
      <c r="C6" s="202" t="s">
        <v>270</v>
      </c>
      <c r="D6" s="202" t="s">
        <v>271</v>
      </c>
      <c r="E6" s="88" t="s">
        <v>15</v>
      </c>
      <c r="F6" s="92"/>
      <c r="G6" s="92"/>
      <c r="H6" s="3"/>
      <c r="I6" s="93"/>
      <c r="J6" s="93">
        <v>46120</v>
      </c>
      <c r="K6" s="93"/>
      <c r="L6" s="98"/>
      <c r="M6" s="93"/>
      <c r="N6" s="1"/>
      <c r="O6" t="str">
        <f t="shared" si="0"/>
        <v>3. 사천편백림_주식회사 대동씨엠씨</v>
      </c>
      <c r="R6" s="94"/>
    </row>
    <row r="7" spans="1:18">
      <c r="A7" s="91">
        <v>1</v>
      </c>
      <c r="B7" s="92">
        <f t="shared" si="1"/>
        <v>4</v>
      </c>
      <c r="C7" s="201" t="s">
        <v>154</v>
      </c>
      <c r="D7" s="201" t="s">
        <v>155</v>
      </c>
      <c r="E7" s="88" t="s">
        <v>15</v>
      </c>
      <c r="F7" s="92"/>
      <c r="G7" s="92"/>
      <c r="H7" s="3"/>
      <c r="I7" s="3"/>
      <c r="J7" s="93">
        <v>46120</v>
      </c>
      <c r="K7" s="93"/>
      <c r="L7" s="98" t="s">
        <v>272</v>
      </c>
      <c r="M7" s="93"/>
      <c r="N7" s="1"/>
      <c r="O7" t="str">
        <f t="shared" si="0"/>
        <v>4. ㈜라온솔루션_주식회사 샘플피씨비</v>
      </c>
    </row>
    <row r="8" spans="1:18" s="156" customFormat="1">
      <c r="A8" s="91">
        <v>1</v>
      </c>
      <c r="B8" s="88">
        <f t="shared" si="1"/>
        <v>5</v>
      </c>
      <c r="C8" s="202" t="s">
        <v>157</v>
      </c>
      <c r="D8" s="202" t="s">
        <v>155</v>
      </c>
      <c r="E8" s="88" t="s">
        <v>15</v>
      </c>
      <c r="F8" s="88"/>
      <c r="G8" s="88"/>
      <c r="H8" s="3"/>
      <c r="I8" s="3"/>
      <c r="J8" s="93">
        <v>46120</v>
      </c>
      <c r="K8" s="3"/>
      <c r="L8" s="199"/>
      <c r="M8" s="3"/>
      <c r="N8" s="1"/>
      <c r="O8" t="str">
        <f t="shared" si="0"/>
        <v>5. 씨엠아이주식회사_주식회사 샘플피씨비</v>
      </c>
      <c r="R8" s="160"/>
    </row>
    <row r="9" spans="1:18">
      <c r="A9" s="91">
        <v>1</v>
      </c>
      <c r="B9" s="92">
        <f t="shared" si="1"/>
        <v>6</v>
      </c>
      <c r="C9" s="202" t="s">
        <v>158</v>
      </c>
      <c r="D9" s="202" t="s">
        <v>159</v>
      </c>
      <c r="E9" s="88" t="s">
        <v>15</v>
      </c>
      <c r="F9" s="92"/>
      <c r="G9" s="92"/>
      <c r="H9" s="3"/>
      <c r="I9" s="93"/>
      <c r="J9" s="93">
        <v>46120</v>
      </c>
      <c r="K9" s="93"/>
      <c r="L9" s="98" t="s">
        <v>272</v>
      </c>
      <c r="M9" s="93"/>
      <c r="N9" s="1"/>
      <c r="O9" t="str">
        <f t="shared" si="0"/>
        <v>6. 주식회사 아성정공_제이디엘(JDL)</v>
      </c>
      <c r="R9" s="94"/>
    </row>
    <row r="10" spans="1:18">
      <c r="A10" s="91">
        <v>1</v>
      </c>
      <c r="B10" s="92">
        <f t="shared" si="1"/>
        <v>7</v>
      </c>
      <c r="C10" s="202" t="s">
        <v>160</v>
      </c>
      <c r="D10" s="202" t="s">
        <v>161</v>
      </c>
      <c r="E10" s="88" t="s">
        <v>15</v>
      </c>
      <c r="F10" s="92"/>
      <c r="G10" s="92"/>
      <c r="H10" s="3"/>
      <c r="I10" s="93"/>
      <c r="J10" s="93">
        <v>46120</v>
      </c>
      <c r="K10" s="93"/>
      <c r="L10" s="98" t="s">
        <v>272</v>
      </c>
      <c r="M10" s="93"/>
      <c r="N10" s="1"/>
      <c r="O10" t="str">
        <f t="shared" si="0"/>
        <v>7. (주)태성이엠씨_㈜우영실업</v>
      </c>
      <c r="R10" s="94"/>
    </row>
    <row r="11" spans="1:18">
      <c r="A11" s="91">
        <v>1</v>
      </c>
      <c r="B11" s="92">
        <f t="shared" si="1"/>
        <v>8</v>
      </c>
      <c r="C11" s="202" t="s">
        <v>162</v>
      </c>
      <c r="D11" s="202" t="s">
        <v>163</v>
      </c>
      <c r="E11" s="88" t="s">
        <v>15</v>
      </c>
      <c r="F11" s="92"/>
      <c r="G11" s="92"/>
      <c r="H11" s="3"/>
      <c r="J11" s="93">
        <v>46120</v>
      </c>
      <c r="K11" s="93"/>
      <c r="L11" s="98" t="s">
        <v>272</v>
      </c>
      <c r="M11" s="93"/>
      <c r="N11" s="1"/>
      <c r="O11" t="str">
        <f t="shared" si="0"/>
        <v>8. 프로인 주식회사_㈜크레탐</v>
      </c>
      <c r="R11" s="94"/>
    </row>
    <row r="12" spans="1:18">
      <c r="A12" s="91">
        <v>1</v>
      </c>
      <c r="B12" s="92">
        <f t="shared" si="1"/>
        <v>9</v>
      </c>
      <c r="C12" s="202" t="s">
        <v>164</v>
      </c>
      <c r="D12" s="202" t="s">
        <v>165</v>
      </c>
      <c r="E12" s="88" t="s">
        <v>15</v>
      </c>
      <c r="F12" s="92"/>
      <c r="G12" s="92"/>
      <c r="H12" s="3"/>
      <c r="I12" s="93"/>
      <c r="J12" s="93">
        <v>46120</v>
      </c>
      <c r="K12" s="93"/>
      <c r="L12" s="98" t="s">
        <v>272</v>
      </c>
      <c r="M12" s="93"/>
      <c r="N12" s="1"/>
      <c r="O12" t="str">
        <f t="shared" si="0"/>
        <v>9. 힐링스_㈜포어스딜라이트</v>
      </c>
      <c r="P12" s="4"/>
      <c r="R12" s="94"/>
    </row>
    <row r="13" spans="1:18">
      <c r="A13" s="91">
        <v>1</v>
      </c>
      <c r="B13" s="92">
        <f t="shared" si="1"/>
        <v>10</v>
      </c>
      <c r="C13" s="202" t="s">
        <v>166</v>
      </c>
      <c r="D13" s="202" t="s">
        <v>167</v>
      </c>
      <c r="E13" s="88" t="s">
        <v>15</v>
      </c>
      <c r="F13" s="92"/>
      <c r="G13" s="92"/>
      <c r="H13" s="3"/>
      <c r="I13" s="93"/>
      <c r="J13" s="93">
        <v>46120</v>
      </c>
      <c r="K13" s="93"/>
      <c r="L13" s="98" t="s">
        <v>272</v>
      </c>
      <c r="M13" s="93"/>
      <c r="N13" s="1"/>
      <c r="O13" t="str">
        <f t="shared" si="0"/>
        <v>10. 삼화메디칼_㈜루트아이템</v>
      </c>
    </row>
    <row r="14" spans="1:18">
      <c r="A14" s="91">
        <v>1</v>
      </c>
      <c r="B14" s="92">
        <f t="shared" si="1"/>
        <v>11</v>
      </c>
      <c r="C14" s="202" t="s">
        <v>168</v>
      </c>
      <c r="D14" s="202" t="s">
        <v>169</v>
      </c>
      <c r="E14" s="88" t="s">
        <v>15</v>
      </c>
      <c r="F14" s="92"/>
      <c r="G14" s="92"/>
      <c r="H14" s="3"/>
      <c r="I14" s="93"/>
      <c r="J14" s="93">
        <v>46120</v>
      </c>
      <c r="K14" s="93"/>
      <c r="L14" s="98"/>
      <c r="M14" s="93"/>
      <c r="N14" s="1"/>
      <c r="O14" t="str">
        <f t="shared" si="0"/>
        <v>11. ㈜소닉랩_이에스플러스</v>
      </c>
      <c r="R14" s="94"/>
    </row>
    <row r="15" spans="1:18">
      <c r="A15" s="91">
        <v>1</v>
      </c>
      <c r="B15" s="92">
        <f t="shared" si="1"/>
        <v>12</v>
      </c>
      <c r="C15" s="202" t="s">
        <v>170</v>
      </c>
      <c r="D15" s="202" t="s">
        <v>171</v>
      </c>
      <c r="E15" s="88" t="s">
        <v>15</v>
      </c>
      <c r="F15" s="92"/>
      <c r="G15" s="92"/>
      <c r="H15" s="3"/>
      <c r="I15" s="3"/>
      <c r="J15" s="93">
        <v>46120</v>
      </c>
      <c r="K15" s="93"/>
      <c r="L15" s="98"/>
      <c r="M15" s="93"/>
      <c r="N15" s="1"/>
      <c r="O15" t="str">
        <f t="shared" si="0"/>
        <v>12. 주식회사 알파큐_주식회사 로맨</v>
      </c>
    </row>
    <row r="16" spans="1:18">
      <c r="A16" s="91">
        <v>1</v>
      </c>
      <c r="B16" s="92">
        <f t="shared" si="1"/>
        <v>13</v>
      </c>
      <c r="C16" s="202" t="s">
        <v>172</v>
      </c>
      <c r="D16" s="202" t="s">
        <v>173</v>
      </c>
      <c r="E16" s="88" t="s">
        <v>15</v>
      </c>
      <c r="F16" s="92"/>
      <c r="G16" s="92"/>
      <c r="H16" s="3"/>
      <c r="I16" s="93"/>
      <c r="J16" s="93">
        <v>46120</v>
      </c>
      <c r="K16" s="93"/>
      <c r="L16" s="98"/>
      <c r="M16" s="93"/>
      <c r="N16" s="1"/>
      <c r="O16" t="str">
        <f t="shared" si="0"/>
        <v>13. 유니스파테크 주식회사_주식회사 큐네스글로벌(QNES Global)</v>
      </c>
    </row>
    <row r="17" spans="1:18">
      <c r="A17" s="91">
        <v>1</v>
      </c>
      <c r="B17" s="92">
        <f t="shared" si="1"/>
        <v>14</v>
      </c>
      <c r="C17" s="202" t="s">
        <v>174</v>
      </c>
      <c r="D17" s="202" t="s">
        <v>169</v>
      </c>
      <c r="E17" s="88" t="s">
        <v>15</v>
      </c>
      <c r="F17" s="92"/>
      <c r="G17" s="92"/>
      <c r="H17" s="3"/>
      <c r="I17" s="93"/>
      <c r="J17" s="93">
        <v>46120</v>
      </c>
      <c r="K17" s="93"/>
      <c r="L17" s="98"/>
      <c r="M17" s="93"/>
      <c r="N17" s="95"/>
      <c r="O17" t="str">
        <f t="shared" si="0"/>
        <v>14. 주식회사 브러쉬포유_이에스플러스</v>
      </c>
      <c r="R17" s="94"/>
    </row>
    <row r="18" spans="1:18">
      <c r="A18" s="91">
        <v>1</v>
      </c>
      <c r="B18" s="92">
        <f t="shared" si="1"/>
        <v>15</v>
      </c>
      <c r="C18" s="203" t="s">
        <v>175</v>
      </c>
      <c r="D18" s="202" t="s">
        <v>176</v>
      </c>
      <c r="E18" s="88" t="s">
        <v>15</v>
      </c>
      <c r="F18" s="92"/>
      <c r="G18" s="92"/>
      <c r="H18" s="3"/>
      <c r="I18" s="93"/>
      <c r="J18" s="93">
        <v>46120</v>
      </c>
      <c r="K18" s="93"/>
      <c r="L18" s="98"/>
      <c r="M18" s="93"/>
      <c r="N18" s="95"/>
      <c r="O18" t="str">
        <f t="shared" si="0"/>
        <v>15. ㈜제이스_온플러스</v>
      </c>
    </row>
    <row r="19" spans="1:18">
      <c r="A19" s="91">
        <v>1</v>
      </c>
      <c r="B19" s="92">
        <f t="shared" si="1"/>
        <v>16</v>
      </c>
      <c r="C19" s="202" t="s">
        <v>177</v>
      </c>
      <c r="D19" s="202" t="s">
        <v>178</v>
      </c>
      <c r="E19" s="88" t="s">
        <v>15</v>
      </c>
      <c r="F19" s="92"/>
      <c r="G19" s="92"/>
      <c r="H19" s="3"/>
      <c r="I19" s="93"/>
      <c r="J19" s="93">
        <v>46120</v>
      </c>
      <c r="K19" s="93"/>
      <c r="L19" s="98"/>
      <c r="M19" s="93"/>
      <c r="N19" s="95"/>
      <c r="O19" t="str">
        <f t="shared" si="0"/>
        <v>16. ㈜성심메디케어_㈜코엔</v>
      </c>
    </row>
    <row r="20" spans="1:18">
      <c r="A20" s="91">
        <v>1</v>
      </c>
      <c r="B20" s="92">
        <f t="shared" si="1"/>
        <v>17</v>
      </c>
      <c r="C20" s="202" t="s">
        <v>179</v>
      </c>
      <c r="D20" s="202" t="s">
        <v>180</v>
      </c>
      <c r="E20" s="88" t="s">
        <v>15</v>
      </c>
      <c r="F20" s="92"/>
      <c r="G20" s="92"/>
      <c r="H20" s="3"/>
      <c r="I20" s="93"/>
      <c r="J20" s="93">
        <v>46120</v>
      </c>
      <c r="K20" s="93"/>
      <c r="L20" s="98" t="s">
        <v>272</v>
      </c>
      <c r="M20" s="93"/>
      <c r="N20" s="95"/>
      <c r="O20" t="str">
        <f t="shared" si="0"/>
        <v>17. ㈜뉴돈테크_㈜네이카</v>
      </c>
    </row>
    <row r="21" spans="1:18">
      <c r="A21" s="91">
        <v>1</v>
      </c>
      <c r="B21" s="92">
        <f t="shared" si="1"/>
        <v>18</v>
      </c>
      <c r="C21" s="202" t="s">
        <v>181</v>
      </c>
      <c r="D21" s="202" t="s">
        <v>182</v>
      </c>
      <c r="E21" s="88" t="s">
        <v>15</v>
      </c>
      <c r="F21" s="92"/>
      <c r="G21" s="92"/>
      <c r="H21" s="3"/>
      <c r="I21" s="3"/>
      <c r="J21" s="93">
        <v>46120</v>
      </c>
      <c r="K21" s="93"/>
      <c r="L21" s="98" t="s">
        <v>272</v>
      </c>
      <c r="M21" s="93"/>
      <c r="N21" s="95"/>
      <c r="O21" t="str">
        <f t="shared" si="0"/>
        <v>18. 지니스㈜_㈜포디믹스</v>
      </c>
    </row>
    <row r="22" spans="1:18">
      <c r="A22" s="91">
        <v>1</v>
      </c>
      <c r="B22" s="92">
        <f t="shared" si="1"/>
        <v>19</v>
      </c>
      <c r="C22" s="202" t="s">
        <v>183</v>
      </c>
      <c r="D22" s="202" t="s">
        <v>182</v>
      </c>
      <c r="E22" s="88" t="s">
        <v>15</v>
      </c>
      <c r="F22" s="92"/>
      <c r="G22" s="92"/>
      <c r="H22" s="3"/>
      <c r="I22" s="93"/>
      <c r="J22" s="93">
        <v>46120</v>
      </c>
      <c r="K22" s="93"/>
      <c r="L22" s="98" t="s">
        <v>272</v>
      </c>
      <c r="M22" s="93"/>
      <c r="N22" s="95"/>
      <c r="O22" t="str">
        <f t="shared" si="0"/>
        <v>19. 대영금형정공사_㈜포디믹스</v>
      </c>
    </row>
    <row r="23" spans="1:18">
      <c r="A23" s="91">
        <v>1</v>
      </c>
      <c r="B23" s="92">
        <f t="shared" si="1"/>
        <v>20</v>
      </c>
      <c r="C23" s="202" t="s">
        <v>184</v>
      </c>
      <c r="D23" s="202" t="s">
        <v>182</v>
      </c>
      <c r="E23" s="88" t="s">
        <v>15</v>
      </c>
      <c r="F23" s="92"/>
      <c r="G23" s="92"/>
      <c r="H23" s="3"/>
      <c r="I23" s="3"/>
      <c r="J23" s="93">
        <v>46120</v>
      </c>
      <c r="K23" s="93"/>
      <c r="L23" s="98" t="s">
        <v>272</v>
      </c>
      <c r="M23" s="93"/>
      <c r="N23" s="95"/>
      <c r="O23" t="str">
        <f t="shared" si="0"/>
        <v>20. ㈜에이티홀딩스_㈜포디믹스</v>
      </c>
    </row>
    <row r="24" spans="1:18">
      <c r="A24" s="91">
        <v>1</v>
      </c>
      <c r="B24" s="92">
        <f t="shared" si="1"/>
        <v>21</v>
      </c>
      <c r="C24" s="201" t="s">
        <v>185</v>
      </c>
      <c r="D24" s="201" t="s">
        <v>186</v>
      </c>
      <c r="E24" s="88" t="s">
        <v>15</v>
      </c>
      <c r="F24" s="92"/>
      <c r="G24" s="92"/>
      <c r="H24" s="3"/>
      <c r="I24" s="3"/>
      <c r="J24" s="93">
        <v>46120</v>
      </c>
      <c r="K24" s="93"/>
      <c r="L24" s="98" t="s">
        <v>272</v>
      </c>
      <c r="M24" s="93"/>
      <c r="N24" s="95"/>
      <c r="O24" t="str">
        <f t="shared" si="0"/>
        <v>21. ㈜엡스코어_㈜이앤비솔루션</v>
      </c>
    </row>
    <row r="25" spans="1:18">
      <c r="A25" s="91">
        <v>1</v>
      </c>
      <c r="B25" s="92">
        <f t="shared" si="1"/>
        <v>22</v>
      </c>
      <c r="C25" s="201" t="s">
        <v>187</v>
      </c>
      <c r="D25" s="201" t="s">
        <v>194</v>
      </c>
      <c r="E25" s="88" t="s">
        <v>15</v>
      </c>
      <c r="F25" s="92"/>
      <c r="G25" s="92"/>
      <c r="H25" s="3"/>
      <c r="I25" s="93"/>
      <c r="J25" s="93">
        <v>46120</v>
      </c>
      <c r="K25" s="93"/>
      <c r="L25" s="98" t="s">
        <v>272</v>
      </c>
      <c r="M25" s="93"/>
      <c r="N25" s="95"/>
      <c r="O25" t="str">
        <f t="shared" si="0"/>
        <v>22. ㈜포러스젠_㈜씨넷</v>
      </c>
    </row>
    <row r="26" spans="1:18">
      <c r="A26" s="91">
        <v>1</v>
      </c>
      <c r="B26" s="92">
        <f t="shared" si="1"/>
        <v>23</v>
      </c>
      <c r="C26" s="201" t="s">
        <v>188</v>
      </c>
      <c r="D26" s="201" t="s">
        <v>176</v>
      </c>
      <c r="E26" s="88" t="s">
        <v>15</v>
      </c>
      <c r="F26" s="92"/>
      <c r="G26" s="92"/>
      <c r="H26" s="93"/>
      <c r="I26" s="93"/>
      <c r="J26" s="93">
        <v>46120</v>
      </c>
      <c r="K26" s="93"/>
      <c r="L26" s="98" t="s">
        <v>272</v>
      </c>
      <c r="M26" s="93"/>
      <c r="N26" s="95"/>
      <c r="O26" t="str">
        <f t="shared" si="0"/>
        <v>23. 이레테크_온플러스</v>
      </c>
    </row>
    <row r="27" spans="1:18">
      <c r="A27" s="91">
        <v>1</v>
      </c>
      <c r="B27" s="92">
        <f t="shared" si="1"/>
        <v>24</v>
      </c>
      <c r="C27" s="201" t="s">
        <v>189</v>
      </c>
      <c r="D27" s="201" t="s">
        <v>193</v>
      </c>
      <c r="E27" s="88" t="s">
        <v>15</v>
      </c>
      <c r="F27" s="92"/>
      <c r="G27" s="92"/>
      <c r="H27" s="93"/>
      <c r="I27" s="3"/>
      <c r="J27" s="93">
        <v>46120</v>
      </c>
      <c r="K27" s="93"/>
      <c r="L27" s="98"/>
      <c r="M27" s="93"/>
      <c r="N27" s="95"/>
      <c r="O27" t="str">
        <f t="shared" si="0"/>
        <v>24. 한빛이노텍_㈜쓰리디플러스</v>
      </c>
    </row>
    <row r="28" spans="1:18">
      <c r="A28" s="91">
        <v>1</v>
      </c>
      <c r="B28" s="92">
        <f t="shared" si="1"/>
        <v>25</v>
      </c>
      <c r="C28" s="201" t="s">
        <v>190</v>
      </c>
      <c r="D28" s="201" t="s">
        <v>192</v>
      </c>
      <c r="E28" s="88" t="s">
        <v>15</v>
      </c>
      <c r="F28" s="92"/>
      <c r="G28" s="92"/>
      <c r="H28" s="93"/>
      <c r="I28" s="93"/>
      <c r="J28" s="93">
        <v>46120</v>
      </c>
      <c r="K28" s="93"/>
      <c r="L28" s="98" t="s">
        <v>272</v>
      </c>
      <c r="M28" s="93"/>
      <c r="N28" s="95"/>
      <c r="O28" t="str">
        <f t="shared" si="0"/>
        <v>25. ㈜맨엔텔_㈜하다</v>
      </c>
    </row>
    <row r="29" spans="1:18">
      <c r="A29" s="91">
        <v>1</v>
      </c>
      <c r="B29" s="92">
        <f t="shared" si="1"/>
        <v>26</v>
      </c>
      <c r="C29" s="201" t="s">
        <v>191</v>
      </c>
      <c r="D29" s="201" t="s">
        <v>163</v>
      </c>
      <c r="E29" s="88" t="s">
        <v>15</v>
      </c>
      <c r="F29" s="92"/>
      <c r="G29" s="92"/>
      <c r="H29" s="93"/>
      <c r="I29" s="93"/>
      <c r="J29" s="93">
        <v>46120</v>
      </c>
      <c r="K29" s="93"/>
      <c r="L29" s="98" t="s">
        <v>272</v>
      </c>
      <c r="M29" s="93"/>
      <c r="N29" s="95"/>
      <c r="O29" t="str">
        <f t="shared" si="0"/>
        <v>26. 노바센㈜_㈜크레탐</v>
      </c>
    </row>
    <row r="30" spans="1:18">
      <c r="A30" s="91">
        <v>1</v>
      </c>
      <c r="B30" s="92">
        <f t="shared" si="1"/>
        <v>27</v>
      </c>
      <c r="C30" s="201" t="s">
        <v>195</v>
      </c>
      <c r="D30" s="201" t="s">
        <v>204</v>
      </c>
      <c r="E30" s="88" t="s">
        <v>15</v>
      </c>
      <c r="F30" s="92"/>
      <c r="G30" s="92"/>
      <c r="H30" s="93"/>
      <c r="I30" s="93"/>
      <c r="J30" s="93">
        <v>46120</v>
      </c>
      <c r="K30" s="93"/>
      <c r="L30" s="98" t="s">
        <v>272</v>
      </c>
      <c r="M30" s="93"/>
      <c r="N30" s="95"/>
      <c r="O30" t="str">
        <f t="shared" si="0"/>
        <v>27. ㈜엑스오컴퍼니_㈜이엘엠디</v>
      </c>
    </row>
    <row r="31" spans="1:18">
      <c r="A31" s="91">
        <v>1</v>
      </c>
      <c r="B31" s="92">
        <f t="shared" si="1"/>
        <v>28</v>
      </c>
      <c r="C31" s="201" t="s">
        <v>196</v>
      </c>
      <c r="D31" s="201" t="s">
        <v>203</v>
      </c>
      <c r="E31" s="88" t="s">
        <v>15</v>
      </c>
      <c r="F31" s="92"/>
      <c r="G31" s="92"/>
      <c r="H31" s="93"/>
      <c r="I31" s="93"/>
      <c r="J31" s="93">
        <v>46120</v>
      </c>
      <c r="K31" s="93"/>
      <c r="L31" s="98" t="s">
        <v>272</v>
      </c>
      <c r="M31" s="93"/>
      <c r="N31" s="95"/>
      <c r="O31" t="str">
        <f t="shared" si="0"/>
        <v>28. ㈜엠티에스_㈜파인에스텍</v>
      </c>
    </row>
    <row r="32" spans="1:18">
      <c r="A32" s="91">
        <v>1</v>
      </c>
      <c r="B32" s="92">
        <f t="shared" si="1"/>
        <v>29</v>
      </c>
      <c r="C32" s="201" t="s">
        <v>197</v>
      </c>
      <c r="D32" s="201" t="s">
        <v>202</v>
      </c>
      <c r="E32" s="88" t="s">
        <v>15</v>
      </c>
      <c r="F32" s="92"/>
      <c r="G32" s="92"/>
      <c r="H32" s="93"/>
      <c r="I32" s="93"/>
      <c r="J32" s="93">
        <v>46120</v>
      </c>
      <c r="K32" s="93"/>
      <c r="L32" s="98" t="s">
        <v>272</v>
      </c>
      <c r="M32" s="93"/>
      <c r="N32" s="95"/>
      <c r="O32" t="str">
        <f t="shared" si="0"/>
        <v>29. ㈜엘에이치바이오메드_㈜파인디자인</v>
      </c>
    </row>
    <row r="33" spans="1:15">
      <c r="A33" s="91">
        <v>1</v>
      </c>
      <c r="B33" s="92">
        <f t="shared" si="1"/>
        <v>30</v>
      </c>
      <c r="C33" s="201" t="s">
        <v>198</v>
      </c>
      <c r="D33" s="201" t="s">
        <v>200</v>
      </c>
      <c r="E33" s="88" t="s">
        <v>15</v>
      </c>
      <c r="F33" s="92"/>
      <c r="G33" s="92"/>
      <c r="H33" s="93"/>
      <c r="I33" s="93"/>
      <c r="J33" s="93">
        <v>46120</v>
      </c>
      <c r="K33" s="93"/>
      <c r="L33" s="98"/>
      <c r="M33" s="93"/>
      <c r="N33" s="95"/>
      <c r="O33" t="str">
        <f t="shared" si="0"/>
        <v>30. 메디칼리서치_한일정밀화학</v>
      </c>
    </row>
    <row r="34" spans="1:15">
      <c r="A34" s="91">
        <v>1</v>
      </c>
      <c r="B34" s="92">
        <f t="shared" si="1"/>
        <v>31</v>
      </c>
      <c r="C34" s="201" t="s">
        <v>199</v>
      </c>
      <c r="D34" s="201" t="s">
        <v>201</v>
      </c>
      <c r="E34" s="88" t="s">
        <v>15</v>
      </c>
      <c r="F34" s="96"/>
      <c r="G34" s="92"/>
      <c r="H34" s="93"/>
      <c r="I34" s="93"/>
      <c r="J34" s="93">
        <v>46120</v>
      </c>
      <c r="K34" s="93"/>
      <c r="L34" s="98"/>
      <c r="M34" s="93"/>
      <c r="N34" s="95"/>
      <c r="O34" t="str">
        <f t="shared" si="0"/>
        <v>31. 농업회사법인 주식회사 드레스푸드_유니드</v>
      </c>
    </row>
    <row r="35" spans="1:15">
      <c r="A35" s="91">
        <v>1</v>
      </c>
      <c r="B35" s="92">
        <f t="shared" si="1"/>
        <v>32</v>
      </c>
      <c r="C35" s="201" t="s">
        <v>205</v>
      </c>
      <c r="D35" s="201" t="s">
        <v>176</v>
      </c>
      <c r="E35" s="88" t="s">
        <v>15</v>
      </c>
      <c r="F35" s="96"/>
      <c r="G35" s="96"/>
      <c r="H35" s="93"/>
      <c r="I35" s="93"/>
      <c r="J35" s="93">
        <v>46120</v>
      </c>
      <c r="K35" s="93"/>
      <c r="L35" s="98"/>
      <c r="M35" s="93"/>
      <c r="N35" s="95"/>
      <c r="O35" t="str">
        <f t="shared" si="0"/>
        <v>32. 굿라이프_온플러스</v>
      </c>
    </row>
    <row r="36" spans="1:15">
      <c r="A36" s="91">
        <v>1</v>
      </c>
      <c r="B36" s="92">
        <f t="shared" si="1"/>
        <v>33</v>
      </c>
      <c r="C36" s="201" t="s">
        <v>206</v>
      </c>
      <c r="D36" s="201" t="s">
        <v>210</v>
      </c>
      <c r="E36" s="88" t="s">
        <v>15</v>
      </c>
      <c r="F36" s="96"/>
      <c r="G36" s="96"/>
      <c r="H36" s="93"/>
      <c r="I36" s="93"/>
      <c r="J36" s="93">
        <v>46120</v>
      </c>
      <c r="K36" s="93"/>
      <c r="L36" s="98"/>
      <c r="M36" s="93"/>
      <c r="N36" s="95"/>
      <c r="O36" t="str">
        <f t="shared" si="0"/>
        <v>33. 주식회사 시어니스트_㈜아주화장품</v>
      </c>
    </row>
    <row r="37" spans="1:15">
      <c r="A37" s="91">
        <v>1</v>
      </c>
      <c r="B37" s="92">
        <f t="shared" si="1"/>
        <v>34</v>
      </c>
      <c r="C37" s="204" t="s">
        <v>207</v>
      </c>
      <c r="D37" s="205" t="s">
        <v>171</v>
      </c>
      <c r="E37" s="88" t="s">
        <v>15</v>
      </c>
      <c r="F37" s="96"/>
      <c r="G37" s="96"/>
      <c r="H37" s="93"/>
      <c r="I37" s="93"/>
      <c r="J37" s="93">
        <v>46120</v>
      </c>
      <c r="K37" s="93"/>
      <c r="L37" s="98"/>
      <c r="M37" s="93"/>
      <c r="N37" s="95"/>
      <c r="O37" t="str">
        <f t="shared" si="0"/>
        <v>34. ㈜셀드로우_주식회사 로맨</v>
      </c>
    </row>
    <row r="38" spans="1:15">
      <c r="A38" s="91">
        <v>1</v>
      </c>
      <c r="B38" s="92">
        <f t="shared" si="1"/>
        <v>35</v>
      </c>
      <c r="C38" s="204" t="s">
        <v>208</v>
      </c>
      <c r="D38" s="205" t="s">
        <v>161</v>
      </c>
      <c r="E38" s="88" t="s">
        <v>15</v>
      </c>
      <c r="F38" s="92"/>
      <c r="G38" s="92"/>
      <c r="H38" s="93"/>
      <c r="I38" s="93"/>
      <c r="J38" s="93">
        <v>46120</v>
      </c>
      <c r="K38" s="93"/>
      <c r="L38" s="98"/>
      <c r="M38" s="93"/>
      <c r="N38" s="95"/>
      <c r="O38" t="str">
        <f t="shared" si="0"/>
        <v>35. ㈜화진몰테크_㈜우영실업</v>
      </c>
    </row>
    <row r="39" spans="1:15">
      <c r="A39" s="91">
        <v>1</v>
      </c>
      <c r="B39" s="92">
        <f t="shared" si="1"/>
        <v>36</v>
      </c>
      <c r="C39" s="204" t="s">
        <v>209</v>
      </c>
      <c r="D39" s="205" t="s">
        <v>211</v>
      </c>
      <c r="E39" s="88" t="s">
        <v>15</v>
      </c>
      <c r="F39" s="92"/>
      <c r="G39" s="92"/>
      <c r="H39" s="93"/>
      <c r="I39" s="93"/>
      <c r="J39" s="93">
        <v>46120</v>
      </c>
      <c r="K39" s="93"/>
      <c r="L39" s="98"/>
      <c r="M39" s="93"/>
      <c r="N39" s="95"/>
      <c r="O39" t="str">
        <f t="shared" si="0"/>
        <v>36. ㈜대광에프앤지_씨에프티 유한책임회사</v>
      </c>
    </row>
    <row r="40" spans="1:15">
      <c r="A40" s="91">
        <v>1</v>
      </c>
      <c r="B40" s="92">
        <f t="shared" si="1"/>
        <v>37</v>
      </c>
      <c r="C40" s="201" t="s">
        <v>212</v>
      </c>
      <c r="D40" s="201" t="s">
        <v>176</v>
      </c>
      <c r="E40" s="88" t="s">
        <v>15</v>
      </c>
      <c r="F40" s="88"/>
      <c r="G40" s="88"/>
      <c r="H40" s="3"/>
      <c r="I40" s="3"/>
      <c r="J40" s="93">
        <v>46120</v>
      </c>
      <c r="K40" s="93"/>
      <c r="L40" s="98" t="s">
        <v>272</v>
      </c>
      <c r="M40" s="93"/>
      <c r="N40" s="95"/>
      <c r="O40" t="str">
        <f t="shared" si="0"/>
        <v>37. ㈜레피오_온플러스</v>
      </c>
    </row>
    <row r="41" spans="1:15" s="156" customFormat="1">
      <c r="A41" s="91">
        <v>1</v>
      </c>
      <c r="B41" s="92">
        <f t="shared" si="1"/>
        <v>38</v>
      </c>
      <c r="C41" s="201" t="s">
        <v>213</v>
      </c>
      <c r="D41" s="201" t="s">
        <v>217</v>
      </c>
      <c r="E41" s="88" t="s">
        <v>15</v>
      </c>
      <c r="F41" s="88"/>
      <c r="G41" s="88"/>
      <c r="H41" s="3"/>
      <c r="I41" s="93"/>
      <c r="J41" s="93">
        <v>46120</v>
      </c>
      <c r="K41" s="93"/>
      <c r="L41" s="98"/>
      <c r="M41" s="93"/>
      <c r="N41" s="95"/>
      <c r="O41" t="str">
        <f t="shared" si="0"/>
        <v>38. ㈜티디지_무니디자인</v>
      </c>
    </row>
    <row r="42" spans="1:15">
      <c r="A42" s="91">
        <v>1</v>
      </c>
      <c r="B42" s="92">
        <f t="shared" si="1"/>
        <v>39</v>
      </c>
      <c r="C42" s="201" t="s">
        <v>215</v>
      </c>
      <c r="D42" s="201" t="s">
        <v>216</v>
      </c>
      <c r="E42" s="88" t="s">
        <v>15</v>
      </c>
      <c r="F42" s="88"/>
      <c r="G42" s="88"/>
      <c r="H42" s="3"/>
      <c r="I42" s="93"/>
      <c r="J42" s="93">
        <v>46120</v>
      </c>
      <c r="K42" s="93"/>
      <c r="L42" s="98" t="s">
        <v>272</v>
      </c>
      <c r="M42" s="93"/>
      <c r="N42" s="95"/>
      <c r="O42" t="str">
        <f t="shared" si="0"/>
        <v>39. ㈜에스엠전자_㈜에스디테크</v>
      </c>
    </row>
    <row r="43" spans="1:15">
      <c r="A43" s="91">
        <v>1</v>
      </c>
      <c r="B43" s="92">
        <f t="shared" si="1"/>
        <v>40</v>
      </c>
      <c r="C43" s="201" t="s">
        <v>214</v>
      </c>
      <c r="D43" s="201" t="s">
        <v>194</v>
      </c>
      <c r="E43" s="88" t="s">
        <v>15</v>
      </c>
      <c r="F43" s="88"/>
      <c r="G43" s="88"/>
      <c r="H43" s="3"/>
      <c r="I43" s="93"/>
      <c r="J43" s="93">
        <v>46120</v>
      </c>
      <c r="K43" s="93"/>
      <c r="L43" s="98" t="s">
        <v>272</v>
      </c>
      <c r="M43" s="93"/>
      <c r="N43" s="95"/>
      <c r="O43" t="str">
        <f t="shared" si="0"/>
        <v>40. ㈜클린존_㈜씨넷</v>
      </c>
    </row>
    <row r="44" spans="1:15">
      <c r="A44" s="91">
        <v>1</v>
      </c>
      <c r="B44" s="92">
        <f t="shared" si="1"/>
        <v>41</v>
      </c>
      <c r="C44" s="201" t="s">
        <v>223</v>
      </c>
      <c r="D44" s="201" t="s">
        <v>224</v>
      </c>
      <c r="E44" s="88" t="s">
        <v>15</v>
      </c>
      <c r="F44" s="88"/>
      <c r="G44" s="88"/>
      <c r="H44" s="3"/>
      <c r="I44" s="93"/>
      <c r="J44" s="93">
        <v>46120</v>
      </c>
      <c r="K44" s="93"/>
      <c r="L44" s="98"/>
      <c r="M44" s="93"/>
      <c r="N44" s="95"/>
      <c r="O44" t="str">
        <f t="shared" si="0"/>
        <v>41. 주식회사 티나_주식회사 제이솔루션</v>
      </c>
    </row>
    <row r="45" spans="1:15">
      <c r="A45" s="91">
        <v>1</v>
      </c>
      <c r="B45" s="92">
        <f t="shared" si="1"/>
        <v>42</v>
      </c>
      <c r="C45" s="201" t="s">
        <v>218</v>
      </c>
      <c r="D45" s="201" t="s">
        <v>222</v>
      </c>
      <c r="E45" s="88" t="s">
        <v>15</v>
      </c>
      <c r="F45" s="88"/>
      <c r="G45" s="88"/>
      <c r="H45" s="3"/>
      <c r="I45" s="93"/>
      <c r="J45" s="93">
        <v>46120</v>
      </c>
      <c r="K45" s="93"/>
      <c r="L45" s="199"/>
      <c r="M45" s="93"/>
      <c r="N45" s="95"/>
      <c r="O45" t="str">
        <f t="shared" si="0"/>
        <v>42. 주식회사 엘엠_㈜세퍼드</v>
      </c>
    </row>
    <row r="46" spans="1:15">
      <c r="A46" s="91">
        <v>1</v>
      </c>
      <c r="B46" s="92">
        <f t="shared" si="1"/>
        <v>43</v>
      </c>
      <c r="C46" s="201" t="s">
        <v>219</v>
      </c>
      <c r="D46" s="201" t="s">
        <v>222</v>
      </c>
      <c r="E46" s="88" t="s">
        <v>15</v>
      </c>
      <c r="F46" s="88"/>
      <c r="G46" s="88"/>
      <c r="H46" s="3"/>
      <c r="I46" s="93"/>
      <c r="J46" s="93">
        <v>46120</v>
      </c>
      <c r="K46" s="93"/>
      <c r="L46" s="98"/>
      <c r="M46" s="93"/>
      <c r="N46" s="95"/>
      <c r="O46" t="str">
        <f t="shared" si="0"/>
        <v>43. 에스진㈜_㈜세퍼드</v>
      </c>
    </row>
    <row r="47" spans="1:15">
      <c r="A47" s="91">
        <v>1</v>
      </c>
      <c r="B47" s="92">
        <f t="shared" si="1"/>
        <v>44</v>
      </c>
      <c r="C47" s="202" t="s">
        <v>242</v>
      </c>
      <c r="D47" s="202" t="s">
        <v>221</v>
      </c>
      <c r="E47" s="88" t="s">
        <v>15</v>
      </c>
      <c r="F47" s="88"/>
      <c r="G47" s="88"/>
      <c r="H47" s="3"/>
      <c r="I47" s="93"/>
      <c r="J47" s="93">
        <v>46120</v>
      </c>
      <c r="K47" s="93"/>
      <c r="L47" s="98"/>
      <c r="M47" s="93"/>
      <c r="N47" s="95"/>
      <c r="O47" t="str">
        <f t="shared" si="0"/>
        <v>44. ㈜멀티밸런스(사업비: 12,858,000원)_㈜아이토프</v>
      </c>
    </row>
    <row r="48" spans="1:15">
      <c r="A48" s="91">
        <v>1</v>
      </c>
      <c r="B48" s="92">
        <f t="shared" si="1"/>
        <v>45</v>
      </c>
      <c r="C48" s="201" t="s">
        <v>220</v>
      </c>
      <c r="D48" s="201" t="s">
        <v>225</v>
      </c>
      <c r="E48" s="88" t="s">
        <v>15</v>
      </c>
      <c r="F48" s="88"/>
      <c r="G48" s="88"/>
      <c r="H48" s="3"/>
      <c r="I48" s="93"/>
      <c r="J48" s="93">
        <v>46120</v>
      </c>
      <c r="K48" s="93"/>
      <c r="L48" s="98"/>
      <c r="M48" s="93"/>
      <c r="N48" s="95"/>
      <c r="O48" t="str">
        <f t="shared" si="0"/>
        <v>45. 재융공업_㈜엠아이씨유</v>
      </c>
    </row>
    <row r="49" spans="1:15">
      <c r="A49" s="91">
        <v>1</v>
      </c>
      <c r="B49" s="92">
        <f t="shared" si="1"/>
        <v>46</v>
      </c>
      <c r="C49" s="201" t="s">
        <v>243</v>
      </c>
      <c r="D49" s="201" t="s">
        <v>221</v>
      </c>
      <c r="E49" s="88" t="s">
        <v>15</v>
      </c>
      <c r="F49" s="88"/>
      <c r="G49" s="88"/>
      <c r="H49" s="3"/>
      <c r="I49" s="98"/>
      <c r="J49" s="93">
        <v>46120</v>
      </c>
      <c r="K49" s="93"/>
      <c r="L49" s="98"/>
      <c r="M49" s="93"/>
      <c r="N49" s="95"/>
      <c r="O49" t="str">
        <f t="shared" si="0"/>
        <v>46. ㈜멀티밸런스(사업비: 30,000,000원)_㈜아이토프</v>
      </c>
    </row>
    <row r="50" spans="1:15">
      <c r="A50" s="91">
        <v>1</v>
      </c>
      <c r="B50" s="92">
        <f t="shared" si="1"/>
        <v>47</v>
      </c>
      <c r="C50" s="201" t="s">
        <v>226</v>
      </c>
      <c r="D50" s="201" t="s">
        <v>231</v>
      </c>
      <c r="E50" s="88" t="s">
        <v>15</v>
      </c>
      <c r="F50" s="88"/>
      <c r="G50" s="88"/>
      <c r="H50" s="3"/>
      <c r="I50" s="98"/>
      <c r="J50" s="93">
        <v>46120</v>
      </c>
      <c r="K50" s="93"/>
      <c r="L50" s="98" t="s">
        <v>272</v>
      </c>
      <c r="M50" s="93"/>
      <c r="N50" s="95"/>
      <c r="O50" t="str">
        <f t="shared" si="0"/>
        <v>47. ㈜팜에이스_멀티펑션</v>
      </c>
    </row>
    <row r="51" spans="1:15">
      <c r="A51" s="91">
        <v>1</v>
      </c>
      <c r="B51" s="92">
        <f t="shared" si="1"/>
        <v>48</v>
      </c>
      <c r="C51" s="201" t="s">
        <v>227</v>
      </c>
      <c r="D51" s="201" t="s">
        <v>230</v>
      </c>
      <c r="E51" s="88" t="s">
        <v>15</v>
      </c>
      <c r="F51" s="88"/>
      <c r="G51" s="88"/>
      <c r="H51" s="3"/>
      <c r="I51" s="93"/>
      <c r="J51" s="93">
        <v>46120</v>
      </c>
      <c r="K51" s="93"/>
      <c r="L51" s="98" t="s">
        <v>272</v>
      </c>
      <c r="M51" s="93"/>
      <c r="N51" s="95"/>
      <c r="O51" t="str">
        <f t="shared" si="0"/>
        <v>48. ㈜마마포레스트_㈜세컨드홀리데이</v>
      </c>
    </row>
    <row r="52" spans="1:15">
      <c r="A52" s="91">
        <v>1</v>
      </c>
      <c r="B52" s="92">
        <f t="shared" si="1"/>
        <v>49</v>
      </c>
      <c r="C52" s="201" t="s">
        <v>228</v>
      </c>
      <c r="D52" s="201" t="s">
        <v>225</v>
      </c>
      <c r="E52" s="88" t="s">
        <v>15</v>
      </c>
      <c r="F52" s="88"/>
      <c r="G52" s="88"/>
      <c r="H52" s="3"/>
      <c r="I52" s="93"/>
      <c r="J52" s="93">
        <v>46120</v>
      </c>
      <c r="K52" s="93"/>
      <c r="L52" s="98" t="s">
        <v>272</v>
      </c>
      <c r="M52" s="93"/>
      <c r="N52" s="95"/>
      <c r="O52" t="str">
        <f t="shared" si="0"/>
        <v>49. ㈜에이치앤엠바이오_㈜엠아이씨유</v>
      </c>
    </row>
    <row r="53" spans="1:15">
      <c r="A53" s="91">
        <v>1</v>
      </c>
      <c r="B53" s="92">
        <f t="shared" si="1"/>
        <v>50</v>
      </c>
      <c r="C53" s="201" t="s">
        <v>229</v>
      </c>
      <c r="D53" s="201" t="s">
        <v>194</v>
      </c>
      <c r="E53" s="88" t="s">
        <v>15</v>
      </c>
      <c r="F53" s="88"/>
      <c r="G53" s="88"/>
      <c r="H53" s="3"/>
      <c r="I53" s="93"/>
      <c r="J53" s="93">
        <v>46120</v>
      </c>
      <c r="K53" s="93"/>
      <c r="L53" s="98"/>
      <c r="M53" s="93"/>
      <c r="N53" s="95"/>
      <c r="O53" t="str">
        <f t="shared" si="0"/>
        <v>50. 에이치비테크㈜_㈜씨넷</v>
      </c>
    </row>
    <row r="54" spans="1:15">
      <c r="A54" s="91">
        <v>1</v>
      </c>
      <c r="B54" s="92">
        <f t="shared" si="1"/>
        <v>51</v>
      </c>
      <c r="C54" s="201" t="s">
        <v>232</v>
      </c>
      <c r="D54" s="201" t="s">
        <v>239</v>
      </c>
      <c r="E54" s="88" t="s">
        <v>15</v>
      </c>
      <c r="F54" s="92"/>
      <c r="G54" s="92"/>
      <c r="H54" s="93"/>
      <c r="I54" s="93"/>
      <c r="J54" s="93">
        <v>46120</v>
      </c>
      <c r="K54" s="93"/>
      <c r="L54" s="98"/>
      <c r="M54" s="93"/>
      <c r="N54" s="95"/>
      <c r="O54" t="str">
        <f t="shared" si="0"/>
        <v>51. ㈜엘에스금속_㈜게이트웨이즈</v>
      </c>
    </row>
    <row r="55" spans="1:15">
      <c r="A55" s="91">
        <v>1</v>
      </c>
      <c r="B55" s="92">
        <f t="shared" si="1"/>
        <v>52</v>
      </c>
      <c r="C55" s="201" t="s">
        <v>233</v>
      </c>
      <c r="D55" s="201" t="s">
        <v>238</v>
      </c>
      <c r="E55" s="88" t="s">
        <v>15</v>
      </c>
      <c r="F55" s="92"/>
      <c r="G55" s="92"/>
      <c r="H55" s="93"/>
      <c r="I55" s="93"/>
      <c r="J55" s="93">
        <v>46120</v>
      </c>
      <c r="K55" s="93"/>
      <c r="L55" s="98" t="s">
        <v>272</v>
      </c>
      <c r="M55" s="93"/>
      <c r="N55" s="95"/>
      <c r="O55" t="str">
        <f t="shared" si="0"/>
        <v>52. ㈜에너드림_㈜코드</v>
      </c>
    </row>
    <row r="56" spans="1:15">
      <c r="A56" s="91">
        <v>1</v>
      </c>
      <c r="B56" s="92">
        <f t="shared" si="1"/>
        <v>53</v>
      </c>
      <c r="C56" s="201" t="s">
        <v>236</v>
      </c>
      <c r="D56" s="201" t="s">
        <v>237</v>
      </c>
      <c r="E56" s="88" t="s">
        <v>15</v>
      </c>
      <c r="F56" s="92"/>
      <c r="G56" s="92"/>
      <c r="H56" s="93"/>
      <c r="I56" s="93"/>
      <c r="J56" s="93">
        <v>46120</v>
      </c>
      <c r="K56" s="93"/>
      <c r="L56" s="98" t="s">
        <v>272</v>
      </c>
      <c r="M56" s="93"/>
      <c r="N56" s="95"/>
      <c r="O56" t="str">
        <f t="shared" si="0"/>
        <v>53. 다인시스템 주식회사_㈜파인하이텍</v>
      </c>
    </row>
    <row r="57" spans="1:15">
      <c r="A57" s="91">
        <v>1</v>
      </c>
      <c r="B57" s="92">
        <f t="shared" si="1"/>
        <v>54</v>
      </c>
      <c r="C57" s="201" t="s">
        <v>234</v>
      </c>
      <c r="D57" s="201" t="s">
        <v>171</v>
      </c>
      <c r="E57" s="88" t="s">
        <v>15</v>
      </c>
      <c r="F57" s="92"/>
      <c r="G57" s="92"/>
      <c r="H57" s="93"/>
      <c r="I57" s="93"/>
      <c r="J57" s="93">
        <v>46120</v>
      </c>
      <c r="K57" s="93"/>
      <c r="L57" s="98"/>
      <c r="M57" s="93"/>
      <c r="N57" s="95"/>
      <c r="O57" t="str">
        <f t="shared" si="0"/>
        <v>54. ㈜세인블루텍_주식회사 로맨</v>
      </c>
    </row>
    <row r="58" spans="1:15">
      <c r="A58" s="91">
        <v>1</v>
      </c>
      <c r="B58" s="92">
        <f t="shared" si="1"/>
        <v>55</v>
      </c>
      <c r="C58" s="201" t="s">
        <v>235</v>
      </c>
      <c r="D58" s="201" t="s">
        <v>240</v>
      </c>
      <c r="E58" s="88" t="s">
        <v>15</v>
      </c>
      <c r="F58" s="92"/>
      <c r="G58" s="92"/>
      <c r="H58" s="93"/>
      <c r="I58" s="93"/>
      <c r="J58" s="93">
        <v>46120</v>
      </c>
      <c r="K58" s="93"/>
      <c r="L58" s="98"/>
      <c r="M58" s="93"/>
      <c r="N58" s="95"/>
      <c r="O58" t="str">
        <f t="shared" si="0"/>
        <v>55. 에이치에스테크㈜_㈜케이엠씨(KMC)</v>
      </c>
    </row>
    <row r="59" spans="1:15">
      <c r="A59" s="91">
        <v>1</v>
      </c>
      <c r="B59" s="92">
        <f t="shared" si="1"/>
        <v>56</v>
      </c>
      <c r="C59" s="201" t="s">
        <v>241</v>
      </c>
      <c r="D59" s="201" t="s">
        <v>194</v>
      </c>
      <c r="E59" s="88" t="s">
        <v>15</v>
      </c>
      <c r="F59" s="92"/>
      <c r="G59" s="92"/>
      <c r="H59" s="93"/>
      <c r="I59" s="93"/>
      <c r="J59" s="93">
        <v>46120</v>
      </c>
      <c r="K59" s="93"/>
      <c r="L59" s="98"/>
      <c r="M59" s="93"/>
      <c r="N59" s="95"/>
      <c r="O59" t="str">
        <f t="shared" si="0"/>
        <v>56. ㈜동광_㈜씨넷</v>
      </c>
    </row>
    <row r="60" spans="1:15">
      <c r="A60" s="91">
        <v>1</v>
      </c>
      <c r="B60" s="92">
        <f t="shared" si="1"/>
        <v>57</v>
      </c>
      <c r="C60" s="201" t="s">
        <v>264</v>
      </c>
      <c r="D60" s="201" t="s">
        <v>176</v>
      </c>
      <c r="E60" s="88" t="s">
        <v>15</v>
      </c>
      <c r="F60" s="92"/>
      <c r="G60" s="92"/>
      <c r="H60" s="93"/>
      <c r="I60" s="93"/>
      <c r="J60" s="93">
        <v>46120</v>
      </c>
      <c r="K60" s="93"/>
      <c r="L60" s="98" t="s">
        <v>272</v>
      </c>
      <c r="M60" s="93"/>
      <c r="N60" s="95"/>
      <c r="O60" t="str">
        <f t="shared" si="0"/>
        <v>57. 주식회사 골드테크_온플러스</v>
      </c>
    </row>
    <row r="61" spans="1:15">
      <c r="A61" s="91">
        <v>1</v>
      </c>
      <c r="B61" s="92">
        <f t="shared" si="1"/>
        <v>58</v>
      </c>
      <c r="C61" s="201" t="s">
        <v>244</v>
      </c>
      <c r="D61" s="201" t="s">
        <v>245</v>
      </c>
      <c r="E61" s="88" t="s">
        <v>15</v>
      </c>
      <c r="F61" s="92"/>
      <c r="G61" s="92"/>
      <c r="H61" s="93"/>
      <c r="I61" s="93"/>
      <c r="J61" s="93">
        <v>46120</v>
      </c>
      <c r="K61" s="93"/>
      <c r="L61" s="98"/>
      <c r="M61" s="93"/>
      <c r="N61" s="95"/>
      <c r="O61" t="str">
        <f t="shared" si="0"/>
        <v>58. ㈜리즈코스_㈜드림이앤씨</v>
      </c>
    </row>
    <row r="62" spans="1:15">
      <c r="A62" s="91">
        <v>1</v>
      </c>
      <c r="B62" s="92">
        <f t="shared" si="1"/>
        <v>59</v>
      </c>
      <c r="C62" s="201" t="s">
        <v>246</v>
      </c>
      <c r="D62" s="201" t="s">
        <v>165</v>
      </c>
      <c r="E62" s="88" t="s">
        <v>15</v>
      </c>
      <c r="F62" s="92"/>
      <c r="G62" s="92"/>
      <c r="H62" s="93"/>
      <c r="I62" s="93"/>
      <c r="J62" s="93">
        <v>46120</v>
      </c>
      <c r="K62" s="93"/>
      <c r="L62" s="98"/>
      <c r="M62" s="93"/>
      <c r="N62" s="95"/>
      <c r="O62" t="str">
        <f t="shared" si="0"/>
        <v>59. 주식회사 대림산업_㈜포어스딜라이트</v>
      </c>
    </row>
    <row r="63" spans="1:15">
      <c r="A63" s="91">
        <v>1</v>
      </c>
      <c r="B63" s="92">
        <f t="shared" si="1"/>
        <v>60</v>
      </c>
      <c r="C63" s="201" t="s">
        <v>247</v>
      </c>
      <c r="D63" s="201" t="s">
        <v>248</v>
      </c>
      <c r="E63" s="88" t="s">
        <v>15</v>
      </c>
      <c r="F63" s="99"/>
      <c r="G63" s="99"/>
      <c r="H63" s="93"/>
      <c r="I63" s="93"/>
      <c r="J63" s="93">
        <v>46120</v>
      </c>
      <c r="K63" s="93"/>
      <c r="L63" s="98"/>
      <c r="M63" s="93"/>
      <c r="N63" s="95"/>
      <c r="O63" t="str">
        <f t="shared" si="0"/>
        <v>60. ㈜센서테크_㈜강동테크</v>
      </c>
    </row>
    <row r="64" spans="1:15">
      <c r="A64" s="91">
        <v>1</v>
      </c>
      <c r="B64" s="92">
        <f t="shared" si="1"/>
        <v>61</v>
      </c>
      <c r="C64" s="201" t="s">
        <v>249</v>
      </c>
      <c r="D64" s="201" t="s">
        <v>225</v>
      </c>
      <c r="E64" s="88" t="s">
        <v>15</v>
      </c>
      <c r="F64" s="96"/>
      <c r="G64" s="96"/>
      <c r="H64" s="93"/>
      <c r="I64" s="93"/>
      <c r="J64" s="93">
        <v>46120</v>
      </c>
      <c r="K64" s="93"/>
      <c r="L64" s="98"/>
      <c r="M64" s="93"/>
      <c r="N64" s="95"/>
      <c r="O64" t="str">
        <f t="shared" si="0"/>
        <v>61. 드론테크_㈜엠아이씨유</v>
      </c>
    </row>
    <row r="65" spans="1:15">
      <c r="A65" s="91">
        <v>1</v>
      </c>
      <c r="B65" s="92">
        <f t="shared" si="1"/>
        <v>62</v>
      </c>
      <c r="C65" s="201" t="s">
        <v>250</v>
      </c>
      <c r="D65" s="201" t="s">
        <v>194</v>
      </c>
      <c r="E65" s="88" t="s">
        <v>15</v>
      </c>
      <c r="F65" s="92"/>
      <c r="G65" s="92"/>
      <c r="H65" s="93"/>
      <c r="I65" s="93"/>
      <c r="J65" s="93">
        <v>46120</v>
      </c>
      <c r="K65" s="93"/>
      <c r="L65" s="98"/>
      <c r="M65" s="93"/>
      <c r="N65" s="95"/>
      <c r="O65" t="str">
        <f t="shared" si="0"/>
        <v>62. ㈜이임테크_㈜씨넷</v>
      </c>
    </row>
    <row r="66" spans="1:15">
      <c r="A66" s="91">
        <v>1</v>
      </c>
      <c r="B66" s="92">
        <f t="shared" si="1"/>
        <v>63</v>
      </c>
      <c r="C66" s="204" t="s">
        <v>251</v>
      </c>
      <c r="D66" s="206" t="s">
        <v>252</v>
      </c>
      <c r="E66" s="88" t="s">
        <v>15</v>
      </c>
      <c r="F66" s="92"/>
      <c r="G66" s="92"/>
      <c r="H66" s="93"/>
      <c r="I66" s="93"/>
      <c r="J66" s="93">
        <v>46120</v>
      </c>
      <c r="K66" s="93"/>
      <c r="L66" s="98"/>
      <c r="M66" s="93"/>
      <c r="N66" s="95"/>
      <c r="O66" t="str">
        <f t="shared" si="0"/>
        <v>63. ㈜동도_한섬컴</v>
      </c>
    </row>
    <row r="67" spans="1:15">
      <c r="A67" s="91">
        <v>1</v>
      </c>
      <c r="B67" s="92">
        <f t="shared" si="1"/>
        <v>64</v>
      </c>
      <c r="C67" s="204" t="s">
        <v>253</v>
      </c>
      <c r="D67" s="205" t="s">
        <v>176</v>
      </c>
      <c r="E67" s="88" t="s">
        <v>15</v>
      </c>
      <c r="F67" s="92"/>
      <c r="G67" s="92"/>
      <c r="H67" s="93"/>
      <c r="I67" s="93"/>
      <c r="J67" s="93">
        <v>46120</v>
      </c>
      <c r="K67" s="93"/>
      <c r="L67" s="98"/>
      <c r="M67" s="93"/>
      <c r="N67" s="95"/>
      <c r="O67" t="str">
        <f t="shared" ref="O67:O130" si="2">CONCATENATE(B67,". ",C67,"_",D67)</f>
        <v>64. ㈜사이언스프로버_온플러스</v>
      </c>
    </row>
    <row r="68" spans="1:15">
      <c r="A68" s="91">
        <v>1</v>
      </c>
      <c r="B68" s="92">
        <f t="shared" si="1"/>
        <v>65</v>
      </c>
      <c r="C68" s="201" t="s">
        <v>254</v>
      </c>
      <c r="D68" s="201" t="s">
        <v>173</v>
      </c>
      <c r="E68" s="88" t="s">
        <v>15</v>
      </c>
      <c r="F68" s="92"/>
      <c r="G68" s="92"/>
      <c r="H68" s="93"/>
      <c r="I68" s="93"/>
      <c r="J68" s="93">
        <v>46120</v>
      </c>
      <c r="K68" s="93"/>
      <c r="L68" s="98"/>
      <c r="M68" s="93"/>
      <c r="N68" s="95"/>
      <c r="O68" t="str">
        <f t="shared" si="2"/>
        <v>65. 주식회사 알앤에스랩_주식회사 큐네스글로벌(QNES Global)</v>
      </c>
    </row>
    <row r="69" spans="1:15">
      <c r="A69" s="91">
        <v>1</v>
      </c>
      <c r="B69" s="92">
        <f t="shared" ref="B69:B132" si="3">B68+1</f>
        <v>66</v>
      </c>
      <c r="C69" s="201" t="s">
        <v>255</v>
      </c>
      <c r="D69" s="201" t="s">
        <v>256</v>
      </c>
      <c r="E69" s="88" t="s">
        <v>15</v>
      </c>
      <c r="F69" s="92"/>
      <c r="G69" s="92"/>
      <c r="H69" s="93"/>
      <c r="I69" s="93"/>
      <c r="J69" s="93">
        <v>46120</v>
      </c>
      <c r="K69" s="93"/>
      <c r="L69" s="98"/>
      <c r="M69" s="93"/>
      <c r="N69" s="95"/>
      <c r="O69" t="str">
        <f t="shared" si="2"/>
        <v>66. ㈜카라_온경영기술 주식회사</v>
      </c>
    </row>
    <row r="70" spans="1:15">
      <c r="A70" s="91">
        <v>1</v>
      </c>
      <c r="B70" s="92">
        <f t="shared" si="3"/>
        <v>67</v>
      </c>
      <c r="C70" s="201" t="s">
        <v>257</v>
      </c>
      <c r="D70" s="201" t="s">
        <v>258</v>
      </c>
      <c r="E70" s="97" t="s">
        <v>15</v>
      </c>
      <c r="F70" s="92"/>
      <c r="G70" s="92"/>
      <c r="H70" s="93"/>
      <c r="I70" s="93"/>
      <c r="J70" s="93">
        <v>46120</v>
      </c>
      <c r="K70" s="93"/>
      <c r="L70" s="98"/>
      <c r="M70" s="93"/>
      <c r="N70" s="95"/>
      <c r="O70" t="str">
        <f t="shared" si="2"/>
        <v>67. ㈜네트워크코리아_이노경영기술원㈜</v>
      </c>
    </row>
    <row r="71" spans="1:15">
      <c r="A71" s="91">
        <v>1</v>
      </c>
      <c r="B71" s="92">
        <f t="shared" si="3"/>
        <v>68</v>
      </c>
      <c r="C71" s="201" t="s">
        <v>259</v>
      </c>
      <c r="D71" s="201" t="s">
        <v>260</v>
      </c>
      <c r="E71" s="88" t="s">
        <v>15</v>
      </c>
      <c r="F71" s="92"/>
      <c r="G71" s="92"/>
      <c r="H71" s="93"/>
      <c r="I71" s="93"/>
      <c r="J71" s="93">
        <v>46120</v>
      </c>
      <c r="K71" s="93"/>
      <c r="L71" s="98"/>
      <c r="M71" s="93"/>
      <c r="N71" s="95"/>
      <c r="O71" t="str">
        <f t="shared" si="2"/>
        <v>68. ㈜이크림프로젝트_주식회사 세컨드홀리데이</v>
      </c>
    </row>
    <row r="72" spans="1:15">
      <c r="A72" s="91">
        <v>1</v>
      </c>
      <c r="B72" s="92">
        <f t="shared" si="3"/>
        <v>69</v>
      </c>
      <c r="C72" s="201" t="s">
        <v>261</v>
      </c>
      <c r="D72" s="201" t="s">
        <v>262</v>
      </c>
      <c r="E72" s="97" t="s">
        <v>15</v>
      </c>
      <c r="F72" s="92"/>
      <c r="G72" s="92"/>
      <c r="H72" s="93"/>
      <c r="I72" s="93"/>
      <c r="J72" s="93">
        <v>46120</v>
      </c>
      <c r="K72" s="93"/>
      <c r="L72" s="98"/>
      <c r="M72" s="93"/>
      <c r="N72" s="95"/>
      <c r="O72" t="str">
        <f t="shared" si="2"/>
        <v>69. 뮤지쿠스_㈜유니체스트</v>
      </c>
    </row>
    <row r="73" spans="1:15">
      <c r="A73" s="91">
        <v>1</v>
      </c>
      <c r="B73" s="92">
        <f t="shared" si="3"/>
        <v>70</v>
      </c>
      <c r="C73" s="201" t="s">
        <v>273</v>
      </c>
      <c r="D73" s="201" t="s">
        <v>274</v>
      </c>
      <c r="E73" s="97" t="s">
        <v>263</v>
      </c>
      <c r="F73" s="92"/>
      <c r="G73" s="92"/>
      <c r="H73" s="93"/>
      <c r="I73" s="93"/>
      <c r="J73" s="93">
        <v>46120</v>
      </c>
      <c r="K73" s="93"/>
      <c r="L73" s="98"/>
      <c r="M73" s="93"/>
      <c r="N73" s="95"/>
      <c r="O73" t="str">
        <f t="shared" si="2"/>
        <v>70. 주식회사 에스앤에이치솔루션_그로스디자인</v>
      </c>
    </row>
    <row r="74" spans="1:15">
      <c r="A74" s="91">
        <v>1</v>
      </c>
      <c r="B74" s="92">
        <f t="shared" si="3"/>
        <v>71</v>
      </c>
      <c r="C74" s="201" t="s">
        <v>275</v>
      </c>
      <c r="D74" s="201" t="s">
        <v>276</v>
      </c>
      <c r="E74" s="97" t="s">
        <v>15</v>
      </c>
      <c r="F74" s="92"/>
      <c r="G74" s="92"/>
      <c r="H74" s="93"/>
      <c r="I74" s="93"/>
      <c r="J74" s="93">
        <v>46120</v>
      </c>
      <c r="K74" s="93"/>
      <c r="L74" s="98"/>
      <c r="M74" s="93"/>
      <c r="N74" s="95"/>
      <c r="O74" t="str">
        <f t="shared" si="2"/>
        <v>71. 비바코리아_주식회사 이엘엠디</v>
      </c>
    </row>
    <row r="75" spans="1:15">
      <c r="A75" s="91">
        <v>1</v>
      </c>
      <c r="B75" s="92">
        <f t="shared" si="3"/>
        <v>72</v>
      </c>
      <c r="C75" s="201" t="s">
        <v>277</v>
      </c>
      <c r="D75" s="201" t="s">
        <v>278</v>
      </c>
      <c r="E75" s="97" t="s">
        <v>15</v>
      </c>
      <c r="F75" s="92"/>
      <c r="G75" s="92"/>
      <c r="H75" s="93"/>
      <c r="I75" s="93"/>
      <c r="J75" s="93">
        <v>46120</v>
      </c>
      <c r="K75" s="93"/>
      <c r="L75" s="98"/>
      <c r="M75" s="93"/>
      <c r="N75" s="95"/>
      <c r="O75" t="str">
        <f t="shared" si="2"/>
        <v>72. (주)파이온텍_주식회사포어스딜라이트</v>
      </c>
    </row>
    <row r="76" spans="1:15">
      <c r="A76" s="91">
        <v>1</v>
      </c>
      <c r="B76" s="92">
        <f t="shared" si="3"/>
        <v>73</v>
      </c>
      <c r="C76" s="201" t="s">
        <v>279</v>
      </c>
      <c r="D76" s="201" t="s">
        <v>280</v>
      </c>
      <c r="E76" s="97" t="s">
        <v>15</v>
      </c>
      <c r="F76" s="92"/>
      <c r="G76" s="92"/>
      <c r="H76" s="93"/>
      <c r="I76" s="93"/>
      <c r="J76" s="93">
        <v>46120</v>
      </c>
      <c r="K76" s="93"/>
      <c r="L76" s="98"/>
      <c r="M76" s="93"/>
      <c r="N76" s="95"/>
      <c r="O76" t="str">
        <f t="shared" si="2"/>
        <v>73. (주)마루엘앤씨_(주)리드경영기술원</v>
      </c>
    </row>
    <row r="77" spans="1:15" s="164" customFormat="1">
      <c r="A77" s="91">
        <v>1</v>
      </c>
      <c r="B77" s="92">
        <f t="shared" si="3"/>
        <v>74</v>
      </c>
      <c r="C77" s="201" t="s">
        <v>281</v>
      </c>
      <c r="D77" s="201" t="s">
        <v>280</v>
      </c>
      <c r="E77" s="97" t="s">
        <v>15</v>
      </c>
      <c r="F77" s="92"/>
      <c r="G77" s="92"/>
      <c r="H77" s="93"/>
      <c r="I77" s="93"/>
      <c r="J77" s="93">
        <v>46120</v>
      </c>
      <c r="K77" s="93"/>
      <c r="L77" s="98"/>
      <c r="M77" s="93"/>
      <c r="N77" s="95"/>
      <c r="O77" t="str">
        <f t="shared" si="2"/>
        <v>74. 제이에이치테크_(주)리드경영기술원</v>
      </c>
    </row>
    <row r="78" spans="1:15">
      <c r="A78" s="91">
        <v>1</v>
      </c>
      <c r="B78" s="92">
        <f t="shared" si="3"/>
        <v>75</v>
      </c>
      <c r="C78" s="201" t="s">
        <v>282</v>
      </c>
      <c r="D78" s="201" t="s">
        <v>278</v>
      </c>
      <c r="E78" s="97" t="s">
        <v>15</v>
      </c>
      <c r="F78" s="100"/>
      <c r="G78" s="100"/>
      <c r="H78" s="93"/>
      <c r="I78" s="93"/>
      <c r="J78" s="93">
        <v>46120</v>
      </c>
      <c r="K78" s="93"/>
      <c r="L78" s="98"/>
      <c r="M78" s="93" t="s">
        <v>283</v>
      </c>
      <c r="N78" s="95"/>
      <c r="O78" t="str">
        <f t="shared" si="2"/>
        <v>75. 주식회사 청우아이앤에스_주식회사포어스딜라이트</v>
      </c>
    </row>
    <row r="79" spans="1:15">
      <c r="A79" s="91">
        <v>1</v>
      </c>
      <c r="B79" s="92">
        <f t="shared" si="3"/>
        <v>76</v>
      </c>
      <c r="C79" s="217" t="s">
        <v>296</v>
      </c>
      <c r="D79" s="217" t="s">
        <v>297</v>
      </c>
      <c r="E79" s="97" t="s">
        <v>301</v>
      </c>
      <c r="F79" s="92"/>
      <c r="G79" s="92"/>
      <c r="H79" s="93">
        <v>46133</v>
      </c>
      <c r="I79" s="93">
        <v>46133</v>
      </c>
      <c r="J79" s="93"/>
      <c r="K79" s="93"/>
      <c r="L79" s="98"/>
      <c r="M79" s="93"/>
      <c r="N79" s="95"/>
      <c r="O79" t="str">
        <f t="shared" si="2"/>
        <v>76. ㈜어텍_제일금형</v>
      </c>
    </row>
    <row r="80" spans="1:15">
      <c r="A80" s="91">
        <v>1</v>
      </c>
      <c r="B80" s="92">
        <f t="shared" si="3"/>
        <v>77</v>
      </c>
      <c r="C80" s="217" t="s">
        <v>299</v>
      </c>
      <c r="D80" s="217" t="s">
        <v>300</v>
      </c>
      <c r="E80" s="97" t="s">
        <v>301</v>
      </c>
      <c r="F80" s="92"/>
      <c r="G80" s="92"/>
      <c r="H80" s="93">
        <v>46133</v>
      </c>
      <c r="I80" s="93">
        <v>46133</v>
      </c>
      <c r="J80" s="93"/>
      <c r="K80" s="93"/>
      <c r="L80" s="98"/>
      <c r="M80" s="93"/>
      <c r="N80" s="95"/>
      <c r="O80" t="str">
        <f t="shared" si="2"/>
        <v>77. 포유_(주)유리드알앤디</v>
      </c>
    </row>
    <row r="81" spans="1:15">
      <c r="A81" s="91">
        <v>1</v>
      </c>
      <c r="B81" s="92">
        <f t="shared" si="3"/>
        <v>78</v>
      </c>
      <c r="C81" s="218" t="s">
        <v>302</v>
      </c>
      <c r="D81" s="218" t="s">
        <v>239</v>
      </c>
      <c r="E81" s="97" t="s">
        <v>301</v>
      </c>
      <c r="F81" s="97"/>
      <c r="G81" s="97"/>
      <c r="H81" s="93">
        <v>46133</v>
      </c>
      <c r="I81" s="93">
        <v>46134</v>
      </c>
      <c r="J81" s="93"/>
      <c r="K81" s="93"/>
      <c r="L81" s="98"/>
      <c r="M81" s="93"/>
      <c r="N81" s="95"/>
      <c r="O81" t="str">
        <f t="shared" si="2"/>
        <v>78. ㈜온비치_㈜게이트웨이즈</v>
      </c>
    </row>
    <row r="82" spans="1:15">
      <c r="A82" s="91">
        <v>1</v>
      </c>
      <c r="B82" s="92">
        <f t="shared" si="3"/>
        <v>79</v>
      </c>
      <c r="C82" s="218" t="s">
        <v>303</v>
      </c>
      <c r="D82" s="218" t="s">
        <v>304</v>
      </c>
      <c r="E82" s="97" t="s">
        <v>301</v>
      </c>
      <c r="F82" s="97"/>
      <c r="G82" s="97"/>
      <c r="H82" s="93">
        <v>46134</v>
      </c>
      <c r="I82" s="93">
        <v>46135</v>
      </c>
      <c r="J82" s="93"/>
      <c r="K82" s="93"/>
      <c r="L82" s="98"/>
      <c r="M82" s="93"/>
      <c r="N82" s="95"/>
      <c r="O82" t="str">
        <f t="shared" si="2"/>
        <v>79. 와이스토리_㈜끄레망</v>
      </c>
    </row>
    <row r="83" spans="1:15">
      <c r="A83" s="91">
        <v>1</v>
      </c>
      <c r="B83" s="92">
        <f t="shared" si="3"/>
        <v>80</v>
      </c>
      <c r="C83" s="217" t="s">
        <v>305</v>
      </c>
      <c r="D83" s="217" t="s">
        <v>306</v>
      </c>
      <c r="E83" s="97" t="s">
        <v>301</v>
      </c>
      <c r="F83" s="92"/>
      <c r="G83" s="92"/>
      <c r="H83" s="93">
        <v>46134</v>
      </c>
      <c r="I83" s="93">
        <v>46135</v>
      </c>
      <c r="J83" s="93"/>
      <c r="K83" s="93"/>
      <c r="L83" s="98"/>
      <c r="M83" s="93"/>
      <c r="N83" s="95"/>
      <c r="O83" t="str">
        <f t="shared" si="2"/>
        <v>80. ㈜에이치비_㈜디자인고</v>
      </c>
    </row>
    <row r="84" spans="1:15" s="164" customFormat="1">
      <c r="A84" s="91">
        <v>1</v>
      </c>
      <c r="B84" s="92">
        <f t="shared" si="3"/>
        <v>81</v>
      </c>
      <c r="C84" s="217" t="s">
        <v>307</v>
      </c>
      <c r="D84" s="217" t="s">
        <v>308</v>
      </c>
      <c r="E84" s="97" t="s">
        <v>301</v>
      </c>
      <c r="F84" s="92"/>
      <c r="G84" s="92"/>
      <c r="H84" s="93">
        <v>46134</v>
      </c>
      <c r="I84" s="93">
        <v>46135</v>
      </c>
      <c r="J84" s="93"/>
      <c r="K84" s="93"/>
      <c r="L84" s="98"/>
      <c r="M84" s="93"/>
      <c r="N84" s="95"/>
      <c r="O84" t="str">
        <f t="shared" si="2"/>
        <v>81. ㈜영우솔루션_㈜유니컴퍼니</v>
      </c>
    </row>
    <row r="85" spans="1:15">
      <c r="A85" s="91">
        <v>1</v>
      </c>
      <c r="B85" s="92">
        <f t="shared" si="3"/>
        <v>82</v>
      </c>
      <c r="C85" s="219" t="s">
        <v>310</v>
      </c>
      <c r="D85" s="222" t="s">
        <v>311</v>
      </c>
      <c r="E85" s="97" t="s">
        <v>301</v>
      </c>
      <c r="F85" s="88"/>
      <c r="G85" s="195"/>
      <c r="H85" s="93">
        <v>46135</v>
      </c>
      <c r="I85" s="196">
        <v>46136</v>
      </c>
      <c r="J85" s="93"/>
      <c r="K85" s="198"/>
      <c r="L85" s="200"/>
      <c r="M85" s="3"/>
      <c r="N85" s="197"/>
      <c r="O85" t="str">
        <f t="shared" si="2"/>
        <v>82. 튜비콘(TUBYCON)_제이와이솔루션㈜</v>
      </c>
    </row>
    <row r="86" spans="1:15">
      <c r="A86" s="91">
        <v>1</v>
      </c>
      <c r="B86" s="92">
        <f t="shared" si="3"/>
        <v>83</v>
      </c>
      <c r="C86" s="217" t="s">
        <v>312</v>
      </c>
      <c r="D86" s="217" t="s">
        <v>313</v>
      </c>
      <c r="E86" s="97" t="s">
        <v>301</v>
      </c>
      <c r="F86" s="92"/>
      <c r="G86" s="92"/>
      <c r="H86" s="93">
        <v>46135</v>
      </c>
      <c r="I86" s="196">
        <v>46136</v>
      </c>
      <c r="J86" s="93"/>
      <c r="K86" s="93"/>
      <c r="L86" s="98"/>
      <c r="M86" s="93"/>
      <c r="N86" s="95"/>
      <c r="O86" t="str">
        <f t="shared" si="2"/>
        <v>83. 주식회사 이룸디엔티_디자인부스터</v>
      </c>
    </row>
    <row r="87" spans="1:15">
      <c r="A87" s="91">
        <v>1</v>
      </c>
      <c r="B87" s="92">
        <f t="shared" si="3"/>
        <v>84</v>
      </c>
      <c r="C87" s="217" t="s">
        <v>314</v>
      </c>
      <c r="D87" s="217" t="s">
        <v>315</v>
      </c>
      <c r="E87" s="97" t="s">
        <v>301</v>
      </c>
      <c r="F87" s="92"/>
      <c r="G87" s="92"/>
      <c r="H87" s="93">
        <v>46135</v>
      </c>
      <c r="I87" s="196">
        <v>46136</v>
      </c>
      <c r="J87" s="93"/>
      <c r="K87" s="93"/>
      <c r="L87" s="98"/>
      <c r="M87" s="93"/>
      <c r="N87" s="95"/>
      <c r="O87" t="str">
        <f t="shared" si="2"/>
        <v>84. 포스텍_오션커뮤니케이션즈</v>
      </c>
    </row>
    <row r="88" spans="1:15">
      <c r="A88" s="91">
        <v>1</v>
      </c>
      <c r="B88" s="92">
        <f t="shared" si="3"/>
        <v>85</v>
      </c>
      <c r="C88" s="217" t="s">
        <v>316</v>
      </c>
      <c r="D88" s="217" t="s">
        <v>317</v>
      </c>
      <c r="E88" s="97" t="s">
        <v>301</v>
      </c>
      <c r="F88" s="92"/>
      <c r="G88" s="92"/>
      <c r="H88" s="93">
        <v>46135</v>
      </c>
      <c r="I88" s="93">
        <v>46136</v>
      </c>
      <c r="J88" s="93"/>
      <c r="K88" s="93"/>
      <c r="L88" s="98"/>
      <c r="M88" s="93"/>
      <c r="N88" s="95"/>
      <c r="O88" t="str">
        <f t="shared" si="2"/>
        <v>85. ㈜클린존_㈜이앤비솔루션</v>
      </c>
    </row>
    <row r="89" spans="1:15">
      <c r="A89" s="91">
        <v>1</v>
      </c>
      <c r="B89" s="92">
        <f t="shared" si="3"/>
        <v>86</v>
      </c>
      <c r="C89" s="217" t="s">
        <v>318</v>
      </c>
      <c r="D89" s="217" t="s">
        <v>324</v>
      </c>
      <c r="E89" s="97" t="s">
        <v>301</v>
      </c>
      <c r="F89" s="92"/>
      <c r="G89" s="92"/>
      <c r="H89" s="93">
        <v>46149</v>
      </c>
      <c r="I89" s="93">
        <v>46150</v>
      </c>
      <c r="J89" s="93"/>
      <c r="K89" s="93"/>
      <c r="L89" s="98"/>
      <c r="M89" s="93"/>
      <c r="N89" s="95"/>
      <c r="O89" t="str">
        <f t="shared" si="2"/>
        <v>86. 디에스이아이엔씨_성신기계공업㈜</v>
      </c>
    </row>
    <row r="90" spans="1:15">
      <c r="A90" s="91">
        <v>1</v>
      </c>
      <c r="B90" s="92">
        <f t="shared" si="3"/>
        <v>87</v>
      </c>
      <c r="C90" s="217" t="s">
        <v>319</v>
      </c>
      <c r="D90" s="217" t="s">
        <v>325</v>
      </c>
      <c r="E90" s="97" t="s">
        <v>301</v>
      </c>
      <c r="F90" s="92"/>
      <c r="G90" s="92"/>
      <c r="H90" s="93">
        <v>46149</v>
      </c>
      <c r="I90" s="93">
        <v>46150</v>
      </c>
      <c r="J90" s="93"/>
      <c r="K90" s="93"/>
      <c r="L90" s="98"/>
      <c r="M90" s="93"/>
      <c r="N90" s="95"/>
      <c r="O90" t="str">
        <f t="shared" si="2"/>
        <v>87. 이원테크원_㈜와이씨코퍼레이션</v>
      </c>
    </row>
    <row r="91" spans="1:15">
      <c r="A91" s="91">
        <v>1</v>
      </c>
      <c r="B91" s="92">
        <f t="shared" si="3"/>
        <v>88</v>
      </c>
      <c r="C91" s="217" t="s">
        <v>320</v>
      </c>
      <c r="D91" s="217" t="s">
        <v>321</v>
      </c>
      <c r="E91" s="97" t="s">
        <v>301</v>
      </c>
      <c r="F91" s="92"/>
      <c r="G91" s="92"/>
      <c r="H91" s="93">
        <v>46154</v>
      </c>
      <c r="I91" s="93">
        <v>46156</v>
      </c>
      <c r="J91" s="93"/>
      <c r="K91" s="93"/>
      <c r="L91" s="98"/>
      <c r="M91" s="93"/>
      <c r="N91" s="95"/>
      <c r="O91" t="str">
        <f t="shared" si="2"/>
        <v>88. ㈜디와이에코_㈜동양테크</v>
      </c>
    </row>
    <row r="92" spans="1:15">
      <c r="A92" s="91">
        <v>1</v>
      </c>
      <c r="B92" s="92">
        <f t="shared" si="3"/>
        <v>89</v>
      </c>
      <c r="C92" s="217" t="s">
        <v>322</v>
      </c>
      <c r="D92" s="217" t="s">
        <v>323</v>
      </c>
      <c r="E92" s="97" t="s">
        <v>301</v>
      </c>
      <c r="F92" s="92"/>
      <c r="G92" s="92"/>
      <c r="H92" s="93">
        <v>46160</v>
      </c>
      <c r="I92" s="93">
        <v>46161</v>
      </c>
      <c r="J92" s="93"/>
      <c r="K92" s="93"/>
      <c r="L92" s="98"/>
      <c r="M92" s="93"/>
      <c r="N92" s="95"/>
      <c r="O92" t="str">
        <f t="shared" si="2"/>
        <v>89. ㈜케이이알_㈜능인솔루션</v>
      </c>
    </row>
    <row r="93" spans="1:15">
      <c r="A93" s="91">
        <v>1</v>
      </c>
      <c r="B93" s="92">
        <f t="shared" si="3"/>
        <v>90</v>
      </c>
      <c r="C93" s="220" t="s">
        <v>326</v>
      </c>
      <c r="D93" s="232" t="s">
        <v>327</v>
      </c>
      <c r="E93" s="97" t="s">
        <v>301</v>
      </c>
      <c r="F93" s="96"/>
      <c r="G93" s="96"/>
      <c r="H93" s="93">
        <v>46161</v>
      </c>
      <c r="I93" s="93">
        <v>46162</v>
      </c>
      <c r="J93" s="93"/>
      <c r="K93" s="93"/>
      <c r="L93" s="98"/>
      <c r="M93" s="93"/>
      <c r="N93" s="95"/>
      <c r="O93" t="str">
        <f t="shared" si="2"/>
        <v>90. 주식회사 스카이텍_무니디자인</v>
      </c>
    </row>
    <row r="94" spans="1:15">
      <c r="A94" s="91">
        <v>1</v>
      </c>
      <c r="B94" s="92">
        <f t="shared" si="3"/>
        <v>91</v>
      </c>
      <c r="C94" s="217" t="s">
        <v>328</v>
      </c>
      <c r="D94" s="217" t="s">
        <v>329</v>
      </c>
      <c r="E94" s="97" t="s">
        <v>301</v>
      </c>
      <c r="F94" s="92"/>
      <c r="G94" s="92"/>
      <c r="H94" s="93">
        <v>46164</v>
      </c>
      <c r="I94" s="93">
        <v>46164</v>
      </c>
      <c r="J94" s="93"/>
      <c r="K94" s="93"/>
      <c r="L94" s="98"/>
      <c r="M94" s="93"/>
      <c r="N94" s="95"/>
      <c r="O94" t="str">
        <f t="shared" si="2"/>
        <v>91. ㈜케이마린바이오테크_㈜네이카</v>
      </c>
    </row>
    <row r="95" spans="1:15">
      <c r="A95" s="91">
        <v>1</v>
      </c>
      <c r="B95" s="92">
        <f t="shared" si="3"/>
        <v>92</v>
      </c>
      <c r="C95" s="217" t="s">
        <v>330</v>
      </c>
      <c r="D95" s="217" t="s">
        <v>331</v>
      </c>
      <c r="E95" s="97" t="s">
        <v>301</v>
      </c>
      <c r="F95" s="92"/>
      <c r="G95" s="92"/>
      <c r="H95" s="93">
        <v>46168</v>
      </c>
      <c r="I95" s="93">
        <v>46169</v>
      </c>
      <c r="J95" s="93"/>
      <c r="K95" s="93"/>
      <c r="L95" s="98"/>
      <c r="M95" s="93"/>
      <c r="N95" s="95"/>
      <c r="O95" t="str">
        <f t="shared" si="2"/>
        <v>92. ㈜밸릭스_㈜레이아웃</v>
      </c>
    </row>
    <row r="96" spans="1:15">
      <c r="A96" s="91">
        <v>1</v>
      </c>
      <c r="B96" s="92">
        <f t="shared" si="3"/>
        <v>93</v>
      </c>
      <c r="C96" s="217" t="s">
        <v>332</v>
      </c>
      <c r="D96" s="217" t="s">
        <v>333</v>
      </c>
      <c r="E96" s="97" t="s">
        <v>301</v>
      </c>
      <c r="F96" s="92"/>
      <c r="G96" s="92"/>
      <c r="H96" s="93">
        <v>46168</v>
      </c>
      <c r="I96" s="93">
        <v>46169</v>
      </c>
      <c r="J96" s="93"/>
      <c r="K96" s="93"/>
      <c r="L96" s="98"/>
      <c r="M96" s="93"/>
      <c r="N96" s="95"/>
      <c r="O96" t="str">
        <f t="shared" si="2"/>
        <v>93. ㈜파이헬스케어_니즈로봇</v>
      </c>
    </row>
    <row r="97" spans="1:15">
      <c r="A97" s="91">
        <v>1</v>
      </c>
      <c r="B97" s="92">
        <f t="shared" si="3"/>
        <v>94</v>
      </c>
      <c r="C97" s="217" t="s">
        <v>334</v>
      </c>
      <c r="D97" s="217" t="s">
        <v>338</v>
      </c>
      <c r="E97" s="97" t="s">
        <v>301</v>
      </c>
      <c r="F97" s="92"/>
      <c r="G97" s="92"/>
      <c r="H97" s="93">
        <v>46170</v>
      </c>
      <c r="I97" s="93">
        <v>46171</v>
      </c>
      <c r="J97" s="93"/>
      <c r="K97" s="93"/>
      <c r="L97" s="98"/>
      <c r="M97" s="93"/>
      <c r="N97" s="95"/>
      <c r="O97" t="str">
        <f t="shared" si="2"/>
        <v>94. ㈜우석엔지니어링_㈜이알에스</v>
      </c>
    </row>
    <row r="98" spans="1:15">
      <c r="A98" s="91">
        <v>1</v>
      </c>
      <c r="B98" s="92">
        <f t="shared" si="3"/>
        <v>95</v>
      </c>
      <c r="C98" s="217" t="s">
        <v>335</v>
      </c>
      <c r="D98" s="217" t="s">
        <v>339</v>
      </c>
      <c r="E98" s="97" t="s">
        <v>301</v>
      </c>
      <c r="F98" s="97"/>
      <c r="G98" s="97"/>
      <c r="H98" s="93">
        <v>46170</v>
      </c>
      <c r="I98" s="93">
        <v>46171</v>
      </c>
      <c r="J98" s="93"/>
      <c r="K98" s="93"/>
      <c r="L98" s="98"/>
      <c r="M98" s="93"/>
      <c r="N98" s="95"/>
      <c r="O98" t="str">
        <f t="shared" si="2"/>
        <v>95. 모이니_㈜쓰레망</v>
      </c>
    </row>
    <row r="99" spans="1:15">
      <c r="A99" s="91">
        <v>1</v>
      </c>
      <c r="B99" s="92">
        <f t="shared" si="3"/>
        <v>96</v>
      </c>
      <c r="C99" s="217" t="s">
        <v>336</v>
      </c>
      <c r="D99" s="217" t="s">
        <v>342</v>
      </c>
      <c r="E99" s="97" t="s">
        <v>301</v>
      </c>
      <c r="F99" s="92"/>
      <c r="G99" s="92"/>
      <c r="H99" s="93">
        <v>46170</v>
      </c>
      <c r="I99" s="93">
        <v>46171</v>
      </c>
      <c r="J99" s="93"/>
      <c r="K99" s="93"/>
      <c r="L99" s="98"/>
      <c r="M99" s="93"/>
      <c r="N99" s="95"/>
      <c r="O99" t="str">
        <f t="shared" si="2"/>
        <v>96. ㈜로보아이_거인커뮤니케이션즈</v>
      </c>
    </row>
    <row r="100" spans="1:15" s="164" customFormat="1">
      <c r="A100" s="91">
        <v>1</v>
      </c>
      <c r="B100" s="92">
        <f t="shared" si="3"/>
        <v>97</v>
      </c>
      <c r="C100" s="217" t="s">
        <v>340</v>
      </c>
      <c r="D100" s="217" t="s">
        <v>341</v>
      </c>
      <c r="E100" s="97" t="s">
        <v>301</v>
      </c>
      <c r="F100" s="92"/>
      <c r="G100" s="92"/>
      <c r="H100" s="93">
        <v>46170</v>
      </c>
      <c r="I100" s="93">
        <v>46171</v>
      </c>
      <c r="J100" s="93"/>
      <c r="K100" s="93"/>
      <c r="L100" s="98"/>
      <c r="M100" s="93"/>
      <c r="N100" s="95"/>
      <c r="O100" t="str">
        <f t="shared" si="2"/>
        <v>97. 엑셉턴스 레터 스튜디오_㈜대동CMC</v>
      </c>
    </row>
    <row r="101" spans="1:15">
      <c r="A101" s="91">
        <v>1</v>
      </c>
      <c r="B101" s="92">
        <f t="shared" si="3"/>
        <v>98</v>
      </c>
      <c r="C101" s="217" t="s">
        <v>337</v>
      </c>
      <c r="D101" s="217" t="s">
        <v>343</v>
      </c>
      <c r="E101" s="97" t="s">
        <v>301</v>
      </c>
      <c r="F101" s="92"/>
      <c r="G101" s="92"/>
      <c r="H101" s="93">
        <v>46170</v>
      </c>
      <c r="I101" s="93">
        <v>46171</v>
      </c>
      <c r="J101" s="93"/>
      <c r="K101" s="93"/>
      <c r="L101" s="98"/>
      <c r="M101" s="93"/>
      <c r="N101" s="95"/>
      <c r="O101" t="str">
        <f t="shared" si="2"/>
        <v>98. 모펙_온플러스</v>
      </c>
    </row>
    <row r="102" spans="1:15">
      <c r="A102" s="91">
        <v>1</v>
      </c>
      <c r="B102" s="92">
        <f t="shared" si="3"/>
        <v>99</v>
      </c>
      <c r="C102" s="217" t="s">
        <v>344</v>
      </c>
      <c r="D102" s="217" t="s">
        <v>345</v>
      </c>
      <c r="E102" s="97" t="s">
        <v>301</v>
      </c>
      <c r="F102" s="92"/>
      <c r="G102" s="92"/>
      <c r="H102" s="93"/>
      <c r="I102" s="93">
        <v>46175</v>
      </c>
      <c r="J102" s="93"/>
      <c r="K102" s="93"/>
      <c r="L102" s="98"/>
      <c r="M102" s="93"/>
      <c r="N102" s="95"/>
      <c r="O102" t="str">
        <f t="shared" si="2"/>
        <v>99. 명신에이텍_모노스케일</v>
      </c>
    </row>
    <row r="103" spans="1:15" s="164" customFormat="1">
      <c r="A103" s="91">
        <v>1</v>
      </c>
      <c r="B103" s="92">
        <f t="shared" si="3"/>
        <v>100</v>
      </c>
      <c r="C103" s="217" t="s">
        <v>346</v>
      </c>
      <c r="D103" s="217" t="s">
        <v>347</v>
      </c>
      <c r="E103" s="97" t="s">
        <v>301</v>
      </c>
      <c r="F103" s="92"/>
      <c r="G103" s="92"/>
      <c r="H103" s="93"/>
      <c r="I103" s="93">
        <v>46175</v>
      </c>
      <c r="J103" s="93"/>
      <c r="K103" s="93"/>
      <c r="L103" s="98"/>
      <c r="M103" s="93"/>
      <c r="N103" s="95"/>
      <c r="O103" t="str">
        <f t="shared" si="2"/>
        <v>100. 디모스먼트_잇다커뮤니케이션</v>
      </c>
    </row>
    <row r="104" spans="1:15">
      <c r="A104" s="91">
        <v>1</v>
      </c>
      <c r="B104" s="92">
        <f t="shared" si="3"/>
        <v>101</v>
      </c>
      <c r="C104" s="217" t="s">
        <v>348</v>
      </c>
      <c r="D104" s="217" t="s">
        <v>349</v>
      </c>
      <c r="E104" s="97" t="s">
        <v>301</v>
      </c>
      <c r="F104" s="92"/>
      <c r="G104" s="92"/>
      <c r="H104" s="93"/>
      <c r="I104" s="93">
        <v>46175</v>
      </c>
      <c r="J104" s="93"/>
      <c r="K104" s="93"/>
      <c r="L104" s="98"/>
      <c r="M104" s="93"/>
      <c r="N104" s="95"/>
      <c r="O104" t="str">
        <f t="shared" si="2"/>
        <v>101. ㈜나이테_회광정밀</v>
      </c>
    </row>
    <row r="105" spans="1:15">
      <c r="A105" s="91">
        <v>2</v>
      </c>
      <c r="B105" s="92">
        <f t="shared" si="3"/>
        <v>102</v>
      </c>
      <c r="C105" s="217" t="s">
        <v>350</v>
      </c>
      <c r="D105" s="217" t="s">
        <v>351</v>
      </c>
      <c r="E105" s="97" t="s">
        <v>301</v>
      </c>
      <c r="F105" s="92"/>
      <c r="G105" s="92"/>
      <c r="H105" s="93"/>
      <c r="I105" s="93">
        <v>46175</v>
      </c>
      <c r="J105" s="93"/>
      <c r="K105" s="93"/>
      <c r="L105" s="98"/>
      <c r="M105" s="93"/>
      <c r="N105" s="95"/>
      <c r="O105" t="str">
        <f t="shared" si="2"/>
        <v>102. 주식회사 그리닝_(주)잇다커뮤니케이션</v>
      </c>
    </row>
    <row r="106" spans="1:15">
      <c r="A106" s="91">
        <v>1</v>
      </c>
      <c r="B106" s="92">
        <f t="shared" si="3"/>
        <v>103</v>
      </c>
      <c r="C106" s="217" t="s">
        <v>352</v>
      </c>
      <c r="D106" s="217" t="s">
        <v>353</v>
      </c>
      <c r="E106" s="97" t="s">
        <v>301</v>
      </c>
      <c r="F106" s="92"/>
      <c r="G106" s="92"/>
      <c r="H106" s="93"/>
      <c r="I106" s="93">
        <v>46175</v>
      </c>
      <c r="J106" s="93"/>
      <c r="K106" s="93"/>
      <c r="L106" s="98"/>
      <c r="M106" s="93"/>
      <c r="N106" s="95"/>
      <c r="O106" t="str">
        <f t="shared" si="2"/>
        <v>103. 주식회사 렌다_주식회사 코엔</v>
      </c>
    </row>
    <row r="107" spans="1:15">
      <c r="A107" s="91">
        <v>1</v>
      </c>
      <c r="B107" s="92">
        <f t="shared" si="3"/>
        <v>104</v>
      </c>
      <c r="C107" s="217" t="s">
        <v>354</v>
      </c>
      <c r="D107" s="217" t="s">
        <v>355</v>
      </c>
      <c r="E107" s="97" t="s">
        <v>301</v>
      </c>
      <c r="F107" s="92"/>
      <c r="G107" s="92"/>
      <c r="H107" s="93"/>
      <c r="I107" s="93">
        <v>46176</v>
      </c>
      <c r="J107" s="93"/>
      <c r="K107" s="93"/>
      <c r="L107" s="98"/>
      <c r="M107" s="93"/>
      <c r="N107" s="95"/>
      <c r="O107" t="str">
        <f t="shared" si="2"/>
        <v>104. 협동조합 서울가죽소년단_(주)대동CMC</v>
      </c>
    </row>
    <row r="108" spans="1:15" s="164" customFormat="1">
      <c r="A108" s="163">
        <v>2</v>
      </c>
      <c r="B108" s="92">
        <f t="shared" si="3"/>
        <v>105</v>
      </c>
      <c r="C108" s="217" t="s">
        <v>357</v>
      </c>
      <c r="D108" s="217" t="s">
        <v>356</v>
      </c>
      <c r="E108" s="97" t="s">
        <v>301</v>
      </c>
      <c r="F108" s="92"/>
      <c r="G108" s="92"/>
      <c r="H108" s="93"/>
      <c r="I108" s="93">
        <v>46176</v>
      </c>
      <c r="J108" s="93"/>
      <c r="K108" s="93"/>
      <c r="L108" s="98"/>
      <c r="M108" s="93"/>
      <c r="N108" s="95"/>
      <c r="O108" t="str">
        <f t="shared" si="2"/>
        <v>105. 주식회사 다정한마켓_리녹스㈜</v>
      </c>
    </row>
    <row r="109" spans="1:15">
      <c r="A109" s="91">
        <v>1</v>
      </c>
      <c r="B109" s="92">
        <f t="shared" si="3"/>
        <v>106</v>
      </c>
      <c r="C109" s="217" t="s">
        <v>358</v>
      </c>
      <c r="D109" s="217" t="s">
        <v>359</v>
      </c>
      <c r="E109" s="97" t="s">
        <v>301</v>
      </c>
      <c r="F109" s="92"/>
      <c r="G109" s="92"/>
      <c r="H109" s="93"/>
      <c r="I109" s="93">
        <v>46176</v>
      </c>
      <c r="J109" s="93"/>
      <c r="K109" s="93"/>
      <c r="L109" s="98"/>
      <c r="M109" s="93"/>
      <c r="N109" s="95"/>
      <c r="O109" t="str">
        <f t="shared" si="2"/>
        <v>106. (주)이음새농업회사법인_(주)나루아토</v>
      </c>
    </row>
    <row r="110" spans="1:15">
      <c r="A110" s="91">
        <v>2</v>
      </c>
      <c r="B110" s="92">
        <f t="shared" si="3"/>
        <v>107</v>
      </c>
      <c r="C110" s="217" t="s">
        <v>360</v>
      </c>
      <c r="D110" s="217" t="s">
        <v>361</v>
      </c>
      <c r="E110" s="97" t="s">
        <v>301</v>
      </c>
      <c r="F110" s="92"/>
      <c r="G110" s="92"/>
      <c r="H110" s="93"/>
      <c r="I110" s="93">
        <v>46176</v>
      </c>
      <c r="J110" s="93"/>
      <c r="K110" s="93"/>
      <c r="L110" s="98"/>
      <c r="M110" s="93"/>
      <c r="N110" s="95"/>
      <c r="O110" t="str">
        <f t="shared" si="2"/>
        <v>107. 지아이시스템주식회사_알에이치테크</v>
      </c>
    </row>
    <row r="111" spans="1:15">
      <c r="A111" s="91">
        <v>2</v>
      </c>
      <c r="B111" s="92">
        <f t="shared" si="3"/>
        <v>108</v>
      </c>
      <c r="C111" s="217" t="s">
        <v>363</v>
      </c>
      <c r="D111" s="217" t="s">
        <v>362</v>
      </c>
      <c r="E111" s="97" t="s">
        <v>301</v>
      </c>
      <c r="F111" s="92"/>
      <c r="G111" s="92"/>
      <c r="H111" s="93"/>
      <c r="I111" s="93">
        <v>46176</v>
      </c>
      <c r="J111" s="93"/>
      <c r="K111" s="93"/>
      <c r="L111" s="98"/>
      <c r="M111" s="93"/>
      <c r="N111" s="95"/>
      <c r="O111" t="str">
        <f t="shared" si="2"/>
        <v>108. 대호산업_경원기계공업㈜</v>
      </c>
    </row>
    <row r="112" spans="1:15">
      <c r="A112" s="91">
        <v>2</v>
      </c>
      <c r="B112" s="92">
        <f t="shared" si="3"/>
        <v>109</v>
      </c>
      <c r="C112" s="217" t="s">
        <v>364</v>
      </c>
      <c r="D112" s="217" t="s">
        <v>365</v>
      </c>
      <c r="E112" s="97" t="s">
        <v>301</v>
      </c>
      <c r="F112" s="92"/>
      <c r="G112" s="92"/>
      <c r="H112" s="93"/>
      <c r="I112" s="93">
        <v>46176</v>
      </c>
      <c r="J112" s="93"/>
      <c r="K112" s="93"/>
      <c r="L112" s="98"/>
      <c r="M112" s="93"/>
      <c r="N112" s="95"/>
      <c r="O112" t="str">
        <f t="shared" si="2"/>
        <v>109. 한일콘크리트 주식회사_주식회사 씨넷</v>
      </c>
    </row>
    <row r="113" spans="1:15">
      <c r="A113" s="91">
        <v>2</v>
      </c>
      <c r="B113" s="92">
        <f t="shared" si="3"/>
        <v>110</v>
      </c>
      <c r="C113" s="217" t="s">
        <v>366</v>
      </c>
      <c r="D113" s="217" t="s">
        <v>367</v>
      </c>
      <c r="E113" s="97" t="s">
        <v>301</v>
      </c>
      <c r="F113" s="92"/>
      <c r="G113" s="92"/>
      <c r="H113" s="93"/>
      <c r="I113" s="93">
        <v>46176</v>
      </c>
      <c r="J113" s="93"/>
      <c r="K113" s="93"/>
      <c r="L113" s="98"/>
      <c r="M113" s="93"/>
      <c r="N113" s="95"/>
      <c r="O113" t="str">
        <f t="shared" si="2"/>
        <v>110. 아이다인_케이에이앤</v>
      </c>
    </row>
    <row r="114" spans="1:15">
      <c r="A114" s="91">
        <v>2</v>
      </c>
      <c r="B114" s="92">
        <f t="shared" si="3"/>
        <v>111</v>
      </c>
      <c r="C114" s="217" t="s">
        <v>368</v>
      </c>
      <c r="D114" s="217" t="s">
        <v>369</v>
      </c>
      <c r="E114" s="97" t="s">
        <v>301</v>
      </c>
      <c r="F114" s="92"/>
      <c r="G114" s="92"/>
      <c r="H114" s="93"/>
      <c r="I114" s="93">
        <v>46176</v>
      </c>
      <c r="J114" s="93"/>
      <c r="K114" s="93"/>
      <c r="L114" s="98"/>
      <c r="M114" s="93"/>
      <c r="N114" s="95"/>
      <c r="O114" t="str">
        <f t="shared" si="2"/>
        <v>111. 파이어킴이에스 주식회사_나진금형</v>
      </c>
    </row>
    <row r="115" spans="1:15">
      <c r="A115" s="91">
        <v>2</v>
      </c>
      <c r="B115" s="92">
        <f t="shared" si="3"/>
        <v>112</v>
      </c>
      <c r="C115" s="217" t="s">
        <v>370</v>
      </c>
      <c r="D115" s="217" t="s">
        <v>371</v>
      </c>
      <c r="E115" s="97" t="s">
        <v>301</v>
      </c>
      <c r="F115" s="92"/>
      <c r="G115" s="92"/>
      <c r="H115" s="93"/>
      <c r="I115" s="93">
        <v>46176</v>
      </c>
      <c r="J115" s="93"/>
      <c r="K115" s="93"/>
      <c r="L115" s="98"/>
      <c r="M115" s="93"/>
      <c r="N115" s="95"/>
      <c r="O115" t="str">
        <f t="shared" si="2"/>
        <v>112. (주)새너_성신기계공업 주식회사</v>
      </c>
    </row>
    <row r="116" spans="1:15">
      <c r="A116" s="91">
        <v>2</v>
      </c>
      <c r="B116" s="92">
        <f t="shared" si="3"/>
        <v>113</v>
      </c>
      <c r="C116" s="217" t="s">
        <v>372</v>
      </c>
      <c r="D116" s="217" t="s">
        <v>353</v>
      </c>
      <c r="E116" s="97" t="s">
        <v>301</v>
      </c>
      <c r="F116" s="92"/>
      <c r="G116" s="92"/>
      <c r="H116" s="93"/>
      <c r="I116" s="93">
        <v>46177</v>
      </c>
      <c r="J116" s="93"/>
      <c r="K116" s="93"/>
      <c r="L116" s="98"/>
      <c r="M116" s="93"/>
      <c r="N116" s="95"/>
      <c r="O116" t="str">
        <f t="shared" si="2"/>
        <v>113. 주식회사 디노바_주식회사 코엔</v>
      </c>
    </row>
    <row r="117" spans="1:15">
      <c r="A117" s="91">
        <v>1</v>
      </c>
      <c r="B117" s="92">
        <f t="shared" si="3"/>
        <v>114</v>
      </c>
      <c r="C117" s="217" t="s">
        <v>373</v>
      </c>
      <c r="D117" s="217" t="s">
        <v>374</v>
      </c>
      <c r="E117" s="97" t="s">
        <v>301</v>
      </c>
      <c r="F117" s="92"/>
      <c r="G117" s="92"/>
      <c r="H117" s="93"/>
      <c r="I117" s="93">
        <v>46178</v>
      </c>
      <c r="J117" s="93"/>
      <c r="K117" s="93"/>
      <c r="L117" s="98"/>
      <c r="M117" s="93"/>
      <c r="N117" s="95"/>
      <c r="O117" t="str">
        <f t="shared" si="2"/>
        <v>114. 혜영 킴(HYEYEONG KIM)_주식회사 세컨드홀리데이</v>
      </c>
    </row>
    <row r="118" spans="1:15">
      <c r="A118" s="91">
        <v>2</v>
      </c>
      <c r="B118" s="92">
        <f t="shared" si="3"/>
        <v>115</v>
      </c>
      <c r="C118" s="217" t="s">
        <v>375</v>
      </c>
      <c r="D118" s="217" t="s">
        <v>376</v>
      </c>
      <c r="E118" s="97" t="s">
        <v>301</v>
      </c>
      <c r="F118" s="92"/>
      <c r="G118" s="92"/>
      <c r="H118" s="93"/>
      <c r="I118" s="93">
        <v>46176</v>
      </c>
      <c r="J118" s="93"/>
      <c r="K118" s="93"/>
      <c r="L118" s="98"/>
      <c r="M118" s="93"/>
      <c r="N118" s="95"/>
      <c r="O118" t="str">
        <f t="shared" si="2"/>
        <v>115. (주)가솔릭_목원대학교 산학협력단</v>
      </c>
    </row>
    <row r="119" spans="1:15">
      <c r="A119" s="91">
        <v>2</v>
      </c>
      <c r="B119" s="92">
        <f t="shared" si="3"/>
        <v>116</v>
      </c>
      <c r="C119" s="217" t="s">
        <v>377</v>
      </c>
      <c r="D119" s="217" t="s">
        <v>369</v>
      </c>
      <c r="E119" s="97" t="s">
        <v>301</v>
      </c>
      <c r="F119" s="92"/>
      <c r="G119" s="92"/>
      <c r="H119" s="93"/>
      <c r="I119" s="93">
        <v>46178</v>
      </c>
      <c r="J119" s="93"/>
      <c r="K119" s="93"/>
      <c r="L119" s="98"/>
      <c r="M119" s="93"/>
      <c r="N119" s="95"/>
      <c r="O119" t="str">
        <f t="shared" si="2"/>
        <v>116. (주)오토콘테크_나진금형</v>
      </c>
    </row>
    <row r="120" spans="1:15">
      <c r="A120" s="91">
        <v>2</v>
      </c>
      <c r="B120" s="92">
        <f t="shared" si="3"/>
        <v>117</v>
      </c>
      <c r="C120" s="217" t="s">
        <v>378</v>
      </c>
      <c r="D120" s="217" t="s">
        <v>379</v>
      </c>
      <c r="E120" s="97" t="s">
        <v>301</v>
      </c>
      <c r="F120" s="92"/>
      <c r="G120" s="92"/>
      <c r="H120" s="93"/>
      <c r="I120" s="93">
        <v>46178</v>
      </c>
      <c r="J120" s="93"/>
      <c r="K120" s="93"/>
      <c r="L120" s="98"/>
      <c r="M120" s="93"/>
      <c r="N120" s="95"/>
      <c r="O120" t="str">
        <f t="shared" si="2"/>
        <v>117. (주)금오공업_(주)펨토하이테크</v>
      </c>
    </row>
    <row r="121" spans="1:15">
      <c r="A121" s="91">
        <v>2</v>
      </c>
      <c r="B121" s="92">
        <f t="shared" si="3"/>
        <v>118</v>
      </c>
      <c r="C121" s="217" t="s">
        <v>380</v>
      </c>
      <c r="D121" s="217" t="s">
        <v>381</v>
      </c>
      <c r="E121" s="97" t="s">
        <v>301</v>
      </c>
      <c r="F121" s="92"/>
      <c r="G121" s="92"/>
      <c r="H121" s="93"/>
      <c r="I121" s="93">
        <v>46178</v>
      </c>
      <c r="J121" s="93"/>
      <c r="K121" s="93"/>
      <c r="L121" s="98"/>
      <c r="M121" s="93"/>
      <c r="N121" s="95"/>
      <c r="O121" t="str">
        <f t="shared" si="2"/>
        <v>118. (주)프린스콜렉션_큐플릭스</v>
      </c>
    </row>
    <row r="122" spans="1:15">
      <c r="A122" s="91">
        <v>2</v>
      </c>
      <c r="B122" s="92">
        <f t="shared" si="3"/>
        <v>119</v>
      </c>
      <c r="C122" s="217" t="s">
        <v>382</v>
      </c>
      <c r="D122" s="217" t="s">
        <v>383</v>
      </c>
      <c r="E122" s="97" t="s">
        <v>301</v>
      </c>
      <c r="F122" s="92"/>
      <c r="G122" s="92"/>
      <c r="H122" s="93"/>
      <c r="I122" s="93">
        <v>46178</v>
      </c>
      <c r="J122" s="93"/>
      <c r="K122" s="93"/>
      <c r="L122" s="98"/>
      <c r="M122" s="93"/>
      <c r="N122" s="95"/>
      <c r="O122" t="str">
        <f t="shared" si="2"/>
        <v>119. 주식회사 셀코_주식회사 비트버스</v>
      </c>
    </row>
    <row r="123" spans="1:15">
      <c r="A123" s="91">
        <v>2</v>
      </c>
      <c r="B123" s="92">
        <f t="shared" si="3"/>
        <v>120</v>
      </c>
      <c r="C123" s="217" t="s">
        <v>384</v>
      </c>
      <c r="D123" s="217" t="s">
        <v>385</v>
      </c>
      <c r="E123" s="97" t="s">
        <v>301</v>
      </c>
      <c r="F123" s="92"/>
      <c r="G123" s="92"/>
      <c r="H123" s="93"/>
      <c r="I123" s="93">
        <v>46178</v>
      </c>
      <c r="J123" s="93"/>
      <c r="K123" s="93"/>
      <c r="L123" s="98"/>
      <c r="M123" s="93"/>
      <c r="N123" s="95"/>
      <c r="O123" t="str">
        <f t="shared" si="2"/>
        <v>120. 주식회사 쿠달_팩토리풀</v>
      </c>
    </row>
    <row r="124" spans="1:15">
      <c r="A124" s="91">
        <v>2</v>
      </c>
      <c r="B124" s="92">
        <f t="shared" si="3"/>
        <v>121</v>
      </c>
      <c r="C124" s="217" t="s">
        <v>386</v>
      </c>
      <c r="D124" s="217" t="s">
        <v>387</v>
      </c>
      <c r="E124" s="97" t="s">
        <v>301</v>
      </c>
      <c r="F124" s="92"/>
      <c r="G124" s="92"/>
      <c r="H124" s="93">
        <v>46178</v>
      </c>
      <c r="I124" s="93">
        <v>46179</v>
      </c>
      <c r="J124" s="93"/>
      <c r="K124" s="93"/>
      <c r="L124" s="98"/>
      <c r="M124" s="93"/>
      <c r="N124" s="95"/>
      <c r="O124" t="str">
        <f t="shared" si="2"/>
        <v>121. (주)삼영메탈_(주)이알에스</v>
      </c>
    </row>
    <row r="125" spans="1:15">
      <c r="A125" s="91">
        <v>2</v>
      </c>
      <c r="B125" s="92">
        <f t="shared" si="3"/>
        <v>122</v>
      </c>
      <c r="C125" s="217" t="s">
        <v>388</v>
      </c>
      <c r="D125" s="217" t="s">
        <v>365</v>
      </c>
      <c r="E125" s="97" t="s">
        <v>301</v>
      </c>
      <c r="F125" s="92"/>
      <c r="G125" s="92"/>
      <c r="H125" s="93">
        <v>46178</v>
      </c>
      <c r="I125" s="93">
        <v>46179</v>
      </c>
      <c r="J125" s="93"/>
      <c r="K125" s="93"/>
      <c r="L125" s="98"/>
      <c r="M125" s="93"/>
      <c r="N125" s="95"/>
      <c r="O125" t="str">
        <f t="shared" si="2"/>
        <v>122. (주)양원농장농업법인회사_주식회사 씨넷</v>
      </c>
    </row>
    <row r="126" spans="1:15">
      <c r="A126" s="91">
        <v>2</v>
      </c>
      <c r="B126" s="92">
        <f t="shared" si="3"/>
        <v>123</v>
      </c>
      <c r="C126" s="217" t="s">
        <v>389</v>
      </c>
      <c r="D126" s="217" t="s">
        <v>390</v>
      </c>
      <c r="E126" s="97" t="s">
        <v>301</v>
      </c>
      <c r="F126" s="92"/>
      <c r="G126" s="92"/>
      <c r="H126" s="93">
        <v>46178</v>
      </c>
      <c r="I126" s="93">
        <v>46179</v>
      </c>
      <c r="J126" s="93"/>
      <c r="K126" s="93"/>
      <c r="L126" s="98"/>
      <c r="M126" s="93"/>
      <c r="N126" s="95"/>
      <c r="O126" t="str">
        <f t="shared" si="2"/>
        <v>123. (주)조은환경_행복스토리</v>
      </c>
    </row>
    <row r="127" spans="1:15">
      <c r="A127" s="91">
        <v>2</v>
      </c>
      <c r="B127" s="92">
        <f t="shared" si="3"/>
        <v>124</v>
      </c>
      <c r="C127" s="217" t="s">
        <v>391</v>
      </c>
      <c r="D127" s="217" t="s">
        <v>392</v>
      </c>
      <c r="E127" s="97" t="s">
        <v>301</v>
      </c>
      <c r="F127" s="92"/>
      <c r="G127" s="92"/>
      <c r="H127" s="93">
        <v>46178</v>
      </c>
      <c r="I127" s="93">
        <v>46179</v>
      </c>
      <c r="J127" s="93"/>
      <c r="K127" s="93"/>
      <c r="L127" s="98"/>
      <c r="M127" s="93"/>
      <c r="N127" s="95"/>
      <c r="O127" t="str">
        <f t="shared" si="2"/>
        <v>124. (주)카네비모빌리티_(주)네모아이씨지</v>
      </c>
    </row>
    <row r="128" spans="1:15">
      <c r="A128" s="91">
        <v>2</v>
      </c>
      <c r="B128" s="92">
        <f t="shared" si="3"/>
        <v>125</v>
      </c>
      <c r="C128" s="217" t="s">
        <v>393</v>
      </c>
      <c r="D128" s="217" t="s">
        <v>394</v>
      </c>
      <c r="E128" s="97" t="s">
        <v>301</v>
      </c>
      <c r="F128" s="92"/>
      <c r="G128" s="92"/>
      <c r="H128" s="93">
        <v>46178</v>
      </c>
      <c r="I128" s="93">
        <v>46179</v>
      </c>
      <c r="J128" s="93"/>
      <c r="K128" s="93"/>
      <c r="L128" s="98"/>
      <c r="M128" s="93"/>
      <c r="N128" s="95"/>
      <c r="O128" t="str">
        <f t="shared" si="2"/>
        <v>125. (주)케이테크_(주)하다</v>
      </c>
    </row>
    <row r="129" spans="1:15">
      <c r="A129" s="91">
        <v>2</v>
      </c>
      <c r="B129" s="92">
        <f t="shared" si="3"/>
        <v>126</v>
      </c>
      <c r="C129" s="221" t="s">
        <v>395</v>
      </c>
      <c r="D129" s="217" t="s">
        <v>374</v>
      </c>
      <c r="E129" s="97" t="s">
        <v>301</v>
      </c>
      <c r="F129" s="92"/>
      <c r="G129" s="92"/>
      <c r="H129" s="93">
        <v>46178</v>
      </c>
      <c r="I129" s="93">
        <v>46179</v>
      </c>
      <c r="J129" s="93"/>
      <c r="K129" s="93"/>
      <c r="L129" s="98"/>
      <c r="M129" s="93"/>
      <c r="N129" s="95"/>
      <c r="O129" t="str">
        <f t="shared" si="2"/>
        <v>126. FREAKS_주식회사 세컨드홀리데이</v>
      </c>
    </row>
    <row r="130" spans="1:15">
      <c r="A130" s="91">
        <v>2</v>
      </c>
      <c r="B130" s="92">
        <f t="shared" si="3"/>
        <v>127</v>
      </c>
      <c r="C130" s="217" t="s">
        <v>397</v>
      </c>
      <c r="D130" s="217" t="s">
        <v>396</v>
      </c>
      <c r="E130" s="97" t="s">
        <v>301</v>
      </c>
      <c r="F130" s="92"/>
      <c r="G130" s="92"/>
      <c r="H130" s="93">
        <v>46178</v>
      </c>
      <c r="I130" s="93">
        <v>46179</v>
      </c>
      <c r="J130" s="93"/>
      <c r="K130" s="93"/>
      <c r="L130" s="98"/>
      <c r="M130" s="93"/>
      <c r="N130" s="95"/>
      <c r="O130" t="str">
        <f t="shared" si="2"/>
        <v>127. 발산공업_(사)캠틱종합기술원</v>
      </c>
    </row>
    <row r="131" spans="1:15">
      <c r="A131" s="91">
        <v>2</v>
      </c>
      <c r="B131" s="92">
        <f t="shared" si="3"/>
        <v>128</v>
      </c>
      <c r="C131" s="217" t="s">
        <v>398</v>
      </c>
      <c r="D131" s="217" t="s">
        <v>374</v>
      </c>
      <c r="E131" s="97" t="s">
        <v>301</v>
      </c>
      <c r="F131" s="92"/>
      <c r="G131" s="92"/>
      <c r="H131" s="93">
        <v>46178</v>
      </c>
      <c r="I131" s="93">
        <v>46179</v>
      </c>
      <c r="J131" s="93"/>
      <c r="K131" s="93"/>
      <c r="L131" s="98"/>
      <c r="M131" s="93"/>
      <c r="N131" s="95"/>
      <c r="O131" t="str">
        <f t="shared" ref="O131:O194" si="4">CONCATENATE(B131,". ",C131,"_",D131)</f>
        <v>128. 베티에르_주식회사 세컨드홀리데이</v>
      </c>
    </row>
    <row r="132" spans="1:15">
      <c r="A132" s="91">
        <v>2</v>
      </c>
      <c r="B132" s="92">
        <f t="shared" si="3"/>
        <v>129</v>
      </c>
      <c r="C132" s="217" t="s">
        <v>399</v>
      </c>
      <c r="D132" s="217" t="s">
        <v>374</v>
      </c>
      <c r="E132" s="97" t="s">
        <v>301</v>
      </c>
      <c r="F132" s="92"/>
      <c r="G132" s="92"/>
      <c r="H132" s="93">
        <v>46178</v>
      </c>
      <c r="I132" s="93">
        <v>46179</v>
      </c>
      <c r="J132" s="93"/>
      <c r="K132" s="93"/>
      <c r="L132" s="98"/>
      <c r="M132" s="93"/>
      <c r="N132" s="95"/>
      <c r="O132" t="str">
        <f t="shared" si="4"/>
        <v>129. 세컨드클로젯_주식회사 세컨드홀리데이</v>
      </c>
    </row>
    <row r="133" spans="1:15">
      <c r="A133" s="91">
        <v>2</v>
      </c>
      <c r="B133" s="92">
        <f t="shared" ref="B133:B196" si="5">B132+1</f>
        <v>130</v>
      </c>
      <c r="C133" s="217" t="s">
        <v>400</v>
      </c>
      <c r="D133" s="217" t="s">
        <v>401</v>
      </c>
      <c r="E133" s="97" t="s">
        <v>301</v>
      </c>
      <c r="F133" s="92"/>
      <c r="G133" s="92"/>
      <c r="H133" s="93">
        <v>46178</v>
      </c>
      <c r="I133" s="93">
        <v>46179</v>
      </c>
      <c r="J133" s="93"/>
      <c r="K133" s="93"/>
      <c r="L133" s="98"/>
      <c r="M133" s="93"/>
      <c r="N133" s="95"/>
      <c r="O133" t="str">
        <f t="shared" si="4"/>
        <v>130. 주식회사 다원냉각기_(주)디자인고</v>
      </c>
    </row>
    <row r="134" spans="1:15">
      <c r="A134" s="91">
        <v>2</v>
      </c>
      <c r="B134" s="92">
        <f t="shared" si="5"/>
        <v>131</v>
      </c>
      <c r="C134" s="217" t="s">
        <v>402</v>
      </c>
      <c r="D134" s="217" t="s">
        <v>403</v>
      </c>
      <c r="E134" s="97" t="s">
        <v>301</v>
      </c>
      <c r="F134" s="92"/>
      <c r="G134" s="92"/>
      <c r="H134" s="93"/>
      <c r="I134" s="93">
        <v>46179</v>
      </c>
      <c r="J134" s="93"/>
      <c r="K134" s="93"/>
      <c r="L134" s="98"/>
      <c r="M134" s="93"/>
      <c r="N134" s="95"/>
      <c r="O134" t="str">
        <f t="shared" si="4"/>
        <v>131. (주)온유어사이드_(주)라임프렌즈</v>
      </c>
    </row>
    <row r="135" spans="1:15">
      <c r="A135" s="91">
        <v>2</v>
      </c>
      <c r="B135" s="92">
        <f t="shared" si="5"/>
        <v>132</v>
      </c>
      <c r="C135" s="217" t="s">
        <v>404</v>
      </c>
      <c r="D135" s="217" t="s">
        <v>405</v>
      </c>
      <c r="E135" s="97" t="s">
        <v>301</v>
      </c>
      <c r="F135" s="92"/>
      <c r="G135" s="92"/>
      <c r="H135" s="93"/>
      <c r="I135" s="93">
        <v>46179</v>
      </c>
      <c r="J135" s="93"/>
      <c r="K135" s="93"/>
      <c r="L135" s="98"/>
      <c r="M135" s="93"/>
      <c r="N135" s="95"/>
      <c r="O135" t="str">
        <f t="shared" si="4"/>
        <v>132. 올리브_니즈로봇</v>
      </c>
    </row>
    <row r="136" spans="1:15">
      <c r="A136" s="91">
        <v>2</v>
      </c>
      <c r="B136" s="92">
        <f t="shared" si="5"/>
        <v>133</v>
      </c>
      <c r="C136" s="217" t="s">
        <v>406</v>
      </c>
      <c r="D136" s="217" t="s">
        <v>407</v>
      </c>
      <c r="E136" s="97" t="s">
        <v>301</v>
      </c>
      <c r="F136" s="92"/>
      <c r="G136" s="92"/>
      <c r="H136" s="93"/>
      <c r="I136" s="93">
        <v>46179</v>
      </c>
      <c r="J136" s="93"/>
      <c r="K136" s="93"/>
      <c r="L136" s="98"/>
      <c r="M136" s="93"/>
      <c r="N136" s="95"/>
      <c r="O136" t="str">
        <f t="shared" si="4"/>
        <v>133. (주)홍성산업_(주)대동CMC</v>
      </c>
    </row>
    <row r="137" spans="1:15">
      <c r="A137" s="91">
        <v>2</v>
      </c>
      <c r="B137" s="92">
        <f t="shared" si="5"/>
        <v>134</v>
      </c>
      <c r="C137" s="217" t="s">
        <v>408</v>
      </c>
      <c r="D137" s="217" t="s">
        <v>409</v>
      </c>
      <c r="E137" s="97" t="s">
        <v>301</v>
      </c>
      <c r="F137" s="92"/>
      <c r="G137" s="92"/>
      <c r="H137" s="93"/>
      <c r="I137" s="93">
        <v>46181</v>
      </c>
      <c r="J137" s="93"/>
      <c r="K137" s="93"/>
      <c r="L137" s="98"/>
      <c r="M137" s="93"/>
      <c r="N137" s="95"/>
      <c r="O137" t="str">
        <f t="shared" si="4"/>
        <v>134. (주)기산_한섬컴</v>
      </c>
    </row>
    <row r="138" spans="1:15">
      <c r="A138" s="91">
        <v>2</v>
      </c>
      <c r="B138" s="92">
        <f t="shared" si="5"/>
        <v>135</v>
      </c>
      <c r="C138" s="217" t="s">
        <v>410</v>
      </c>
      <c r="D138" s="217" t="s">
        <v>411</v>
      </c>
      <c r="E138" s="97" t="s">
        <v>301</v>
      </c>
      <c r="F138" s="92"/>
      <c r="G138" s="92"/>
      <c r="H138" s="93"/>
      <c r="I138" s="93">
        <v>46179</v>
      </c>
      <c r="J138" s="93"/>
      <c r="K138" s="93"/>
      <c r="L138" s="98"/>
      <c r="M138" s="93"/>
      <c r="N138" s="95"/>
      <c r="O138" t="str">
        <f t="shared" si="4"/>
        <v>135. 스튜디오 하이_(주)세컨드홀리데이</v>
      </c>
    </row>
    <row r="139" spans="1:15">
      <c r="A139" s="91">
        <v>2</v>
      </c>
      <c r="B139" s="92">
        <f t="shared" si="5"/>
        <v>136</v>
      </c>
      <c r="C139" s="217" t="s">
        <v>412</v>
      </c>
      <c r="D139" s="217" t="s">
        <v>413</v>
      </c>
      <c r="E139" s="97" t="s">
        <v>301</v>
      </c>
      <c r="F139" s="92"/>
      <c r="G139" s="92"/>
      <c r="H139" s="93"/>
      <c r="I139" s="93">
        <v>46184</v>
      </c>
      <c r="J139" s="93"/>
      <c r="K139" s="93"/>
      <c r="L139" s="98"/>
      <c r="M139" s="93"/>
      <c r="N139" s="95"/>
      <c r="O139" t="str">
        <f t="shared" si="4"/>
        <v>136. (주)동우글로벌_(주)케이엠씨</v>
      </c>
    </row>
    <row r="140" spans="1:15">
      <c r="A140" s="91">
        <v>2</v>
      </c>
      <c r="B140" s="92">
        <f t="shared" si="5"/>
        <v>137</v>
      </c>
      <c r="C140" s="217" t="s">
        <v>414</v>
      </c>
      <c r="D140" s="217" t="s">
        <v>413</v>
      </c>
      <c r="E140" s="97" t="s">
        <v>301</v>
      </c>
      <c r="F140" s="92"/>
      <c r="G140" s="92"/>
      <c r="H140" s="93"/>
      <c r="I140" s="93">
        <v>46181</v>
      </c>
      <c r="J140" s="93"/>
      <c r="K140" s="93"/>
      <c r="L140" s="98"/>
      <c r="M140" s="93"/>
      <c r="N140" s="95"/>
      <c r="O140" t="str">
        <f t="shared" si="4"/>
        <v>137. 한세_(주)케이엠씨</v>
      </c>
    </row>
    <row r="141" spans="1:15">
      <c r="A141" s="91">
        <v>2</v>
      </c>
      <c r="B141" s="92">
        <f t="shared" si="5"/>
        <v>138</v>
      </c>
      <c r="C141" s="217" t="s">
        <v>415</v>
      </c>
      <c r="D141" s="217" t="s">
        <v>416</v>
      </c>
      <c r="E141" s="97" t="s">
        <v>301</v>
      </c>
      <c r="F141" s="92"/>
      <c r="G141" s="92"/>
      <c r="H141" s="93"/>
      <c r="I141" s="93">
        <v>46181</v>
      </c>
      <c r="J141" s="93"/>
      <c r="K141" s="93"/>
      <c r="L141" s="98"/>
      <c r="M141" s="93"/>
      <c r="N141" s="95"/>
      <c r="O141" t="str">
        <f t="shared" si="4"/>
        <v>138. 옵토파워㈜_한빛전자</v>
      </c>
    </row>
    <row r="142" spans="1:15">
      <c r="A142" s="91">
        <v>1</v>
      </c>
      <c r="B142" s="92">
        <f t="shared" si="5"/>
        <v>139</v>
      </c>
      <c r="C142" s="217" t="s">
        <v>417</v>
      </c>
      <c r="D142" s="217" t="s">
        <v>418</v>
      </c>
      <c r="E142" s="97" t="s">
        <v>301</v>
      </c>
      <c r="F142" s="92"/>
      <c r="G142" s="92"/>
      <c r="H142" s="93"/>
      <c r="I142" s="93">
        <v>46182</v>
      </c>
      <c r="J142" s="93"/>
      <c r="K142" s="93"/>
      <c r="L142" s="93"/>
      <c r="M142" s="93"/>
      <c r="N142" s="95"/>
      <c r="O142" t="str">
        <f t="shared" si="4"/>
        <v>139. 경향산업㈜_(주)포어스딜라이트</v>
      </c>
    </row>
    <row r="143" spans="1:15">
      <c r="A143" s="91">
        <v>2</v>
      </c>
      <c r="B143" s="92">
        <f t="shared" si="5"/>
        <v>140</v>
      </c>
      <c r="C143" s="217" t="s">
        <v>423</v>
      </c>
      <c r="D143" s="217" t="s">
        <v>420</v>
      </c>
      <c r="E143" s="97" t="s">
        <v>301</v>
      </c>
      <c r="F143" s="92"/>
      <c r="G143" s="92"/>
      <c r="H143" s="93"/>
      <c r="I143" s="93">
        <v>46182</v>
      </c>
      <c r="J143" s="93"/>
      <c r="K143" s="93"/>
      <c r="L143" s="93"/>
      <c r="M143" s="93"/>
      <c r="N143" s="95"/>
      <c r="O143" t="str">
        <f t="shared" si="4"/>
        <v>140. 백운커피_(주)나루아토</v>
      </c>
    </row>
    <row r="144" spans="1:15">
      <c r="A144" s="91">
        <v>2</v>
      </c>
      <c r="B144" s="92">
        <f t="shared" si="5"/>
        <v>141</v>
      </c>
      <c r="C144" s="217" t="s">
        <v>419</v>
      </c>
      <c r="D144" s="217" t="s">
        <v>420</v>
      </c>
      <c r="E144" s="97" t="s">
        <v>301</v>
      </c>
      <c r="F144" s="92"/>
      <c r="G144" s="92"/>
      <c r="H144" s="93"/>
      <c r="I144" s="93">
        <v>46182</v>
      </c>
      <c r="J144" s="93"/>
      <c r="K144" s="93"/>
      <c r="L144" s="93"/>
      <c r="M144" s="93"/>
      <c r="N144" s="95"/>
      <c r="O144" t="str">
        <f t="shared" si="4"/>
        <v>141. 어업회사법인오늘의삼천포㈜_(주)나루아토</v>
      </c>
    </row>
    <row r="145" spans="1:15">
      <c r="A145" s="91">
        <v>2</v>
      </c>
      <c r="B145" s="92">
        <f t="shared" si="5"/>
        <v>142</v>
      </c>
      <c r="C145" s="217" t="s">
        <v>421</v>
      </c>
      <c r="D145" s="217" t="s">
        <v>422</v>
      </c>
      <c r="E145" s="97" t="s">
        <v>301</v>
      </c>
      <c r="F145" s="92"/>
      <c r="G145" s="92"/>
      <c r="H145" s="93"/>
      <c r="I145" s="93">
        <v>46182</v>
      </c>
      <c r="J145" s="93"/>
      <c r="K145" s="93"/>
      <c r="L145" s="93"/>
      <c r="M145" s="93"/>
      <c r="N145" s="95"/>
      <c r="O145" t="str">
        <f t="shared" si="4"/>
        <v>142. (주)새한염공_(주)이알에스</v>
      </c>
    </row>
    <row r="146" spans="1:15">
      <c r="A146" s="91">
        <v>2</v>
      </c>
      <c r="B146" s="92">
        <f t="shared" si="5"/>
        <v>143</v>
      </c>
      <c r="C146" s="217" t="s">
        <v>424</v>
      </c>
      <c r="D146" s="217" t="s">
        <v>418</v>
      </c>
      <c r="E146" s="97" t="s">
        <v>301</v>
      </c>
      <c r="F146" s="92"/>
      <c r="G146" s="92"/>
      <c r="H146" s="93"/>
      <c r="I146" s="93">
        <v>46184</v>
      </c>
      <c r="J146" s="93"/>
      <c r="K146" s="93"/>
      <c r="L146" s="93"/>
      <c r="M146" s="93"/>
      <c r="N146" s="95"/>
      <c r="O146" t="str">
        <f t="shared" si="4"/>
        <v>143. (주)씨앤비코스메틱_(주)포어스딜라이트</v>
      </c>
    </row>
    <row r="147" spans="1:15">
      <c r="A147" s="91">
        <v>2</v>
      </c>
      <c r="B147" s="92">
        <f t="shared" si="5"/>
        <v>144</v>
      </c>
      <c r="C147" s="217" t="s">
        <v>425</v>
      </c>
      <c r="D147" s="217" t="s">
        <v>426</v>
      </c>
      <c r="E147" s="97" t="s">
        <v>301</v>
      </c>
      <c r="F147" s="92"/>
      <c r="G147" s="92"/>
      <c r="H147" s="93"/>
      <c r="I147" s="93">
        <v>46184</v>
      </c>
      <c r="J147" s="93"/>
      <c r="K147" s="93"/>
      <c r="L147" s="93"/>
      <c r="M147" s="93"/>
      <c r="N147" s="95"/>
      <c r="O147" t="str">
        <f t="shared" si="4"/>
        <v>144. (주)현대화이바_에코22엔지니어링</v>
      </c>
    </row>
    <row r="148" spans="1:15">
      <c r="A148" s="91"/>
      <c r="B148" s="92">
        <f t="shared" si="5"/>
        <v>145</v>
      </c>
      <c r="C148" s="217" t="s">
        <v>427</v>
      </c>
      <c r="D148" s="217" t="s">
        <v>428</v>
      </c>
      <c r="E148" s="97" t="s">
        <v>301</v>
      </c>
      <c r="F148" s="92"/>
      <c r="G148" s="92"/>
      <c r="H148" s="93"/>
      <c r="I148" s="93">
        <v>46186</v>
      </c>
      <c r="J148" s="93"/>
      <c r="K148" s="93"/>
      <c r="L148" s="93"/>
      <c r="M148" s="93"/>
      <c r="N148" s="95"/>
      <c r="O148" t="str">
        <f t="shared" si="4"/>
        <v>145. (주)오앤에스_(주)이앤비솔루션</v>
      </c>
    </row>
    <row r="149" spans="1:15">
      <c r="A149" s="91"/>
      <c r="B149" s="92">
        <f t="shared" si="5"/>
        <v>146</v>
      </c>
      <c r="C149" s="217" t="s">
        <v>429</v>
      </c>
      <c r="D149" s="217" t="s">
        <v>430</v>
      </c>
      <c r="E149" s="97" t="s">
        <v>301</v>
      </c>
      <c r="F149" s="92"/>
      <c r="G149" s="92"/>
      <c r="H149" s="93"/>
      <c r="I149" s="93">
        <v>46186</v>
      </c>
      <c r="J149" s="93"/>
      <c r="K149" s="93"/>
      <c r="L149" s="93"/>
      <c r="M149" s="93"/>
      <c r="N149" s="95"/>
      <c r="O149" t="str">
        <f t="shared" si="4"/>
        <v>146. Autol_가온알앤디</v>
      </c>
    </row>
    <row r="150" spans="1:15">
      <c r="A150" s="91"/>
      <c r="B150" s="92">
        <f t="shared" si="5"/>
        <v>147</v>
      </c>
      <c r="C150" s="217" t="s">
        <v>431</v>
      </c>
      <c r="D150" s="217" t="s">
        <v>432</v>
      </c>
      <c r="E150" s="97" t="s">
        <v>301</v>
      </c>
      <c r="F150" s="92"/>
      <c r="G150" s="92"/>
      <c r="H150" s="93"/>
      <c r="I150" s="93">
        <v>46186</v>
      </c>
      <c r="J150" s="93"/>
      <c r="K150" s="93"/>
      <c r="L150" s="93"/>
      <c r="M150" s="93"/>
      <c r="N150" s="95"/>
      <c r="O150" t="str">
        <f t="shared" si="4"/>
        <v>147. 수일개발_(주)포어스딜라이트</v>
      </c>
    </row>
    <row r="151" spans="1:15">
      <c r="A151" s="91"/>
      <c r="B151" s="92">
        <f t="shared" si="5"/>
        <v>148</v>
      </c>
      <c r="C151" s="217" t="s">
        <v>433</v>
      </c>
      <c r="D151" s="217" t="s">
        <v>434</v>
      </c>
      <c r="E151" s="97" t="s">
        <v>301</v>
      </c>
      <c r="F151" s="92"/>
      <c r="G151" s="92"/>
      <c r="H151" s="93"/>
      <c r="I151" s="93">
        <v>46186</v>
      </c>
      <c r="J151" s="93"/>
      <c r="K151" s="93"/>
      <c r="L151" s="93"/>
      <c r="M151" s="93"/>
      <c r="N151" s="95"/>
      <c r="O151" t="str">
        <f t="shared" si="4"/>
        <v>148. (주)제일알에너지솔루션_(주)유유랑컴퍼티</v>
      </c>
    </row>
    <row r="152" spans="1:15">
      <c r="A152" s="91"/>
      <c r="B152" s="92">
        <f t="shared" si="5"/>
        <v>149</v>
      </c>
      <c r="C152" s="217" t="s">
        <v>435</v>
      </c>
      <c r="D152" s="217" t="s">
        <v>432</v>
      </c>
      <c r="E152" s="97" t="s">
        <v>301</v>
      </c>
      <c r="F152" s="92"/>
      <c r="G152" s="92"/>
      <c r="H152" s="93"/>
      <c r="I152" s="93">
        <v>46186</v>
      </c>
      <c r="J152" s="93"/>
      <c r="K152" s="93"/>
      <c r="L152" s="93"/>
      <c r="M152" s="93"/>
      <c r="N152" s="95"/>
      <c r="O152" t="str">
        <f t="shared" si="4"/>
        <v>149. (주)그린리소스_(주)포어스딜라이트</v>
      </c>
    </row>
    <row r="153" spans="1:15">
      <c r="A153" s="91"/>
      <c r="B153" s="92">
        <f t="shared" si="5"/>
        <v>150</v>
      </c>
      <c r="C153" s="217" t="s">
        <v>436</v>
      </c>
      <c r="D153" s="217" t="s">
        <v>437</v>
      </c>
      <c r="E153" s="97" t="s">
        <v>301</v>
      </c>
      <c r="F153" s="92"/>
      <c r="G153" s="92"/>
      <c r="H153" s="93"/>
      <c r="I153" s="93">
        <v>46186</v>
      </c>
      <c r="J153" s="93"/>
      <c r="K153" s="93"/>
      <c r="L153" s="93"/>
      <c r="M153" s="93"/>
      <c r="N153" s="95"/>
      <c r="O153" t="str">
        <f t="shared" si="4"/>
        <v>150. (주)아이지스_(주)파인하이텍</v>
      </c>
    </row>
    <row r="154" spans="1:15">
      <c r="A154" s="91"/>
      <c r="B154" s="92">
        <f t="shared" si="5"/>
        <v>151</v>
      </c>
      <c r="C154" s="217" t="s">
        <v>438</v>
      </c>
      <c r="D154" s="217" t="s">
        <v>439</v>
      </c>
      <c r="E154" s="97" t="s">
        <v>301</v>
      </c>
      <c r="F154" s="92"/>
      <c r="G154" s="92"/>
      <c r="H154" s="93"/>
      <c r="I154" s="93">
        <v>46186</v>
      </c>
      <c r="J154" s="93"/>
      <c r="K154" s="93"/>
      <c r="L154" s="93"/>
      <c r="M154" s="93"/>
      <c r="N154" s="95"/>
      <c r="O154" t="str">
        <f t="shared" si="4"/>
        <v>151. (주)벨리오니스_유닉스전자</v>
      </c>
    </row>
    <row r="155" spans="1:15">
      <c r="A155" s="91"/>
      <c r="B155" s="92">
        <f t="shared" si="5"/>
        <v>152</v>
      </c>
      <c r="C155" s="217" t="s">
        <v>440</v>
      </c>
      <c r="D155" s="217" t="s">
        <v>441</v>
      </c>
      <c r="E155" s="97" t="s">
        <v>301</v>
      </c>
      <c r="F155" s="92"/>
      <c r="G155" s="92"/>
      <c r="H155" s="93"/>
      <c r="I155" s="93">
        <v>46186</v>
      </c>
      <c r="J155" s="93"/>
      <c r="K155" s="93"/>
      <c r="L155" s="93"/>
      <c r="M155" s="93"/>
      <c r="N155" s="95"/>
      <c r="O155" t="str">
        <f t="shared" si="4"/>
        <v>152. 단미푸드_(주)씨넷</v>
      </c>
    </row>
    <row r="156" spans="1:15">
      <c r="A156" s="91"/>
      <c r="B156" s="92">
        <f t="shared" si="5"/>
        <v>153</v>
      </c>
      <c r="C156" s="217" t="s">
        <v>442</v>
      </c>
      <c r="D156" s="217" t="s">
        <v>441</v>
      </c>
      <c r="E156" s="97" t="s">
        <v>301</v>
      </c>
      <c r="F156" s="92"/>
      <c r="G156" s="92"/>
      <c r="H156" s="93"/>
      <c r="I156" s="93">
        <v>46186</v>
      </c>
      <c r="J156" s="93"/>
      <c r="K156" s="93"/>
      <c r="L156" s="93"/>
      <c r="M156" s="93"/>
      <c r="N156" s="95"/>
      <c r="O156" t="str">
        <f t="shared" si="4"/>
        <v>153. (주)라피끄_(주)씨넷</v>
      </c>
    </row>
    <row r="157" spans="1:15">
      <c r="A157" s="91"/>
      <c r="B157" s="92">
        <f t="shared" si="5"/>
        <v>154</v>
      </c>
      <c r="C157" s="217" t="s">
        <v>443</v>
      </c>
      <c r="D157" s="217" t="s">
        <v>444</v>
      </c>
      <c r="E157" s="97" t="s">
        <v>301</v>
      </c>
      <c r="F157" s="92"/>
      <c r="G157" s="92"/>
      <c r="H157" s="93"/>
      <c r="I157" s="93">
        <v>46186</v>
      </c>
      <c r="J157" s="93"/>
      <c r="K157" s="93"/>
      <c r="L157" s="93"/>
      <c r="M157" s="93"/>
      <c r="N157" s="95"/>
      <c r="O157" t="str">
        <f t="shared" si="4"/>
        <v>154. (주)드레인필터_엔에스케이테크</v>
      </c>
    </row>
    <row r="158" spans="1:15">
      <c r="A158" s="91"/>
      <c r="B158" s="92">
        <f t="shared" si="5"/>
        <v>155</v>
      </c>
      <c r="C158" s="217" t="s">
        <v>445</v>
      </c>
      <c r="D158" s="217" t="s">
        <v>446</v>
      </c>
      <c r="E158" s="97" t="s">
        <v>301</v>
      </c>
      <c r="F158" s="92"/>
      <c r="G158" s="92"/>
      <c r="H158" s="93"/>
      <c r="I158" s="93">
        <v>46186</v>
      </c>
      <c r="J158" s="93"/>
      <c r="K158" s="93"/>
      <c r="L158" s="93"/>
      <c r="M158" s="93"/>
      <c r="N158" s="95"/>
      <c r="O158" t="str">
        <f t="shared" si="4"/>
        <v>155. 아리베베_아이디앤파트너스(주)</v>
      </c>
    </row>
    <row r="159" spans="1:15">
      <c r="A159" s="91"/>
      <c r="B159" s="92">
        <f t="shared" si="5"/>
        <v>156</v>
      </c>
      <c r="C159" s="217" t="s">
        <v>447</v>
      </c>
      <c r="D159" s="217" t="s">
        <v>448</v>
      </c>
      <c r="E159" s="97" t="s">
        <v>301</v>
      </c>
      <c r="F159" s="92"/>
      <c r="G159" s="92"/>
      <c r="H159" s="93"/>
      <c r="I159" s="93">
        <v>46186</v>
      </c>
      <c r="J159" s="93"/>
      <c r="K159" s="93"/>
      <c r="L159" s="93"/>
      <c r="M159" s="93"/>
      <c r="N159" s="95"/>
      <c r="O159" t="str">
        <f t="shared" si="4"/>
        <v>156. (주)이데아_엘펙</v>
      </c>
    </row>
    <row r="160" spans="1:15">
      <c r="A160" s="91"/>
      <c r="B160" s="92">
        <f t="shared" si="5"/>
        <v>157</v>
      </c>
      <c r="C160" s="218" t="s">
        <v>449</v>
      </c>
      <c r="D160" s="217" t="s">
        <v>450</v>
      </c>
      <c r="E160" s="97" t="s">
        <v>301</v>
      </c>
      <c r="F160" s="92"/>
      <c r="G160" s="92"/>
      <c r="H160" s="93"/>
      <c r="I160" s="93">
        <v>46189</v>
      </c>
      <c r="J160" s="93"/>
      <c r="K160" s="93"/>
      <c r="L160" s="93"/>
      <c r="M160" s="93"/>
      <c r="N160" s="95"/>
      <c r="O160" t="str">
        <f t="shared" si="4"/>
        <v>157. 에이스이노텍㈜_정화테크</v>
      </c>
    </row>
    <row r="161" spans="1:15">
      <c r="A161" s="91"/>
      <c r="B161" s="92">
        <f t="shared" si="5"/>
        <v>158</v>
      </c>
      <c r="C161" s="217" t="s">
        <v>451</v>
      </c>
      <c r="D161" s="217" t="s">
        <v>452</v>
      </c>
      <c r="E161" s="97" t="s">
        <v>301</v>
      </c>
      <c r="F161" s="92"/>
      <c r="G161" s="92"/>
      <c r="H161" s="93"/>
      <c r="I161" s="93">
        <v>46189</v>
      </c>
      <c r="J161" s="93"/>
      <c r="K161" s="93"/>
      <c r="L161" s="93"/>
      <c r="M161" s="93"/>
      <c r="N161" s="95"/>
      <c r="O161" t="str">
        <f t="shared" si="4"/>
        <v>158. (주)아르비젼_(주)영진엠앤피</v>
      </c>
    </row>
    <row r="162" spans="1:15">
      <c r="A162" s="91"/>
      <c r="B162" s="92">
        <f t="shared" si="5"/>
        <v>159</v>
      </c>
      <c r="C162" s="217" t="s">
        <v>453</v>
      </c>
      <c r="D162" s="217" t="s">
        <v>454</v>
      </c>
      <c r="E162" s="97" t="s">
        <v>301</v>
      </c>
      <c r="F162" s="92"/>
      <c r="G162" s="92"/>
      <c r="H162" s="93"/>
      <c r="I162" s="93">
        <v>46189</v>
      </c>
      <c r="J162" s="93"/>
      <c r="K162" s="93"/>
      <c r="L162" s="93"/>
      <c r="M162" s="93"/>
      <c r="N162" s="95"/>
      <c r="O162" t="str">
        <f t="shared" si="4"/>
        <v>159. (주)해담솔_(주)디자인톡톡</v>
      </c>
    </row>
    <row r="163" spans="1:15">
      <c r="A163" s="91"/>
      <c r="B163" s="92">
        <f t="shared" si="5"/>
        <v>160</v>
      </c>
      <c r="C163" s="217" t="s">
        <v>455</v>
      </c>
      <c r="D163" s="217" t="s">
        <v>456</v>
      </c>
      <c r="E163" s="97" t="s">
        <v>301</v>
      </c>
      <c r="F163" s="92"/>
      <c r="G163" s="92"/>
      <c r="H163" s="93"/>
      <c r="I163" s="93">
        <v>46189</v>
      </c>
      <c r="J163" s="93"/>
      <c r="K163" s="93"/>
      <c r="L163" s="93"/>
      <c r="M163" s="93"/>
      <c r="N163" s="95"/>
      <c r="O163" t="str">
        <f t="shared" si="4"/>
        <v>160. (주)워케이션_(주)베이컨디자인스튜디오</v>
      </c>
    </row>
    <row r="164" spans="1:15">
      <c r="A164" s="91"/>
      <c r="B164" s="92">
        <f t="shared" si="5"/>
        <v>161</v>
      </c>
      <c r="C164" s="217"/>
      <c r="D164" s="217"/>
      <c r="E164" s="97"/>
      <c r="F164" s="92"/>
      <c r="G164" s="92"/>
      <c r="H164" s="93"/>
      <c r="I164" s="93"/>
      <c r="J164" s="93"/>
      <c r="K164" s="93"/>
      <c r="L164" s="93"/>
      <c r="M164" s="93"/>
      <c r="N164" s="95"/>
      <c r="O164" t="str">
        <f t="shared" si="4"/>
        <v>161. _</v>
      </c>
    </row>
    <row r="165" spans="1:15">
      <c r="A165" s="91"/>
      <c r="B165" s="92">
        <f t="shared" si="5"/>
        <v>162</v>
      </c>
      <c r="C165" s="217"/>
      <c r="D165" s="217"/>
      <c r="E165" s="97"/>
      <c r="F165" s="92"/>
      <c r="G165" s="92"/>
      <c r="H165" s="93"/>
      <c r="I165" s="93"/>
      <c r="J165" s="93"/>
      <c r="K165" s="93"/>
      <c r="L165" s="93"/>
      <c r="M165" s="93"/>
      <c r="N165" s="95"/>
      <c r="O165" t="str">
        <f t="shared" si="4"/>
        <v>162. _</v>
      </c>
    </row>
    <row r="166" spans="1:15">
      <c r="A166" s="91"/>
      <c r="B166" s="92">
        <f t="shared" si="5"/>
        <v>163</v>
      </c>
      <c r="C166" s="217"/>
      <c r="D166" s="217"/>
      <c r="E166" s="97"/>
      <c r="F166" s="92"/>
      <c r="G166" s="92"/>
      <c r="H166" s="93"/>
      <c r="I166" s="93"/>
      <c r="J166" s="93"/>
      <c r="K166" s="93"/>
      <c r="L166" s="93"/>
      <c r="M166" s="93"/>
      <c r="N166" s="95"/>
      <c r="O166" t="str">
        <f t="shared" si="4"/>
        <v>163. _</v>
      </c>
    </row>
    <row r="167" spans="1:15">
      <c r="A167" s="91"/>
      <c r="B167" s="92">
        <f t="shared" si="5"/>
        <v>164</v>
      </c>
      <c r="C167" s="217"/>
      <c r="D167" s="217"/>
      <c r="E167" s="97"/>
      <c r="F167" s="92"/>
      <c r="G167" s="92"/>
      <c r="H167" s="93"/>
      <c r="I167" s="93"/>
      <c r="J167" s="93"/>
      <c r="K167" s="93"/>
      <c r="L167" s="93"/>
      <c r="M167" s="93"/>
      <c r="N167" s="95"/>
      <c r="O167" t="str">
        <f t="shared" si="4"/>
        <v>164. _</v>
      </c>
    </row>
    <row r="168" spans="1:15">
      <c r="A168" s="91"/>
      <c r="B168" s="92">
        <f t="shared" si="5"/>
        <v>165</v>
      </c>
      <c r="C168" s="217"/>
      <c r="D168" s="217"/>
      <c r="E168" s="97"/>
      <c r="F168" s="92"/>
      <c r="G168" s="92"/>
      <c r="H168" s="93"/>
      <c r="I168" s="93"/>
      <c r="J168" s="93"/>
      <c r="K168" s="93"/>
      <c r="L168" s="93"/>
      <c r="M168" s="93"/>
      <c r="N168" s="95"/>
      <c r="O168" t="str">
        <f t="shared" si="4"/>
        <v>165. _</v>
      </c>
    </row>
    <row r="169" spans="1:15" ht="17.25" customHeight="1">
      <c r="A169" s="91"/>
      <c r="B169" s="92">
        <f t="shared" si="5"/>
        <v>166</v>
      </c>
      <c r="C169" s="217"/>
      <c r="D169" s="217"/>
      <c r="E169" s="97"/>
      <c r="F169" s="92"/>
      <c r="G169" s="92"/>
      <c r="H169" s="93"/>
      <c r="I169" s="93"/>
      <c r="J169" s="93"/>
      <c r="K169" s="93"/>
      <c r="L169" s="93"/>
      <c r="M169" s="93"/>
      <c r="N169" s="95"/>
      <c r="O169" t="str">
        <f t="shared" si="4"/>
        <v>166. _</v>
      </c>
    </row>
    <row r="170" spans="1:15">
      <c r="A170" s="91"/>
      <c r="B170" s="92">
        <f t="shared" si="5"/>
        <v>167</v>
      </c>
      <c r="C170" s="217"/>
      <c r="D170" s="217"/>
      <c r="E170" s="97"/>
      <c r="F170" s="92"/>
      <c r="G170" s="92"/>
      <c r="H170" s="93"/>
      <c r="I170" s="93"/>
      <c r="J170" s="93"/>
      <c r="K170" s="93"/>
      <c r="L170" s="98"/>
      <c r="M170" s="93"/>
      <c r="N170" s="95"/>
      <c r="O170" t="str">
        <f t="shared" si="4"/>
        <v>167. _</v>
      </c>
    </row>
    <row r="171" spans="1:15" s="190" customFormat="1">
      <c r="B171" s="97">
        <f t="shared" si="5"/>
        <v>168</v>
      </c>
      <c r="C171" s="217"/>
      <c r="D171" s="217"/>
      <c r="E171" s="97"/>
      <c r="F171" s="92"/>
      <c r="G171" s="97"/>
      <c r="H171" s="103"/>
      <c r="I171" s="103"/>
      <c r="J171" s="93"/>
      <c r="K171" s="93"/>
      <c r="L171" s="103"/>
      <c r="M171" s="103"/>
      <c r="N171" s="102"/>
      <c r="O171" t="str">
        <f t="shared" si="4"/>
        <v>168. _</v>
      </c>
    </row>
    <row r="172" spans="1:15">
      <c r="A172" s="91"/>
      <c r="B172" s="92">
        <f t="shared" si="5"/>
        <v>169</v>
      </c>
      <c r="C172" s="217"/>
      <c r="D172" s="217"/>
      <c r="E172" s="97"/>
      <c r="F172" s="92"/>
      <c r="G172" s="92"/>
      <c r="H172" s="93"/>
      <c r="I172" s="93"/>
      <c r="J172" s="93"/>
      <c r="K172" s="93"/>
      <c r="L172" s="93"/>
      <c r="M172" s="93"/>
      <c r="N172" s="95"/>
      <c r="O172" t="str">
        <f t="shared" si="4"/>
        <v>169. _</v>
      </c>
    </row>
    <row r="173" spans="1:15">
      <c r="A173" s="91"/>
      <c r="B173" s="92">
        <f t="shared" si="5"/>
        <v>170</v>
      </c>
      <c r="C173" s="217"/>
      <c r="D173" s="217"/>
      <c r="E173" s="97"/>
      <c r="F173" s="92"/>
      <c r="G173" s="92"/>
      <c r="H173" s="93"/>
      <c r="I173" s="93"/>
      <c r="J173" s="93"/>
      <c r="K173" s="93"/>
      <c r="L173" s="93"/>
      <c r="M173" s="93"/>
      <c r="N173" s="95"/>
      <c r="O173" t="str">
        <f t="shared" si="4"/>
        <v>170. _</v>
      </c>
    </row>
    <row r="174" spans="1:15">
      <c r="A174" s="91"/>
      <c r="B174" s="92">
        <f t="shared" si="5"/>
        <v>171</v>
      </c>
      <c r="C174" s="217"/>
      <c r="D174" s="217"/>
      <c r="E174" s="97"/>
      <c r="F174" s="92"/>
      <c r="G174" s="92"/>
      <c r="H174" s="93"/>
      <c r="I174" s="93"/>
      <c r="J174" s="93"/>
      <c r="K174" s="93"/>
      <c r="L174" s="93"/>
      <c r="M174" s="93"/>
      <c r="N174" s="95"/>
      <c r="O174" t="str">
        <f t="shared" si="4"/>
        <v>171. _</v>
      </c>
    </row>
    <row r="175" spans="1:15">
      <c r="A175" s="91"/>
      <c r="B175" s="92">
        <f t="shared" si="5"/>
        <v>172</v>
      </c>
      <c r="C175" s="217"/>
      <c r="D175" s="217"/>
      <c r="E175" s="97"/>
      <c r="F175" s="92"/>
      <c r="G175" s="92"/>
      <c r="H175" s="93"/>
      <c r="I175" s="93"/>
      <c r="J175" s="93"/>
      <c r="K175" s="93"/>
      <c r="L175" s="93"/>
      <c r="M175" s="93"/>
      <c r="N175" s="95"/>
      <c r="O175" t="str">
        <f t="shared" si="4"/>
        <v>172. _</v>
      </c>
    </row>
    <row r="176" spans="1:15">
      <c r="A176" s="91"/>
      <c r="B176" s="92">
        <f t="shared" si="5"/>
        <v>173</v>
      </c>
      <c r="C176" s="217"/>
      <c r="D176" s="217"/>
      <c r="E176" s="97"/>
      <c r="F176" s="92"/>
      <c r="G176" s="92"/>
      <c r="H176" s="93"/>
      <c r="I176" s="93"/>
      <c r="J176" s="93"/>
      <c r="K176" s="93"/>
      <c r="L176" s="93"/>
      <c r="M176" s="93"/>
      <c r="N176" s="95"/>
      <c r="O176" t="str">
        <f t="shared" si="4"/>
        <v>173. _</v>
      </c>
    </row>
    <row r="177" spans="1:15">
      <c r="A177" s="91"/>
      <c r="B177" s="92">
        <f t="shared" si="5"/>
        <v>174</v>
      </c>
      <c r="C177" s="217"/>
      <c r="D177" s="217"/>
      <c r="E177" s="97"/>
      <c r="F177" s="92"/>
      <c r="G177" s="92"/>
      <c r="H177" s="93"/>
      <c r="I177" s="93"/>
      <c r="J177" s="93"/>
      <c r="K177" s="93"/>
      <c r="L177" s="93"/>
      <c r="M177" s="93"/>
      <c r="N177" s="95"/>
      <c r="O177" t="str">
        <f t="shared" si="4"/>
        <v>174. _</v>
      </c>
    </row>
    <row r="178" spans="1:15">
      <c r="A178" s="91"/>
      <c r="B178" s="92">
        <f t="shared" si="5"/>
        <v>175</v>
      </c>
      <c r="C178" s="217"/>
      <c r="D178" s="217"/>
      <c r="E178" s="97"/>
      <c r="F178" s="92"/>
      <c r="G178" s="92"/>
      <c r="H178" s="93"/>
      <c r="I178" s="93"/>
      <c r="J178" s="93"/>
      <c r="K178" s="93"/>
      <c r="L178" s="93"/>
      <c r="M178" s="93"/>
      <c r="N178" s="95"/>
      <c r="O178" t="str">
        <f t="shared" si="4"/>
        <v>175. _</v>
      </c>
    </row>
    <row r="179" spans="1:15">
      <c r="A179" s="91"/>
      <c r="B179" s="92">
        <f t="shared" si="5"/>
        <v>176</v>
      </c>
      <c r="C179" s="217"/>
      <c r="D179" s="217"/>
      <c r="E179" s="97"/>
      <c r="F179" s="92"/>
      <c r="G179" s="92"/>
      <c r="H179" s="93"/>
      <c r="I179" s="93"/>
      <c r="J179" s="93"/>
      <c r="K179" s="93"/>
      <c r="L179" s="93"/>
      <c r="M179" s="93"/>
      <c r="N179" s="95"/>
      <c r="O179" t="str">
        <f t="shared" si="4"/>
        <v>176. _</v>
      </c>
    </row>
    <row r="180" spans="1:15">
      <c r="A180" s="91"/>
      <c r="B180" s="92">
        <f t="shared" si="5"/>
        <v>177</v>
      </c>
      <c r="C180" s="217"/>
      <c r="D180" s="217"/>
      <c r="E180" s="97"/>
      <c r="F180" s="92"/>
      <c r="G180" s="92"/>
      <c r="H180" s="93"/>
      <c r="I180" s="93"/>
      <c r="J180" s="93"/>
      <c r="K180" s="93"/>
      <c r="L180" s="93"/>
      <c r="M180" s="93"/>
      <c r="N180" s="95"/>
      <c r="O180" t="str">
        <f t="shared" si="4"/>
        <v>177. _</v>
      </c>
    </row>
    <row r="181" spans="1:15">
      <c r="A181" s="91"/>
      <c r="B181" s="92">
        <f t="shared" si="5"/>
        <v>178</v>
      </c>
      <c r="C181" s="217"/>
      <c r="D181" s="217"/>
      <c r="E181" s="97"/>
      <c r="F181" s="92"/>
      <c r="G181" s="92"/>
      <c r="H181" s="93"/>
      <c r="I181" s="93"/>
      <c r="J181" s="93"/>
      <c r="K181" s="93"/>
      <c r="L181" s="93"/>
      <c r="M181" s="93"/>
      <c r="N181" s="95"/>
      <c r="O181" t="str">
        <f t="shared" si="4"/>
        <v>178. _</v>
      </c>
    </row>
    <row r="182" spans="1:15">
      <c r="A182" s="91"/>
      <c r="B182" s="92">
        <f t="shared" si="5"/>
        <v>179</v>
      </c>
      <c r="C182" s="217"/>
      <c r="D182" s="217"/>
      <c r="E182" s="97"/>
      <c r="F182" s="92"/>
      <c r="G182" s="92"/>
      <c r="H182" s="93"/>
      <c r="I182" s="93"/>
      <c r="J182" s="93"/>
      <c r="K182" s="93"/>
      <c r="L182" s="93"/>
      <c r="M182" s="93"/>
      <c r="N182" s="95"/>
      <c r="O182" t="str">
        <f t="shared" si="4"/>
        <v>179. _</v>
      </c>
    </row>
    <row r="183" spans="1:15">
      <c r="A183" s="91"/>
      <c r="B183" s="92">
        <f t="shared" si="5"/>
        <v>180</v>
      </c>
      <c r="C183" s="217"/>
      <c r="D183" s="217"/>
      <c r="E183" s="97"/>
      <c r="F183" s="92"/>
      <c r="G183" s="92"/>
      <c r="H183" s="93"/>
      <c r="I183" s="93"/>
      <c r="J183" s="93"/>
      <c r="K183" s="93"/>
      <c r="L183" s="93"/>
      <c r="M183" s="93"/>
      <c r="N183" s="95"/>
      <c r="O183" t="str">
        <f t="shared" si="4"/>
        <v>180. _</v>
      </c>
    </row>
    <row r="184" spans="1:15" s="192" customFormat="1">
      <c r="A184" s="191"/>
      <c r="B184" s="92">
        <f t="shared" si="5"/>
        <v>181</v>
      </c>
      <c r="C184" s="217"/>
      <c r="D184" s="217"/>
      <c r="E184" s="97"/>
      <c r="F184" s="92"/>
      <c r="G184" s="92"/>
      <c r="H184" s="93"/>
      <c r="I184" s="93"/>
      <c r="J184" s="93"/>
      <c r="K184" s="93"/>
      <c r="L184" s="93"/>
      <c r="M184" s="93"/>
      <c r="N184" s="95"/>
      <c r="O184" t="str">
        <f t="shared" si="4"/>
        <v>181. _</v>
      </c>
    </row>
    <row r="185" spans="1:15">
      <c r="A185" s="91"/>
      <c r="B185" s="92">
        <f t="shared" si="5"/>
        <v>182</v>
      </c>
      <c r="C185" s="217"/>
      <c r="D185" s="217"/>
      <c r="E185" s="97"/>
      <c r="F185" s="92"/>
      <c r="G185" s="92"/>
      <c r="H185" s="93"/>
      <c r="I185" s="93"/>
      <c r="J185" s="93"/>
      <c r="K185" s="93"/>
      <c r="L185" s="93"/>
      <c r="M185" s="93"/>
      <c r="N185" s="95"/>
      <c r="O185" t="str">
        <f t="shared" si="4"/>
        <v>182. _</v>
      </c>
    </row>
    <row r="186" spans="1:15">
      <c r="A186" s="91"/>
      <c r="B186" s="92">
        <f t="shared" si="5"/>
        <v>183</v>
      </c>
      <c r="C186" s="217"/>
      <c r="D186" s="217"/>
      <c r="E186" s="97"/>
      <c r="F186" s="92"/>
      <c r="G186" s="92"/>
      <c r="H186" s="93"/>
      <c r="I186" s="93"/>
      <c r="J186" s="93"/>
      <c r="K186" s="93"/>
      <c r="L186" s="93"/>
      <c r="M186" s="93"/>
      <c r="N186" s="95"/>
      <c r="O186" t="str">
        <f t="shared" si="4"/>
        <v>183. _</v>
      </c>
    </row>
    <row r="187" spans="1:15">
      <c r="A187" s="91"/>
      <c r="B187" s="92">
        <f t="shared" si="5"/>
        <v>184</v>
      </c>
      <c r="C187" s="217"/>
      <c r="D187" s="217"/>
      <c r="E187" s="97"/>
      <c r="F187" s="92"/>
      <c r="G187" s="92"/>
      <c r="H187" s="93"/>
      <c r="I187" s="93"/>
      <c r="J187" s="93"/>
      <c r="K187" s="93"/>
      <c r="L187" s="93"/>
      <c r="M187" s="93"/>
      <c r="N187" s="95"/>
      <c r="O187" t="str">
        <f t="shared" si="4"/>
        <v>184. _</v>
      </c>
    </row>
    <row r="188" spans="1:15">
      <c r="A188" s="91"/>
      <c r="B188" s="92">
        <f t="shared" si="5"/>
        <v>185</v>
      </c>
      <c r="C188" s="217"/>
      <c r="D188" s="217"/>
      <c r="E188" s="97"/>
      <c r="F188" s="92"/>
      <c r="G188" s="92"/>
      <c r="H188" s="93"/>
      <c r="I188" s="93"/>
      <c r="J188" s="93"/>
      <c r="K188" s="93"/>
      <c r="L188" s="93"/>
      <c r="M188" s="93"/>
      <c r="N188" s="95"/>
      <c r="O188" t="str">
        <f t="shared" si="4"/>
        <v>185. _</v>
      </c>
    </row>
    <row r="189" spans="1:15">
      <c r="A189" s="91"/>
      <c r="B189" s="92">
        <f t="shared" si="5"/>
        <v>186</v>
      </c>
      <c r="C189" s="217"/>
      <c r="D189" s="217"/>
      <c r="E189" s="97"/>
      <c r="F189" s="92"/>
      <c r="G189" s="92"/>
      <c r="H189" s="93"/>
      <c r="I189" s="93"/>
      <c r="J189" s="93"/>
      <c r="K189" s="93"/>
      <c r="L189" s="93"/>
      <c r="M189" s="93"/>
      <c r="N189" s="95"/>
      <c r="O189" t="str">
        <f t="shared" si="4"/>
        <v>186. _</v>
      </c>
    </row>
    <row r="190" spans="1:15">
      <c r="A190" s="91"/>
      <c r="B190" s="92">
        <f t="shared" si="5"/>
        <v>187</v>
      </c>
      <c r="C190" s="217"/>
      <c r="D190" s="217"/>
      <c r="E190" s="97"/>
      <c r="F190" s="92"/>
      <c r="G190" s="92"/>
      <c r="H190" s="93"/>
      <c r="I190" s="93"/>
      <c r="J190" s="93"/>
      <c r="K190" s="93"/>
      <c r="L190" s="93"/>
      <c r="M190" s="93"/>
      <c r="N190" s="95"/>
      <c r="O190" t="str">
        <f t="shared" si="4"/>
        <v>187. _</v>
      </c>
    </row>
    <row r="191" spans="1:15">
      <c r="A191" s="91"/>
      <c r="B191" s="92">
        <f t="shared" si="5"/>
        <v>188</v>
      </c>
      <c r="C191" s="217"/>
      <c r="D191" s="217"/>
      <c r="E191" s="97"/>
      <c r="F191" s="92"/>
      <c r="G191" s="92"/>
      <c r="H191" s="93"/>
      <c r="I191" s="93"/>
      <c r="J191" s="93"/>
      <c r="K191" s="93"/>
      <c r="L191" s="93"/>
      <c r="M191" s="93"/>
      <c r="N191" s="95"/>
      <c r="O191" t="str">
        <f t="shared" si="4"/>
        <v>188. _</v>
      </c>
    </row>
    <row r="192" spans="1:15">
      <c r="A192" s="91"/>
      <c r="B192" s="92">
        <f t="shared" si="5"/>
        <v>189</v>
      </c>
      <c r="C192" s="217"/>
      <c r="D192" s="217"/>
      <c r="E192" s="97"/>
      <c r="F192" s="92"/>
      <c r="G192" s="92"/>
      <c r="H192" s="93"/>
      <c r="I192" s="93"/>
      <c r="J192" s="93"/>
      <c r="K192" s="93"/>
      <c r="L192" s="93"/>
      <c r="M192" s="93"/>
      <c r="N192" s="95"/>
      <c r="O192" t="str">
        <f t="shared" si="4"/>
        <v>189. _</v>
      </c>
    </row>
    <row r="193" spans="1:15">
      <c r="A193" s="91"/>
      <c r="B193" s="92">
        <f t="shared" si="5"/>
        <v>190</v>
      </c>
      <c r="C193" s="217"/>
      <c r="D193" s="217"/>
      <c r="E193" s="97"/>
      <c r="F193" s="92"/>
      <c r="G193" s="92"/>
      <c r="H193" s="93"/>
      <c r="I193" s="93"/>
      <c r="J193" s="93"/>
      <c r="K193" s="93"/>
      <c r="L193" s="93"/>
      <c r="M193" s="93"/>
      <c r="N193" s="95"/>
      <c r="O193" t="str">
        <f t="shared" si="4"/>
        <v>190. _</v>
      </c>
    </row>
    <row r="194" spans="1:15">
      <c r="A194" s="91"/>
      <c r="B194" s="92">
        <f t="shared" si="5"/>
        <v>191</v>
      </c>
      <c r="C194" s="217"/>
      <c r="D194" s="217"/>
      <c r="E194" s="97"/>
      <c r="F194" s="92"/>
      <c r="G194" s="92"/>
      <c r="H194" s="93"/>
      <c r="I194" s="93"/>
      <c r="J194" s="93"/>
      <c r="K194" s="93"/>
      <c r="L194" s="93"/>
      <c r="M194" s="93"/>
      <c r="N194" s="95"/>
      <c r="O194" t="str">
        <f t="shared" si="4"/>
        <v>191. _</v>
      </c>
    </row>
    <row r="195" spans="1:15">
      <c r="A195" s="91"/>
      <c r="B195" s="92">
        <f t="shared" si="5"/>
        <v>192</v>
      </c>
      <c r="C195" s="217"/>
      <c r="D195" s="217"/>
      <c r="E195" s="97"/>
      <c r="F195" s="92"/>
      <c r="G195" s="92"/>
      <c r="H195" s="93"/>
      <c r="I195" s="93"/>
      <c r="J195" s="93"/>
      <c r="K195" s="93"/>
      <c r="L195" s="93"/>
      <c r="M195" s="93"/>
      <c r="N195" s="95"/>
      <c r="O195" t="str">
        <f t="shared" ref="O195:O258" si="6">CONCATENATE(B195,". ",C195,"_",D195)</f>
        <v>192. _</v>
      </c>
    </row>
    <row r="196" spans="1:15">
      <c r="A196" s="91"/>
      <c r="B196" s="92">
        <f t="shared" si="5"/>
        <v>193</v>
      </c>
      <c r="C196" s="217"/>
      <c r="D196" s="217"/>
      <c r="E196" s="97"/>
      <c r="F196" s="92"/>
      <c r="G196" s="92"/>
      <c r="H196" s="93"/>
      <c r="I196" s="93"/>
      <c r="J196" s="93"/>
      <c r="K196" s="93"/>
      <c r="L196" s="93"/>
      <c r="M196" s="93"/>
      <c r="N196" s="95"/>
      <c r="O196" t="str">
        <f t="shared" si="6"/>
        <v>193. _</v>
      </c>
    </row>
    <row r="197" spans="1:15">
      <c r="A197" s="91"/>
      <c r="B197" s="92">
        <f t="shared" ref="B197:B260" si="7">B196+1</f>
        <v>194</v>
      </c>
      <c r="C197" s="217"/>
      <c r="D197" s="217"/>
      <c r="E197" s="97"/>
      <c r="F197" s="92"/>
      <c r="G197" s="92"/>
      <c r="H197" s="93"/>
      <c r="I197" s="93"/>
      <c r="J197" s="93"/>
      <c r="K197" s="93"/>
      <c r="L197" s="93"/>
      <c r="M197" s="93"/>
      <c r="N197" s="95"/>
      <c r="O197" t="str">
        <f t="shared" si="6"/>
        <v>194. _</v>
      </c>
    </row>
    <row r="198" spans="1:15">
      <c r="A198" s="91"/>
      <c r="B198" s="92">
        <f t="shared" si="7"/>
        <v>195</v>
      </c>
      <c r="C198" s="217"/>
      <c r="D198" s="217"/>
      <c r="E198" s="97"/>
      <c r="F198" s="92"/>
      <c r="G198" s="92"/>
      <c r="H198" s="93"/>
      <c r="I198" s="93"/>
      <c r="J198" s="93"/>
      <c r="K198" s="93"/>
      <c r="L198" s="93"/>
      <c r="M198" s="93"/>
      <c r="N198" s="95"/>
      <c r="O198" t="str">
        <f t="shared" si="6"/>
        <v>195. _</v>
      </c>
    </row>
    <row r="199" spans="1:15">
      <c r="A199" s="91"/>
      <c r="B199" s="92">
        <f t="shared" si="7"/>
        <v>196</v>
      </c>
      <c r="C199" s="217"/>
      <c r="D199" s="217"/>
      <c r="E199" s="97"/>
      <c r="F199" s="92"/>
      <c r="G199" s="92"/>
      <c r="H199" s="93"/>
      <c r="I199" s="93"/>
      <c r="J199" s="93"/>
      <c r="K199" s="93"/>
      <c r="L199" s="93"/>
      <c r="M199" s="93"/>
      <c r="N199" s="95"/>
      <c r="O199" t="str">
        <f t="shared" si="6"/>
        <v>196. _</v>
      </c>
    </row>
    <row r="200" spans="1:15">
      <c r="A200" s="91"/>
      <c r="B200" s="92">
        <f t="shared" si="7"/>
        <v>197</v>
      </c>
      <c r="C200" s="217"/>
      <c r="D200" s="217"/>
      <c r="E200" s="97"/>
      <c r="F200" s="92"/>
      <c r="G200" s="92"/>
      <c r="H200" s="93"/>
      <c r="I200" s="93"/>
      <c r="J200" s="93"/>
      <c r="K200" s="93"/>
      <c r="L200" s="93"/>
      <c r="M200" s="93"/>
      <c r="N200" s="95"/>
      <c r="O200" t="str">
        <f t="shared" si="6"/>
        <v>197. _</v>
      </c>
    </row>
    <row r="201" spans="1:15">
      <c r="A201" s="91"/>
      <c r="B201" s="92">
        <f t="shared" si="7"/>
        <v>198</v>
      </c>
      <c r="C201" s="217"/>
      <c r="D201" s="217"/>
      <c r="E201" s="97"/>
      <c r="F201" s="92"/>
      <c r="G201" s="92"/>
      <c r="H201" s="93"/>
      <c r="I201" s="93"/>
      <c r="J201" s="93"/>
      <c r="K201" s="93"/>
      <c r="L201" s="93"/>
      <c r="M201" s="93"/>
      <c r="N201" s="95"/>
      <c r="O201" t="str">
        <f t="shared" si="6"/>
        <v>198. _</v>
      </c>
    </row>
    <row r="202" spans="1:15">
      <c r="A202" s="91"/>
      <c r="B202" s="92">
        <f t="shared" si="7"/>
        <v>199</v>
      </c>
      <c r="C202" s="217"/>
      <c r="D202" s="217"/>
      <c r="E202" s="97"/>
      <c r="F202" s="92"/>
      <c r="G202" s="92"/>
      <c r="H202" s="93"/>
      <c r="I202" s="93"/>
      <c r="J202" s="93"/>
      <c r="K202" s="93"/>
      <c r="L202" s="93"/>
      <c r="M202" s="93"/>
      <c r="N202" s="95"/>
      <c r="O202" t="str">
        <f t="shared" si="6"/>
        <v>199. _</v>
      </c>
    </row>
    <row r="203" spans="1:15">
      <c r="A203" s="91"/>
      <c r="B203" s="92">
        <f t="shared" si="7"/>
        <v>200</v>
      </c>
      <c r="C203" s="217"/>
      <c r="D203" s="217"/>
      <c r="E203" s="97"/>
      <c r="F203" s="92"/>
      <c r="G203" s="92"/>
      <c r="H203" s="93"/>
      <c r="I203" s="104"/>
      <c r="J203" s="93"/>
      <c r="K203" s="93"/>
      <c r="L203" s="93"/>
      <c r="M203" s="104"/>
      <c r="N203" s="95"/>
      <c r="O203" t="str">
        <f t="shared" si="6"/>
        <v>200. _</v>
      </c>
    </row>
    <row r="204" spans="1:15">
      <c r="A204" s="91"/>
      <c r="B204" s="92">
        <f t="shared" si="7"/>
        <v>201</v>
      </c>
      <c r="C204" s="217"/>
      <c r="D204" s="217"/>
      <c r="E204" s="97"/>
      <c r="F204" s="92"/>
      <c r="G204" s="92"/>
      <c r="H204" s="93"/>
      <c r="I204" s="104"/>
      <c r="J204" s="93"/>
      <c r="K204" s="93"/>
      <c r="L204" s="93"/>
      <c r="M204" s="93"/>
      <c r="N204" s="95"/>
      <c r="O204" t="str">
        <f t="shared" si="6"/>
        <v>201. _</v>
      </c>
    </row>
    <row r="205" spans="1:15">
      <c r="A205" s="91"/>
      <c r="B205" s="92">
        <f t="shared" si="7"/>
        <v>202</v>
      </c>
      <c r="C205" s="217"/>
      <c r="D205" s="217"/>
      <c r="E205" s="97"/>
      <c r="F205" s="92"/>
      <c r="G205" s="92"/>
      <c r="H205" s="93"/>
      <c r="I205" s="104"/>
      <c r="J205" s="93"/>
      <c r="K205" s="93"/>
      <c r="L205" s="93"/>
      <c r="M205" s="93"/>
      <c r="N205" s="95"/>
      <c r="O205" t="str">
        <f t="shared" si="6"/>
        <v>202. _</v>
      </c>
    </row>
    <row r="206" spans="1:15">
      <c r="A206" s="91"/>
      <c r="B206" s="92">
        <f t="shared" si="7"/>
        <v>203</v>
      </c>
      <c r="C206" s="217"/>
      <c r="D206" s="217"/>
      <c r="E206" s="97"/>
      <c r="F206" s="92"/>
      <c r="G206" s="92"/>
      <c r="H206" s="93"/>
      <c r="I206" s="104"/>
      <c r="J206" s="93"/>
      <c r="K206" s="93"/>
      <c r="L206" s="93"/>
      <c r="M206" s="93"/>
      <c r="N206" s="95"/>
      <c r="O206" t="str">
        <f t="shared" si="6"/>
        <v>203. _</v>
      </c>
    </row>
    <row r="207" spans="1:15">
      <c r="A207" s="91"/>
      <c r="B207" s="92">
        <f t="shared" si="7"/>
        <v>204</v>
      </c>
      <c r="C207" s="217"/>
      <c r="D207" s="217"/>
      <c r="E207" s="97"/>
      <c r="F207" s="92"/>
      <c r="G207" s="92"/>
      <c r="H207" s="93"/>
      <c r="I207" s="93"/>
      <c r="J207" s="93"/>
      <c r="K207" s="93"/>
      <c r="L207" s="93"/>
      <c r="M207" s="93"/>
      <c r="N207" s="95"/>
      <c r="O207" t="str">
        <f t="shared" si="6"/>
        <v>204. _</v>
      </c>
    </row>
    <row r="208" spans="1:15">
      <c r="A208" s="91"/>
      <c r="B208" s="92">
        <f t="shared" si="7"/>
        <v>205</v>
      </c>
      <c r="C208" s="217"/>
      <c r="D208" s="217"/>
      <c r="E208" s="97"/>
      <c r="F208" s="92"/>
      <c r="G208" s="92"/>
      <c r="H208" s="93"/>
      <c r="I208" s="93"/>
      <c r="J208" s="93"/>
      <c r="K208" s="93"/>
      <c r="L208" s="93"/>
      <c r="M208" s="93"/>
      <c r="N208" s="95"/>
      <c r="O208" t="str">
        <f t="shared" si="6"/>
        <v>205. _</v>
      </c>
    </row>
    <row r="209" spans="1:15">
      <c r="A209" s="91"/>
      <c r="B209" s="92">
        <f t="shared" si="7"/>
        <v>206</v>
      </c>
      <c r="C209" s="217"/>
      <c r="D209" s="217"/>
      <c r="E209" s="97"/>
      <c r="F209" s="92"/>
      <c r="G209" s="92"/>
      <c r="H209" s="93"/>
      <c r="I209" s="93"/>
      <c r="J209" s="93"/>
      <c r="K209" s="93"/>
      <c r="L209" s="93"/>
      <c r="M209" s="93"/>
      <c r="N209" s="95"/>
      <c r="O209" t="str">
        <f t="shared" si="6"/>
        <v>206. _</v>
      </c>
    </row>
    <row r="210" spans="1:15">
      <c r="A210" s="91"/>
      <c r="B210" s="92">
        <f t="shared" si="7"/>
        <v>207</v>
      </c>
      <c r="C210" s="217"/>
      <c r="D210" s="217"/>
      <c r="E210" s="97"/>
      <c r="F210" s="92"/>
      <c r="G210" s="92"/>
      <c r="H210" s="93"/>
      <c r="I210" s="93"/>
      <c r="J210" s="93"/>
      <c r="K210" s="93"/>
      <c r="L210" s="93"/>
      <c r="M210" s="93"/>
      <c r="N210" s="95"/>
      <c r="O210" t="str">
        <f t="shared" si="6"/>
        <v>207. _</v>
      </c>
    </row>
    <row r="211" spans="1:15">
      <c r="A211" s="91"/>
      <c r="B211" s="92">
        <f t="shared" si="7"/>
        <v>208</v>
      </c>
      <c r="C211" s="217"/>
      <c r="D211" s="217"/>
      <c r="E211" s="97"/>
      <c r="F211" s="92"/>
      <c r="G211" s="92"/>
      <c r="H211" s="93"/>
      <c r="I211" s="93"/>
      <c r="J211" s="93"/>
      <c r="K211" s="93"/>
      <c r="L211" s="93"/>
      <c r="M211" s="93"/>
      <c r="N211" s="95"/>
      <c r="O211" t="str">
        <f t="shared" si="6"/>
        <v>208. _</v>
      </c>
    </row>
    <row r="212" spans="1:15">
      <c r="A212" s="91"/>
      <c r="B212" s="92">
        <f t="shared" si="7"/>
        <v>209</v>
      </c>
      <c r="C212" s="217"/>
      <c r="D212" s="217"/>
      <c r="E212" s="97"/>
      <c r="F212" s="92"/>
      <c r="G212" s="92"/>
      <c r="H212" s="93"/>
      <c r="I212" s="93"/>
      <c r="J212" s="93"/>
      <c r="K212" s="93"/>
      <c r="L212" s="93"/>
      <c r="M212" s="93"/>
      <c r="N212" s="95"/>
      <c r="O212" t="str">
        <f t="shared" si="6"/>
        <v>209. _</v>
      </c>
    </row>
    <row r="213" spans="1:15">
      <c r="A213" s="91"/>
      <c r="B213" s="92">
        <f t="shared" si="7"/>
        <v>210</v>
      </c>
      <c r="C213" s="217"/>
      <c r="D213" s="217"/>
      <c r="E213" s="97"/>
      <c r="F213" s="92"/>
      <c r="G213" s="92"/>
      <c r="H213" s="93"/>
      <c r="I213" s="93"/>
      <c r="J213" s="93"/>
      <c r="K213" s="93"/>
      <c r="L213" s="93"/>
      <c r="M213" s="93"/>
      <c r="N213" s="95"/>
      <c r="O213" t="str">
        <f t="shared" si="6"/>
        <v>210. _</v>
      </c>
    </row>
    <row r="214" spans="1:15">
      <c r="A214" s="91"/>
      <c r="B214" s="92">
        <f t="shared" si="7"/>
        <v>211</v>
      </c>
      <c r="C214" s="217"/>
      <c r="D214" s="217"/>
      <c r="E214" s="97"/>
      <c r="F214" s="92"/>
      <c r="G214" s="92"/>
      <c r="H214" s="93"/>
      <c r="I214" s="93"/>
      <c r="J214" s="93"/>
      <c r="K214" s="93"/>
      <c r="L214" s="93"/>
      <c r="M214" s="93"/>
      <c r="N214" s="95"/>
      <c r="O214" t="str">
        <f t="shared" si="6"/>
        <v>211. _</v>
      </c>
    </row>
    <row r="215" spans="1:15">
      <c r="A215" s="91"/>
      <c r="B215" s="92">
        <f t="shared" si="7"/>
        <v>212</v>
      </c>
      <c r="C215" s="217"/>
      <c r="D215" s="217"/>
      <c r="E215" s="97"/>
      <c r="F215" s="92"/>
      <c r="G215" s="92"/>
      <c r="H215" s="93"/>
      <c r="I215" s="93"/>
      <c r="J215" s="93"/>
      <c r="K215" s="93"/>
      <c r="L215" s="93"/>
      <c r="M215" s="93"/>
      <c r="N215" s="95"/>
      <c r="O215" t="str">
        <f t="shared" si="6"/>
        <v>212. _</v>
      </c>
    </row>
    <row r="216" spans="1:15">
      <c r="A216" s="91"/>
      <c r="B216" s="92">
        <f t="shared" si="7"/>
        <v>213</v>
      </c>
      <c r="C216" s="217"/>
      <c r="D216" s="217"/>
      <c r="E216" s="97"/>
      <c r="F216" s="92"/>
      <c r="G216" s="92"/>
      <c r="H216" s="93"/>
      <c r="I216" s="93"/>
      <c r="J216" s="93"/>
      <c r="K216" s="93"/>
      <c r="L216" s="93"/>
      <c r="M216" s="93"/>
      <c r="N216" s="95"/>
      <c r="O216" t="str">
        <f t="shared" si="6"/>
        <v>213. _</v>
      </c>
    </row>
    <row r="217" spans="1:15">
      <c r="A217" s="91"/>
      <c r="B217" s="92">
        <f t="shared" si="7"/>
        <v>214</v>
      </c>
      <c r="C217" s="217"/>
      <c r="D217" s="217"/>
      <c r="E217" s="97"/>
      <c r="F217" s="92"/>
      <c r="G217" s="92"/>
      <c r="H217" s="93"/>
      <c r="I217" s="93"/>
      <c r="J217" s="93"/>
      <c r="K217" s="93"/>
      <c r="L217" s="93"/>
      <c r="M217" s="93"/>
      <c r="N217" s="95"/>
      <c r="O217" t="str">
        <f t="shared" si="6"/>
        <v>214. _</v>
      </c>
    </row>
    <row r="218" spans="1:15">
      <c r="A218" s="91"/>
      <c r="B218" s="92">
        <f t="shared" si="7"/>
        <v>215</v>
      </c>
      <c r="C218" s="222"/>
      <c r="D218" s="217"/>
      <c r="E218" s="97"/>
      <c r="F218" s="92"/>
      <c r="G218" s="92"/>
      <c r="H218" s="93"/>
      <c r="I218" s="93"/>
      <c r="J218" s="93"/>
      <c r="K218" s="93"/>
      <c r="L218" s="93"/>
      <c r="M218" s="93"/>
      <c r="N218" s="95"/>
      <c r="O218" t="str">
        <f t="shared" si="6"/>
        <v>215. _</v>
      </c>
    </row>
    <row r="219" spans="1:15">
      <c r="A219" s="91"/>
      <c r="B219" s="92">
        <f t="shared" si="7"/>
        <v>216</v>
      </c>
      <c r="C219" s="223"/>
      <c r="D219" s="217"/>
      <c r="E219" s="97"/>
      <c r="F219" s="92"/>
      <c r="G219" s="92"/>
      <c r="H219" s="93"/>
      <c r="I219" s="93"/>
      <c r="J219" s="93"/>
      <c r="K219" s="93"/>
      <c r="L219" s="93"/>
      <c r="M219" s="93"/>
      <c r="N219" s="95"/>
      <c r="O219" t="str">
        <f t="shared" si="6"/>
        <v>216. _</v>
      </c>
    </row>
    <row r="220" spans="1:15">
      <c r="A220" s="91"/>
      <c r="B220" s="92">
        <f t="shared" si="7"/>
        <v>217</v>
      </c>
      <c r="C220" s="217"/>
      <c r="D220" s="217"/>
      <c r="E220" s="97"/>
      <c r="F220" s="92"/>
      <c r="G220" s="92"/>
      <c r="H220" s="93"/>
      <c r="I220" s="93"/>
      <c r="J220" s="93"/>
      <c r="K220" s="93"/>
      <c r="L220" s="93"/>
      <c r="M220" s="93"/>
      <c r="N220" s="95"/>
      <c r="O220" t="str">
        <f t="shared" si="6"/>
        <v>217. _</v>
      </c>
    </row>
    <row r="221" spans="1:15">
      <c r="A221" s="91"/>
      <c r="B221" s="92">
        <f t="shared" si="7"/>
        <v>218</v>
      </c>
      <c r="C221" s="217"/>
      <c r="D221" s="217"/>
      <c r="E221" s="97"/>
      <c r="F221" s="92"/>
      <c r="G221" s="92"/>
      <c r="H221" s="93"/>
      <c r="I221" s="93"/>
      <c r="J221" s="93"/>
      <c r="K221" s="93"/>
      <c r="L221" s="93"/>
      <c r="M221" s="93"/>
      <c r="N221" s="95"/>
      <c r="O221" t="str">
        <f t="shared" si="6"/>
        <v>218. _</v>
      </c>
    </row>
    <row r="222" spans="1:15">
      <c r="A222" s="91"/>
      <c r="B222" s="92">
        <f t="shared" si="7"/>
        <v>219</v>
      </c>
      <c r="C222" s="217"/>
      <c r="D222" s="217"/>
      <c r="E222" s="97"/>
      <c r="F222" s="92"/>
      <c r="G222" s="92"/>
      <c r="H222" s="93"/>
      <c r="I222" s="93"/>
      <c r="J222" s="93"/>
      <c r="K222" s="93"/>
      <c r="L222" s="93"/>
      <c r="M222" s="93"/>
      <c r="N222" s="95"/>
      <c r="O222" t="str">
        <f t="shared" si="6"/>
        <v>219. _</v>
      </c>
    </row>
    <row r="223" spans="1:15">
      <c r="A223" s="91"/>
      <c r="B223" s="92">
        <f t="shared" si="7"/>
        <v>220</v>
      </c>
      <c r="C223" s="217"/>
      <c r="D223" s="217"/>
      <c r="E223" s="97"/>
      <c r="F223" s="92"/>
      <c r="G223" s="92"/>
      <c r="H223" s="93"/>
      <c r="I223" s="93"/>
      <c r="J223" s="93"/>
      <c r="K223" s="93"/>
      <c r="L223" s="93"/>
      <c r="M223" s="93"/>
      <c r="N223" s="95"/>
      <c r="O223" t="str">
        <f t="shared" si="6"/>
        <v>220. _</v>
      </c>
    </row>
    <row r="224" spans="1:15">
      <c r="A224" s="91"/>
      <c r="B224" s="92">
        <f t="shared" si="7"/>
        <v>221</v>
      </c>
      <c r="C224" s="217"/>
      <c r="D224" s="217"/>
      <c r="E224" s="97"/>
      <c r="F224" s="92"/>
      <c r="G224" s="92"/>
      <c r="H224" s="93"/>
      <c r="I224" s="93"/>
      <c r="J224" s="93"/>
      <c r="K224" s="93"/>
      <c r="L224" s="93"/>
      <c r="M224" s="93"/>
      <c r="N224" s="95"/>
      <c r="O224" t="str">
        <f t="shared" si="6"/>
        <v>221. _</v>
      </c>
    </row>
    <row r="225" spans="1:15">
      <c r="A225" s="91"/>
      <c r="B225" s="92">
        <f t="shared" si="7"/>
        <v>222</v>
      </c>
      <c r="C225" s="217"/>
      <c r="D225" s="217"/>
      <c r="E225" s="97"/>
      <c r="F225" s="92"/>
      <c r="G225" s="92"/>
      <c r="H225" s="93"/>
      <c r="I225" s="93"/>
      <c r="J225" s="93"/>
      <c r="K225" s="93"/>
      <c r="L225" s="93"/>
      <c r="M225" s="93"/>
      <c r="N225" s="95"/>
      <c r="O225" t="str">
        <f t="shared" si="6"/>
        <v>222. _</v>
      </c>
    </row>
    <row r="226" spans="1:15">
      <c r="A226" s="91"/>
      <c r="B226" s="92">
        <f t="shared" si="7"/>
        <v>223</v>
      </c>
      <c r="C226" s="217"/>
      <c r="D226" s="217"/>
      <c r="E226" s="97"/>
      <c r="F226" s="92"/>
      <c r="G226" s="92"/>
      <c r="H226" s="93"/>
      <c r="I226" s="93"/>
      <c r="J226" s="93"/>
      <c r="K226" s="93"/>
      <c r="L226" s="93"/>
      <c r="M226" s="93"/>
      <c r="N226" s="95"/>
      <c r="O226" t="str">
        <f t="shared" si="6"/>
        <v>223. _</v>
      </c>
    </row>
    <row r="227" spans="1:15">
      <c r="A227" s="91"/>
      <c r="B227" s="92">
        <f t="shared" si="7"/>
        <v>224</v>
      </c>
      <c r="C227" s="217"/>
      <c r="D227" s="217"/>
      <c r="E227" s="97"/>
      <c r="F227" s="92"/>
      <c r="G227" s="92"/>
      <c r="H227" s="93"/>
      <c r="I227" s="93"/>
      <c r="J227" s="93"/>
      <c r="K227" s="93"/>
      <c r="L227" s="93"/>
      <c r="M227" s="93"/>
      <c r="N227" s="95"/>
      <c r="O227" t="str">
        <f t="shared" si="6"/>
        <v>224. _</v>
      </c>
    </row>
    <row r="228" spans="1:15">
      <c r="A228" s="91"/>
      <c r="B228" s="92">
        <f t="shared" si="7"/>
        <v>225</v>
      </c>
      <c r="C228" s="217"/>
      <c r="D228" s="217"/>
      <c r="E228" s="97"/>
      <c r="F228" s="92"/>
      <c r="G228" s="92"/>
      <c r="H228" s="93"/>
      <c r="I228" s="93"/>
      <c r="J228" s="93"/>
      <c r="K228" s="93"/>
      <c r="L228" s="93"/>
      <c r="M228" s="93"/>
      <c r="N228" s="95"/>
      <c r="O228" t="str">
        <f t="shared" si="6"/>
        <v>225. _</v>
      </c>
    </row>
    <row r="229" spans="1:15">
      <c r="A229" s="91"/>
      <c r="B229" s="92">
        <f t="shared" si="7"/>
        <v>226</v>
      </c>
      <c r="C229" s="217"/>
      <c r="D229" s="217"/>
      <c r="E229" s="97"/>
      <c r="F229" s="92"/>
      <c r="G229" s="92"/>
      <c r="H229" s="93"/>
      <c r="I229" s="93"/>
      <c r="J229" s="93"/>
      <c r="K229" s="93"/>
      <c r="L229" s="93"/>
      <c r="M229" s="93"/>
      <c r="N229" s="95"/>
      <c r="O229" t="str">
        <f t="shared" si="6"/>
        <v>226. _</v>
      </c>
    </row>
    <row r="230" spans="1:15">
      <c r="A230" s="91"/>
      <c r="B230" s="92">
        <f t="shared" si="7"/>
        <v>227</v>
      </c>
      <c r="C230" s="217"/>
      <c r="D230" s="217"/>
      <c r="E230" s="97"/>
      <c r="F230" s="92"/>
      <c r="G230" s="92"/>
      <c r="H230" s="93"/>
      <c r="I230" s="93"/>
      <c r="J230" s="93"/>
      <c r="K230" s="93"/>
      <c r="L230" s="93"/>
      <c r="M230" s="93"/>
      <c r="N230" s="95"/>
      <c r="O230" t="str">
        <f t="shared" si="6"/>
        <v>227. _</v>
      </c>
    </row>
    <row r="231" spans="1:15">
      <c r="A231" s="91"/>
      <c r="B231" s="92">
        <f t="shared" si="7"/>
        <v>228</v>
      </c>
      <c r="C231" s="217"/>
      <c r="D231" s="217"/>
      <c r="E231" s="97"/>
      <c r="F231" s="92"/>
      <c r="G231" s="92"/>
      <c r="H231" s="93"/>
      <c r="I231" s="93"/>
      <c r="J231" s="93"/>
      <c r="K231" s="93"/>
      <c r="L231" s="93"/>
      <c r="M231" s="93"/>
      <c r="N231" s="95"/>
      <c r="O231" t="str">
        <f t="shared" si="6"/>
        <v>228. _</v>
      </c>
    </row>
    <row r="232" spans="1:15">
      <c r="A232" s="91"/>
      <c r="B232" s="92">
        <f t="shared" si="7"/>
        <v>229</v>
      </c>
      <c r="C232" s="217"/>
      <c r="D232" s="217"/>
      <c r="E232" s="97"/>
      <c r="F232" s="92"/>
      <c r="G232" s="92"/>
      <c r="H232" s="93"/>
      <c r="I232" s="93"/>
      <c r="J232" s="93"/>
      <c r="K232" s="93"/>
      <c r="L232" s="93"/>
      <c r="M232" s="93"/>
      <c r="N232" s="95"/>
      <c r="O232" t="str">
        <f t="shared" si="6"/>
        <v>229. _</v>
      </c>
    </row>
    <row r="233" spans="1:15">
      <c r="A233" s="91"/>
      <c r="B233" s="92">
        <f t="shared" si="7"/>
        <v>230</v>
      </c>
      <c r="C233" s="217"/>
      <c r="D233" s="217"/>
      <c r="E233" s="97"/>
      <c r="F233" s="92"/>
      <c r="G233" s="92"/>
      <c r="H233" s="93"/>
      <c r="I233" s="93"/>
      <c r="J233" s="93"/>
      <c r="K233" s="93"/>
      <c r="L233" s="93"/>
      <c r="M233" s="93"/>
      <c r="N233" s="95"/>
      <c r="O233" t="str">
        <f t="shared" si="6"/>
        <v>230. _</v>
      </c>
    </row>
    <row r="234" spans="1:15">
      <c r="A234" s="91"/>
      <c r="B234" s="92">
        <f t="shared" si="7"/>
        <v>231</v>
      </c>
      <c r="C234" s="217"/>
      <c r="D234" s="217"/>
      <c r="E234" s="97"/>
      <c r="F234" s="92"/>
      <c r="G234" s="92"/>
      <c r="H234" s="93"/>
      <c r="I234" s="93"/>
      <c r="J234" s="93"/>
      <c r="K234" s="93"/>
      <c r="L234" s="93"/>
      <c r="M234" s="93"/>
      <c r="N234" s="95"/>
      <c r="O234" t="str">
        <f t="shared" si="6"/>
        <v>231. _</v>
      </c>
    </row>
    <row r="235" spans="1:15">
      <c r="A235" s="91"/>
      <c r="B235" s="92">
        <f t="shared" si="7"/>
        <v>232</v>
      </c>
      <c r="C235" s="217"/>
      <c r="D235" s="217"/>
      <c r="E235" s="97"/>
      <c r="F235" s="92"/>
      <c r="G235" s="92"/>
      <c r="H235" s="93"/>
      <c r="I235" s="93"/>
      <c r="J235" s="93"/>
      <c r="K235" s="93"/>
      <c r="L235" s="93"/>
      <c r="M235" s="93"/>
      <c r="N235" s="95"/>
      <c r="O235" t="str">
        <f t="shared" si="6"/>
        <v>232. _</v>
      </c>
    </row>
    <row r="236" spans="1:15">
      <c r="A236" s="91"/>
      <c r="B236" s="92">
        <f t="shared" si="7"/>
        <v>233</v>
      </c>
      <c r="C236" s="217"/>
      <c r="D236" s="217"/>
      <c r="E236" s="97"/>
      <c r="F236" s="92"/>
      <c r="G236" s="92"/>
      <c r="H236" s="93"/>
      <c r="I236" s="93"/>
      <c r="J236" s="93"/>
      <c r="K236" s="93"/>
      <c r="L236" s="93"/>
      <c r="M236" s="93"/>
      <c r="N236" s="95"/>
      <c r="O236" t="str">
        <f t="shared" si="6"/>
        <v>233. _</v>
      </c>
    </row>
    <row r="237" spans="1:15">
      <c r="A237" s="91"/>
      <c r="B237" s="92">
        <f t="shared" si="7"/>
        <v>234</v>
      </c>
      <c r="C237" s="217"/>
      <c r="D237" s="217"/>
      <c r="E237" s="97"/>
      <c r="F237" s="92"/>
      <c r="G237" s="92"/>
      <c r="H237" s="93"/>
      <c r="I237" s="93"/>
      <c r="J237" s="93"/>
      <c r="K237" s="93"/>
      <c r="L237" s="93"/>
      <c r="M237" s="93"/>
      <c r="N237" s="95"/>
      <c r="O237" t="str">
        <f t="shared" si="6"/>
        <v>234. _</v>
      </c>
    </row>
    <row r="238" spans="1:15">
      <c r="A238" s="91"/>
      <c r="B238" s="92">
        <f t="shared" si="7"/>
        <v>235</v>
      </c>
      <c r="C238" s="217"/>
      <c r="D238" s="217"/>
      <c r="E238" s="97"/>
      <c r="F238" s="92"/>
      <c r="G238" s="92"/>
      <c r="H238" s="93"/>
      <c r="I238" s="93"/>
      <c r="J238" s="93"/>
      <c r="K238" s="93"/>
      <c r="L238" s="93"/>
      <c r="M238" s="93"/>
      <c r="N238" s="95"/>
      <c r="O238" t="str">
        <f t="shared" si="6"/>
        <v>235. _</v>
      </c>
    </row>
    <row r="239" spans="1:15">
      <c r="A239" s="91"/>
      <c r="B239" s="92">
        <f t="shared" si="7"/>
        <v>236</v>
      </c>
      <c r="C239" s="217"/>
      <c r="D239" s="217"/>
      <c r="E239" s="97"/>
      <c r="F239" s="92"/>
      <c r="G239" s="92"/>
      <c r="H239" s="93"/>
      <c r="I239" s="93"/>
      <c r="J239" s="93"/>
      <c r="K239" s="93"/>
      <c r="L239" s="93"/>
      <c r="M239" s="93"/>
      <c r="N239" s="95"/>
      <c r="O239" t="str">
        <f t="shared" si="6"/>
        <v>236. _</v>
      </c>
    </row>
    <row r="240" spans="1:15">
      <c r="A240" s="91"/>
      <c r="B240" s="92">
        <f t="shared" si="7"/>
        <v>237</v>
      </c>
      <c r="C240" s="217"/>
      <c r="D240" s="217"/>
      <c r="E240" s="97"/>
      <c r="F240" s="92"/>
      <c r="G240" s="92"/>
      <c r="H240" s="93"/>
      <c r="I240" s="93"/>
      <c r="J240" s="93"/>
      <c r="K240" s="93"/>
      <c r="L240" s="93"/>
      <c r="M240" s="93"/>
      <c r="N240" s="95"/>
      <c r="O240" t="str">
        <f t="shared" si="6"/>
        <v>237. _</v>
      </c>
    </row>
    <row r="241" spans="1:15">
      <c r="A241" s="91"/>
      <c r="B241" s="92">
        <f t="shared" si="7"/>
        <v>238</v>
      </c>
      <c r="C241" s="217"/>
      <c r="D241" s="217"/>
      <c r="E241" s="97"/>
      <c r="F241" s="92"/>
      <c r="G241" s="92"/>
      <c r="H241" s="93"/>
      <c r="I241" s="93"/>
      <c r="J241" s="93"/>
      <c r="K241" s="93"/>
      <c r="L241" s="93"/>
      <c r="M241" s="93"/>
      <c r="N241" s="95"/>
      <c r="O241" t="str">
        <f t="shared" si="6"/>
        <v>238. _</v>
      </c>
    </row>
    <row r="242" spans="1:15">
      <c r="A242" s="91"/>
      <c r="B242" s="92">
        <f t="shared" si="7"/>
        <v>239</v>
      </c>
      <c r="C242" s="217"/>
      <c r="D242" s="217"/>
      <c r="E242" s="97"/>
      <c r="F242" s="92"/>
      <c r="G242" s="92"/>
      <c r="H242" s="93"/>
      <c r="I242" s="93"/>
      <c r="J242" s="93"/>
      <c r="K242" s="93"/>
      <c r="L242" s="93"/>
      <c r="M242" s="93"/>
      <c r="N242" s="95"/>
      <c r="O242" t="str">
        <f t="shared" si="6"/>
        <v>239. _</v>
      </c>
    </row>
    <row r="243" spans="1:15">
      <c r="A243" s="91"/>
      <c r="B243" s="92">
        <f t="shared" si="7"/>
        <v>240</v>
      </c>
      <c r="C243" s="217"/>
      <c r="D243" s="217"/>
      <c r="E243" s="97"/>
      <c r="F243" s="92"/>
      <c r="G243" s="92"/>
      <c r="H243" s="93"/>
      <c r="I243" s="93"/>
      <c r="J243" s="93"/>
      <c r="K243" s="93"/>
      <c r="L243" s="93"/>
      <c r="M243" s="93"/>
      <c r="N243" s="95"/>
      <c r="O243" t="str">
        <f t="shared" si="6"/>
        <v>240. _</v>
      </c>
    </row>
    <row r="244" spans="1:15">
      <c r="A244" s="91"/>
      <c r="B244" s="92">
        <f t="shared" si="7"/>
        <v>241</v>
      </c>
      <c r="C244" s="217"/>
      <c r="D244" s="217"/>
      <c r="E244" s="97"/>
      <c r="F244" s="92"/>
      <c r="G244" s="92"/>
      <c r="H244" s="93"/>
      <c r="I244" s="93"/>
      <c r="J244" s="93"/>
      <c r="K244" s="93"/>
      <c r="L244" s="93"/>
      <c r="M244" s="93"/>
      <c r="N244" s="95"/>
      <c r="O244" t="str">
        <f t="shared" si="6"/>
        <v>241. _</v>
      </c>
    </row>
    <row r="245" spans="1:15">
      <c r="A245" s="91"/>
      <c r="B245" s="92">
        <f t="shared" si="7"/>
        <v>242</v>
      </c>
      <c r="C245" s="217"/>
      <c r="D245" s="217"/>
      <c r="E245" s="97"/>
      <c r="F245" s="92"/>
      <c r="G245" s="92"/>
      <c r="H245" s="93"/>
      <c r="I245" s="93"/>
      <c r="J245" s="93"/>
      <c r="K245" s="93"/>
      <c r="L245" s="93"/>
      <c r="M245" s="93"/>
      <c r="N245" s="101"/>
      <c r="O245" t="str">
        <f t="shared" si="6"/>
        <v>242. _</v>
      </c>
    </row>
    <row r="246" spans="1:15">
      <c r="A246" s="91"/>
      <c r="B246" s="92">
        <f t="shared" si="7"/>
        <v>243</v>
      </c>
      <c r="C246" s="217"/>
      <c r="D246" s="217"/>
      <c r="E246" s="97"/>
      <c r="F246" s="92"/>
      <c r="G246" s="92"/>
      <c r="H246" s="93"/>
      <c r="I246" s="93"/>
      <c r="J246" s="93"/>
      <c r="K246" s="93"/>
      <c r="L246" s="93"/>
      <c r="M246" s="93"/>
      <c r="N246" s="95"/>
      <c r="O246" t="str">
        <f t="shared" si="6"/>
        <v>243. _</v>
      </c>
    </row>
    <row r="247" spans="1:15">
      <c r="A247" s="91"/>
      <c r="B247" s="92">
        <f t="shared" si="7"/>
        <v>244</v>
      </c>
      <c r="C247" s="217"/>
      <c r="D247" s="217"/>
      <c r="E247" s="97"/>
      <c r="F247" s="92"/>
      <c r="G247" s="92"/>
      <c r="H247" s="93"/>
      <c r="I247" s="93"/>
      <c r="J247" s="93"/>
      <c r="K247" s="93"/>
      <c r="L247" s="93"/>
      <c r="M247" s="93"/>
      <c r="N247" s="95"/>
      <c r="O247" t="str">
        <f t="shared" si="6"/>
        <v>244. _</v>
      </c>
    </row>
    <row r="248" spans="1:15">
      <c r="A248" s="91"/>
      <c r="B248" s="92">
        <f t="shared" si="7"/>
        <v>245</v>
      </c>
      <c r="C248" s="217"/>
      <c r="D248" s="217"/>
      <c r="E248" s="97"/>
      <c r="F248" s="92"/>
      <c r="G248" s="92"/>
      <c r="H248" s="93"/>
      <c r="I248" s="93"/>
      <c r="J248" s="93"/>
      <c r="K248" s="93"/>
      <c r="L248" s="93"/>
      <c r="M248" s="93"/>
      <c r="N248" s="95"/>
      <c r="O248" t="str">
        <f t="shared" si="6"/>
        <v>245. _</v>
      </c>
    </row>
    <row r="249" spans="1:15">
      <c r="A249" s="91"/>
      <c r="B249" s="92">
        <f t="shared" si="7"/>
        <v>246</v>
      </c>
      <c r="C249" s="217"/>
      <c r="D249" s="217"/>
      <c r="E249" s="97"/>
      <c r="F249" s="92"/>
      <c r="G249" s="92"/>
      <c r="H249" s="93"/>
      <c r="I249" s="93"/>
      <c r="J249" s="93"/>
      <c r="K249" s="93"/>
      <c r="L249" s="93"/>
      <c r="M249" s="93"/>
      <c r="N249" s="95"/>
      <c r="O249" t="str">
        <f t="shared" si="6"/>
        <v>246. _</v>
      </c>
    </row>
    <row r="250" spans="1:15">
      <c r="A250" s="91"/>
      <c r="B250" s="92">
        <f t="shared" si="7"/>
        <v>247</v>
      </c>
      <c r="C250" s="217"/>
      <c r="D250" s="217"/>
      <c r="E250" s="97"/>
      <c r="F250" s="92"/>
      <c r="G250" s="92"/>
      <c r="H250" s="93"/>
      <c r="I250" s="93"/>
      <c r="J250" s="93"/>
      <c r="K250" s="93"/>
      <c r="L250" s="93"/>
      <c r="M250" s="93"/>
      <c r="N250" s="95"/>
      <c r="O250" t="str">
        <f t="shared" si="6"/>
        <v>247. _</v>
      </c>
    </row>
    <row r="251" spans="1:15">
      <c r="A251" s="91"/>
      <c r="B251" s="92">
        <f t="shared" si="7"/>
        <v>248</v>
      </c>
      <c r="C251" s="217"/>
      <c r="D251" s="217"/>
      <c r="E251" s="97"/>
      <c r="F251" s="92"/>
      <c r="G251" s="92"/>
      <c r="H251" s="93"/>
      <c r="I251" s="93"/>
      <c r="J251" s="93"/>
      <c r="K251" s="93"/>
      <c r="L251" s="93"/>
      <c r="M251" s="93"/>
      <c r="N251" s="95"/>
      <c r="O251" t="str">
        <f t="shared" si="6"/>
        <v>248. _</v>
      </c>
    </row>
    <row r="252" spans="1:15">
      <c r="A252" s="91"/>
      <c r="B252" s="92">
        <f t="shared" si="7"/>
        <v>249</v>
      </c>
      <c r="C252" s="217"/>
      <c r="D252" s="217"/>
      <c r="E252" s="97"/>
      <c r="F252" s="92"/>
      <c r="G252" s="92"/>
      <c r="H252" s="93"/>
      <c r="I252" s="93"/>
      <c r="J252" s="93"/>
      <c r="K252" s="93"/>
      <c r="L252" s="93"/>
      <c r="M252" s="93"/>
      <c r="N252" s="95"/>
      <c r="O252" t="str">
        <f t="shared" si="6"/>
        <v>249. _</v>
      </c>
    </row>
    <row r="253" spans="1:15">
      <c r="A253" s="91"/>
      <c r="B253" s="92">
        <f t="shared" si="7"/>
        <v>250</v>
      </c>
      <c r="C253" s="223"/>
      <c r="D253" s="223"/>
      <c r="J253" s="93"/>
      <c r="K253" s="111"/>
      <c r="N253" s="101"/>
      <c r="O253" t="str">
        <f t="shared" si="6"/>
        <v>250. _</v>
      </c>
    </row>
    <row r="254" spans="1:15">
      <c r="A254" s="91"/>
      <c r="B254" s="92">
        <f t="shared" si="7"/>
        <v>251</v>
      </c>
      <c r="C254" s="217"/>
      <c r="D254" s="217"/>
      <c r="E254" s="97"/>
      <c r="F254" s="92"/>
      <c r="G254" s="92"/>
      <c r="H254" s="93"/>
      <c r="I254" s="93"/>
      <c r="J254" s="93"/>
      <c r="K254" s="93"/>
      <c r="L254" s="93"/>
      <c r="M254" s="93"/>
      <c r="N254" s="95"/>
      <c r="O254" t="str">
        <f t="shared" si="6"/>
        <v>251. _</v>
      </c>
    </row>
    <row r="255" spans="1:15">
      <c r="A255" s="91"/>
      <c r="B255" s="92">
        <f t="shared" si="7"/>
        <v>252</v>
      </c>
      <c r="C255" s="217"/>
      <c r="D255" s="217"/>
      <c r="E255" s="97"/>
      <c r="F255" s="92"/>
      <c r="G255" s="92"/>
      <c r="H255" s="93"/>
      <c r="I255" s="93"/>
      <c r="J255" s="93"/>
      <c r="K255" s="93"/>
      <c r="L255" s="93"/>
      <c r="M255" s="93"/>
      <c r="N255" s="95"/>
      <c r="O255" t="str">
        <f t="shared" si="6"/>
        <v>252. _</v>
      </c>
    </row>
    <row r="256" spans="1:15">
      <c r="A256" s="91"/>
      <c r="B256" s="92">
        <f t="shared" si="7"/>
        <v>253</v>
      </c>
      <c r="C256" s="217"/>
      <c r="D256" s="217"/>
      <c r="E256" s="97"/>
      <c r="F256" s="92"/>
      <c r="G256" s="92"/>
      <c r="H256" s="93"/>
      <c r="I256" s="93"/>
      <c r="J256" s="93"/>
      <c r="K256" s="93"/>
      <c r="L256" s="93"/>
      <c r="M256" s="93"/>
      <c r="N256" s="95"/>
      <c r="O256" t="str">
        <f t="shared" si="6"/>
        <v>253. _</v>
      </c>
    </row>
    <row r="257" spans="1:15">
      <c r="A257" s="91"/>
      <c r="B257" s="92">
        <f t="shared" si="7"/>
        <v>254</v>
      </c>
      <c r="C257" s="217"/>
      <c r="D257" s="217"/>
      <c r="E257" s="97"/>
      <c r="F257" s="92"/>
      <c r="G257" s="92"/>
      <c r="H257" s="93"/>
      <c r="I257" s="93"/>
      <c r="J257" s="93"/>
      <c r="K257" s="93"/>
      <c r="L257" s="93"/>
      <c r="M257" s="93"/>
      <c r="N257" s="95"/>
      <c r="O257" t="str">
        <f t="shared" si="6"/>
        <v>254. _</v>
      </c>
    </row>
    <row r="258" spans="1:15">
      <c r="A258" s="91"/>
      <c r="B258" s="92">
        <f t="shared" si="7"/>
        <v>255</v>
      </c>
      <c r="C258" s="217"/>
      <c r="D258" s="217"/>
      <c r="E258" s="97"/>
      <c r="F258" s="92"/>
      <c r="G258" s="92"/>
      <c r="H258" s="93"/>
      <c r="I258" s="93"/>
      <c r="J258" s="93"/>
      <c r="K258" s="93"/>
      <c r="L258" s="93"/>
      <c r="M258" s="93"/>
      <c r="N258" s="95"/>
      <c r="O258" t="str">
        <f t="shared" si="6"/>
        <v>255. _</v>
      </c>
    </row>
    <row r="259" spans="1:15">
      <c r="A259" s="91"/>
      <c r="B259" s="92">
        <f t="shared" si="7"/>
        <v>256</v>
      </c>
      <c r="C259" s="217"/>
      <c r="D259" s="217"/>
      <c r="E259" s="97"/>
      <c r="F259" s="92"/>
      <c r="G259" s="92"/>
      <c r="H259" s="93"/>
      <c r="I259" s="93"/>
      <c r="J259" s="93"/>
      <c r="K259" s="93"/>
      <c r="L259" s="93"/>
      <c r="M259" s="93"/>
      <c r="N259" s="95"/>
      <c r="O259" t="str">
        <f t="shared" ref="O259:O322" si="8">CONCATENATE(B259,". ",C259,"_",D259)</f>
        <v>256. _</v>
      </c>
    </row>
    <row r="260" spans="1:15">
      <c r="A260" s="91"/>
      <c r="B260" s="92">
        <f t="shared" si="7"/>
        <v>257</v>
      </c>
      <c r="C260" s="217"/>
      <c r="D260" s="217"/>
      <c r="E260" s="97"/>
      <c r="F260" s="92"/>
      <c r="G260" s="92"/>
      <c r="H260" s="93"/>
      <c r="I260" s="93"/>
      <c r="J260" s="93"/>
      <c r="K260" s="93"/>
      <c r="L260" s="93"/>
      <c r="M260" s="93"/>
      <c r="N260" s="95"/>
      <c r="O260" t="str">
        <f t="shared" si="8"/>
        <v>257. _</v>
      </c>
    </row>
    <row r="261" spans="1:15">
      <c r="A261" s="91"/>
      <c r="B261" s="92">
        <f t="shared" ref="B261:B324" si="9">B260+1</f>
        <v>258</v>
      </c>
      <c r="C261" s="217"/>
      <c r="D261" s="217"/>
      <c r="E261" s="97"/>
      <c r="F261" s="92"/>
      <c r="G261" s="92"/>
      <c r="H261" s="93"/>
      <c r="I261" s="93"/>
      <c r="J261" s="93"/>
      <c r="K261" s="93"/>
      <c r="L261" s="93"/>
      <c r="M261" s="93"/>
      <c r="N261" s="95"/>
      <c r="O261" t="str">
        <f t="shared" si="8"/>
        <v>258. _</v>
      </c>
    </row>
    <row r="262" spans="1:15">
      <c r="A262" s="91"/>
      <c r="B262" s="92">
        <f t="shared" si="9"/>
        <v>259</v>
      </c>
      <c r="C262" s="217"/>
      <c r="D262" s="217"/>
      <c r="E262" s="97"/>
      <c r="F262" s="92"/>
      <c r="G262" s="92"/>
      <c r="H262" s="93"/>
      <c r="I262" s="93"/>
      <c r="J262" s="93"/>
      <c r="K262" s="93"/>
      <c r="L262" s="93"/>
      <c r="M262" s="93"/>
      <c r="N262" s="95"/>
      <c r="O262" t="str">
        <f t="shared" si="8"/>
        <v>259. _</v>
      </c>
    </row>
    <row r="263" spans="1:15">
      <c r="A263" s="91"/>
      <c r="B263" s="92">
        <f t="shared" si="9"/>
        <v>260</v>
      </c>
      <c r="C263" s="217"/>
      <c r="D263" s="217"/>
      <c r="E263" s="97"/>
      <c r="F263" s="92"/>
      <c r="G263" s="92"/>
      <c r="H263" s="93"/>
      <c r="I263" s="93"/>
      <c r="J263" s="93"/>
      <c r="K263" s="93"/>
      <c r="L263" s="93"/>
      <c r="M263" s="93"/>
      <c r="N263" s="95"/>
      <c r="O263" t="str">
        <f t="shared" si="8"/>
        <v>260. _</v>
      </c>
    </row>
    <row r="264" spans="1:15">
      <c r="A264" s="91"/>
      <c r="B264" s="92">
        <f t="shared" si="9"/>
        <v>261</v>
      </c>
      <c r="C264" s="217"/>
      <c r="D264" s="217"/>
      <c r="E264" s="97"/>
      <c r="F264" s="92"/>
      <c r="G264" s="92"/>
      <c r="H264" s="93"/>
      <c r="I264" s="93"/>
      <c r="J264" s="93"/>
      <c r="K264" s="93"/>
      <c r="L264" s="93"/>
      <c r="M264" s="93"/>
      <c r="N264" s="95"/>
      <c r="O264" t="str">
        <f t="shared" si="8"/>
        <v>261. _</v>
      </c>
    </row>
    <row r="265" spans="1:15">
      <c r="A265" s="91"/>
      <c r="B265" s="92">
        <f t="shared" si="9"/>
        <v>262</v>
      </c>
      <c r="C265" s="223"/>
      <c r="D265" s="217"/>
      <c r="E265" s="97"/>
      <c r="F265" s="97"/>
      <c r="G265" s="92"/>
      <c r="H265" s="103"/>
      <c r="I265" s="93"/>
      <c r="J265" s="93"/>
      <c r="K265" s="93"/>
      <c r="L265" s="93"/>
      <c r="M265" s="93"/>
      <c r="N265" s="95"/>
      <c r="O265" t="str">
        <f t="shared" si="8"/>
        <v>262. _</v>
      </c>
    </row>
    <row r="266" spans="1:15">
      <c r="A266" s="91"/>
      <c r="B266" s="92">
        <f t="shared" si="9"/>
        <v>263</v>
      </c>
      <c r="C266" s="217"/>
      <c r="D266" s="217"/>
      <c r="E266" s="97"/>
      <c r="F266" s="97"/>
      <c r="G266" s="92"/>
      <c r="H266" s="103"/>
      <c r="I266" s="93"/>
      <c r="J266" s="93"/>
      <c r="K266" s="93"/>
      <c r="L266" s="93"/>
      <c r="M266" s="93"/>
      <c r="N266" s="95"/>
      <c r="O266" t="str">
        <f t="shared" si="8"/>
        <v>263. _</v>
      </c>
    </row>
    <row r="267" spans="1:15">
      <c r="A267" s="91"/>
      <c r="B267" s="92">
        <f t="shared" si="9"/>
        <v>264</v>
      </c>
      <c r="C267" s="217"/>
      <c r="D267" s="217"/>
      <c r="E267" s="97"/>
      <c r="F267" s="97"/>
      <c r="G267" s="92"/>
      <c r="H267" s="93"/>
      <c r="I267" s="93"/>
      <c r="J267" s="93"/>
      <c r="K267" s="93"/>
      <c r="L267" s="93"/>
      <c r="M267" s="93"/>
      <c r="N267" s="95"/>
      <c r="O267" t="str">
        <f t="shared" si="8"/>
        <v>264. _</v>
      </c>
    </row>
    <row r="268" spans="1:15">
      <c r="A268" s="91"/>
      <c r="B268" s="92">
        <f t="shared" si="9"/>
        <v>265</v>
      </c>
      <c r="C268" s="217"/>
      <c r="D268" s="217"/>
      <c r="E268" s="97"/>
      <c r="F268" s="97"/>
      <c r="G268" s="92"/>
      <c r="H268" s="93"/>
      <c r="I268" s="93"/>
      <c r="J268" s="93"/>
      <c r="K268" s="93"/>
      <c r="L268" s="93"/>
      <c r="M268" s="93"/>
      <c r="N268" s="95"/>
      <c r="O268" t="str">
        <f t="shared" si="8"/>
        <v>265. _</v>
      </c>
    </row>
    <row r="269" spans="1:15">
      <c r="A269" s="91"/>
      <c r="B269" s="92">
        <f t="shared" si="9"/>
        <v>266</v>
      </c>
      <c r="C269" s="218"/>
      <c r="D269" s="233"/>
      <c r="E269" s="97"/>
      <c r="F269" s="97"/>
      <c r="G269" s="92"/>
      <c r="H269" s="93"/>
      <c r="I269" s="93"/>
      <c r="J269" s="93"/>
      <c r="K269" s="93"/>
      <c r="L269" s="93"/>
      <c r="M269" s="93"/>
      <c r="N269" s="95"/>
      <c r="O269" t="str">
        <f t="shared" si="8"/>
        <v>266. _</v>
      </c>
    </row>
    <row r="270" spans="1:15">
      <c r="A270" s="91"/>
      <c r="B270" s="92">
        <f t="shared" si="9"/>
        <v>267</v>
      </c>
      <c r="C270" s="218"/>
      <c r="D270" s="233"/>
      <c r="E270" s="97"/>
      <c r="F270" s="97"/>
      <c r="G270" s="92"/>
      <c r="H270" s="93"/>
      <c r="I270" s="93"/>
      <c r="J270" s="93"/>
      <c r="K270" s="93"/>
      <c r="L270" s="93"/>
      <c r="M270" s="93"/>
      <c r="N270" s="95"/>
      <c r="O270" t="str">
        <f t="shared" si="8"/>
        <v>267. _</v>
      </c>
    </row>
    <row r="271" spans="1:15">
      <c r="A271" s="91"/>
      <c r="B271" s="92">
        <f t="shared" si="9"/>
        <v>268</v>
      </c>
      <c r="C271" s="217"/>
      <c r="D271" s="217"/>
      <c r="E271" s="97"/>
      <c r="F271" s="97"/>
      <c r="G271" s="92"/>
      <c r="H271" s="93"/>
      <c r="I271" s="93"/>
      <c r="J271" s="93"/>
      <c r="K271" s="93"/>
      <c r="L271" s="93"/>
      <c r="M271" s="93"/>
      <c r="N271" s="95"/>
      <c r="O271" t="str">
        <f t="shared" si="8"/>
        <v>268. _</v>
      </c>
    </row>
    <row r="272" spans="1:15">
      <c r="A272" s="91"/>
      <c r="B272" s="92">
        <f t="shared" si="9"/>
        <v>269</v>
      </c>
      <c r="C272" s="217"/>
      <c r="D272" s="217"/>
      <c r="E272" s="97"/>
      <c r="F272" s="97"/>
      <c r="G272" s="92"/>
      <c r="H272" s="93"/>
      <c r="I272" s="93"/>
      <c r="J272" s="93"/>
      <c r="K272" s="93"/>
      <c r="L272" s="93"/>
      <c r="M272" s="93"/>
      <c r="N272" s="95"/>
      <c r="O272" t="str">
        <f t="shared" si="8"/>
        <v>269. _</v>
      </c>
    </row>
    <row r="273" spans="1:15">
      <c r="A273" s="91"/>
      <c r="B273" s="92">
        <f t="shared" si="9"/>
        <v>270</v>
      </c>
      <c r="C273" s="217"/>
      <c r="D273" s="217"/>
      <c r="E273" s="97"/>
      <c r="F273" s="97"/>
      <c r="G273" s="92"/>
      <c r="H273" s="93"/>
      <c r="I273" s="93"/>
      <c r="J273" s="93"/>
      <c r="K273" s="93"/>
      <c r="L273" s="93"/>
      <c r="M273" s="93"/>
      <c r="N273" s="95"/>
      <c r="O273" t="str">
        <f t="shared" si="8"/>
        <v>270. _</v>
      </c>
    </row>
    <row r="274" spans="1:15">
      <c r="A274" s="91"/>
      <c r="B274" s="92">
        <f t="shared" si="9"/>
        <v>271</v>
      </c>
      <c r="C274" s="217"/>
      <c r="D274" s="217"/>
      <c r="E274" s="97"/>
      <c r="F274" s="97"/>
      <c r="G274" s="92"/>
      <c r="H274" s="103"/>
      <c r="I274" s="98"/>
      <c r="J274" s="93"/>
      <c r="K274" s="93"/>
      <c r="L274" s="98"/>
      <c r="M274" s="98"/>
      <c r="N274" s="95"/>
      <c r="O274" t="str">
        <f t="shared" si="8"/>
        <v>271. _</v>
      </c>
    </row>
    <row r="275" spans="1:15">
      <c r="A275" s="91"/>
      <c r="B275" s="92">
        <f t="shared" si="9"/>
        <v>272</v>
      </c>
      <c r="C275" s="217"/>
      <c r="D275" s="217"/>
      <c r="E275" s="97"/>
      <c r="F275" s="97"/>
      <c r="G275" s="92"/>
      <c r="H275" s="103"/>
      <c r="I275" s="93"/>
      <c r="J275" s="93"/>
      <c r="K275" s="93"/>
      <c r="L275" s="93"/>
      <c r="M275" s="93"/>
      <c r="N275" s="95"/>
      <c r="O275" t="str">
        <f t="shared" si="8"/>
        <v>272. _</v>
      </c>
    </row>
    <row r="276" spans="1:15">
      <c r="A276" s="91"/>
      <c r="B276" s="92">
        <f t="shared" si="9"/>
        <v>273</v>
      </c>
      <c r="C276" s="217"/>
      <c r="D276" s="217"/>
      <c r="E276" s="97"/>
      <c r="F276" s="97"/>
      <c r="G276" s="92"/>
      <c r="H276" s="103"/>
      <c r="I276" s="103"/>
      <c r="J276" s="93"/>
      <c r="K276" s="93"/>
      <c r="L276" s="93"/>
      <c r="M276" s="93"/>
      <c r="N276" s="95"/>
      <c r="O276" t="str">
        <f t="shared" si="8"/>
        <v>273. _</v>
      </c>
    </row>
    <row r="277" spans="1:15">
      <c r="A277" s="91"/>
      <c r="B277" s="92">
        <f t="shared" si="9"/>
        <v>274</v>
      </c>
      <c r="C277" s="217"/>
      <c r="D277" s="217"/>
      <c r="E277" s="97"/>
      <c r="F277" s="97"/>
      <c r="G277" s="92"/>
      <c r="H277" s="103"/>
      <c r="I277" s="93"/>
      <c r="J277" s="93"/>
      <c r="K277" s="93"/>
      <c r="L277" s="93"/>
      <c r="M277" s="103"/>
      <c r="N277" s="95"/>
      <c r="O277" t="str">
        <f t="shared" si="8"/>
        <v>274. _</v>
      </c>
    </row>
    <row r="278" spans="1:15">
      <c r="A278" s="91"/>
      <c r="B278" s="92">
        <f t="shared" si="9"/>
        <v>275</v>
      </c>
      <c r="C278" s="217"/>
      <c r="D278" s="217"/>
      <c r="E278" s="97"/>
      <c r="F278" s="97"/>
      <c r="G278" s="92"/>
      <c r="H278" s="103"/>
      <c r="I278" s="103"/>
      <c r="J278" s="93"/>
      <c r="K278" s="93"/>
      <c r="L278" s="93"/>
      <c r="M278" s="103"/>
      <c r="N278" s="95"/>
      <c r="O278" t="str">
        <f t="shared" si="8"/>
        <v>275. _</v>
      </c>
    </row>
    <row r="279" spans="1:15">
      <c r="A279" s="91"/>
      <c r="B279" s="92">
        <f t="shared" si="9"/>
        <v>276</v>
      </c>
      <c r="C279" s="217"/>
      <c r="D279" s="217"/>
      <c r="E279" s="97"/>
      <c r="F279" s="97"/>
      <c r="G279" s="92"/>
      <c r="H279" s="103"/>
      <c r="I279" s="93"/>
      <c r="J279" s="93"/>
      <c r="K279" s="93"/>
      <c r="L279" s="93"/>
      <c r="M279" s="93"/>
      <c r="N279" s="95"/>
      <c r="O279" t="str">
        <f t="shared" si="8"/>
        <v>276. _</v>
      </c>
    </row>
    <row r="280" spans="1:15">
      <c r="A280" s="91"/>
      <c r="B280" s="92">
        <f t="shared" si="9"/>
        <v>277</v>
      </c>
      <c r="C280" s="217"/>
      <c r="D280" s="217"/>
      <c r="E280" s="97"/>
      <c r="F280" s="97"/>
      <c r="G280" s="97"/>
      <c r="H280" s="103"/>
      <c r="I280" s="103"/>
      <c r="J280" s="93"/>
      <c r="K280" s="93"/>
      <c r="L280" s="93"/>
      <c r="M280" s="103"/>
      <c r="N280" s="95"/>
      <c r="O280" t="str">
        <f t="shared" si="8"/>
        <v>277. _</v>
      </c>
    </row>
    <row r="281" spans="1:15">
      <c r="A281" s="91"/>
      <c r="B281" s="92">
        <f t="shared" si="9"/>
        <v>278</v>
      </c>
      <c r="C281" s="218"/>
      <c r="D281" s="233"/>
      <c r="E281" s="97"/>
      <c r="F281" s="99"/>
      <c r="G281" s="99"/>
      <c r="H281" s="103"/>
      <c r="I281" s="103"/>
      <c r="J281" s="93"/>
      <c r="K281" s="93"/>
      <c r="L281" s="93"/>
      <c r="M281" s="103"/>
      <c r="N281" s="95"/>
      <c r="O281" t="str">
        <f t="shared" si="8"/>
        <v>278. _</v>
      </c>
    </row>
    <row r="282" spans="1:15">
      <c r="A282" s="91"/>
      <c r="B282" s="92">
        <f t="shared" si="9"/>
        <v>279</v>
      </c>
      <c r="C282" s="217"/>
      <c r="D282" s="217"/>
      <c r="E282" s="97"/>
      <c r="F282" s="97"/>
      <c r="G282" s="97"/>
      <c r="H282" s="103"/>
      <c r="I282" s="93"/>
      <c r="J282" s="93"/>
      <c r="K282" s="93"/>
      <c r="L282" s="93"/>
      <c r="M282" s="93"/>
      <c r="N282" s="95"/>
      <c r="O282" t="str">
        <f t="shared" si="8"/>
        <v>279. _</v>
      </c>
    </row>
    <row r="283" spans="1:15">
      <c r="A283" s="91"/>
      <c r="B283" s="92">
        <f t="shared" si="9"/>
        <v>280</v>
      </c>
      <c r="C283" s="218"/>
      <c r="D283" s="233"/>
      <c r="E283" s="97"/>
      <c r="F283" s="99"/>
      <c r="G283" s="97"/>
      <c r="H283" s="103"/>
      <c r="I283" s="103"/>
      <c r="J283" s="93"/>
      <c r="K283" s="93"/>
      <c r="L283" s="93"/>
      <c r="M283" s="103"/>
      <c r="N283" s="95"/>
      <c r="O283" t="str">
        <f t="shared" si="8"/>
        <v>280. _</v>
      </c>
    </row>
    <row r="284" spans="1:15">
      <c r="A284" s="91"/>
      <c r="B284" s="92">
        <f t="shared" si="9"/>
        <v>281</v>
      </c>
      <c r="C284" s="218"/>
      <c r="D284" s="233"/>
      <c r="E284" s="97"/>
      <c r="F284" s="99"/>
      <c r="G284" s="97"/>
      <c r="H284" s="103"/>
      <c r="I284" s="93"/>
      <c r="J284" s="93"/>
      <c r="K284" s="93"/>
      <c r="L284" s="93"/>
      <c r="M284" s="93"/>
      <c r="N284" s="95"/>
      <c r="O284" t="str">
        <f t="shared" si="8"/>
        <v>281. _</v>
      </c>
    </row>
    <row r="285" spans="1:15">
      <c r="A285" s="91"/>
      <c r="B285" s="92">
        <f t="shared" si="9"/>
        <v>282</v>
      </c>
      <c r="C285" s="218"/>
      <c r="D285" s="233"/>
      <c r="E285" s="97"/>
      <c r="F285" s="99"/>
      <c r="G285" s="97"/>
      <c r="H285" s="103"/>
      <c r="I285" s="93"/>
      <c r="J285" s="93"/>
      <c r="K285" s="93"/>
      <c r="L285" s="93"/>
      <c r="M285" s="93"/>
      <c r="N285" s="95"/>
      <c r="O285" t="str">
        <f t="shared" si="8"/>
        <v>282. _</v>
      </c>
    </row>
    <row r="286" spans="1:15">
      <c r="A286" s="91"/>
      <c r="B286" s="92">
        <f t="shared" si="9"/>
        <v>283</v>
      </c>
      <c r="C286" s="218"/>
      <c r="D286" s="232"/>
      <c r="E286" s="97"/>
      <c r="F286" s="96"/>
      <c r="G286" s="97"/>
      <c r="H286" s="103"/>
      <c r="I286" s="93"/>
      <c r="J286" s="93"/>
      <c r="K286" s="93"/>
      <c r="L286" s="93"/>
      <c r="M286" s="93"/>
      <c r="N286" s="95"/>
      <c r="O286" t="str">
        <f t="shared" si="8"/>
        <v>283. _</v>
      </c>
    </row>
    <row r="287" spans="1:15">
      <c r="A287" s="91"/>
      <c r="B287" s="92">
        <f t="shared" si="9"/>
        <v>284</v>
      </c>
      <c r="C287" s="218"/>
      <c r="D287" s="233"/>
      <c r="E287" s="97"/>
      <c r="F287" s="99"/>
      <c r="G287" s="97"/>
      <c r="H287" s="103"/>
      <c r="I287" s="93"/>
      <c r="J287" s="93"/>
      <c r="K287" s="93"/>
      <c r="L287" s="93"/>
      <c r="M287" s="103"/>
      <c r="N287" s="95"/>
      <c r="O287" t="str">
        <f t="shared" si="8"/>
        <v>284. _</v>
      </c>
    </row>
    <row r="288" spans="1:15">
      <c r="A288" s="91"/>
      <c r="B288" s="92">
        <f t="shared" si="9"/>
        <v>285</v>
      </c>
      <c r="C288" s="224"/>
      <c r="D288" s="234"/>
      <c r="E288" s="97"/>
      <c r="F288" s="105"/>
      <c r="G288" s="97"/>
      <c r="H288" s="103"/>
      <c r="I288" s="93"/>
      <c r="J288" s="93"/>
      <c r="K288" s="93"/>
      <c r="L288" s="93"/>
      <c r="M288" s="93"/>
      <c r="N288" s="95"/>
      <c r="O288" t="str">
        <f t="shared" si="8"/>
        <v>285. _</v>
      </c>
    </row>
    <row r="289" spans="1:15">
      <c r="A289" s="91"/>
      <c r="B289" s="92">
        <f t="shared" si="9"/>
        <v>286</v>
      </c>
      <c r="C289" s="218"/>
      <c r="D289" s="235"/>
      <c r="E289" s="97"/>
      <c r="F289" s="106"/>
      <c r="G289" s="97"/>
      <c r="H289" s="103"/>
      <c r="I289" s="93"/>
      <c r="J289" s="93"/>
      <c r="K289" s="93"/>
      <c r="L289" s="93"/>
      <c r="M289" s="93"/>
      <c r="N289" s="95"/>
      <c r="O289" t="str">
        <f t="shared" si="8"/>
        <v>286. _</v>
      </c>
    </row>
    <row r="290" spans="1:15">
      <c r="A290" s="91"/>
      <c r="B290" s="92">
        <f t="shared" si="9"/>
        <v>287</v>
      </c>
      <c r="C290" s="218"/>
      <c r="D290" s="235"/>
      <c r="E290" s="97"/>
      <c r="F290" s="106"/>
      <c r="G290" s="97"/>
      <c r="H290" s="103"/>
      <c r="I290" s="93"/>
      <c r="J290" s="93"/>
      <c r="K290" s="93"/>
      <c r="L290" s="98"/>
      <c r="M290" s="98"/>
      <c r="N290" s="95"/>
      <c r="O290" t="str">
        <f t="shared" si="8"/>
        <v>287. _</v>
      </c>
    </row>
    <row r="291" spans="1:15">
      <c r="A291" s="91"/>
      <c r="B291" s="92">
        <f t="shared" si="9"/>
        <v>288</v>
      </c>
      <c r="C291" s="218"/>
      <c r="D291" s="235"/>
      <c r="E291" s="97"/>
      <c r="F291" s="106"/>
      <c r="G291" s="97"/>
      <c r="H291" s="103"/>
      <c r="I291" s="93"/>
      <c r="J291" s="93"/>
      <c r="K291" s="93"/>
      <c r="L291" s="93"/>
      <c r="M291" s="93"/>
      <c r="N291" s="95"/>
      <c r="O291" t="str">
        <f t="shared" si="8"/>
        <v>288. _</v>
      </c>
    </row>
    <row r="292" spans="1:15">
      <c r="A292" s="91"/>
      <c r="B292" s="92">
        <f t="shared" si="9"/>
        <v>289</v>
      </c>
      <c r="C292" s="218"/>
      <c r="D292" s="232"/>
      <c r="E292" s="97"/>
      <c r="F292" s="106"/>
      <c r="G292" s="97"/>
      <c r="H292" s="103"/>
      <c r="I292" s="93"/>
      <c r="J292" s="93"/>
      <c r="K292" s="93"/>
      <c r="L292" s="93"/>
      <c r="M292" s="103"/>
      <c r="N292" s="95"/>
      <c r="O292" t="str">
        <f t="shared" si="8"/>
        <v>289. _</v>
      </c>
    </row>
    <row r="293" spans="1:15">
      <c r="A293" s="91"/>
      <c r="B293" s="92">
        <f t="shared" si="9"/>
        <v>290</v>
      </c>
      <c r="C293" s="222"/>
      <c r="D293" s="222"/>
      <c r="E293" s="97"/>
      <c r="F293" s="88"/>
      <c r="G293" s="88"/>
      <c r="H293" s="3"/>
      <c r="I293" s="3"/>
      <c r="J293" s="93"/>
      <c r="K293" s="93"/>
      <c r="L293" s="3"/>
      <c r="M293" s="3"/>
      <c r="N293" s="1"/>
      <c r="O293" t="str">
        <f t="shared" si="8"/>
        <v>290. _</v>
      </c>
    </row>
    <row r="294" spans="1:15">
      <c r="A294" s="91"/>
      <c r="B294" s="92">
        <f t="shared" si="9"/>
        <v>291</v>
      </c>
      <c r="C294" s="217"/>
      <c r="D294" s="232"/>
      <c r="E294" s="97"/>
      <c r="F294" s="96"/>
      <c r="G294" s="88"/>
      <c r="H294" s="93"/>
      <c r="I294" s="103"/>
      <c r="J294" s="93"/>
      <c r="K294" s="93"/>
      <c r="L294" s="93"/>
      <c r="M294" s="103"/>
      <c r="N294" s="95"/>
      <c r="O294" t="str">
        <f t="shared" si="8"/>
        <v>291. _</v>
      </c>
    </row>
    <row r="295" spans="1:15">
      <c r="A295" s="91"/>
      <c r="B295" s="92">
        <f t="shared" si="9"/>
        <v>292</v>
      </c>
      <c r="C295" s="218"/>
      <c r="D295" s="235"/>
      <c r="E295" s="97"/>
      <c r="F295" s="97"/>
      <c r="G295" s="88"/>
      <c r="H295" s="3"/>
      <c r="I295" s="103"/>
      <c r="J295" s="93"/>
      <c r="K295" s="93"/>
      <c r="L295" s="93"/>
      <c r="M295" s="103"/>
      <c r="N295" s="95"/>
      <c r="O295" t="str">
        <f t="shared" si="8"/>
        <v>292. _</v>
      </c>
    </row>
    <row r="296" spans="1:15">
      <c r="A296" s="91"/>
      <c r="B296" s="92">
        <f t="shared" si="9"/>
        <v>293</v>
      </c>
      <c r="C296" s="218"/>
      <c r="D296" s="235"/>
      <c r="E296" s="97"/>
      <c r="F296" s="97"/>
      <c r="G296" s="88"/>
      <c r="H296" s="93"/>
      <c r="I296" s="93"/>
      <c r="J296" s="93"/>
      <c r="K296" s="93"/>
      <c r="L296" s="93"/>
      <c r="M296" s="93"/>
      <c r="N296" s="95"/>
      <c r="O296" t="str">
        <f t="shared" si="8"/>
        <v>293. _</v>
      </c>
    </row>
    <row r="297" spans="1:15">
      <c r="A297" s="91"/>
      <c r="B297" s="92">
        <f t="shared" si="9"/>
        <v>294</v>
      </c>
      <c r="C297" s="225"/>
      <c r="D297" s="225"/>
      <c r="E297" s="97"/>
      <c r="F297" s="107"/>
      <c r="G297" s="88"/>
      <c r="H297" s="3"/>
      <c r="I297" s="93"/>
      <c r="J297" s="93"/>
      <c r="K297" s="93"/>
      <c r="L297" s="93"/>
      <c r="M297" s="93"/>
      <c r="N297" s="95"/>
      <c r="O297" t="str">
        <f t="shared" si="8"/>
        <v>294. _</v>
      </c>
    </row>
    <row r="298" spans="1:15">
      <c r="A298" s="91"/>
      <c r="B298" s="92">
        <f t="shared" si="9"/>
        <v>295</v>
      </c>
      <c r="C298" s="225"/>
      <c r="D298" s="225"/>
      <c r="E298" s="97"/>
      <c r="F298" s="107"/>
      <c r="G298" s="88"/>
      <c r="H298" s="93"/>
      <c r="I298" s="93"/>
      <c r="J298" s="93"/>
      <c r="K298" s="93"/>
      <c r="L298" s="93"/>
      <c r="M298" s="93"/>
      <c r="N298" s="95"/>
      <c r="O298" t="str">
        <f t="shared" si="8"/>
        <v>295. _</v>
      </c>
    </row>
    <row r="299" spans="1:15">
      <c r="A299" s="91"/>
      <c r="B299" s="92">
        <f t="shared" si="9"/>
        <v>296</v>
      </c>
      <c r="C299" s="225"/>
      <c r="D299" s="225"/>
      <c r="E299" s="97"/>
      <c r="F299" s="107"/>
      <c r="G299" s="88"/>
      <c r="H299" s="93"/>
      <c r="I299" s="93"/>
      <c r="J299" s="93"/>
      <c r="K299" s="93"/>
      <c r="L299" s="93"/>
      <c r="M299" s="93"/>
      <c r="N299" s="95"/>
      <c r="O299" t="str">
        <f t="shared" si="8"/>
        <v>296. _</v>
      </c>
    </row>
    <row r="300" spans="1:15">
      <c r="A300" s="91"/>
      <c r="B300" s="92">
        <f t="shared" si="9"/>
        <v>297</v>
      </c>
      <c r="C300" s="225"/>
      <c r="D300" s="225"/>
      <c r="E300" s="97"/>
      <c r="F300" s="107"/>
      <c r="G300" s="88"/>
      <c r="H300" s="93"/>
      <c r="I300" s="103"/>
      <c r="J300" s="93"/>
      <c r="K300" s="93"/>
      <c r="L300" s="93"/>
      <c r="M300" s="103"/>
      <c r="N300" s="95"/>
      <c r="O300" t="str">
        <f t="shared" si="8"/>
        <v>297. _</v>
      </c>
    </row>
    <row r="301" spans="1:15">
      <c r="A301" s="91"/>
      <c r="B301" s="92">
        <f t="shared" si="9"/>
        <v>298</v>
      </c>
      <c r="C301" s="225"/>
      <c r="D301" s="225"/>
      <c r="E301" s="97"/>
      <c r="F301" s="107"/>
      <c r="G301" s="88"/>
      <c r="H301" s="93"/>
      <c r="I301" s="93"/>
      <c r="J301" s="93"/>
      <c r="K301" s="93"/>
      <c r="L301" s="93"/>
      <c r="M301" s="93"/>
      <c r="N301" s="95"/>
      <c r="O301" t="str">
        <f t="shared" si="8"/>
        <v>298. _</v>
      </c>
    </row>
    <row r="302" spans="1:15">
      <c r="A302" s="91"/>
      <c r="B302" s="92">
        <f t="shared" si="9"/>
        <v>299</v>
      </c>
      <c r="C302" s="225"/>
      <c r="D302" s="225"/>
      <c r="E302" s="97"/>
      <c r="F302" s="107"/>
      <c r="G302" s="107"/>
      <c r="H302" s="93"/>
      <c r="I302" s="93"/>
      <c r="J302" s="93"/>
      <c r="K302" s="93"/>
      <c r="L302" s="93"/>
      <c r="M302" s="93"/>
      <c r="N302" s="95"/>
      <c r="O302" t="str">
        <f t="shared" si="8"/>
        <v>299. _</v>
      </c>
    </row>
    <row r="303" spans="1:15">
      <c r="A303" s="91"/>
      <c r="B303" s="92">
        <f t="shared" si="9"/>
        <v>300</v>
      </c>
      <c r="C303" s="225"/>
      <c r="D303" s="225"/>
      <c r="E303" s="97"/>
      <c r="F303" s="107"/>
      <c r="G303" s="107"/>
      <c r="H303" s="93"/>
      <c r="I303" s="93"/>
      <c r="J303" s="93"/>
      <c r="K303" s="93"/>
      <c r="L303" s="93"/>
      <c r="M303" s="93"/>
      <c r="N303" s="95"/>
      <c r="O303" t="str">
        <f t="shared" si="8"/>
        <v>300. _</v>
      </c>
    </row>
    <row r="304" spans="1:15">
      <c r="A304" s="91"/>
      <c r="B304" s="92">
        <f t="shared" si="9"/>
        <v>301</v>
      </c>
      <c r="C304" s="225"/>
      <c r="D304" s="225"/>
      <c r="E304" s="97"/>
      <c r="F304" s="107"/>
      <c r="G304" s="107"/>
      <c r="H304" s="93"/>
      <c r="I304" s="93"/>
      <c r="J304" s="93"/>
      <c r="K304" s="93"/>
      <c r="L304" s="93"/>
      <c r="M304" s="93"/>
      <c r="N304" s="95"/>
      <c r="O304" t="str">
        <f t="shared" si="8"/>
        <v>301. _</v>
      </c>
    </row>
    <row r="305" spans="1:15">
      <c r="A305" s="91"/>
      <c r="B305" s="92">
        <f t="shared" si="9"/>
        <v>302</v>
      </c>
      <c r="C305" s="225"/>
      <c r="D305" s="225"/>
      <c r="E305" s="97"/>
      <c r="F305" s="107"/>
      <c r="G305" s="107"/>
      <c r="H305" s="93"/>
      <c r="I305" s="93"/>
      <c r="J305" s="93"/>
      <c r="K305" s="93"/>
      <c r="L305" s="93"/>
      <c r="M305" s="93"/>
      <c r="N305" s="95"/>
      <c r="O305" t="str">
        <f t="shared" si="8"/>
        <v>302. _</v>
      </c>
    </row>
    <row r="306" spans="1:15">
      <c r="A306" s="91"/>
      <c r="B306" s="92">
        <f t="shared" si="9"/>
        <v>303</v>
      </c>
      <c r="C306" s="225"/>
      <c r="D306" s="225"/>
      <c r="E306" s="97"/>
      <c r="F306" s="107"/>
      <c r="G306" s="107"/>
      <c r="H306" s="93"/>
      <c r="I306" s="93"/>
      <c r="J306" s="93"/>
      <c r="K306" s="93"/>
      <c r="L306" s="93"/>
      <c r="M306" s="93"/>
      <c r="N306" s="95"/>
      <c r="O306" t="str">
        <f t="shared" si="8"/>
        <v>303. _</v>
      </c>
    </row>
    <row r="307" spans="1:15">
      <c r="A307" s="91"/>
      <c r="B307" s="92">
        <f t="shared" si="9"/>
        <v>304</v>
      </c>
      <c r="C307" s="225"/>
      <c r="D307" s="225"/>
      <c r="E307" s="97"/>
      <c r="F307" s="107"/>
      <c r="G307" s="107"/>
      <c r="H307" s="93"/>
      <c r="I307" s="3"/>
      <c r="J307" s="93"/>
      <c r="K307" s="93"/>
      <c r="L307" s="93"/>
      <c r="M307" s="93"/>
      <c r="N307" s="95"/>
      <c r="O307" t="str">
        <f t="shared" si="8"/>
        <v>304. _</v>
      </c>
    </row>
    <row r="308" spans="1:15">
      <c r="A308" s="91"/>
      <c r="B308" s="92">
        <f t="shared" si="9"/>
        <v>305</v>
      </c>
      <c r="C308" s="225"/>
      <c r="D308" s="225"/>
      <c r="E308" s="97"/>
      <c r="F308" s="107"/>
      <c r="G308" s="107"/>
      <c r="H308" s="93"/>
      <c r="I308" s="3"/>
      <c r="J308" s="93"/>
      <c r="K308" s="93"/>
      <c r="L308" s="93"/>
      <c r="M308" s="93"/>
      <c r="N308" s="95"/>
      <c r="O308" t="str">
        <f t="shared" si="8"/>
        <v>305. _</v>
      </c>
    </row>
    <row r="309" spans="1:15">
      <c r="A309" s="91"/>
      <c r="B309" s="92">
        <f t="shared" si="9"/>
        <v>306</v>
      </c>
      <c r="C309" s="218"/>
      <c r="D309" s="217"/>
      <c r="E309" s="97"/>
      <c r="F309" s="92"/>
      <c r="G309" s="107"/>
      <c r="H309" s="93"/>
      <c r="I309" s="93"/>
      <c r="J309" s="93"/>
      <c r="K309" s="93"/>
      <c r="L309" s="93"/>
      <c r="M309" s="93"/>
      <c r="N309" s="95"/>
      <c r="O309" t="str">
        <f t="shared" si="8"/>
        <v>306. _</v>
      </c>
    </row>
    <row r="310" spans="1:15">
      <c r="A310" s="91"/>
      <c r="B310" s="92">
        <f t="shared" si="9"/>
        <v>307</v>
      </c>
      <c r="C310" s="218"/>
      <c r="D310" s="218"/>
      <c r="E310" s="97"/>
      <c r="F310" s="97"/>
      <c r="G310" s="107"/>
      <c r="H310" s="93"/>
      <c r="I310" s="93"/>
      <c r="J310" s="93"/>
      <c r="K310" s="93"/>
      <c r="L310" s="93"/>
      <c r="M310" s="93"/>
      <c r="N310" s="95"/>
      <c r="O310" t="str">
        <f t="shared" si="8"/>
        <v>307. _</v>
      </c>
    </row>
    <row r="311" spans="1:15">
      <c r="A311" s="91"/>
      <c r="B311" s="92">
        <f t="shared" si="9"/>
        <v>308</v>
      </c>
      <c r="C311" s="218"/>
      <c r="D311" s="218"/>
      <c r="E311" s="97"/>
      <c r="F311" s="97"/>
      <c r="G311" s="107"/>
      <c r="H311" s="93"/>
      <c r="I311" s="93"/>
      <c r="J311" s="93"/>
      <c r="K311" s="93"/>
      <c r="L311" s="93"/>
      <c r="M311" s="93"/>
      <c r="N311" s="95"/>
      <c r="O311" t="str">
        <f t="shared" si="8"/>
        <v>308. _</v>
      </c>
    </row>
    <row r="312" spans="1:15">
      <c r="A312" s="91"/>
      <c r="B312" s="92">
        <f t="shared" si="9"/>
        <v>309</v>
      </c>
      <c r="C312" s="226"/>
      <c r="D312" s="217"/>
      <c r="E312" s="97"/>
      <c r="F312" s="92"/>
      <c r="G312" s="107"/>
      <c r="H312" s="93"/>
      <c r="I312" s="93"/>
      <c r="J312" s="93"/>
      <c r="K312" s="93"/>
      <c r="L312" s="93"/>
      <c r="M312" s="93"/>
      <c r="N312" s="95"/>
      <c r="O312" t="str">
        <f t="shared" si="8"/>
        <v>309. _</v>
      </c>
    </row>
    <row r="313" spans="1:15">
      <c r="A313" s="91"/>
      <c r="B313" s="92">
        <f t="shared" si="9"/>
        <v>310</v>
      </c>
      <c r="C313" s="218"/>
      <c r="D313" s="218"/>
      <c r="E313" s="97"/>
      <c r="F313" s="97"/>
      <c r="G313" s="107"/>
      <c r="H313" s="93"/>
      <c r="I313" s="93"/>
      <c r="J313" s="93"/>
      <c r="K313" s="93"/>
      <c r="L313" s="93"/>
      <c r="M313" s="93"/>
      <c r="N313" s="95"/>
      <c r="O313" t="str">
        <f t="shared" si="8"/>
        <v>310. _</v>
      </c>
    </row>
    <row r="314" spans="1:15">
      <c r="A314" s="91"/>
      <c r="B314" s="92">
        <f t="shared" si="9"/>
        <v>311</v>
      </c>
      <c r="C314" s="218"/>
      <c r="D314" s="218"/>
      <c r="E314" s="97"/>
      <c r="F314" s="97"/>
      <c r="G314" s="107"/>
      <c r="H314" s="93"/>
      <c r="I314" s="93"/>
      <c r="J314" s="93"/>
      <c r="K314" s="93"/>
      <c r="L314" s="93"/>
      <c r="M314" s="93"/>
      <c r="N314" s="95"/>
      <c r="O314" t="str">
        <f t="shared" si="8"/>
        <v>311. _</v>
      </c>
    </row>
    <row r="315" spans="1:15">
      <c r="A315" s="91"/>
      <c r="B315" s="92">
        <f t="shared" si="9"/>
        <v>312</v>
      </c>
      <c r="C315" s="218"/>
      <c r="D315" s="218"/>
      <c r="E315" s="97"/>
      <c r="F315" s="97"/>
      <c r="G315" s="107"/>
      <c r="H315" s="93"/>
      <c r="I315" s="93"/>
      <c r="J315" s="93"/>
      <c r="K315" s="93"/>
      <c r="L315" s="93"/>
      <c r="M315" s="93"/>
      <c r="N315" s="95"/>
      <c r="O315" t="str">
        <f t="shared" si="8"/>
        <v>312. _</v>
      </c>
    </row>
    <row r="316" spans="1:15">
      <c r="A316" s="91"/>
      <c r="B316" s="92">
        <f t="shared" si="9"/>
        <v>313</v>
      </c>
      <c r="C316" s="225"/>
      <c r="D316" s="225"/>
      <c r="E316" s="97"/>
      <c r="F316" s="107"/>
      <c r="G316" s="107"/>
      <c r="H316" s="93"/>
      <c r="I316" s="93"/>
      <c r="J316" s="93"/>
      <c r="K316" s="93"/>
      <c r="L316" s="93"/>
      <c r="M316" s="3"/>
      <c r="N316" s="95"/>
      <c r="O316" t="str">
        <f t="shared" si="8"/>
        <v>313. _</v>
      </c>
    </row>
    <row r="317" spans="1:15">
      <c r="A317" s="91"/>
      <c r="B317" s="92">
        <f t="shared" si="9"/>
        <v>314</v>
      </c>
      <c r="C317" s="218"/>
      <c r="D317" s="218"/>
      <c r="E317" s="97"/>
      <c r="F317" s="97"/>
      <c r="G317" s="97"/>
      <c r="H317" s="93"/>
      <c r="I317" s="93"/>
      <c r="J317" s="93"/>
      <c r="K317" s="93"/>
      <c r="L317" s="93"/>
      <c r="M317" s="93"/>
      <c r="N317" s="95"/>
      <c r="O317" t="str">
        <f t="shared" si="8"/>
        <v>314. _</v>
      </c>
    </row>
    <row r="318" spans="1:15">
      <c r="A318" s="91"/>
      <c r="B318" s="92">
        <f t="shared" si="9"/>
        <v>315</v>
      </c>
      <c r="C318" s="225"/>
      <c r="D318" s="225"/>
      <c r="E318" s="97"/>
      <c r="F318" s="107"/>
      <c r="G318" s="97"/>
      <c r="H318" s="93"/>
      <c r="I318" s="93"/>
      <c r="J318" s="93"/>
      <c r="K318" s="93"/>
      <c r="L318" s="93"/>
      <c r="M318" s="93"/>
      <c r="N318" s="95"/>
      <c r="O318" t="str">
        <f t="shared" si="8"/>
        <v>315. _</v>
      </c>
    </row>
    <row r="319" spans="1:15">
      <c r="A319" s="91"/>
      <c r="B319" s="92">
        <f t="shared" si="9"/>
        <v>316</v>
      </c>
      <c r="C319" s="225"/>
      <c r="D319" s="225"/>
      <c r="E319" s="97"/>
      <c r="F319" s="97"/>
      <c r="G319" s="97"/>
      <c r="H319" s="93"/>
      <c r="I319" s="93"/>
      <c r="J319" s="93"/>
      <c r="K319" s="93"/>
      <c r="L319" s="93"/>
      <c r="M319" s="93"/>
      <c r="N319" s="95"/>
      <c r="O319" t="str">
        <f t="shared" si="8"/>
        <v>316. _</v>
      </c>
    </row>
    <row r="320" spans="1:15">
      <c r="A320" s="91"/>
      <c r="B320" s="92">
        <f t="shared" si="9"/>
        <v>317</v>
      </c>
      <c r="C320" s="225"/>
      <c r="D320" s="225"/>
      <c r="E320" s="97"/>
      <c r="F320" s="107"/>
      <c r="G320" s="97"/>
      <c r="H320" s="93"/>
      <c r="I320" s="93"/>
      <c r="J320" s="93"/>
      <c r="K320" s="93"/>
      <c r="L320" s="93"/>
      <c r="M320" s="93"/>
      <c r="N320" s="95"/>
      <c r="O320" t="str">
        <f t="shared" si="8"/>
        <v>317. _</v>
      </c>
    </row>
    <row r="321" spans="1:15">
      <c r="A321" s="91"/>
      <c r="B321" s="92">
        <f t="shared" si="9"/>
        <v>318</v>
      </c>
      <c r="C321" s="225"/>
      <c r="D321" s="225"/>
      <c r="E321" s="97"/>
      <c r="F321" s="97"/>
      <c r="G321" s="97"/>
      <c r="H321" s="93"/>
      <c r="I321" s="93"/>
      <c r="J321" s="93"/>
      <c r="K321" s="93"/>
      <c r="L321" s="93"/>
      <c r="M321" s="93"/>
      <c r="N321" s="95"/>
      <c r="O321" t="str">
        <f t="shared" si="8"/>
        <v>318. _</v>
      </c>
    </row>
    <row r="322" spans="1:15">
      <c r="A322" s="91"/>
      <c r="B322" s="92">
        <f t="shared" si="9"/>
        <v>319</v>
      </c>
      <c r="C322" s="225"/>
      <c r="D322" s="225"/>
      <c r="E322" s="97"/>
      <c r="F322" s="107"/>
      <c r="G322" s="107"/>
      <c r="H322" s="93"/>
      <c r="I322" s="93"/>
      <c r="J322" s="93"/>
      <c r="K322" s="93"/>
      <c r="L322" s="93"/>
      <c r="M322" s="93"/>
      <c r="N322" s="95"/>
      <c r="O322" t="str">
        <f t="shared" si="8"/>
        <v>319. _</v>
      </c>
    </row>
    <row r="323" spans="1:15">
      <c r="A323" s="91"/>
      <c r="B323" s="92">
        <f t="shared" si="9"/>
        <v>320</v>
      </c>
      <c r="C323" s="218"/>
      <c r="D323" s="218"/>
      <c r="E323" s="97"/>
      <c r="F323" s="107"/>
      <c r="G323" s="107"/>
      <c r="H323" s="93"/>
      <c r="I323" s="93"/>
      <c r="J323" s="93"/>
      <c r="K323" s="93"/>
      <c r="L323" s="93"/>
      <c r="M323" s="93"/>
      <c r="N323" s="95"/>
      <c r="O323" t="str">
        <f t="shared" ref="O323:O357" si="10">CONCATENATE(B323,". ",C323,"_",D323)</f>
        <v>320. _</v>
      </c>
    </row>
    <row r="324" spans="1:15">
      <c r="A324" s="91"/>
      <c r="B324" s="92">
        <f t="shared" si="9"/>
        <v>321</v>
      </c>
      <c r="C324" s="218"/>
      <c r="D324" s="218"/>
      <c r="E324" s="97"/>
      <c r="F324" s="107"/>
      <c r="G324" s="107"/>
      <c r="H324" s="93"/>
      <c r="I324" s="93"/>
      <c r="J324" s="93"/>
      <c r="K324" s="93"/>
      <c r="L324" s="93"/>
      <c r="M324" s="93"/>
      <c r="N324" s="95"/>
      <c r="O324" t="str">
        <f t="shared" si="10"/>
        <v>321. _</v>
      </c>
    </row>
    <row r="325" spans="1:15">
      <c r="A325" s="91"/>
      <c r="B325" s="92">
        <f t="shared" ref="B325:B388" si="11">B324+1</f>
        <v>322</v>
      </c>
      <c r="C325" s="217"/>
      <c r="D325" s="217"/>
      <c r="E325" s="97"/>
      <c r="F325" s="107"/>
      <c r="G325" s="107"/>
      <c r="H325" s="93"/>
      <c r="I325" s="103"/>
      <c r="J325" s="93"/>
      <c r="K325" s="93"/>
      <c r="L325" s="93"/>
      <c r="M325" s="103"/>
      <c r="N325" s="95"/>
      <c r="O325" t="str">
        <f t="shared" si="10"/>
        <v>322. _</v>
      </c>
    </row>
    <row r="326" spans="1:15">
      <c r="A326" s="91"/>
      <c r="B326" s="92">
        <f t="shared" si="11"/>
        <v>323</v>
      </c>
      <c r="C326" s="217"/>
      <c r="D326" s="217"/>
      <c r="E326" s="97"/>
      <c r="F326" s="107"/>
      <c r="G326" s="107"/>
      <c r="H326" s="93"/>
      <c r="I326" s="103"/>
      <c r="J326" s="93"/>
      <c r="K326" s="93"/>
      <c r="L326" s="93"/>
      <c r="M326" s="103"/>
      <c r="N326" s="95"/>
      <c r="O326" t="str">
        <f t="shared" si="10"/>
        <v>323. _</v>
      </c>
    </row>
    <row r="327" spans="1:15">
      <c r="A327" s="91"/>
      <c r="B327" s="92">
        <f t="shared" si="11"/>
        <v>324</v>
      </c>
      <c r="C327" s="217"/>
      <c r="D327" s="217"/>
      <c r="E327" s="97"/>
      <c r="F327" s="107"/>
      <c r="G327" s="107"/>
      <c r="H327" s="93"/>
      <c r="I327" s="103"/>
      <c r="J327" s="93"/>
      <c r="K327" s="93"/>
      <c r="L327" s="93"/>
      <c r="M327" s="103"/>
      <c r="N327" s="95"/>
      <c r="O327" t="str">
        <f t="shared" si="10"/>
        <v>324. _</v>
      </c>
    </row>
    <row r="328" spans="1:15">
      <c r="A328" s="91"/>
      <c r="B328" s="92">
        <f t="shared" si="11"/>
        <v>325</v>
      </c>
      <c r="C328" s="217"/>
      <c r="D328" s="217"/>
      <c r="E328" s="97"/>
      <c r="F328" s="92"/>
      <c r="G328" s="97"/>
      <c r="H328" s="93"/>
      <c r="I328" s="103"/>
      <c r="J328" s="93"/>
      <c r="K328" s="93"/>
      <c r="L328" s="93"/>
      <c r="M328" s="103"/>
      <c r="N328" s="95"/>
      <c r="O328" t="str">
        <f t="shared" si="10"/>
        <v>325. _</v>
      </c>
    </row>
    <row r="329" spans="1:15">
      <c r="A329" s="91"/>
      <c r="B329" s="92">
        <f t="shared" si="11"/>
        <v>326</v>
      </c>
      <c r="C329" s="217"/>
      <c r="D329" s="217"/>
      <c r="E329" s="97"/>
      <c r="F329" s="92"/>
      <c r="G329" s="97"/>
      <c r="H329" s="93"/>
      <c r="I329" s="103"/>
      <c r="J329" s="93"/>
      <c r="K329" s="93"/>
      <c r="L329" s="93"/>
      <c r="M329" s="103"/>
      <c r="N329" s="95"/>
      <c r="O329" t="str">
        <f t="shared" si="10"/>
        <v>326. _</v>
      </c>
    </row>
    <row r="330" spans="1:15">
      <c r="A330" s="91"/>
      <c r="B330" s="92">
        <f t="shared" si="11"/>
        <v>327</v>
      </c>
      <c r="C330" s="217"/>
      <c r="D330" s="217"/>
      <c r="E330" s="97"/>
      <c r="F330" s="92"/>
      <c r="G330" s="97"/>
      <c r="H330" s="93"/>
      <c r="I330" s="103"/>
      <c r="J330" s="93"/>
      <c r="K330" s="93"/>
      <c r="L330" s="93"/>
      <c r="M330" s="103"/>
      <c r="N330" s="95"/>
      <c r="O330" t="str">
        <f t="shared" si="10"/>
        <v>327. _</v>
      </c>
    </row>
    <row r="331" spans="1:15">
      <c r="A331" s="91"/>
      <c r="B331" s="92">
        <f t="shared" si="11"/>
        <v>328</v>
      </c>
      <c r="C331" s="217"/>
      <c r="D331" s="217"/>
      <c r="E331" s="97"/>
      <c r="F331" s="92"/>
      <c r="G331" s="97"/>
      <c r="H331" s="93"/>
      <c r="I331" s="103"/>
      <c r="J331" s="93"/>
      <c r="K331" s="93"/>
      <c r="L331" s="93"/>
      <c r="M331" s="103"/>
      <c r="N331" s="95"/>
      <c r="O331" t="str">
        <f t="shared" si="10"/>
        <v>328. _</v>
      </c>
    </row>
    <row r="332" spans="1:15">
      <c r="A332" s="91"/>
      <c r="B332" s="92">
        <f t="shared" si="11"/>
        <v>329</v>
      </c>
      <c r="C332" s="217"/>
      <c r="D332" s="217"/>
      <c r="E332" s="97"/>
      <c r="F332" s="92"/>
      <c r="G332" s="97"/>
      <c r="H332" s="93"/>
      <c r="I332" s="93"/>
      <c r="J332" s="93"/>
      <c r="K332" s="93"/>
      <c r="L332" s="93"/>
      <c r="M332" s="93"/>
      <c r="N332" s="95"/>
      <c r="O332" t="str">
        <f t="shared" si="10"/>
        <v>329. _</v>
      </c>
    </row>
    <row r="333" spans="1:15">
      <c r="A333" s="91"/>
      <c r="B333" s="92">
        <f t="shared" si="11"/>
        <v>330</v>
      </c>
      <c r="C333" s="217"/>
      <c r="D333" s="217"/>
      <c r="E333" s="97"/>
      <c r="F333" s="92"/>
      <c r="G333" s="97"/>
      <c r="H333" s="93"/>
      <c r="I333" s="103"/>
      <c r="J333" s="93"/>
      <c r="K333" s="93"/>
      <c r="L333" s="93"/>
      <c r="M333" s="93"/>
      <c r="N333" s="95"/>
      <c r="O333" t="str">
        <f t="shared" si="10"/>
        <v>330. _</v>
      </c>
    </row>
    <row r="334" spans="1:15">
      <c r="A334" s="91"/>
      <c r="B334" s="92">
        <f t="shared" si="11"/>
        <v>331</v>
      </c>
      <c r="C334" s="218"/>
      <c r="D334" s="218"/>
      <c r="E334" s="97"/>
      <c r="F334" s="92"/>
      <c r="G334" s="97"/>
      <c r="H334" s="93"/>
      <c r="I334" s="93"/>
      <c r="J334" s="93"/>
      <c r="K334" s="93"/>
      <c r="L334" s="93"/>
      <c r="M334" s="103"/>
      <c r="N334" s="95"/>
      <c r="O334" t="str">
        <f t="shared" si="10"/>
        <v>331. _</v>
      </c>
    </row>
    <row r="335" spans="1:15">
      <c r="A335" s="91"/>
      <c r="B335" s="92">
        <f t="shared" si="11"/>
        <v>332</v>
      </c>
      <c r="C335" s="218"/>
      <c r="D335" s="218"/>
      <c r="E335" s="97"/>
      <c r="F335" s="97"/>
      <c r="G335" s="97"/>
      <c r="H335" s="93"/>
      <c r="I335" s="103"/>
      <c r="J335" s="93"/>
      <c r="K335" s="93"/>
      <c r="L335" s="93"/>
      <c r="M335" s="103"/>
      <c r="N335" s="95"/>
      <c r="O335" t="str">
        <f t="shared" si="10"/>
        <v>332. _</v>
      </c>
    </row>
    <row r="336" spans="1:15">
      <c r="A336" s="91"/>
      <c r="B336" s="92">
        <f t="shared" si="11"/>
        <v>333</v>
      </c>
      <c r="C336" s="218"/>
      <c r="D336" s="218"/>
      <c r="E336" s="97"/>
      <c r="F336" s="97"/>
      <c r="G336" s="97"/>
      <c r="H336" s="93"/>
      <c r="I336" s="93"/>
      <c r="J336" s="93"/>
      <c r="K336" s="93"/>
      <c r="L336" s="93"/>
      <c r="M336" s="103"/>
      <c r="N336" s="95"/>
      <c r="O336" t="str">
        <f t="shared" si="10"/>
        <v>333. _</v>
      </c>
    </row>
    <row r="337" spans="1:15">
      <c r="A337" s="91"/>
      <c r="B337" s="92">
        <f t="shared" si="11"/>
        <v>334</v>
      </c>
      <c r="C337" s="217"/>
      <c r="D337" s="217"/>
      <c r="E337" s="97"/>
      <c r="F337" s="92"/>
      <c r="G337" s="97"/>
      <c r="H337" s="93"/>
      <c r="I337" s="103"/>
      <c r="J337" s="93"/>
      <c r="K337" s="93"/>
      <c r="L337" s="93"/>
      <c r="M337" s="103"/>
      <c r="N337" s="95"/>
      <c r="O337" t="str">
        <f t="shared" si="10"/>
        <v>334. _</v>
      </c>
    </row>
    <row r="338" spans="1:15">
      <c r="A338" s="91"/>
      <c r="B338" s="92">
        <f t="shared" si="11"/>
        <v>335</v>
      </c>
      <c r="C338" s="217"/>
      <c r="D338" s="217"/>
      <c r="E338" s="97"/>
      <c r="F338" s="92"/>
      <c r="G338" s="97"/>
      <c r="H338" s="93"/>
      <c r="I338" s="103"/>
      <c r="J338" s="93"/>
      <c r="K338" s="93"/>
      <c r="L338" s="93"/>
      <c r="M338" s="103"/>
      <c r="N338" s="95"/>
      <c r="O338" t="str">
        <f t="shared" si="10"/>
        <v>335. _</v>
      </c>
    </row>
    <row r="339" spans="1:15">
      <c r="A339" s="91"/>
      <c r="B339" s="92">
        <f t="shared" si="11"/>
        <v>336</v>
      </c>
      <c r="C339" s="217"/>
      <c r="D339" s="217"/>
      <c r="E339" s="97"/>
      <c r="F339" s="92"/>
      <c r="G339" s="92"/>
      <c r="H339" s="93"/>
      <c r="I339" s="93"/>
      <c r="J339" s="93"/>
      <c r="K339" s="93"/>
      <c r="L339" s="93"/>
      <c r="M339" s="93"/>
      <c r="N339" s="95"/>
      <c r="O339" t="str">
        <f t="shared" si="10"/>
        <v>336. _</v>
      </c>
    </row>
    <row r="340" spans="1:15">
      <c r="A340" s="91"/>
      <c r="B340" s="92">
        <f t="shared" si="11"/>
        <v>337</v>
      </c>
      <c r="C340" s="217"/>
      <c r="D340" s="217"/>
      <c r="E340" s="97"/>
      <c r="F340" s="92"/>
      <c r="G340" s="97"/>
      <c r="H340" s="93"/>
      <c r="I340" s="93"/>
      <c r="J340" s="93"/>
      <c r="K340" s="93"/>
      <c r="L340" s="93"/>
      <c r="M340" s="93"/>
      <c r="N340" s="95"/>
      <c r="O340" t="str">
        <f t="shared" si="10"/>
        <v>337. _</v>
      </c>
    </row>
    <row r="341" spans="1:15">
      <c r="A341" s="91"/>
      <c r="B341" s="92">
        <f t="shared" si="11"/>
        <v>338</v>
      </c>
      <c r="C341" s="217"/>
      <c r="D341" s="217"/>
      <c r="E341" s="97"/>
      <c r="F341" s="92"/>
      <c r="G341" s="92"/>
      <c r="H341" s="93"/>
      <c r="I341" s="93"/>
      <c r="J341" s="93"/>
      <c r="K341" s="93"/>
      <c r="L341" s="93"/>
      <c r="M341" s="93"/>
      <c r="N341" s="95"/>
      <c r="O341" t="str">
        <f t="shared" si="10"/>
        <v>338. _</v>
      </c>
    </row>
    <row r="342" spans="1:15">
      <c r="A342" s="91"/>
      <c r="B342" s="92">
        <f t="shared" si="11"/>
        <v>339</v>
      </c>
      <c r="C342" s="217"/>
      <c r="D342" s="217"/>
      <c r="E342" s="97"/>
      <c r="F342" s="92"/>
      <c r="G342" s="92"/>
      <c r="H342" s="93"/>
      <c r="I342" s="93"/>
      <c r="J342" s="93"/>
      <c r="K342" s="93"/>
      <c r="L342" s="93"/>
      <c r="M342" s="103"/>
      <c r="N342" s="95"/>
      <c r="O342" t="str">
        <f t="shared" si="10"/>
        <v>339. _</v>
      </c>
    </row>
    <row r="343" spans="1:15">
      <c r="A343" s="91"/>
      <c r="B343" s="92">
        <f t="shared" si="11"/>
        <v>340</v>
      </c>
      <c r="C343" s="217"/>
      <c r="D343" s="217"/>
      <c r="E343" s="97"/>
      <c r="F343" s="92"/>
      <c r="G343" s="92"/>
      <c r="H343" s="93"/>
      <c r="I343" s="93"/>
      <c r="J343" s="93"/>
      <c r="K343" s="93"/>
      <c r="L343" s="93"/>
      <c r="M343" s="93"/>
      <c r="N343" s="95"/>
      <c r="O343" t="str">
        <f t="shared" si="10"/>
        <v>340. _</v>
      </c>
    </row>
    <row r="344" spans="1:15">
      <c r="A344" s="91"/>
      <c r="B344" s="92">
        <f t="shared" si="11"/>
        <v>341</v>
      </c>
      <c r="C344" s="217"/>
      <c r="D344" s="217"/>
      <c r="E344" s="97"/>
      <c r="F344" s="92"/>
      <c r="G344" s="92"/>
      <c r="H344" s="93"/>
      <c r="I344" s="93"/>
      <c r="J344" s="93"/>
      <c r="K344" s="93"/>
      <c r="L344" s="93"/>
      <c r="M344" s="93"/>
      <c r="N344" s="95"/>
      <c r="O344" t="str">
        <f t="shared" si="10"/>
        <v>341. _</v>
      </c>
    </row>
    <row r="345" spans="1:15">
      <c r="A345" s="91"/>
      <c r="B345" s="92">
        <f t="shared" si="11"/>
        <v>342</v>
      </c>
      <c r="C345" s="222"/>
      <c r="D345" s="222"/>
      <c r="E345" s="97"/>
      <c r="F345" s="88"/>
      <c r="G345" s="88"/>
      <c r="H345" s="3"/>
      <c r="I345" s="3"/>
      <c r="J345" s="93"/>
      <c r="K345" s="93"/>
      <c r="L345" s="3"/>
      <c r="M345" s="3"/>
      <c r="N345" s="1"/>
      <c r="O345" t="str">
        <f t="shared" si="10"/>
        <v>342. _</v>
      </c>
    </row>
    <row r="346" spans="1:15">
      <c r="A346" s="91"/>
      <c r="B346" s="92">
        <f t="shared" si="11"/>
        <v>343</v>
      </c>
      <c r="C346" s="217"/>
      <c r="D346" s="217"/>
      <c r="E346" s="97"/>
      <c r="F346" s="88"/>
      <c r="G346" s="88"/>
      <c r="H346" s="3"/>
      <c r="I346" s="103"/>
      <c r="J346" s="93"/>
      <c r="K346" s="93"/>
      <c r="L346" s="93"/>
      <c r="M346" s="103"/>
      <c r="N346" s="95"/>
      <c r="O346" t="str">
        <f t="shared" si="10"/>
        <v>343. _</v>
      </c>
    </row>
    <row r="347" spans="1:15">
      <c r="A347" s="91"/>
      <c r="B347" s="92">
        <f t="shared" si="11"/>
        <v>344</v>
      </c>
      <c r="C347" s="217"/>
      <c r="D347" s="217"/>
      <c r="E347" s="97"/>
      <c r="F347" s="92"/>
      <c r="G347" s="92"/>
      <c r="H347" s="93"/>
      <c r="I347" s="93"/>
      <c r="J347" s="93"/>
      <c r="K347" s="93"/>
      <c r="L347" s="93"/>
      <c r="M347" s="93"/>
      <c r="N347" s="95"/>
      <c r="O347" t="str">
        <f t="shared" si="10"/>
        <v>344. _</v>
      </c>
    </row>
    <row r="348" spans="1:15">
      <c r="A348" s="91"/>
      <c r="B348" s="92">
        <f t="shared" si="11"/>
        <v>345</v>
      </c>
      <c r="C348" s="217"/>
      <c r="D348" s="217"/>
      <c r="E348" s="97"/>
      <c r="F348" s="92"/>
      <c r="G348" s="92"/>
      <c r="H348" s="93"/>
      <c r="I348" s="93"/>
      <c r="J348" s="93"/>
      <c r="K348" s="93"/>
      <c r="L348" s="93"/>
      <c r="M348" s="93"/>
      <c r="N348" s="95"/>
      <c r="O348" t="str">
        <f t="shared" si="10"/>
        <v>345. _</v>
      </c>
    </row>
    <row r="349" spans="1:15">
      <c r="A349" s="91"/>
      <c r="B349" s="92">
        <f t="shared" si="11"/>
        <v>346</v>
      </c>
      <c r="C349" s="217"/>
      <c r="D349" s="217"/>
      <c r="E349" s="97"/>
      <c r="F349" s="92"/>
      <c r="G349" s="92"/>
      <c r="H349" s="93"/>
      <c r="I349" s="93"/>
      <c r="J349" s="93"/>
      <c r="K349" s="93"/>
      <c r="L349" s="93"/>
      <c r="M349" s="93"/>
      <c r="N349" s="95"/>
      <c r="O349" t="str">
        <f t="shared" si="10"/>
        <v>346. _</v>
      </c>
    </row>
    <row r="350" spans="1:15">
      <c r="A350" s="91"/>
      <c r="B350" s="92">
        <f t="shared" si="11"/>
        <v>347</v>
      </c>
      <c r="C350" s="227"/>
      <c r="D350" s="227"/>
      <c r="E350" s="97"/>
      <c r="F350" s="88"/>
      <c r="G350" s="92"/>
      <c r="H350" s="3"/>
      <c r="I350" s="3"/>
      <c r="J350" s="93"/>
      <c r="K350" s="93"/>
      <c r="L350" s="93"/>
      <c r="M350" s="103"/>
      <c r="N350" s="95"/>
      <c r="O350" t="str">
        <f t="shared" si="10"/>
        <v>347. _</v>
      </c>
    </row>
    <row r="351" spans="1:15">
      <c r="A351" s="91"/>
      <c r="B351" s="92">
        <f t="shared" si="11"/>
        <v>348</v>
      </c>
      <c r="C351" s="228"/>
      <c r="D351" s="228"/>
      <c r="E351" s="97"/>
      <c r="F351" s="107"/>
      <c r="G351" s="92"/>
      <c r="H351" s="3"/>
      <c r="I351" s="3"/>
      <c r="J351" s="93"/>
      <c r="K351" s="93"/>
      <c r="L351" s="93"/>
      <c r="M351" s="103"/>
      <c r="N351" s="95"/>
      <c r="O351" t="str">
        <f t="shared" si="10"/>
        <v>348. _</v>
      </c>
    </row>
    <row r="352" spans="1:15">
      <c r="A352" s="91"/>
      <c r="B352" s="92">
        <f t="shared" si="11"/>
        <v>349</v>
      </c>
      <c r="C352" s="228"/>
      <c r="D352" s="228"/>
      <c r="E352" s="97"/>
      <c r="F352" s="107"/>
      <c r="G352" s="92"/>
      <c r="H352" s="3"/>
      <c r="I352" s="3"/>
      <c r="J352" s="93"/>
      <c r="K352" s="93"/>
      <c r="L352" s="93"/>
      <c r="M352" s="103"/>
      <c r="N352" s="95"/>
      <c r="O352" t="str">
        <f t="shared" si="10"/>
        <v>349. _</v>
      </c>
    </row>
    <row r="353" spans="1:15">
      <c r="A353" s="91"/>
      <c r="B353" s="92">
        <f t="shared" si="11"/>
        <v>350</v>
      </c>
      <c r="C353" s="228"/>
      <c r="D353" s="228"/>
      <c r="E353" s="97"/>
      <c r="F353" s="107"/>
      <c r="G353" s="92"/>
      <c r="H353" s="3"/>
      <c r="I353" s="3"/>
      <c r="J353" s="93"/>
      <c r="K353" s="93"/>
      <c r="L353" s="93"/>
      <c r="M353" s="103"/>
      <c r="N353" s="95"/>
      <c r="O353" t="str">
        <f t="shared" si="10"/>
        <v>350. _</v>
      </c>
    </row>
    <row r="354" spans="1:15">
      <c r="A354" s="91"/>
      <c r="B354" s="92">
        <f t="shared" si="11"/>
        <v>351</v>
      </c>
      <c r="C354" s="228"/>
      <c r="D354" s="228"/>
      <c r="E354" s="97"/>
      <c r="F354" s="88"/>
      <c r="G354" s="92"/>
      <c r="H354" s="3"/>
      <c r="I354" s="3"/>
      <c r="J354" s="93"/>
      <c r="K354" s="93"/>
      <c r="L354" s="3"/>
      <c r="M354" s="103"/>
      <c r="N354" s="95"/>
      <c r="O354" t="str">
        <f t="shared" si="10"/>
        <v>351. _</v>
      </c>
    </row>
    <row r="355" spans="1:15">
      <c r="A355" s="91"/>
      <c r="B355" s="92">
        <f t="shared" si="11"/>
        <v>352</v>
      </c>
      <c r="C355" s="228"/>
      <c r="D355" s="228"/>
      <c r="E355" s="97"/>
      <c r="G355" s="92"/>
      <c r="H355" s="3"/>
      <c r="I355" s="3"/>
      <c r="J355" s="93"/>
      <c r="K355" s="93"/>
      <c r="L355" s="3"/>
      <c r="M355" s="3"/>
      <c r="N355" s="1"/>
      <c r="O355" t="str">
        <f t="shared" si="10"/>
        <v>352. _</v>
      </c>
    </row>
    <row r="356" spans="1:15">
      <c r="A356" s="91"/>
      <c r="B356" s="92">
        <f t="shared" si="11"/>
        <v>353</v>
      </c>
      <c r="C356" s="225"/>
      <c r="D356" s="225"/>
      <c r="E356" s="97"/>
      <c r="F356" s="107"/>
      <c r="G356" s="92"/>
      <c r="H356" s="93"/>
      <c r="I356" s="103"/>
      <c r="J356" s="93"/>
      <c r="K356" s="93"/>
      <c r="L356" s="93"/>
      <c r="M356" s="93"/>
      <c r="N356" s="95"/>
      <c r="O356" t="str">
        <f t="shared" si="10"/>
        <v>353. _</v>
      </c>
    </row>
    <row r="357" spans="1:15">
      <c r="A357" s="91"/>
      <c r="B357" s="92">
        <f t="shared" si="11"/>
        <v>354</v>
      </c>
      <c r="C357" s="221"/>
      <c r="D357" s="236"/>
      <c r="E357" s="97"/>
      <c r="F357" s="92"/>
      <c r="G357" s="107"/>
      <c r="H357" s="93"/>
      <c r="I357" s="93"/>
      <c r="J357" s="93"/>
      <c r="K357" s="93"/>
      <c r="L357" s="93"/>
      <c r="M357" s="93"/>
      <c r="N357" s="95"/>
      <c r="O357" t="str">
        <f t="shared" si="10"/>
        <v>354. _</v>
      </c>
    </row>
    <row r="358" spans="1:15">
      <c r="A358" s="91"/>
      <c r="B358" s="92">
        <f t="shared" si="11"/>
        <v>355</v>
      </c>
      <c r="C358" s="217"/>
      <c r="D358" s="217"/>
      <c r="E358" s="97"/>
      <c r="F358" s="92"/>
      <c r="G358" s="107"/>
      <c r="H358" s="93"/>
      <c r="I358" s="93"/>
      <c r="J358" s="93"/>
      <c r="K358" s="93"/>
      <c r="L358" s="93"/>
      <c r="M358" s="93"/>
      <c r="N358" s="95"/>
      <c r="O358" t="str">
        <f>CONCATENATE(B358,". ",C358,"_",D358)</f>
        <v>355. _</v>
      </c>
    </row>
    <row r="359" spans="1:15">
      <c r="A359" s="91"/>
      <c r="B359" s="92">
        <f t="shared" si="11"/>
        <v>356</v>
      </c>
      <c r="C359" s="217"/>
      <c r="D359" s="217"/>
      <c r="E359" s="97"/>
      <c r="F359" s="92"/>
      <c r="G359" s="107"/>
      <c r="H359" s="93"/>
      <c r="I359" s="93"/>
      <c r="J359" s="93"/>
      <c r="K359" s="93"/>
      <c r="L359" s="93"/>
      <c r="M359" s="93"/>
      <c r="N359" s="95"/>
      <c r="O359" t="str">
        <f t="shared" ref="O359:O386" si="12">CONCATENATE(B359,". ",C359,"_",D359)</f>
        <v>356. _</v>
      </c>
    </row>
    <row r="360" spans="1:15">
      <c r="A360" s="91"/>
      <c r="B360" s="92">
        <f t="shared" si="11"/>
        <v>357</v>
      </c>
      <c r="C360" s="217"/>
      <c r="D360" s="217"/>
      <c r="E360" s="97"/>
      <c r="F360" s="92"/>
      <c r="G360" s="107"/>
      <c r="H360" s="93"/>
      <c r="I360" s="93"/>
      <c r="J360" s="93"/>
      <c r="K360" s="93"/>
      <c r="L360" s="93"/>
      <c r="M360" s="93"/>
      <c r="N360" s="95"/>
      <c r="O360" t="str">
        <f t="shared" si="12"/>
        <v>357. _</v>
      </c>
    </row>
    <row r="361" spans="1:15">
      <c r="A361" s="91"/>
      <c r="B361" s="92">
        <f t="shared" si="11"/>
        <v>358</v>
      </c>
      <c r="C361" s="217"/>
      <c r="D361" s="217"/>
      <c r="E361" s="97"/>
      <c r="F361" s="92"/>
      <c r="G361" s="107"/>
      <c r="H361" s="93"/>
      <c r="I361" s="93"/>
      <c r="J361" s="93"/>
      <c r="K361" s="93"/>
      <c r="L361" s="93"/>
      <c r="M361" s="93"/>
      <c r="N361" s="95"/>
      <c r="O361" t="str">
        <f t="shared" si="12"/>
        <v>358. _</v>
      </c>
    </row>
    <row r="362" spans="1:15">
      <c r="A362" s="91"/>
      <c r="B362" s="92">
        <f t="shared" si="11"/>
        <v>359</v>
      </c>
      <c r="C362" s="217"/>
      <c r="D362" s="217"/>
      <c r="E362" s="97"/>
      <c r="F362" s="92"/>
      <c r="G362" s="107"/>
      <c r="H362" s="93"/>
      <c r="I362" s="93"/>
      <c r="J362" s="93"/>
      <c r="K362" s="93"/>
      <c r="L362" s="93"/>
      <c r="M362" s="93"/>
      <c r="N362" s="95"/>
      <c r="O362" t="str">
        <f t="shared" si="12"/>
        <v>359. _</v>
      </c>
    </row>
    <row r="363" spans="1:15">
      <c r="A363" s="91"/>
      <c r="B363" s="92">
        <f t="shared" si="11"/>
        <v>360</v>
      </c>
      <c r="C363" s="218"/>
      <c r="D363" s="218"/>
      <c r="E363" s="97"/>
      <c r="F363" s="97"/>
      <c r="G363" s="97"/>
      <c r="H363" s="93"/>
      <c r="I363" s="93"/>
      <c r="J363" s="93"/>
      <c r="K363" s="93"/>
      <c r="L363" s="93"/>
      <c r="M363" s="93"/>
      <c r="N363" s="95"/>
      <c r="O363" t="str">
        <f t="shared" si="12"/>
        <v>360. _</v>
      </c>
    </row>
    <row r="364" spans="1:15">
      <c r="A364" s="91"/>
      <c r="B364" s="92">
        <f t="shared" si="11"/>
        <v>361</v>
      </c>
      <c r="C364" s="218"/>
      <c r="D364" s="218"/>
      <c r="E364" s="97"/>
      <c r="F364" s="97"/>
      <c r="G364" s="97"/>
      <c r="H364" s="93"/>
      <c r="I364" s="93"/>
      <c r="J364" s="93"/>
      <c r="K364" s="93"/>
      <c r="L364" s="93"/>
      <c r="M364" s="93"/>
      <c r="N364" s="95"/>
      <c r="O364" t="str">
        <f t="shared" si="12"/>
        <v>361. _</v>
      </c>
    </row>
    <row r="365" spans="1:15">
      <c r="A365" s="91"/>
      <c r="B365" s="92">
        <f t="shared" si="11"/>
        <v>362</v>
      </c>
      <c r="C365" s="218"/>
      <c r="D365" s="218"/>
      <c r="E365" s="97"/>
      <c r="F365" s="97"/>
      <c r="G365" s="97"/>
      <c r="H365" s="93"/>
      <c r="I365" s="93"/>
      <c r="J365" s="93"/>
      <c r="K365" s="93"/>
      <c r="L365" s="93"/>
      <c r="M365" s="93"/>
      <c r="N365" s="95"/>
      <c r="O365" t="str">
        <f t="shared" si="12"/>
        <v>362. _</v>
      </c>
    </row>
    <row r="366" spans="1:15">
      <c r="A366" s="91"/>
      <c r="B366" s="92">
        <f t="shared" si="11"/>
        <v>363</v>
      </c>
      <c r="C366" s="217"/>
      <c r="D366" s="217"/>
      <c r="E366" s="97"/>
      <c r="F366" s="92"/>
      <c r="G366" s="92"/>
      <c r="H366" s="93"/>
      <c r="I366" s="93"/>
      <c r="J366" s="93"/>
      <c r="K366" s="93"/>
      <c r="L366" s="93"/>
      <c r="M366" s="93"/>
      <c r="N366" s="95"/>
      <c r="O366" t="str">
        <f t="shared" si="12"/>
        <v>363. _</v>
      </c>
    </row>
    <row r="367" spans="1:15">
      <c r="A367" s="91"/>
      <c r="B367" s="92">
        <f t="shared" si="11"/>
        <v>364</v>
      </c>
      <c r="C367" s="217"/>
      <c r="D367" s="217"/>
      <c r="E367" s="97"/>
      <c r="F367" s="92"/>
      <c r="G367" s="92"/>
      <c r="H367" s="93"/>
      <c r="I367" s="93"/>
      <c r="J367" s="93"/>
      <c r="K367" s="93"/>
      <c r="L367" s="93"/>
      <c r="M367" s="93"/>
      <c r="N367" s="95"/>
      <c r="O367" t="str">
        <f t="shared" si="12"/>
        <v>364. _</v>
      </c>
    </row>
    <row r="368" spans="1:15">
      <c r="A368" s="91"/>
      <c r="B368" s="92">
        <f t="shared" si="11"/>
        <v>365</v>
      </c>
      <c r="C368" s="217"/>
      <c r="D368" s="217"/>
      <c r="E368" s="97"/>
      <c r="F368" s="92"/>
      <c r="G368" s="92"/>
      <c r="H368" s="93"/>
      <c r="I368" s="93"/>
      <c r="J368" s="93"/>
      <c r="K368" s="93"/>
      <c r="L368" s="93"/>
      <c r="M368" s="93"/>
      <c r="N368" s="95"/>
      <c r="O368" t="str">
        <f t="shared" si="12"/>
        <v>365. _</v>
      </c>
    </row>
    <row r="369" spans="1:15">
      <c r="A369" s="91"/>
      <c r="B369" s="92">
        <f t="shared" si="11"/>
        <v>366</v>
      </c>
      <c r="C369" s="217"/>
      <c r="D369" s="217"/>
      <c r="E369" s="97"/>
      <c r="F369" s="92"/>
      <c r="G369" s="92"/>
      <c r="H369" s="93"/>
      <c r="I369" s="93"/>
      <c r="J369" s="93"/>
      <c r="K369" s="93"/>
      <c r="L369" s="93"/>
      <c r="M369" s="93"/>
      <c r="N369" s="95"/>
      <c r="O369" t="str">
        <f t="shared" si="12"/>
        <v>366. _</v>
      </c>
    </row>
    <row r="370" spans="1:15">
      <c r="A370" s="91"/>
      <c r="B370" s="92">
        <f t="shared" si="11"/>
        <v>367</v>
      </c>
      <c r="C370" s="217"/>
      <c r="D370" s="223"/>
      <c r="E370" s="97"/>
      <c r="F370" s="100"/>
      <c r="G370" s="100"/>
      <c r="H370" s="93"/>
      <c r="I370" s="93"/>
      <c r="J370" s="93"/>
      <c r="K370" s="93"/>
      <c r="L370" s="93"/>
      <c r="M370" s="93"/>
      <c r="N370" s="95"/>
      <c r="O370" t="str">
        <f t="shared" si="12"/>
        <v>367. _</v>
      </c>
    </row>
    <row r="371" spans="1:15">
      <c r="A371" s="91"/>
      <c r="B371" s="92">
        <f t="shared" si="11"/>
        <v>368</v>
      </c>
      <c r="C371" s="217"/>
      <c r="D371" s="217"/>
      <c r="E371" s="97"/>
      <c r="F371" s="92"/>
      <c r="G371" s="92"/>
      <c r="H371" s="93"/>
      <c r="I371" s="93"/>
      <c r="J371" s="93"/>
      <c r="K371" s="93"/>
      <c r="L371" s="93"/>
      <c r="M371" s="93"/>
      <c r="N371" s="95"/>
      <c r="O371" t="str">
        <f t="shared" si="12"/>
        <v>368. _</v>
      </c>
    </row>
    <row r="372" spans="1:15">
      <c r="A372" s="91"/>
      <c r="B372" s="92">
        <f t="shared" si="11"/>
        <v>369</v>
      </c>
      <c r="C372" s="218"/>
      <c r="D372" s="218"/>
      <c r="E372" s="97"/>
      <c r="F372" s="97"/>
      <c r="G372" s="97"/>
      <c r="H372" s="93"/>
      <c r="I372" s="93"/>
      <c r="J372" s="93"/>
      <c r="K372" s="93"/>
      <c r="L372" s="93"/>
      <c r="M372" s="93"/>
      <c r="N372" s="95"/>
      <c r="O372" t="str">
        <f t="shared" si="12"/>
        <v>369. _</v>
      </c>
    </row>
    <row r="373" spans="1:15">
      <c r="A373" s="91"/>
      <c r="B373" s="92">
        <f t="shared" si="11"/>
        <v>370</v>
      </c>
      <c r="C373" s="217"/>
      <c r="D373" s="217"/>
      <c r="E373" s="97"/>
      <c r="F373" s="92"/>
      <c r="G373" s="92"/>
      <c r="H373" s="93"/>
      <c r="I373" s="93"/>
      <c r="J373" s="93"/>
      <c r="K373" s="93"/>
      <c r="L373" s="93"/>
      <c r="M373" s="93"/>
      <c r="N373" s="95"/>
      <c r="O373" t="str">
        <f t="shared" si="12"/>
        <v>370. _</v>
      </c>
    </row>
    <row r="374" spans="1:15">
      <c r="A374" s="91"/>
      <c r="B374" s="92">
        <f t="shared" si="11"/>
        <v>371</v>
      </c>
      <c r="C374" s="217"/>
      <c r="D374" s="217"/>
      <c r="E374" s="97"/>
      <c r="F374" s="92"/>
      <c r="G374" s="92"/>
      <c r="H374" s="93"/>
      <c r="I374" s="93"/>
      <c r="J374" s="93"/>
      <c r="K374" s="93"/>
      <c r="L374" s="93"/>
      <c r="M374" s="93"/>
      <c r="N374" s="95"/>
      <c r="O374" t="str">
        <f t="shared" si="12"/>
        <v>371. _</v>
      </c>
    </row>
    <row r="375" spans="1:15">
      <c r="A375" s="91"/>
      <c r="B375" s="92">
        <f t="shared" si="11"/>
        <v>372</v>
      </c>
      <c r="C375" s="217"/>
      <c r="D375" s="217"/>
      <c r="E375" s="97"/>
      <c r="F375" s="92"/>
      <c r="G375" s="92"/>
      <c r="H375" s="93"/>
      <c r="I375" s="93"/>
      <c r="J375" s="93"/>
      <c r="K375" s="93"/>
      <c r="L375" s="93"/>
      <c r="M375" s="93"/>
      <c r="N375" s="95"/>
      <c r="O375" t="str">
        <f t="shared" si="12"/>
        <v>372. _</v>
      </c>
    </row>
    <row r="376" spans="1:15">
      <c r="A376" s="91"/>
      <c r="B376" s="92">
        <f t="shared" si="11"/>
        <v>373</v>
      </c>
      <c r="C376" s="217"/>
      <c r="D376" s="217"/>
      <c r="E376" s="97"/>
      <c r="F376" s="92"/>
      <c r="G376" s="92"/>
      <c r="H376" s="93"/>
      <c r="I376" s="93"/>
      <c r="J376" s="93"/>
      <c r="K376" s="93"/>
      <c r="L376" s="93"/>
      <c r="M376" s="93"/>
      <c r="N376" s="95"/>
      <c r="O376" t="str">
        <f t="shared" si="12"/>
        <v>373. _</v>
      </c>
    </row>
    <row r="377" spans="1:15">
      <c r="A377" s="91"/>
      <c r="B377" s="92">
        <f t="shared" si="11"/>
        <v>374</v>
      </c>
      <c r="C377" s="217"/>
      <c r="D377" s="217"/>
      <c r="E377" s="97"/>
      <c r="F377" s="92"/>
      <c r="G377" s="92"/>
      <c r="H377" s="93"/>
      <c r="I377" s="93"/>
      <c r="J377" s="93"/>
      <c r="K377" s="93"/>
      <c r="L377" s="93"/>
      <c r="M377" s="93"/>
      <c r="N377" s="95"/>
      <c r="O377" t="str">
        <f t="shared" si="12"/>
        <v>374. _</v>
      </c>
    </row>
    <row r="378" spans="1:15">
      <c r="A378" s="91"/>
      <c r="B378" s="92">
        <f t="shared" si="11"/>
        <v>375</v>
      </c>
      <c r="C378" s="217"/>
      <c r="D378" s="217"/>
      <c r="E378" s="97"/>
      <c r="F378" s="92"/>
      <c r="G378" s="92"/>
      <c r="H378" s="93"/>
      <c r="I378" s="93"/>
      <c r="J378" s="93"/>
      <c r="K378" s="93"/>
      <c r="L378" s="93"/>
      <c r="M378" s="93"/>
      <c r="N378" s="95"/>
      <c r="O378" t="str">
        <f t="shared" si="12"/>
        <v>375. _</v>
      </c>
    </row>
    <row r="379" spans="1:15">
      <c r="A379" s="91"/>
      <c r="B379" s="92">
        <f t="shared" si="11"/>
        <v>376</v>
      </c>
      <c r="C379" s="217"/>
      <c r="D379" s="217"/>
      <c r="E379" s="97"/>
      <c r="F379" s="92"/>
      <c r="G379" s="92"/>
      <c r="H379" s="93"/>
      <c r="I379" s="93"/>
      <c r="J379" s="93"/>
      <c r="K379" s="93"/>
      <c r="L379" s="93"/>
      <c r="M379" s="93"/>
      <c r="N379" s="95"/>
      <c r="O379" t="str">
        <f t="shared" si="12"/>
        <v>376. _</v>
      </c>
    </row>
    <row r="380" spans="1:15">
      <c r="A380" s="91"/>
      <c r="B380" s="92">
        <f t="shared" si="11"/>
        <v>377</v>
      </c>
      <c r="C380" s="217"/>
      <c r="D380" s="217"/>
      <c r="E380" s="97"/>
      <c r="F380" s="92"/>
      <c r="G380" s="92"/>
      <c r="H380" s="93"/>
      <c r="I380" s="93"/>
      <c r="J380" s="93"/>
      <c r="K380" s="93"/>
      <c r="L380" s="93"/>
      <c r="M380" s="93"/>
      <c r="N380" s="95"/>
      <c r="O380" t="str">
        <f t="shared" si="12"/>
        <v>377. _</v>
      </c>
    </row>
    <row r="381" spans="1:15">
      <c r="A381" s="91"/>
      <c r="B381" s="92">
        <f t="shared" si="11"/>
        <v>378</v>
      </c>
      <c r="C381" s="217"/>
      <c r="D381" s="217"/>
      <c r="E381" s="97"/>
      <c r="F381" s="92"/>
      <c r="G381" s="92"/>
      <c r="H381" s="93"/>
      <c r="I381" s="93"/>
      <c r="J381" s="93"/>
      <c r="K381" s="93"/>
      <c r="L381" s="93"/>
      <c r="M381" s="93"/>
      <c r="N381" s="95"/>
      <c r="O381" t="str">
        <f t="shared" si="12"/>
        <v>378. _</v>
      </c>
    </row>
    <row r="382" spans="1:15">
      <c r="A382" s="91"/>
      <c r="B382" s="92">
        <f t="shared" si="11"/>
        <v>379</v>
      </c>
      <c r="C382" s="217"/>
      <c r="D382" s="217"/>
      <c r="E382" s="97"/>
      <c r="F382" s="92"/>
      <c r="G382" s="92"/>
      <c r="H382" s="93"/>
      <c r="I382" s="93"/>
      <c r="J382" s="93"/>
      <c r="K382" s="93"/>
      <c r="L382" s="93"/>
      <c r="M382" s="93"/>
      <c r="N382" s="95"/>
      <c r="O382" t="str">
        <f t="shared" si="12"/>
        <v>379. _</v>
      </c>
    </row>
    <row r="383" spans="1:15">
      <c r="A383" s="91"/>
      <c r="B383" s="92">
        <f t="shared" si="11"/>
        <v>380</v>
      </c>
      <c r="C383" s="217"/>
      <c r="D383" s="217"/>
      <c r="E383" s="97"/>
      <c r="F383" s="92"/>
      <c r="G383" s="92"/>
      <c r="H383" s="93"/>
      <c r="I383" s="93"/>
      <c r="J383" s="93"/>
      <c r="K383" s="93"/>
      <c r="L383" s="93"/>
      <c r="M383" s="93"/>
      <c r="N383" s="95"/>
      <c r="O383" t="str">
        <f t="shared" si="12"/>
        <v>380. _</v>
      </c>
    </row>
    <row r="384" spans="1:15">
      <c r="A384" s="91"/>
      <c r="B384" s="92">
        <f t="shared" si="11"/>
        <v>381</v>
      </c>
      <c r="C384" s="217"/>
      <c r="D384" s="217"/>
      <c r="E384" s="97"/>
      <c r="F384" s="92"/>
      <c r="G384" s="92"/>
      <c r="H384" s="93"/>
      <c r="I384" s="93"/>
      <c r="J384" s="93"/>
      <c r="K384" s="93"/>
      <c r="L384" s="93"/>
      <c r="M384" s="93"/>
      <c r="N384" s="95"/>
      <c r="O384" t="str">
        <f t="shared" si="12"/>
        <v>381. _</v>
      </c>
    </row>
    <row r="385" spans="1:15">
      <c r="A385" s="91"/>
      <c r="B385" s="92">
        <f t="shared" si="11"/>
        <v>382</v>
      </c>
      <c r="C385" s="217"/>
      <c r="D385" s="217"/>
      <c r="E385" s="97"/>
      <c r="F385" s="92"/>
      <c r="G385" s="92"/>
      <c r="H385" s="93"/>
      <c r="I385" s="93"/>
      <c r="J385" s="93"/>
      <c r="K385" s="93"/>
      <c r="L385" s="93"/>
      <c r="M385" s="93"/>
      <c r="N385" s="95"/>
      <c r="O385" t="str">
        <f t="shared" si="12"/>
        <v>382. _</v>
      </c>
    </row>
    <row r="386" spans="1:15">
      <c r="A386" s="91"/>
      <c r="B386" s="92">
        <f t="shared" si="11"/>
        <v>383</v>
      </c>
      <c r="C386" s="217"/>
      <c r="D386" s="217"/>
      <c r="E386" s="97"/>
      <c r="F386" s="92"/>
      <c r="G386" s="92"/>
      <c r="H386" s="93"/>
      <c r="I386" s="93"/>
      <c r="J386" s="93"/>
      <c r="K386" s="93"/>
      <c r="L386" s="93"/>
      <c r="M386" s="93"/>
      <c r="N386" s="95"/>
      <c r="O386" t="str">
        <f t="shared" si="12"/>
        <v>383. _</v>
      </c>
    </row>
    <row r="387" spans="1:15">
      <c r="A387" s="91"/>
      <c r="B387" s="92">
        <f t="shared" si="11"/>
        <v>384</v>
      </c>
      <c r="C387" s="217"/>
      <c r="D387" s="217"/>
      <c r="E387" s="97"/>
      <c r="F387" s="92"/>
      <c r="G387" s="92"/>
      <c r="H387" s="93"/>
      <c r="I387" s="93"/>
      <c r="J387" s="93"/>
      <c r="K387" s="93"/>
      <c r="L387" s="93"/>
      <c r="M387" s="93"/>
      <c r="N387" s="95"/>
      <c r="O387" t="str">
        <f t="shared" ref="O387:O450" si="13">CONCATENATE(B387,". ",C387,"_",D387)</f>
        <v>384. _</v>
      </c>
    </row>
    <row r="388" spans="1:15">
      <c r="A388" s="91"/>
      <c r="B388" s="92">
        <f t="shared" si="11"/>
        <v>385</v>
      </c>
      <c r="C388" s="217"/>
      <c r="D388" s="217"/>
      <c r="E388" s="97"/>
      <c r="F388" s="92"/>
      <c r="G388" s="92"/>
      <c r="H388" s="93"/>
      <c r="I388" s="93"/>
      <c r="J388" s="93"/>
      <c r="K388" s="93"/>
      <c r="L388" s="93"/>
      <c r="M388" s="93"/>
      <c r="N388" s="95"/>
      <c r="O388" t="str">
        <f t="shared" si="13"/>
        <v>385. _</v>
      </c>
    </row>
    <row r="389" spans="1:15">
      <c r="A389" s="91"/>
      <c r="B389" s="92">
        <f t="shared" ref="B389:B452" si="14">B388+1</f>
        <v>386</v>
      </c>
      <c r="C389" s="217"/>
      <c r="D389" s="217"/>
      <c r="E389" s="97"/>
      <c r="F389" s="92"/>
      <c r="G389" s="92"/>
      <c r="H389" s="93"/>
      <c r="I389" s="93"/>
      <c r="J389" s="93"/>
      <c r="K389" s="93"/>
      <c r="L389" s="93"/>
      <c r="M389" s="93"/>
      <c r="N389" s="95"/>
      <c r="O389" t="str">
        <f t="shared" si="13"/>
        <v>386. _</v>
      </c>
    </row>
    <row r="390" spans="1:15">
      <c r="A390" s="91"/>
      <c r="B390" s="92">
        <f t="shared" si="14"/>
        <v>387</v>
      </c>
      <c r="C390" s="217"/>
      <c r="D390" s="217"/>
      <c r="E390" s="97"/>
      <c r="F390" s="92"/>
      <c r="G390" s="92"/>
      <c r="H390" s="93"/>
      <c r="I390" s="93"/>
      <c r="J390" s="93"/>
      <c r="K390" s="93"/>
      <c r="L390" s="93"/>
      <c r="M390" s="93"/>
      <c r="N390" s="95"/>
      <c r="O390" t="str">
        <f t="shared" si="13"/>
        <v>387. _</v>
      </c>
    </row>
    <row r="391" spans="1:15">
      <c r="A391" s="91"/>
      <c r="B391" s="92">
        <f t="shared" si="14"/>
        <v>388</v>
      </c>
      <c r="C391" s="217"/>
      <c r="D391" s="217"/>
      <c r="E391" s="97"/>
      <c r="F391" s="92"/>
      <c r="G391" s="92"/>
      <c r="H391" s="93"/>
      <c r="I391" s="93"/>
      <c r="J391" s="93"/>
      <c r="K391" s="93"/>
      <c r="L391" s="93"/>
      <c r="M391" s="93"/>
      <c r="N391" s="95"/>
      <c r="O391" t="str">
        <f t="shared" si="13"/>
        <v>388. _</v>
      </c>
    </row>
    <row r="392" spans="1:15">
      <c r="A392" s="91"/>
      <c r="B392" s="92">
        <f t="shared" si="14"/>
        <v>389</v>
      </c>
      <c r="C392" s="217"/>
      <c r="D392" s="217"/>
      <c r="E392" s="97"/>
      <c r="F392" s="92"/>
      <c r="G392" s="92"/>
      <c r="H392" s="93"/>
      <c r="I392" s="93"/>
      <c r="J392" s="93"/>
      <c r="K392" s="93"/>
      <c r="L392" s="93"/>
      <c r="M392" s="93"/>
      <c r="N392" s="95"/>
      <c r="O392" t="str">
        <f t="shared" si="13"/>
        <v>389. _</v>
      </c>
    </row>
    <row r="393" spans="1:15">
      <c r="A393" s="91"/>
      <c r="B393" s="92">
        <f t="shared" si="14"/>
        <v>390</v>
      </c>
      <c r="C393" s="217"/>
      <c r="D393" s="217"/>
      <c r="E393" s="97"/>
      <c r="F393" s="92"/>
      <c r="G393" s="92"/>
      <c r="H393" s="93"/>
      <c r="I393" s="93"/>
      <c r="J393" s="93"/>
      <c r="K393" s="93"/>
      <c r="L393" s="93"/>
      <c r="M393" s="93"/>
      <c r="N393" s="95"/>
      <c r="O393" t="str">
        <f t="shared" si="13"/>
        <v>390. _</v>
      </c>
    </row>
    <row r="394" spans="1:15">
      <c r="A394" s="91"/>
      <c r="B394" s="92">
        <f t="shared" si="14"/>
        <v>391</v>
      </c>
      <c r="C394" s="217"/>
      <c r="D394" s="217"/>
      <c r="E394" s="97"/>
      <c r="F394" s="92"/>
      <c r="G394" s="92"/>
      <c r="H394" s="93"/>
      <c r="I394" s="93"/>
      <c r="J394" s="93"/>
      <c r="K394" s="93"/>
      <c r="L394" s="93"/>
      <c r="M394" s="93"/>
      <c r="N394" s="95"/>
      <c r="O394" t="str">
        <f t="shared" si="13"/>
        <v>391. _</v>
      </c>
    </row>
    <row r="395" spans="1:15">
      <c r="A395" s="91"/>
      <c r="B395" s="92">
        <f t="shared" si="14"/>
        <v>392</v>
      </c>
      <c r="C395" s="217"/>
      <c r="D395" s="217"/>
      <c r="E395" s="97"/>
      <c r="F395" s="92"/>
      <c r="G395" s="92"/>
      <c r="H395" s="93"/>
      <c r="I395" s="93"/>
      <c r="J395" s="93"/>
      <c r="K395" s="93"/>
      <c r="L395" s="93"/>
      <c r="M395" s="93"/>
      <c r="N395" s="95"/>
      <c r="O395" t="str">
        <f t="shared" si="13"/>
        <v>392. _</v>
      </c>
    </row>
    <row r="396" spans="1:15">
      <c r="A396" s="91"/>
      <c r="B396" s="92">
        <f t="shared" si="14"/>
        <v>393</v>
      </c>
      <c r="C396" s="217"/>
      <c r="D396" s="217"/>
      <c r="E396" s="97"/>
      <c r="F396" s="92"/>
      <c r="G396" s="92"/>
      <c r="H396" s="93"/>
      <c r="I396" s="93"/>
      <c r="J396" s="93"/>
      <c r="K396" s="93"/>
      <c r="L396" s="93"/>
      <c r="M396" s="93"/>
      <c r="N396" s="95"/>
      <c r="O396" t="str">
        <f t="shared" si="13"/>
        <v>393. _</v>
      </c>
    </row>
    <row r="397" spans="1:15">
      <c r="A397" s="91"/>
      <c r="B397" s="92">
        <f t="shared" si="14"/>
        <v>394</v>
      </c>
      <c r="C397" s="217"/>
      <c r="D397" s="217"/>
      <c r="E397" s="97"/>
      <c r="F397" s="92"/>
      <c r="G397" s="92"/>
      <c r="H397" s="93"/>
      <c r="I397" s="93"/>
      <c r="J397" s="93"/>
      <c r="K397" s="93"/>
      <c r="L397" s="93"/>
      <c r="M397" s="93"/>
      <c r="N397" s="95"/>
      <c r="O397" t="str">
        <f t="shared" si="13"/>
        <v>394. _</v>
      </c>
    </row>
    <row r="398" spans="1:15">
      <c r="A398" s="91"/>
      <c r="B398" s="92">
        <f t="shared" si="14"/>
        <v>395</v>
      </c>
      <c r="C398" s="217"/>
      <c r="D398" s="217"/>
      <c r="E398" s="97"/>
      <c r="F398" s="92"/>
      <c r="G398" s="92"/>
      <c r="H398" s="93"/>
      <c r="I398" s="93"/>
      <c r="J398" s="93"/>
      <c r="K398" s="93"/>
      <c r="L398" s="93"/>
      <c r="M398" s="93"/>
      <c r="N398" s="95"/>
      <c r="O398" t="str">
        <f t="shared" si="13"/>
        <v>395. _</v>
      </c>
    </row>
    <row r="399" spans="1:15">
      <c r="A399" s="91"/>
      <c r="B399" s="92">
        <f t="shared" si="14"/>
        <v>396</v>
      </c>
      <c r="C399" s="217"/>
      <c r="D399" s="217"/>
      <c r="E399" s="97"/>
      <c r="F399" s="92"/>
      <c r="G399" s="92"/>
      <c r="H399" s="93"/>
      <c r="I399" s="93"/>
      <c r="J399" s="93"/>
      <c r="K399" s="93"/>
      <c r="L399" s="93"/>
      <c r="M399" s="93"/>
      <c r="N399" s="95"/>
      <c r="O399" t="str">
        <f t="shared" si="13"/>
        <v>396. _</v>
      </c>
    </row>
    <row r="400" spans="1:15">
      <c r="A400" s="91"/>
      <c r="B400" s="92">
        <f t="shared" si="14"/>
        <v>397</v>
      </c>
      <c r="C400" s="217"/>
      <c r="D400" s="217"/>
      <c r="E400" s="97"/>
      <c r="F400" s="92"/>
      <c r="G400" s="92"/>
      <c r="H400" s="93"/>
      <c r="I400" s="93"/>
      <c r="J400" s="93"/>
      <c r="K400" s="93"/>
      <c r="L400" s="93"/>
      <c r="M400" s="93"/>
      <c r="N400" s="95"/>
      <c r="O400" t="str">
        <f t="shared" si="13"/>
        <v>397. _</v>
      </c>
    </row>
    <row r="401" spans="1:15">
      <c r="A401" s="91"/>
      <c r="B401" s="92">
        <f t="shared" si="14"/>
        <v>398</v>
      </c>
      <c r="C401" s="217"/>
      <c r="D401" s="217"/>
      <c r="E401" s="97"/>
      <c r="F401" s="92"/>
      <c r="G401" s="92"/>
      <c r="H401" s="93"/>
      <c r="I401" s="93"/>
      <c r="J401" s="93"/>
      <c r="K401" s="93"/>
      <c r="L401" s="93"/>
      <c r="M401" s="93"/>
      <c r="N401" s="95"/>
      <c r="O401" t="str">
        <f t="shared" si="13"/>
        <v>398. _</v>
      </c>
    </row>
    <row r="402" spans="1:15">
      <c r="A402" s="91"/>
      <c r="B402" s="92">
        <f t="shared" si="14"/>
        <v>399</v>
      </c>
      <c r="C402" s="217"/>
      <c r="D402" s="217"/>
      <c r="E402" s="97"/>
      <c r="F402" s="92"/>
      <c r="G402" s="92"/>
      <c r="H402" s="93"/>
      <c r="I402" s="93"/>
      <c r="J402" s="93"/>
      <c r="K402" s="93"/>
      <c r="L402" s="93"/>
      <c r="M402" s="93"/>
      <c r="N402" s="95"/>
      <c r="O402" t="str">
        <f t="shared" si="13"/>
        <v>399. _</v>
      </c>
    </row>
    <row r="403" spans="1:15">
      <c r="A403" s="91"/>
      <c r="B403" s="92">
        <f t="shared" si="14"/>
        <v>400</v>
      </c>
      <c r="C403" s="217"/>
      <c r="D403" s="217"/>
      <c r="E403" s="97"/>
      <c r="F403" s="92"/>
      <c r="G403" s="92"/>
      <c r="H403" s="93"/>
      <c r="I403" s="93"/>
      <c r="J403" s="93"/>
      <c r="K403" s="93"/>
      <c r="L403" s="93"/>
      <c r="M403" s="93"/>
      <c r="N403" s="95"/>
      <c r="O403" t="str">
        <f t="shared" si="13"/>
        <v>400. _</v>
      </c>
    </row>
    <row r="404" spans="1:15">
      <c r="A404" s="91"/>
      <c r="B404" s="92">
        <f t="shared" si="14"/>
        <v>401</v>
      </c>
      <c r="C404" s="217"/>
      <c r="D404" s="217"/>
      <c r="E404" s="97"/>
      <c r="F404" s="92"/>
      <c r="G404" s="92"/>
      <c r="H404" s="93"/>
      <c r="I404" s="93"/>
      <c r="J404" s="93"/>
      <c r="K404" s="93"/>
      <c r="L404" s="93"/>
      <c r="M404" s="93"/>
      <c r="N404" s="95"/>
      <c r="O404" t="str">
        <f t="shared" si="13"/>
        <v>401. _</v>
      </c>
    </row>
    <row r="405" spans="1:15">
      <c r="A405" s="91"/>
      <c r="B405" s="92">
        <f t="shared" si="14"/>
        <v>402</v>
      </c>
      <c r="C405" s="217"/>
      <c r="D405" s="217"/>
      <c r="E405" s="97"/>
      <c r="F405" s="92"/>
      <c r="G405" s="92"/>
      <c r="H405" s="93"/>
      <c r="I405" s="93"/>
      <c r="J405" s="93"/>
      <c r="K405" s="93"/>
      <c r="L405" s="93"/>
      <c r="M405" s="93"/>
      <c r="N405" s="95"/>
      <c r="O405" t="str">
        <f t="shared" si="13"/>
        <v>402. _</v>
      </c>
    </row>
    <row r="406" spans="1:15">
      <c r="A406" s="91"/>
      <c r="B406" s="92">
        <f t="shared" si="14"/>
        <v>403</v>
      </c>
      <c r="C406" s="217"/>
      <c r="D406" s="217"/>
      <c r="E406" s="97"/>
      <c r="F406" s="92"/>
      <c r="G406" s="92"/>
      <c r="H406" s="93"/>
      <c r="I406" s="93"/>
      <c r="J406" s="93"/>
      <c r="K406" s="93"/>
      <c r="L406" s="93"/>
      <c r="M406" s="93"/>
      <c r="N406" s="95"/>
      <c r="O406" t="str">
        <f t="shared" si="13"/>
        <v>403. _</v>
      </c>
    </row>
    <row r="407" spans="1:15">
      <c r="A407" s="91"/>
      <c r="B407" s="92">
        <f t="shared" si="14"/>
        <v>404</v>
      </c>
      <c r="C407" s="217"/>
      <c r="D407" s="217"/>
      <c r="E407" s="97"/>
      <c r="F407" s="92"/>
      <c r="G407" s="92"/>
      <c r="H407" s="93"/>
      <c r="I407" s="104"/>
      <c r="J407" s="93"/>
      <c r="K407" s="93"/>
      <c r="L407" s="93"/>
      <c r="M407" s="108"/>
      <c r="N407" s="95"/>
      <c r="O407" t="str">
        <f t="shared" si="13"/>
        <v>404. _</v>
      </c>
    </row>
    <row r="408" spans="1:15">
      <c r="A408" s="91"/>
      <c r="B408" s="92">
        <f t="shared" si="14"/>
        <v>405</v>
      </c>
      <c r="C408" s="217"/>
      <c r="D408" s="237"/>
      <c r="E408" s="97"/>
      <c r="F408" s="92"/>
      <c r="G408" s="92"/>
      <c r="H408" s="93"/>
      <c r="I408" s="93"/>
      <c r="J408" s="93"/>
      <c r="K408" s="93"/>
      <c r="L408" s="93"/>
      <c r="M408" s="93"/>
      <c r="N408" s="95"/>
      <c r="O408" t="str">
        <f t="shared" si="13"/>
        <v>405. _</v>
      </c>
    </row>
    <row r="409" spans="1:15">
      <c r="A409" s="91"/>
      <c r="B409" s="92">
        <f t="shared" si="14"/>
        <v>406</v>
      </c>
      <c r="C409" s="217"/>
      <c r="D409" s="237"/>
      <c r="E409" s="97"/>
      <c r="F409" s="92"/>
      <c r="G409" s="92"/>
      <c r="H409" s="93"/>
      <c r="I409" s="93"/>
      <c r="J409" s="93"/>
      <c r="K409" s="93"/>
      <c r="L409" s="93"/>
      <c r="M409" s="93"/>
      <c r="N409" s="95"/>
      <c r="O409" t="str">
        <f t="shared" si="13"/>
        <v>406. _</v>
      </c>
    </row>
    <row r="410" spans="1:15">
      <c r="A410" s="91"/>
      <c r="B410" s="92">
        <f t="shared" si="14"/>
        <v>407</v>
      </c>
      <c r="C410" s="217"/>
      <c r="D410" s="237"/>
      <c r="E410" s="97"/>
      <c r="F410" s="92"/>
      <c r="G410" s="92"/>
      <c r="H410" s="93"/>
      <c r="I410" s="93"/>
      <c r="J410" s="93"/>
      <c r="K410" s="93"/>
      <c r="L410" s="93"/>
      <c r="M410" s="93"/>
      <c r="N410" s="95"/>
      <c r="O410" t="str">
        <f t="shared" si="13"/>
        <v>407. _</v>
      </c>
    </row>
    <row r="411" spans="1:15">
      <c r="A411" s="91"/>
      <c r="B411" s="92">
        <f t="shared" si="14"/>
        <v>408</v>
      </c>
      <c r="C411" s="217"/>
      <c r="D411" s="237"/>
      <c r="E411" s="97"/>
      <c r="F411" s="92"/>
      <c r="G411" s="92"/>
      <c r="H411" s="93"/>
      <c r="I411" s="93"/>
      <c r="J411" s="93"/>
      <c r="K411" s="93"/>
      <c r="L411" s="93"/>
      <c r="M411" s="93"/>
      <c r="N411" s="95"/>
      <c r="O411" t="str">
        <f t="shared" si="13"/>
        <v>408. _</v>
      </c>
    </row>
    <row r="412" spans="1:15">
      <c r="A412" s="91"/>
      <c r="B412" s="92">
        <f t="shared" si="14"/>
        <v>409</v>
      </c>
      <c r="C412" s="217"/>
      <c r="D412" s="237"/>
      <c r="E412" s="97"/>
      <c r="F412" s="92"/>
      <c r="G412" s="92"/>
      <c r="H412" s="93"/>
      <c r="I412" s="93"/>
      <c r="J412" s="93"/>
      <c r="K412" s="93"/>
      <c r="L412" s="93"/>
      <c r="M412" s="93"/>
      <c r="N412" s="95"/>
      <c r="O412" t="str">
        <f t="shared" si="13"/>
        <v>409. _</v>
      </c>
    </row>
    <row r="413" spans="1:15">
      <c r="A413" s="91"/>
      <c r="B413" s="92">
        <f t="shared" si="14"/>
        <v>410</v>
      </c>
      <c r="C413" s="217"/>
      <c r="D413" s="237"/>
      <c r="E413" s="97"/>
      <c r="F413" s="92"/>
      <c r="G413" s="92"/>
      <c r="H413" s="93"/>
      <c r="I413" s="93"/>
      <c r="J413" s="93"/>
      <c r="K413" s="93"/>
      <c r="L413" s="93"/>
      <c r="M413" s="93"/>
      <c r="N413" s="95"/>
      <c r="O413" t="str">
        <f t="shared" si="13"/>
        <v>410. _</v>
      </c>
    </row>
    <row r="414" spans="1:15">
      <c r="A414" s="91"/>
      <c r="B414" s="92">
        <f t="shared" si="14"/>
        <v>411</v>
      </c>
      <c r="C414" s="217"/>
      <c r="D414" s="237"/>
      <c r="E414" s="97"/>
      <c r="F414" s="92"/>
      <c r="G414" s="92"/>
      <c r="H414" s="93"/>
      <c r="I414" s="93"/>
      <c r="J414" s="93"/>
      <c r="K414" s="93"/>
      <c r="L414" s="93"/>
      <c r="M414" s="93"/>
      <c r="N414" s="95"/>
      <c r="O414" t="str">
        <f t="shared" si="13"/>
        <v>411. _</v>
      </c>
    </row>
    <row r="415" spans="1:15">
      <c r="A415" s="91"/>
      <c r="B415" s="92">
        <f t="shared" si="14"/>
        <v>412</v>
      </c>
      <c r="C415" s="217"/>
      <c r="D415" s="237"/>
      <c r="E415" s="97"/>
      <c r="F415" s="92"/>
      <c r="G415" s="92"/>
      <c r="H415" s="93"/>
      <c r="I415" s="93"/>
      <c r="J415" s="93"/>
      <c r="K415" s="93"/>
      <c r="L415" s="93"/>
      <c r="M415" s="93"/>
      <c r="N415" s="95"/>
      <c r="O415" t="str">
        <f t="shared" si="13"/>
        <v>412. _</v>
      </c>
    </row>
    <row r="416" spans="1:15">
      <c r="A416" s="91"/>
      <c r="B416" s="92">
        <f t="shared" si="14"/>
        <v>413</v>
      </c>
      <c r="C416" s="217"/>
      <c r="D416" s="237"/>
      <c r="E416" s="97"/>
      <c r="F416" s="92"/>
      <c r="G416" s="92"/>
      <c r="H416" s="93"/>
      <c r="I416" s="93"/>
      <c r="J416" s="93"/>
      <c r="K416" s="93"/>
      <c r="L416" s="93"/>
      <c r="M416" s="93"/>
      <c r="N416" s="95"/>
      <c r="O416" t="str">
        <f t="shared" si="13"/>
        <v>413. _</v>
      </c>
    </row>
    <row r="417" spans="1:15">
      <c r="A417" s="91"/>
      <c r="B417" s="92">
        <f t="shared" si="14"/>
        <v>414</v>
      </c>
      <c r="C417" s="217"/>
      <c r="D417" s="237"/>
      <c r="E417" s="97"/>
      <c r="F417" s="92"/>
      <c r="G417" s="92"/>
      <c r="H417" s="93"/>
      <c r="I417" s="93"/>
      <c r="J417" s="93"/>
      <c r="K417" s="93"/>
      <c r="L417" s="93"/>
      <c r="M417" s="93"/>
      <c r="N417" s="95"/>
      <c r="O417" t="str">
        <f t="shared" si="13"/>
        <v>414. _</v>
      </c>
    </row>
    <row r="418" spans="1:15">
      <c r="A418" s="91"/>
      <c r="B418" s="92">
        <f t="shared" si="14"/>
        <v>415</v>
      </c>
      <c r="C418" s="217"/>
      <c r="D418" s="217"/>
      <c r="E418" s="97"/>
      <c r="F418" s="92"/>
      <c r="G418" s="92"/>
      <c r="H418" s="93"/>
      <c r="I418" s="93"/>
      <c r="J418" s="93"/>
      <c r="K418" s="93"/>
      <c r="L418" s="93"/>
      <c r="M418" s="93"/>
      <c r="N418" s="95"/>
      <c r="O418" t="str">
        <f t="shared" si="13"/>
        <v>415. _</v>
      </c>
    </row>
    <row r="419" spans="1:15">
      <c r="A419" s="91"/>
      <c r="B419" s="92">
        <f t="shared" si="14"/>
        <v>416</v>
      </c>
      <c r="C419" s="217"/>
      <c r="D419" s="217"/>
      <c r="E419" s="97"/>
      <c r="F419" s="92"/>
      <c r="G419" s="92"/>
      <c r="H419" s="93"/>
      <c r="I419" s="93"/>
      <c r="J419" s="93"/>
      <c r="K419" s="93"/>
      <c r="L419" s="93"/>
      <c r="M419" s="93"/>
      <c r="N419" s="95"/>
      <c r="O419" t="str">
        <f t="shared" si="13"/>
        <v>416. _</v>
      </c>
    </row>
    <row r="420" spans="1:15">
      <c r="A420" s="91"/>
      <c r="B420" s="92">
        <f t="shared" si="14"/>
        <v>417</v>
      </c>
      <c r="C420" s="217"/>
      <c r="D420" s="217"/>
      <c r="E420" s="97"/>
      <c r="F420" s="92"/>
      <c r="G420" s="92"/>
      <c r="H420" s="93"/>
      <c r="I420" s="93"/>
      <c r="J420" s="93"/>
      <c r="K420" s="93"/>
      <c r="L420" s="93"/>
      <c r="M420" s="93"/>
      <c r="N420" s="95"/>
      <c r="O420" t="str">
        <f t="shared" si="13"/>
        <v>417. _</v>
      </c>
    </row>
    <row r="421" spans="1:15">
      <c r="A421" s="91"/>
      <c r="B421" s="92">
        <f t="shared" si="14"/>
        <v>418</v>
      </c>
      <c r="C421" s="217"/>
      <c r="D421" s="237"/>
      <c r="E421" s="97"/>
      <c r="F421" s="92"/>
      <c r="G421" s="92"/>
      <c r="H421" s="93"/>
      <c r="I421" s="93"/>
      <c r="J421" s="93"/>
      <c r="K421" s="93"/>
      <c r="L421" s="93"/>
      <c r="M421" s="93"/>
      <c r="N421" s="95"/>
      <c r="O421" t="str">
        <f t="shared" si="13"/>
        <v>418. _</v>
      </c>
    </row>
    <row r="422" spans="1:15">
      <c r="A422" s="91"/>
      <c r="B422" s="92">
        <f t="shared" si="14"/>
        <v>419</v>
      </c>
      <c r="C422" s="217"/>
      <c r="D422" s="237"/>
      <c r="E422" s="97"/>
      <c r="F422" s="92"/>
      <c r="G422" s="92"/>
      <c r="H422" s="93"/>
      <c r="I422" s="93"/>
      <c r="J422" s="93"/>
      <c r="K422" s="93"/>
      <c r="L422" s="93"/>
      <c r="M422" s="93"/>
      <c r="N422" s="95"/>
      <c r="O422" t="str">
        <f t="shared" si="13"/>
        <v>419. _</v>
      </c>
    </row>
    <row r="423" spans="1:15">
      <c r="A423" s="91"/>
      <c r="B423" s="92">
        <f t="shared" si="14"/>
        <v>420</v>
      </c>
      <c r="C423" s="217"/>
      <c r="D423" s="237"/>
      <c r="E423" s="97"/>
      <c r="F423" s="92"/>
      <c r="G423" s="92"/>
      <c r="H423" s="93"/>
      <c r="I423" s="93"/>
      <c r="J423" s="93"/>
      <c r="K423" s="93"/>
      <c r="L423" s="93"/>
      <c r="M423" s="93"/>
      <c r="N423" s="95"/>
      <c r="O423" t="str">
        <f t="shared" si="13"/>
        <v>420. _</v>
      </c>
    </row>
    <row r="424" spans="1:15">
      <c r="A424" s="91"/>
      <c r="B424" s="92">
        <f t="shared" si="14"/>
        <v>421</v>
      </c>
      <c r="C424" s="217"/>
      <c r="D424" s="237"/>
      <c r="E424" s="97"/>
      <c r="F424" s="92"/>
      <c r="G424" s="92"/>
      <c r="H424" s="93"/>
      <c r="I424" s="93"/>
      <c r="J424" s="93"/>
      <c r="K424" s="93"/>
      <c r="L424" s="93"/>
      <c r="M424" s="93"/>
      <c r="N424" s="95"/>
      <c r="O424" t="str">
        <f t="shared" si="13"/>
        <v>421. _</v>
      </c>
    </row>
    <row r="425" spans="1:15">
      <c r="A425" s="91"/>
      <c r="B425" s="92">
        <f t="shared" si="14"/>
        <v>422</v>
      </c>
      <c r="C425" s="217"/>
      <c r="D425" s="237"/>
      <c r="E425" s="97"/>
      <c r="F425" s="92"/>
      <c r="G425" s="92"/>
      <c r="H425" s="93"/>
      <c r="I425" s="93"/>
      <c r="J425" s="93"/>
      <c r="K425" s="93"/>
      <c r="L425" s="93"/>
      <c r="M425" s="93"/>
      <c r="N425" s="95"/>
      <c r="O425" t="str">
        <f t="shared" si="13"/>
        <v>422. _</v>
      </c>
    </row>
    <row r="426" spans="1:15">
      <c r="A426" s="91"/>
      <c r="B426" s="92">
        <f t="shared" si="14"/>
        <v>423</v>
      </c>
      <c r="C426" s="217"/>
      <c r="D426" s="237"/>
      <c r="E426" s="97"/>
      <c r="F426" s="92"/>
      <c r="G426" s="92"/>
      <c r="H426" s="93"/>
      <c r="I426" s="93"/>
      <c r="J426" s="93"/>
      <c r="K426" s="93"/>
      <c r="L426" s="93"/>
      <c r="M426" s="93"/>
      <c r="N426" s="95"/>
      <c r="O426" t="str">
        <f t="shared" si="13"/>
        <v>423. _</v>
      </c>
    </row>
    <row r="427" spans="1:15">
      <c r="A427" s="91"/>
      <c r="B427" s="92">
        <f t="shared" si="14"/>
        <v>424</v>
      </c>
      <c r="C427" s="217"/>
      <c r="D427" s="237"/>
      <c r="E427" s="97"/>
      <c r="F427" s="92"/>
      <c r="G427" s="92"/>
      <c r="H427" s="93"/>
      <c r="I427" s="93"/>
      <c r="J427" s="93"/>
      <c r="K427" s="93"/>
      <c r="L427" s="93"/>
      <c r="M427" s="93"/>
      <c r="N427" s="95"/>
      <c r="O427" t="str">
        <f t="shared" si="13"/>
        <v>424. _</v>
      </c>
    </row>
    <row r="428" spans="1:15">
      <c r="A428" s="91"/>
      <c r="B428" s="92">
        <f t="shared" si="14"/>
        <v>425</v>
      </c>
      <c r="C428" s="217"/>
      <c r="D428" s="237"/>
      <c r="E428" s="97"/>
      <c r="F428" s="92"/>
      <c r="G428" s="92"/>
      <c r="H428" s="93"/>
      <c r="I428" s="93"/>
      <c r="J428" s="93"/>
      <c r="K428" s="93"/>
      <c r="L428" s="93"/>
      <c r="M428" s="93"/>
      <c r="N428" s="95"/>
      <c r="O428" t="str">
        <f t="shared" si="13"/>
        <v>425. _</v>
      </c>
    </row>
    <row r="429" spans="1:15">
      <c r="A429" s="91"/>
      <c r="B429" s="92">
        <f t="shared" si="14"/>
        <v>426</v>
      </c>
      <c r="C429" s="217"/>
      <c r="D429" s="237"/>
      <c r="E429" s="97"/>
      <c r="F429" s="109"/>
      <c r="G429" s="92"/>
      <c r="H429" s="93"/>
      <c r="I429" s="93"/>
      <c r="J429" s="93"/>
      <c r="K429" s="93"/>
      <c r="L429" s="93"/>
      <c r="M429" s="93"/>
      <c r="N429" s="95"/>
      <c r="O429" t="str">
        <f t="shared" si="13"/>
        <v>426. _</v>
      </c>
    </row>
    <row r="430" spans="1:15">
      <c r="A430" s="91"/>
      <c r="B430" s="92">
        <f t="shared" si="14"/>
        <v>427</v>
      </c>
      <c r="C430" s="217"/>
      <c r="D430" s="237"/>
      <c r="E430" s="97"/>
      <c r="F430" s="109"/>
      <c r="G430" s="92"/>
      <c r="H430" s="93"/>
      <c r="I430" s="93"/>
      <c r="J430" s="93"/>
      <c r="K430" s="93"/>
      <c r="L430" s="93"/>
      <c r="M430" s="93"/>
      <c r="N430" s="95"/>
      <c r="O430" t="str">
        <f t="shared" si="13"/>
        <v>427. _</v>
      </c>
    </row>
    <row r="431" spans="1:15">
      <c r="A431" s="91"/>
      <c r="B431" s="92">
        <f t="shared" si="14"/>
        <v>428</v>
      </c>
      <c r="C431" s="217"/>
      <c r="D431" s="237"/>
      <c r="E431" s="97"/>
      <c r="F431" s="92"/>
      <c r="G431" s="92"/>
      <c r="H431" s="93"/>
      <c r="I431" s="93"/>
      <c r="J431" s="93"/>
      <c r="K431" s="93"/>
      <c r="L431" s="93"/>
      <c r="M431" s="93"/>
      <c r="N431" s="95"/>
      <c r="O431" t="str">
        <f t="shared" si="13"/>
        <v>428. _</v>
      </c>
    </row>
    <row r="432" spans="1:15">
      <c r="A432" s="91"/>
      <c r="B432" s="92">
        <f t="shared" si="14"/>
        <v>429</v>
      </c>
      <c r="C432" s="217"/>
      <c r="D432" s="237"/>
      <c r="E432" s="97"/>
      <c r="F432" s="92"/>
      <c r="G432" s="92"/>
      <c r="H432" s="93"/>
      <c r="I432" s="93"/>
      <c r="J432" s="93"/>
      <c r="K432" s="93"/>
      <c r="L432" s="93"/>
      <c r="M432" s="93"/>
      <c r="N432" s="95"/>
      <c r="O432" t="str">
        <f t="shared" si="13"/>
        <v>429. _</v>
      </c>
    </row>
    <row r="433" spans="1:15">
      <c r="A433" s="91"/>
      <c r="B433" s="92">
        <f t="shared" si="14"/>
        <v>430</v>
      </c>
      <c r="C433" s="217"/>
      <c r="D433" s="237"/>
      <c r="E433" s="97"/>
      <c r="F433" s="92"/>
      <c r="G433" s="92"/>
      <c r="H433" s="93"/>
      <c r="I433" s="93"/>
      <c r="J433" s="93"/>
      <c r="K433" s="93"/>
      <c r="L433" s="93"/>
      <c r="M433" s="93"/>
      <c r="N433" s="95"/>
      <c r="O433" t="str">
        <f t="shared" si="13"/>
        <v>430. _</v>
      </c>
    </row>
    <row r="434" spans="1:15">
      <c r="A434" s="91"/>
      <c r="B434" s="92">
        <f t="shared" si="14"/>
        <v>431</v>
      </c>
      <c r="C434" s="217"/>
      <c r="D434" s="237"/>
      <c r="E434" s="97"/>
      <c r="F434" s="92"/>
      <c r="G434" s="92"/>
      <c r="H434" s="93"/>
      <c r="I434" s="93"/>
      <c r="J434" s="93"/>
      <c r="K434" s="93"/>
      <c r="L434" s="93"/>
      <c r="M434" s="93"/>
      <c r="N434" s="95"/>
      <c r="O434" t="str">
        <f t="shared" si="13"/>
        <v>431. _</v>
      </c>
    </row>
    <row r="435" spans="1:15">
      <c r="A435" s="91"/>
      <c r="B435" s="92">
        <f t="shared" si="14"/>
        <v>432</v>
      </c>
      <c r="C435" s="217"/>
      <c r="D435" s="237"/>
      <c r="E435" s="97"/>
      <c r="F435" s="92"/>
      <c r="G435" s="92"/>
      <c r="H435" s="93"/>
      <c r="I435" s="93"/>
      <c r="J435" s="93"/>
      <c r="K435" s="93"/>
      <c r="L435" s="93"/>
      <c r="M435" s="93"/>
      <c r="N435" s="95"/>
      <c r="O435" t="str">
        <f t="shared" si="13"/>
        <v>432. _</v>
      </c>
    </row>
    <row r="436" spans="1:15">
      <c r="A436" s="91"/>
      <c r="B436" s="92">
        <f t="shared" si="14"/>
        <v>433</v>
      </c>
      <c r="C436" s="217"/>
      <c r="D436" s="237"/>
      <c r="E436" s="97"/>
      <c r="F436" s="92"/>
      <c r="G436" s="92"/>
      <c r="H436" s="93"/>
      <c r="I436" s="93"/>
      <c r="J436" s="93"/>
      <c r="K436" s="93"/>
      <c r="L436" s="93"/>
      <c r="M436" s="93"/>
      <c r="N436" s="95"/>
      <c r="O436" t="str">
        <f t="shared" si="13"/>
        <v>433. _</v>
      </c>
    </row>
    <row r="437" spans="1:15">
      <c r="A437" s="91"/>
      <c r="B437" s="92">
        <f t="shared" si="14"/>
        <v>434</v>
      </c>
      <c r="C437" s="217"/>
      <c r="D437" s="237"/>
      <c r="E437" s="97"/>
      <c r="F437" s="92"/>
      <c r="G437" s="92"/>
      <c r="H437" s="93"/>
      <c r="I437" s="93"/>
      <c r="J437" s="93"/>
      <c r="K437" s="93"/>
      <c r="L437" s="93"/>
      <c r="M437" s="93"/>
      <c r="N437" s="95"/>
      <c r="O437" t="str">
        <f t="shared" si="13"/>
        <v>434. _</v>
      </c>
    </row>
    <row r="438" spans="1:15" ht="15" customHeight="1">
      <c r="A438" s="91"/>
      <c r="B438" s="92">
        <f t="shared" si="14"/>
        <v>435</v>
      </c>
      <c r="C438" s="217"/>
      <c r="D438" s="237"/>
      <c r="E438" s="97"/>
      <c r="F438" s="92"/>
      <c r="G438" s="92"/>
      <c r="H438" s="93"/>
      <c r="I438" s="93"/>
      <c r="J438" s="93"/>
      <c r="K438" s="93"/>
      <c r="L438" s="93"/>
      <c r="M438" s="93"/>
      <c r="N438" s="95"/>
      <c r="O438" t="str">
        <f t="shared" si="13"/>
        <v>435. _</v>
      </c>
    </row>
    <row r="439" spans="1:15" ht="17.25" customHeight="1">
      <c r="A439" s="91"/>
      <c r="B439" s="92">
        <f t="shared" si="14"/>
        <v>436</v>
      </c>
      <c r="C439" s="217"/>
      <c r="D439" s="237"/>
      <c r="E439" s="97"/>
      <c r="F439" s="92"/>
      <c r="G439" s="92"/>
      <c r="H439" s="93"/>
      <c r="I439" s="93"/>
      <c r="J439" s="93"/>
      <c r="K439" s="93"/>
      <c r="L439" s="93"/>
      <c r="M439" s="93"/>
      <c r="N439" s="95"/>
      <c r="O439" t="str">
        <f t="shared" si="13"/>
        <v>436. _</v>
      </c>
    </row>
    <row r="440" spans="1:15">
      <c r="A440" s="91"/>
      <c r="B440" s="92">
        <f t="shared" si="14"/>
        <v>437</v>
      </c>
      <c r="C440" s="217"/>
      <c r="D440" s="237"/>
      <c r="E440" s="97"/>
      <c r="F440" s="92"/>
      <c r="G440" s="92"/>
      <c r="H440" s="93"/>
      <c r="I440" s="93"/>
      <c r="J440" s="93"/>
      <c r="K440" s="93"/>
      <c r="L440" s="93"/>
      <c r="M440" s="93"/>
      <c r="N440" s="95"/>
      <c r="O440" t="str">
        <f t="shared" si="13"/>
        <v>437. _</v>
      </c>
    </row>
    <row r="441" spans="1:15">
      <c r="A441" s="91"/>
      <c r="B441" s="92">
        <f t="shared" si="14"/>
        <v>438</v>
      </c>
      <c r="C441" s="225"/>
      <c r="D441" s="225"/>
      <c r="E441" s="97"/>
      <c r="F441" s="92"/>
      <c r="G441" s="92"/>
      <c r="H441" s="93"/>
      <c r="I441" s="93"/>
      <c r="J441" s="93"/>
      <c r="K441" s="93"/>
      <c r="L441" s="93"/>
      <c r="M441" s="108"/>
      <c r="N441" s="95"/>
      <c r="O441" t="str">
        <f t="shared" si="13"/>
        <v>438. _</v>
      </c>
    </row>
    <row r="442" spans="1:15">
      <c r="A442" s="91"/>
      <c r="B442" s="92">
        <f t="shared" si="14"/>
        <v>439</v>
      </c>
      <c r="C442" s="225"/>
      <c r="D442" s="225"/>
      <c r="E442" s="97"/>
      <c r="F442" s="92"/>
      <c r="G442" s="92"/>
      <c r="H442" s="93"/>
      <c r="I442" s="93"/>
      <c r="J442" s="93"/>
      <c r="K442" s="93"/>
      <c r="L442" s="93"/>
      <c r="M442" s="93"/>
      <c r="N442" s="95"/>
      <c r="O442" t="str">
        <f t="shared" si="13"/>
        <v>439. _</v>
      </c>
    </row>
    <row r="443" spans="1:15">
      <c r="A443" s="91"/>
      <c r="B443" s="92">
        <f t="shared" si="14"/>
        <v>440</v>
      </c>
      <c r="C443" s="225"/>
      <c r="D443" s="225"/>
      <c r="E443" s="97"/>
      <c r="F443" s="92"/>
      <c r="G443" s="92"/>
      <c r="H443" s="93"/>
      <c r="I443" s="93"/>
      <c r="J443" s="93"/>
      <c r="K443" s="93"/>
      <c r="L443" s="93"/>
      <c r="M443" s="93"/>
      <c r="N443" s="95"/>
      <c r="O443" t="str">
        <f t="shared" si="13"/>
        <v>440. _</v>
      </c>
    </row>
    <row r="444" spans="1:15">
      <c r="A444" s="91"/>
      <c r="B444" s="92">
        <f t="shared" si="14"/>
        <v>441</v>
      </c>
      <c r="C444" s="225"/>
      <c r="D444" s="225"/>
      <c r="E444" s="97"/>
      <c r="F444" s="92"/>
      <c r="G444" s="92"/>
      <c r="H444" s="93"/>
      <c r="I444" s="93"/>
      <c r="J444" s="93"/>
      <c r="K444" s="93"/>
      <c r="L444" s="93"/>
      <c r="M444" s="93"/>
      <c r="N444" s="95"/>
      <c r="O444" t="str">
        <f t="shared" si="13"/>
        <v>441. _</v>
      </c>
    </row>
    <row r="445" spans="1:15">
      <c r="A445" s="91"/>
      <c r="B445" s="92">
        <f t="shared" si="14"/>
        <v>442</v>
      </c>
      <c r="C445" s="225"/>
      <c r="D445" s="225"/>
      <c r="E445" s="97"/>
      <c r="F445" s="92"/>
      <c r="G445" s="92"/>
      <c r="H445" s="93"/>
      <c r="I445" s="93"/>
      <c r="J445" s="93"/>
      <c r="K445" s="93"/>
      <c r="L445" s="93"/>
      <c r="M445" s="93"/>
      <c r="N445" s="95"/>
      <c r="O445" t="str">
        <f t="shared" si="13"/>
        <v>442. _</v>
      </c>
    </row>
    <row r="446" spans="1:15">
      <c r="A446" s="91"/>
      <c r="B446" s="92">
        <f t="shared" si="14"/>
        <v>443</v>
      </c>
      <c r="C446" s="217"/>
      <c r="D446" s="237"/>
      <c r="E446" s="97"/>
      <c r="F446" s="92"/>
      <c r="G446" s="92"/>
      <c r="H446" s="93"/>
      <c r="I446" s="93"/>
      <c r="J446" s="93"/>
      <c r="K446" s="93"/>
      <c r="L446" s="93"/>
      <c r="M446" s="93"/>
      <c r="N446" s="95"/>
      <c r="O446" t="str">
        <f t="shared" si="13"/>
        <v>443. _</v>
      </c>
    </row>
    <row r="447" spans="1:15">
      <c r="A447" s="91"/>
      <c r="B447" s="92">
        <f t="shared" si="14"/>
        <v>444</v>
      </c>
      <c r="C447" s="217"/>
      <c r="D447" s="237"/>
      <c r="E447" s="97"/>
      <c r="F447" s="92"/>
      <c r="G447" s="92"/>
      <c r="H447" s="93"/>
      <c r="I447" s="93"/>
      <c r="J447" s="93"/>
      <c r="K447" s="93"/>
      <c r="L447" s="93"/>
      <c r="M447" s="93"/>
      <c r="N447" s="95"/>
      <c r="O447" t="str">
        <f t="shared" si="13"/>
        <v>444. _</v>
      </c>
    </row>
    <row r="448" spans="1:15">
      <c r="A448" s="91"/>
      <c r="B448" s="92">
        <f t="shared" si="14"/>
        <v>445</v>
      </c>
      <c r="C448" s="217"/>
      <c r="D448" s="237"/>
      <c r="E448" s="97"/>
      <c r="F448" s="92"/>
      <c r="G448" s="92"/>
      <c r="H448" s="93"/>
      <c r="I448" s="93"/>
      <c r="J448" s="93"/>
      <c r="K448" s="93"/>
      <c r="L448" s="93"/>
      <c r="M448" s="93"/>
      <c r="N448" s="95"/>
      <c r="O448" t="str">
        <f t="shared" si="13"/>
        <v>445. _</v>
      </c>
    </row>
    <row r="449" spans="1:15">
      <c r="A449" s="91"/>
      <c r="B449" s="92">
        <f t="shared" si="14"/>
        <v>446</v>
      </c>
      <c r="C449" s="217"/>
      <c r="D449" s="237"/>
      <c r="E449" s="97"/>
      <c r="F449" s="92"/>
      <c r="G449" s="92"/>
      <c r="H449" s="93"/>
      <c r="I449" s="93"/>
      <c r="J449" s="93"/>
      <c r="K449" s="93"/>
      <c r="L449" s="93"/>
      <c r="M449" s="93"/>
      <c r="N449" s="95"/>
      <c r="O449" t="str">
        <f t="shared" si="13"/>
        <v>446. _</v>
      </c>
    </row>
    <row r="450" spans="1:15">
      <c r="A450" s="91"/>
      <c r="B450" s="92">
        <f t="shared" si="14"/>
        <v>447</v>
      </c>
      <c r="C450" s="217"/>
      <c r="D450" s="237"/>
      <c r="E450" s="97"/>
      <c r="F450" s="92"/>
      <c r="G450" s="92"/>
      <c r="H450" s="93"/>
      <c r="I450" s="93"/>
      <c r="J450" s="93"/>
      <c r="K450" s="93"/>
      <c r="L450" s="93"/>
      <c r="M450" s="93"/>
      <c r="N450" s="95"/>
      <c r="O450" t="str">
        <f t="shared" si="13"/>
        <v>447. _</v>
      </c>
    </row>
    <row r="451" spans="1:15">
      <c r="A451" s="91"/>
      <c r="B451" s="92">
        <f t="shared" si="14"/>
        <v>448</v>
      </c>
      <c r="C451" s="217"/>
      <c r="D451" s="237"/>
      <c r="E451" s="97"/>
      <c r="F451" s="92"/>
      <c r="G451" s="92"/>
      <c r="H451" s="93"/>
      <c r="I451" s="93"/>
      <c r="J451" s="93"/>
      <c r="K451" s="93"/>
      <c r="L451" s="93"/>
      <c r="M451" s="93"/>
      <c r="N451" s="95"/>
      <c r="O451" t="str">
        <f t="shared" ref="O451:O514" si="15">CONCATENATE(B451,". ",C451,"_",D451)</f>
        <v>448. _</v>
      </c>
    </row>
    <row r="452" spans="1:15">
      <c r="A452" s="91"/>
      <c r="B452" s="92">
        <f t="shared" si="14"/>
        <v>449</v>
      </c>
      <c r="C452" s="217"/>
      <c r="D452" s="237"/>
      <c r="E452" s="97"/>
      <c r="F452" s="92"/>
      <c r="G452" s="92"/>
      <c r="H452" s="93"/>
      <c r="I452" s="93"/>
      <c r="J452" s="93"/>
      <c r="K452" s="93"/>
      <c r="L452" s="93"/>
      <c r="M452" s="93"/>
      <c r="N452" s="95"/>
      <c r="O452" t="str">
        <f t="shared" si="15"/>
        <v>449. _</v>
      </c>
    </row>
    <row r="453" spans="1:15">
      <c r="A453" s="91"/>
      <c r="B453" s="92">
        <f t="shared" ref="B453:B516" si="16">B452+1</f>
        <v>450</v>
      </c>
      <c r="C453" s="217"/>
      <c r="D453" s="237"/>
      <c r="E453" s="97"/>
      <c r="F453" s="92"/>
      <c r="G453" s="92"/>
      <c r="H453" s="93"/>
      <c r="I453" s="93"/>
      <c r="J453" s="93"/>
      <c r="K453" s="93"/>
      <c r="L453" s="93"/>
      <c r="M453" s="93"/>
      <c r="N453" s="95"/>
      <c r="O453" t="str">
        <f t="shared" si="15"/>
        <v>450. _</v>
      </c>
    </row>
    <row r="454" spans="1:15">
      <c r="A454" s="91"/>
      <c r="B454" s="92">
        <f t="shared" si="16"/>
        <v>451</v>
      </c>
      <c r="C454" s="217"/>
      <c r="D454" s="217"/>
      <c r="E454" s="97"/>
      <c r="F454" s="92"/>
      <c r="G454" s="92"/>
      <c r="H454" s="93"/>
      <c r="I454" s="93"/>
      <c r="J454" s="93"/>
      <c r="K454" s="93"/>
      <c r="L454" s="93"/>
      <c r="M454" s="93"/>
      <c r="N454" s="95"/>
      <c r="O454" t="str">
        <f t="shared" si="15"/>
        <v>451. _</v>
      </c>
    </row>
    <row r="455" spans="1:15">
      <c r="A455" s="91"/>
      <c r="B455" s="92">
        <f t="shared" si="16"/>
        <v>452</v>
      </c>
      <c r="C455" s="217"/>
      <c r="D455" s="217"/>
      <c r="E455" s="97"/>
      <c r="F455" s="92"/>
      <c r="G455" s="92"/>
      <c r="H455" s="110"/>
      <c r="I455" s="93"/>
      <c r="J455" s="93"/>
      <c r="K455" s="93"/>
      <c r="L455" s="93"/>
      <c r="M455" s="93"/>
      <c r="N455" s="95"/>
      <c r="O455" t="str">
        <f t="shared" si="15"/>
        <v>452. _</v>
      </c>
    </row>
    <row r="456" spans="1:15">
      <c r="A456" s="91"/>
      <c r="B456" s="92">
        <f t="shared" si="16"/>
        <v>453</v>
      </c>
      <c r="C456" s="217"/>
      <c r="D456" s="237"/>
      <c r="E456" s="97"/>
      <c r="F456" s="92"/>
      <c r="G456" s="92"/>
      <c r="H456" s="93"/>
      <c r="I456" s="93"/>
      <c r="J456" s="93"/>
      <c r="K456" s="93"/>
      <c r="L456" s="93"/>
      <c r="M456" s="93"/>
      <c r="N456" s="95"/>
      <c r="O456" t="str">
        <f t="shared" si="15"/>
        <v>453. _</v>
      </c>
    </row>
    <row r="457" spans="1:15">
      <c r="A457" s="91"/>
      <c r="B457" s="92">
        <f t="shared" si="16"/>
        <v>454</v>
      </c>
      <c r="C457" s="217"/>
      <c r="D457" s="237"/>
      <c r="E457" s="97"/>
      <c r="F457" s="92"/>
      <c r="G457" s="92"/>
      <c r="H457" s="93"/>
      <c r="I457" s="93"/>
      <c r="J457" s="93"/>
      <c r="K457" s="93"/>
      <c r="L457" s="93"/>
      <c r="M457" s="93"/>
      <c r="N457" s="95"/>
      <c r="O457" t="str">
        <f t="shared" si="15"/>
        <v>454. _</v>
      </c>
    </row>
    <row r="458" spans="1:15">
      <c r="A458" s="91"/>
      <c r="B458" s="92">
        <f t="shared" si="16"/>
        <v>455</v>
      </c>
      <c r="C458" s="217"/>
      <c r="D458" s="237"/>
      <c r="E458" s="97"/>
      <c r="F458" s="92"/>
      <c r="G458" s="92"/>
      <c r="H458" s="93"/>
      <c r="I458" s="93"/>
      <c r="J458" s="93"/>
      <c r="K458" s="93"/>
      <c r="L458" s="93"/>
      <c r="M458" s="93"/>
      <c r="N458" s="95"/>
      <c r="O458" t="str">
        <f t="shared" si="15"/>
        <v>455. _</v>
      </c>
    </row>
    <row r="459" spans="1:15">
      <c r="A459" s="91"/>
      <c r="B459" s="92">
        <f t="shared" si="16"/>
        <v>456</v>
      </c>
      <c r="C459" s="217"/>
      <c r="D459" s="237"/>
      <c r="E459" s="97"/>
      <c r="F459" s="92"/>
      <c r="G459" s="92"/>
      <c r="H459" s="93"/>
      <c r="I459" s="93"/>
      <c r="J459" s="93"/>
      <c r="K459" s="93"/>
      <c r="L459" s="93"/>
      <c r="M459" s="93"/>
      <c r="N459" s="95"/>
      <c r="O459" t="str">
        <f t="shared" si="15"/>
        <v>456. _</v>
      </c>
    </row>
    <row r="460" spans="1:15">
      <c r="A460" s="91"/>
      <c r="B460" s="92">
        <f t="shared" si="16"/>
        <v>457</v>
      </c>
      <c r="C460" s="217"/>
      <c r="D460" s="237"/>
      <c r="E460" s="97"/>
      <c r="F460" s="92"/>
      <c r="G460" s="92"/>
      <c r="H460" s="93"/>
      <c r="I460" s="93"/>
      <c r="J460" s="93"/>
      <c r="K460" s="93"/>
      <c r="L460" s="93"/>
      <c r="M460" s="93"/>
      <c r="N460" s="95"/>
      <c r="O460" t="str">
        <f t="shared" si="15"/>
        <v>457. _</v>
      </c>
    </row>
    <row r="461" spans="1:15">
      <c r="A461" s="91"/>
      <c r="B461" s="92">
        <f t="shared" si="16"/>
        <v>458</v>
      </c>
      <c r="C461" s="217"/>
      <c r="D461" s="237"/>
      <c r="E461" s="97"/>
      <c r="F461" s="92"/>
      <c r="G461" s="92"/>
      <c r="H461" s="93"/>
      <c r="I461" s="93"/>
      <c r="J461" s="93"/>
      <c r="K461" s="93"/>
      <c r="L461" s="93"/>
      <c r="M461" s="93"/>
      <c r="N461" s="95"/>
      <c r="O461" t="str">
        <f t="shared" si="15"/>
        <v>458. _</v>
      </c>
    </row>
    <row r="462" spans="1:15">
      <c r="A462" s="91"/>
      <c r="B462" s="92">
        <f t="shared" si="16"/>
        <v>459</v>
      </c>
      <c r="C462" s="217"/>
      <c r="D462" s="237"/>
      <c r="E462" s="97"/>
      <c r="F462" s="92"/>
      <c r="G462" s="92"/>
      <c r="H462" s="93"/>
      <c r="I462" s="93"/>
      <c r="J462" s="93"/>
      <c r="K462" s="93"/>
      <c r="L462" s="93"/>
      <c r="M462" s="93"/>
      <c r="N462" s="95"/>
      <c r="O462" t="str">
        <f t="shared" si="15"/>
        <v>459. _</v>
      </c>
    </row>
    <row r="463" spans="1:15">
      <c r="A463" s="91"/>
      <c r="B463" s="92">
        <f t="shared" si="16"/>
        <v>460</v>
      </c>
      <c r="C463" s="217"/>
      <c r="D463" s="237"/>
      <c r="E463" s="97"/>
      <c r="F463" s="92"/>
      <c r="G463" s="92"/>
      <c r="H463" s="93"/>
      <c r="I463" s="93"/>
      <c r="J463" s="93"/>
      <c r="K463" s="93"/>
      <c r="L463" s="93"/>
      <c r="M463" s="93"/>
      <c r="N463" s="95"/>
      <c r="O463" t="str">
        <f t="shared" si="15"/>
        <v>460. _</v>
      </c>
    </row>
    <row r="464" spans="1:15">
      <c r="A464" s="91"/>
      <c r="B464" s="92">
        <f t="shared" si="16"/>
        <v>461</v>
      </c>
      <c r="C464" s="217"/>
      <c r="D464" s="237"/>
      <c r="E464" s="97"/>
      <c r="F464" s="92"/>
      <c r="G464" s="92"/>
      <c r="H464" s="93"/>
      <c r="I464" s="93"/>
      <c r="J464" s="98"/>
      <c r="K464" s="98"/>
      <c r="L464" s="98"/>
      <c r="M464" s="93"/>
      <c r="N464" s="95"/>
      <c r="O464" t="str">
        <f t="shared" si="15"/>
        <v>461. _</v>
      </c>
    </row>
    <row r="465" spans="1:15">
      <c r="A465" s="91"/>
      <c r="B465" s="92">
        <f t="shared" si="16"/>
        <v>462</v>
      </c>
      <c r="C465" s="217"/>
      <c r="D465" s="237"/>
      <c r="E465" s="97"/>
      <c r="F465" s="92"/>
      <c r="G465" s="92"/>
      <c r="H465" s="93"/>
      <c r="I465" s="93"/>
      <c r="J465" s="93"/>
      <c r="K465" s="93"/>
      <c r="L465" s="93"/>
      <c r="M465" s="93"/>
      <c r="N465" s="95"/>
      <c r="O465" t="str">
        <f t="shared" si="15"/>
        <v>462. _</v>
      </c>
    </row>
    <row r="466" spans="1:15">
      <c r="A466" s="91"/>
      <c r="B466" s="92">
        <f t="shared" si="16"/>
        <v>463</v>
      </c>
      <c r="C466" s="217"/>
      <c r="D466" s="237"/>
      <c r="E466" s="97"/>
      <c r="F466" s="92"/>
      <c r="G466" s="92"/>
      <c r="H466" s="93"/>
      <c r="I466" s="93"/>
      <c r="J466" s="93"/>
      <c r="K466" s="93"/>
      <c r="L466" s="93"/>
      <c r="M466" s="93"/>
      <c r="N466" s="95"/>
      <c r="O466" t="str">
        <f t="shared" si="15"/>
        <v>463. _</v>
      </c>
    </row>
    <row r="467" spans="1:15">
      <c r="A467" s="91"/>
      <c r="B467" s="92">
        <f t="shared" si="16"/>
        <v>464</v>
      </c>
      <c r="C467" s="217"/>
      <c r="D467" s="237"/>
      <c r="E467" s="97"/>
      <c r="F467" s="92"/>
      <c r="G467" s="92"/>
      <c r="H467" s="93"/>
      <c r="I467" s="93"/>
      <c r="J467" s="93"/>
      <c r="K467" s="93"/>
      <c r="L467" s="93"/>
      <c r="M467" s="93"/>
      <c r="N467" s="95"/>
      <c r="O467" t="str">
        <f t="shared" si="15"/>
        <v>464. _</v>
      </c>
    </row>
    <row r="468" spans="1:15">
      <c r="A468" s="91"/>
      <c r="B468" s="92">
        <f t="shared" si="16"/>
        <v>465</v>
      </c>
      <c r="C468" s="217"/>
      <c r="D468" s="237"/>
      <c r="E468" s="98"/>
      <c r="F468" s="92"/>
      <c r="G468" s="92"/>
      <c r="H468" s="93"/>
      <c r="I468" s="93"/>
      <c r="J468" s="93"/>
      <c r="K468" s="93"/>
      <c r="L468" s="93"/>
      <c r="M468" s="93"/>
      <c r="N468" s="95"/>
      <c r="O468" t="str">
        <f t="shared" si="15"/>
        <v>465. _</v>
      </c>
    </row>
    <row r="469" spans="1:15">
      <c r="A469" s="91"/>
      <c r="B469" s="92">
        <f t="shared" si="16"/>
        <v>466</v>
      </c>
      <c r="C469" s="217"/>
      <c r="D469" s="237"/>
      <c r="E469" s="97"/>
      <c r="F469" s="92"/>
      <c r="G469" s="92"/>
      <c r="H469" s="93"/>
      <c r="I469" s="111"/>
      <c r="J469" s="93"/>
      <c r="K469" s="93"/>
      <c r="L469" s="93"/>
      <c r="M469" s="93"/>
      <c r="N469" s="95"/>
      <c r="O469" t="str">
        <f t="shared" si="15"/>
        <v>466. _</v>
      </c>
    </row>
    <row r="470" spans="1:15">
      <c r="A470" s="91"/>
      <c r="B470" s="92">
        <f t="shared" si="16"/>
        <v>467</v>
      </c>
      <c r="C470" s="217"/>
      <c r="D470" s="237"/>
      <c r="E470" s="98"/>
      <c r="F470" s="92"/>
      <c r="G470" s="92"/>
      <c r="H470" s="93"/>
      <c r="I470" s="93"/>
      <c r="J470" s="93"/>
      <c r="K470" s="93"/>
      <c r="L470" s="93"/>
      <c r="M470" s="93"/>
      <c r="N470" s="95"/>
      <c r="O470" t="str">
        <f t="shared" si="15"/>
        <v>467. _</v>
      </c>
    </row>
    <row r="471" spans="1:15">
      <c r="A471" s="91"/>
      <c r="B471" s="92">
        <f t="shared" si="16"/>
        <v>468</v>
      </c>
      <c r="C471" s="217"/>
      <c r="D471" s="237"/>
      <c r="E471" s="97"/>
      <c r="F471" s="92"/>
      <c r="G471" s="92"/>
      <c r="H471" s="93"/>
      <c r="I471" s="93"/>
      <c r="J471" s="93"/>
      <c r="K471" s="93"/>
      <c r="L471" s="93"/>
      <c r="M471" s="93"/>
      <c r="N471" s="95"/>
      <c r="O471" t="str">
        <f t="shared" si="15"/>
        <v>468. _</v>
      </c>
    </row>
    <row r="472" spans="1:15">
      <c r="A472" s="91"/>
      <c r="B472" s="92">
        <f t="shared" si="16"/>
        <v>469</v>
      </c>
      <c r="C472" s="217"/>
      <c r="D472" s="237"/>
      <c r="E472" s="98"/>
      <c r="F472" s="92"/>
      <c r="G472" s="92"/>
      <c r="H472" s="93"/>
      <c r="I472" s="93"/>
      <c r="J472" s="93"/>
      <c r="K472" s="93"/>
      <c r="L472" s="93"/>
      <c r="M472" s="93"/>
      <c r="N472" s="95"/>
      <c r="O472" t="str">
        <f t="shared" si="15"/>
        <v>469. _</v>
      </c>
    </row>
    <row r="473" spans="1:15">
      <c r="A473" s="91"/>
      <c r="B473" s="92">
        <f t="shared" si="16"/>
        <v>470</v>
      </c>
      <c r="C473" s="217"/>
      <c r="D473" s="237"/>
      <c r="E473" s="98"/>
      <c r="F473" s="92"/>
      <c r="G473" s="92"/>
      <c r="H473" s="93"/>
      <c r="I473" s="93"/>
      <c r="J473" s="93"/>
      <c r="K473" s="93"/>
      <c r="L473" s="93"/>
      <c r="M473" s="93"/>
      <c r="N473" s="95"/>
      <c r="O473" t="str">
        <f t="shared" si="15"/>
        <v>470. _</v>
      </c>
    </row>
    <row r="474" spans="1:15">
      <c r="A474" s="91"/>
      <c r="B474" s="92">
        <f t="shared" si="16"/>
        <v>471</v>
      </c>
      <c r="C474" s="217"/>
      <c r="D474" s="237"/>
      <c r="E474" s="98"/>
      <c r="F474" s="92"/>
      <c r="G474" s="92"/>
      <c r="H474" s="93"/>
      <c r="I474" s="93"/>
      <c r="J474" s="93"/>
      <c r="K474" s="93"/>
      <c r="L474" s="93"/>
      <c r="M474" s="93"/>
      <c r="N474" s="95"/>
      <c r="O474" t="str">
        <f t="shared" si="15"/>
        <v>471. _</v>
      </c>
    </row>
    <row r="475" spans="1:15">
      <c r="A475" s="91"/>
      <c r="B475" s="92">
        <f t="shared" si="16"/>
        <v>472</v>
      </c>
      <c r="C475" s="217"/>
      <c r="D475" s="237"/>
      <c r="E475" s="98"/>
      <c r="F475" s="92"/>
      <c r="G475" s="92"/>
      <c r="H475" s="93"/>
      <c r="I475" s="93"/>
      <c r="J475" s="93"/>
      <c r="K475" s="93"/>
      <c r="L475" s="93"/>
      <c r="M475" s="93"/>
      <c r="N475" s="95"/>
      <c r="O475" t="str">
        <f t="shared" si="15"/>
        <v>472. _</v>
      </c>
    </row>
    <row r="476" spans="1:15">
      <c r="A476" s="91"/>
      <c r="B476" s="92">
        <f t="shared" si="16"/>
        <v>473</v>
      </c>
      <c r="C476" s="217"/>
      <c r="D476" s="237"/>
      <c r="E476" s="98"/>
      <c r="F476" s="92"/>
      <c r="G476" s="92"/>
      <c r="H476" s="93"/>
      <c r="I476" s="93"/>
      <c r="J476" s="93"/>
      <c r="K476" s="93"/>
      <c r="L476" s="93"/>
      <c r="M476" s="93"/>
      <c r="N476" s="95"/>
      <c r="O476" t="str">
        <f t="shared" si="15"/>
        <v>473. _</v>
      </c>
    </row>
    <row r="477" spans="1:15">
      <c r="A477" s="91"/>
      <c r="B477" s="92">
        <f t="shared" si="16"/>
        <v>474</v>
      </c>
      <c r="C477" s="217"/>
      <c r="D477" s="237"/>
      <c r="E477" s="98"/>
      <c r="F477" s="92"/>
      <c r="G477" s="92"/>
      <c r="H477" s="93"/>
      <c r="I477" s="93"/>
      <c r="J477" s="93"/>
      <c r="K477" s="93"/>
      <c r="L477" s="93"/>
      <c r="M477" s="93"/>
      <c r="N477" s="95"/>
      <c r="O477" t="str">
        <f t="shared" si="15"/>
        <v>474. _</v>
      </c>
    </row>
    <row r="478" spans="1:15">
      <c r="A478" s="91"/>
      <c r="B478" s="92">
        <f t="shared" si="16"/>
        <v>475</v>
      </c>
      <c r="C478" s="217"/>
      <c r="D478" s="237"/>
      <c r="E478" s="98"/>
      <c r="F478" s="92"/>
      <c r="G478" s="92"/>
      <c r="H478" s="93"/>
      <c r="I478" s="93"/>
      <c r="J478" s="93"/>
      <c r="K478" s="93"/>
      <c r="L478" s="93"/>
      <c r="M478" s="93"/>
      <c r="N478" s="95"/>
      <c r="O478" t="str">
        <f t="shared" si="15"/>
        <v>475. _</v>
      </c>
    </row>
    <row r="479" spans="1:15">
      <c r="A479" s="91"/>
      <c r="B479" s="92">
        <f t="shared" si="16"/>
        <v>476</v>
      </c>
      <c r="C479" s="217"/>
      <c r="D479" s="237"/>
      <c r="E479" s="98"/>
      <c r="F479" s="92"/>
      <c r="G479" s="92"/>
      <c r="H479" s="93"/>
      <c r="I479" s="93"/>
      <c r="J479" s="93"/>
      <c r="K479" s="93"/>
      <c r="L479" s="93"/>
      <c r="M479" s="93"/>
      <c r="N479" s="95"/>
      <c r="O479" t="str">
        <f t="shared" si="15"/>
        <v>476. _</v>
      </c>
    </row>
    <row r="480" spans="1:15">
      <c r="A480" s="91"/>
      <c r="B480" s="92">
        <f t="shared" si="16"/>
        <v>477</v>
      </c>
      <c r="C480" s="223"/>
      <c r="D480" s="237"/>
      <c r="E480" s="98"/>
      <c r="F480" s="100"/>
      <c r="G480" s="100"/>
      <c r="H480" s="93"/>
      <c r="I480" s="93"/>
      <c r="J480" s="93"/>
      <c r="K480" s="93"/>
      <c r="L480" s="93"/>
      <c r="M480" s="93"/>
      <c r="N480" s="95"/>
      <c r="O480" t="str">
        <f t="shared" si="15"/>
        <v>477. _</v>
      </c>
    </row>
    <row r="481" spans="1:15">
      <c r="A481" s="91"/>
      <c r="B481" s="92">
        <f t="shared" si="16"/>
        <v>478</v>
      </c>
      <c r="C481" s="217"/>
      <c r="D481" s="217"/>
      <c r="E481" s="98"/>
      <c r="F481" s="92"/>
      <c r="G481" s="92"/>
      <c r="H481" s="93"/>
      <c r="I481" s="93"/>
      <c r="J481" s="93"/>
      <c r="K481" s="93"/>
      <c r="L481" s="93"/>
      <c r="M481" s="93"/>
      <c r="N481" s="95"/>
      <c r="O481" t="str">
        <f t="shared" si="15"/>
        <v>478. _</v>
      </c>
    </row>
    <row r="482" spans="1:15">
      <c r="A482" s="91"/>
      <c r="B482" s="92">
        <f t="shared" si="16"/>
        <v>479</v>
      </c>
      <c r="C482" s="217"/>
      <c r="D482" s="237"/>
      <c r="E482" s="98"/>
      <c r="F482" s="92"/>
      <c r="G482" s="92"/>
      <c r="H482" s="93"/>
      <c r="I482" s="93"/>
      <c r="J482" s="93"/>
      <c r="K482" s="93"/>
      <c r="L482" s="93"/>
      <c r="M482" s="93"/>
      <c r="N482" s="95"/>
      <c r="O482" t="str">
        <f t="shared" si="15"/>
        <v>479. _</v>
      </c>
    </row>
    <row r="483" spans="1:15">
      <c r="A483" s="91"/>
      <c r="B483" s="92">
        <f t="shared" si="16"/>
        <v>480</v>
      </c>
      <c r="C483" s="217"/>
      <c r="D483" s="217"/>
      <c r="E483" s="98"/>
      <c r="F483" s="92"/>
      <c r="G483" s="92"/>
      <c r="H483" s="93"/>
      <c r="I483" s="93"/>
      <c r="J483" s="93"/>
      <c r="K483" s="93"/>
      <c r="L483" s="93"/>
      <c r="M483" s="93"/>
      <c r="N483" s="95"/>
      <c r="O483" t="str">
        <f t="shared" si="15"/>
        <v>480. _</v>
      </c>
    </row>
    <row r="484" spans="1:15">
      <c r="A484" s="91"/>
      <c r="B484" s="92">
        <f t="shared" si="16"/>
        <v>481</v>
      </c>
      <c r="C484" s="217"/>
      <c r="D484" s="217"/>
      <c r="E484" s="98"/>
      <c r="F484" s="92"/>
      <c r="G484" s="92"/>
      <c r="H484" s="93"/>
      <c r="I484" s="93"/>
      <c r="J484" s="93"/>
      <c r="K484" s="93"/>
      <c r="L484" s="93"/>
      <c r="M484" s="93"/>
      <c r="N484" s="95"/>
      <c r="O484" t="str">
        <f t="shared" si="15"/>
        <v>481. _</v>
      </c>
    </row>
    <row r="485" spans="1:15" ht="15.75" customHeight="1">
      <c r="A485" s="91"/>
      <c r="B485" s="92">
        <f t="shared" si="16"/>
        <v>482</v>
      </c>
      <c r="C485" s="217"/>
      <c r="D485" s="217"/>
      <c r="E485" s="98"/>
      <c r="F485" s="92"/>
      <c r="G485" s="92"/>
      <c r="H485" s="93"/>
      <c r="I485" s="93"/>
      <c r="J485" s="93"/>
      <c r="K485" s="93"/>
      <c r="L485" s="93"/>
      <c r="M485" s="93"/>
      <c r="N485" s="95"/>
      <c r="O485" t="str">
        <f t="shared" si="15"/>
        <v>482. _</v>
      </c>
    </row>
    <row r="486" spans="1:15">
      <c r="A486" s="91"/>
      <c r="B486" s="92">
        <f t="shared" si="16"/>
        <v>483</v>
      </c>
      <c r="C486" s="217"/>
      <c r="D486" s="217"/>
      <c r="E486" s="98"/>
      <c r="F486" s="92"/>
      <c r="G486" s="92"/>
      <c r="H486" s="93"/>
      <c r="I486" s="93"/>
      <c r="J486" s="93"/>
      <c r="K486" s="93"/>
      <c r="L486" s="93"/>
      <c r="M486" s="93"/>
      <c r="N486" s="95"/>
      <c r="O486" t="str">
        <f t="shared" si="15"/>
        <v>483. _</v>
      </c>
    </row>
    <row r="487" spans="1:15">
      <c r="A487" s="91">
        <v>24</v>
      </c>
      <c r="B487" s="92">
        <f t="shared" si="16"/>
        <v>484</v>
      </c>
      <c r="C487" s="217"/>
      <c r="D487" s="217"/>
      <c r="E487" s="98"/>
      <c r="F487" s="92"/>
      <c r="G487" s="92"/>
      <c r="H487" s="93"/>
      <c r="I487" s="93"/>
      <c r="J487" s="93"/>
      <c r="K487" s="93"/>
      <c r="L487" s="93"/>
      <c r="M487" s="93"/>
      <c r="N487" s="95"/>
      <c r="O487" t="str">
        <f t="shared" si="15"/>
        <v>484. _</v>
      </c>
    </row>
    <row r="488" spans="1:15">
      <c r="A488" s="91">
        <v>24</v>
      </c>
      <c r="B488" s="92">
        <f t="shared" si="16"/>
        <v>485</v>
      </c>
      <c r="C488" s="217"/>
      <c r="D488" s="217"/>
      <c r="E488" s="98"/>
      <c r="F488" s="92"/>
      <c r="G488" s="92"/>
      <c r="H488" s="93"/>
      <c r="I488" s="93"/>
      <c r="J488" s="93"/>
      <c r="K488" s="93"/>
      <c r="L488" s="93"/>
      <c r="M488" s="93"/>
      <c r="N488" s="95"/>
      <c r="O488" t="str">
        <f t="shared" si="15"/>
        <v>485. _</v>
      </c>
    </row>
    <row r="489" spans="1:15">
      <c r="A489" s="91"/>
      <c r="B489" s="92">
        <f t="shared" si="16"/>
        <v>486</v>
      </c>
      <c r="C489" s="217"/>
      <c r="D489" s="217"/>
      <c r="E489" s="98"/>
      <c r="F489" s="92"/>
      <c r="G489" s="92"/>
      <c r="H489" s="93"/>
      <c r="I489" s="93"/>
      <c r="J489" s="93"/>
      <c r="K489" s="93"/>
      <c r="L489" s="93"/>
      <c r="M489" s="93"/>
      <c r="N489" s="95"/>
      <c r="O489" t="str">
        <f t="shared" si="15"/>
        <v>486. _</v>
      </c>
    </row>
    <row r="490" spans="1:15">
      <c r="A490" s="91"/>
      <c r="B490" s="92">
        <f t="shared" si="16"/>
        <v>487</v>
      </c>
      <c r="C490" s="217"/>
      <c r="D490" s="217"/>
      <c r="E490" s="98"/>
      <c r="F490" s="92"/>
      <c r="G490" s="92"/>
      <c r="H490" s="93"/>
      <c r="I490" s="93"/>
      <c r="J490" s="93"/>
      <c r="K490" s="93"/>
      <c r="L490" s="93"/>
      <c r="M490" s="93"/>
      <c r="N490" s="95"/>
      <c r="O490" t="str">
        <f t="shared" si="15"/>
        <v>487. _</v>
      </c>
    </row>
    <row r="491" spans="1:15">
      <c r="A491" s="91">
        <v>24</v>
      </c>
      <c r="B491" s="92">
        <f t="shared" si="16"/>
        <v>488</v>
      </c>
      <c r="C491" s="217"/>
      <c r="D491" s="217"/>
      <c r="E491" s="98"/>
      <c r="F491" s="92"/>
      <c r="G491" s="92"/>
      <c r="H491" s="93"/>
      <c r="I491" s="93"/>
      <c r="J491" s="112"/>
      <c r="K491" s="112"/>
      <c r="L491" s="112"/>
      <c r="M491" s="93"/>
      <c r="N491" s="95"/>
      <c r="O491" t="str">
        <f t="shared" si="15"/>
        <v>488. _</v>
      </c>
    </row>
    <row r="492" spans="1:15">
      <c r="A492" s="91"/>
      <c r="B492" s="92">
        <f t="shared" si="16"/>
        <v>489</v>
      </c>
      <c r="C492" s="217"/>
      <c r="D492" s="217"/>
      <c r="E492" s="98"/>
      <c r="F492" s="92"/>
      <c r="G492" s="92"/>
      <c r="H492" s="93"/>
      <c r="I492" s="93"/>
      <c r="J492" s="93"/>
      <c r="K492" s="93"/>
      <c r="L492" s="93"/>
      <c r="M492" s="93"/>
      <c r="N492" s="95"/>
      <c r="O492" t="str">
        <f t="shared" si="15"/>
        <v>489. _</v>
      </c>
    </row>
    <row r="493" spans="1:15">
      <c r="A493" s="113">
        <v>23</v>
      </c>
      <c r="B493" s="92">
        <f t="shared" si="16"/>
        <v>490</v>
      </c>
      <c r="C493" s="217"/>
      <c r="D493" s="217"/>
      <c r="E493" s="92"/>
      <c r="F493" s="92"/>
      <c r="G493" s="92"/>
      <c r="H493" s="93"/>
      <c r="I493" s="93"/>
      <c r="J493" s="93"/>
      <c r="K493" s="93"/>
      <c r="L493" s="93"/>
      <c r="M493" s="93"/>
      <c r="N493" s="95"/>
      <c r="O493" t="str">
        <f t="shared" si="15"/>
        <v>490. _</v>
      </c>
    </row>
    <row r="494" spans="1:15">
      <c r="A494" s="91">
        <v>24</v>
      </c>
      <c r="B494" s="92">
        <f t="shared" si="16"/>
        <v>491</v>
      </c>
      <c r="C494" s="217"/>
      <c r="D494" s="217"/>
      <c r="E494" s="92"/>
      <c r="F494" s="92"/>
      <c r="G494" s="92"/>
      <c r="H494" s="93"/>
      <c r="I494" s="93"/>
      <c r="J494" s="93"/>
      <c r="K494" s="93"/>
      <c r="L494" s="93"/>
      <c r="M494" s="93"/>
      <c r="N494" s="95"/>
      <c r="O494" t="str">
        <f t="shared" si="15"/>
        <v>491. _</v>
      </c>
    </row>
    <row r="495" spans="1:15">
      <c r="A495" s="91">
        <v>24</v>
      </c>
      <c r="B495" s="92">
        <f t="shared" si="16"/>
        <v>492</v>
      </c>
      <c r="C495" s="217"/>
      <c r="D495" s="217"/>
      <c r="E495" s="92"/>
      <c r="F495" s="92"/>
      <c r="G495" s="92"/>
      <c r="H495" s="93"/>
      <c r="I495" s="93"/>
      <c r="J495" s="93"/>
      <c r="K495" s="93"/>
      <c r="L495" s="93"/>
      <c r="M495" s="93"/>
      <c r="N495" s="95"/>
      <c r="O495" t="str">
        <f t="shared" si="15"/>
        <v>492. _</v>
      </c>
    </row>
    <row r="496" spans="1:15">
      <c r="A496" s="91">
        <v>24</v>
      </c>
      <c r="B496" s="92">
        <f t="shared" si="16"/>
        <v>493</v>
      </c>
      <c r="C496" s="217"/>
      <c r="D496" s="217"/>
      <c r="E496" s="92"/>
      <c r="F496" s="92"/>
      <c r="G496" s="92"/>
      <c r="H496" s="114"/>
      <c r="I496" s="93"/>
      <c r="J496" s="93"/>
      <c r="K496" s="93"/>
      <c r="L496" s="93"/>
      <c r="M496" s="93"/>
      <c r="N496" s="95"/>
      <c r="O496" t="str">
        <f t="shared" si="15"/>
        <v>493. _</v>
      </c>
    </row>
    <row r="497" spans="1:15">
      <c r="A497" s="91">
        <v>24</v>
      </c>
      <c r="B497" s="92">
        <f t="shared" si="16"/>
        <v>494</v>
      </c>
      <c r="C497" s="217"/>
      <c r="D497" s="217"/>
      <c r="E497" s="92"/>
      <c r="F497" s="92"/>
      <c r="G497" s="92"/>
      <c r="H497" s="114"/>
      <c r="I497" s="93"/>
      <c r="J497" s="93"/>
      <c r="K497" s="93"/>
      <c r="L497" s="93"/>
      <c r="M497" s="93"/>
      <c r="N497" s="95"/>
      <c r="O497" t="str">
        <f t="shared" si="15"/>
        <v>494. _</v>
      </c>
    </row>
    <row r="498" spans="1:15">
      <c r="A498" s="91">
        <v>24</v>
      </c>
      <c r="B498" s="92">
        <f t="shared" si="16"/>
        <v>495</v>
      </c>
      <c r="C498" s="217"/>
      <c r="D498" s="217"/>
      <c r="E498" s="92"/>
      <c r="F498" s="92"/>
      <c r="G498" s="92"/>
      <c r="H498" s="114"/>
      <c r="I498" s="93"/>
      <c r="J498" s="93"/>
      <c r="K498" s="93"/>
      <c r="L498" s="93"/>
      <c r="M498" s="93"/>
      <c r="N498" s="95"/>
      <c r="O498" t="str">
        <f t="shared" si="15"/>
        <v>495. _</v>
      </c>
    </row>
    <row r="499" spans="1:15">
      <c r="A499" s="91">
        <v>24</v>
      </c>
      <c r="B499" s="92">
        <f t="shared" si="16"/>
        <v>496</v>
      </c>
      <c r="C499" s="217"/>
      <c r="D499" s="217"/>
      <c r="E499" s="92"/>
      <c r="F499" s="92"/>
      <c r="G499" s="92"/>
      <c r="H499" s="114"/>
      <c r="I499" s="115"/>
      <c r="J499" s="93"/>
      <c r="K499" s="93"/>
      <c r="L499" s="93"/>
      <c r="M499" s="93"/>
      <c r="N499" s="95"/>
      <c r="O499" t="str">
        <f t="shared" si="15"/>
        <v>496. _</v>
      </c>
    </row>
    <row r="500" spans="1:15">
      <c r="A500" s="91">
        <v>24</v>
      </c>
      <c r="B500" s="92">
        <f t="shared" si="16"/>
        <v>497</v>
      </c>
      <c r="C500" s="217"/>
      <c r="D500" s="217"/>
      <c r="E500" s="92"/>
      <c r="F500" s="92"/>
      <c r="G500" s="92"/>
      <c r="H500" s="114"/>
      <c r="I500" s="115"/>
      <c r="J500" s="93"/>
      <c r="K500" s="93"/>
      <c r="L500" s="93"/>
      <c r="M500" s="93"/>
      <c r="N500" s="95"/>
      <c r="O500" t="str">
        <f t="shared" si="15"/>
        <v>497. _</v>
      </c>
    </row>
    <row r="501" spans="1:15">
      <c r="A501" s="91">
        <v>24</v>
      </c>
      <c r="B501" s="92">
        <f t="shared" si="16"/>
        <v>498</v>
      </c>
      <c r="C501" s="217"/>
      <c r="D501" s="221"/>
      <c r="E501" s="92"/>
      <c r="F501" s="92"/>
      <c r="G501" s="92"/>
      <c r="H501" s="114"/>
      <c r="I501" s="115"/>
      <c r="J501" s="93"/>
      <c r="K501" s="93"/>
      <c r="L501" s="93"/>
      <c r="M501" s="93"/>
      <c r="N501" s="95"/>
      <c r="O501" t="str">
        <f t="shared" si="15"/>
        <v>498. _</v>
      </c>
    </row>
    <row r="502" spans="1:15">
      <c r="A502" s="91">
        <v>24</v>
      </c>
      <c r="B502" s="92">
        <f t="shared" si="16"/>
        <v>499</v>
      </c>
      <c r="C502" s="217"/>
      <c r="D502" s="217"/>
      <c r="E502" s="92"/>
      <c r="F502" s="92"/>
      <c r="G502" s="92"/>
      <c r="H502" s="114"/>
      <c r="I502" s="111"/>
      <c r="J502" s="93"/>
      <c r="K502" s="93"/>
      <c r="L502" s="93"/>
      <c r="M502" s="93"/>
      <c r="N502" s="95"/>
      <c r="O502" t="str">
        <f t="shared" si="15"/>
        <v>499. _</v>
      </c>
    </row>
    <row r="503" spans="1:15">
      <c r="A503" s="91">
        <v>24</v>
      </c>
      <c r="B503" s="92">
        <f t="shared" si="16"/>
        <v>500</v>
      </c>
      <c r="C503" s="217"/>
      <c r="D503" s="217"/>
      <c r="E503" s="92"/>
      <c r="F503" s="92"/>
      <c r="G503" s="92"/>
      <c r="H503" s="114"/>
      <c r="I503" s="115"/>
      <c r="J503" s="93"/>
      <c r="K503" s="93"/>
      <c r="L503" s="93"/>
      <c r="M503" s="93"/>
      <c r="N503" s="95"/>
      <c r="O503" t="str">
        <f t="shared" si="15"/>
        <v>500. _</v>
      </c>
    </row>
    <row r="504" spans="1:15">
      <c r="A504" s="91">
        <v>24</v>
      </c>
      <c r="B504" s="92">
        <f t="shared" si="16"/>
        <v>501</v>
      </c>
      <c r="C504" s="217"/>
      <c r="D504" s="217"/>
      <c r="E504" s="92"/>
      <c r="F504" s="92"/>
      <c r="G504" s="92"/>
      <c r="H504" s="114"/>
      <c r="I504" s="115"/>
      <c r="J504" s="93"/>
      <c r="K504" s="93"/>
      <c r="L504" s="93"/>
      <c r="M504" s="93"/>
      <c r="N504" s="95"/>
      <c r="O504" t="str">
        <f t="shared" si="15"/>
        <v>501. _</v>
      </c>
    </row>
    <row r="505" spans="1:15">
      <c r="A505" s="91">
        <v>24</v>
      </c>
      <c r="B505" s="92">
        <f t="shared" si="16"/>
        <v>502</v>
      </c>
      <c r="C505" s="217"/>
      <c r="D505" s="217"/>
      <c r="E505" s="92"/>
      <c r="F505" s="92"/>
      <c r="G505" s="92"/>
      <c r="H505" s="114"/>
      <c r="I505" s="115"/>
      <c r="J505" s="93"/>
      <c r="K505" s="93"/>
      <c r="L505" s="93"/>
      <c r="M505" s="93"/>
      <c r="N505" s="95"/>
      <c r="O505" t="str">
        <f t="shared" si="15"/>
        <v>502. _</v>
      </c>
    </row>
    <row r="506" spans="1:15">
      <c r="A506" s="91">
        <v>24</v>
      </c>
      <c r="B506" s="92">
        <f t="shared" si="16"/>
        <v>503</v>
      </c>
      <c r="C506" s="217"/>
      <c r="D506" s="217"/>
      <c r="E506" s="92"/>
      <c r="F506" s="92"/>
      <c r="G506" s="92"/>
      <c r="H506" s="114"/>
      <c r="I506" s="115"/>
      <c r="J506" s="93"/>
      <c r="K506" s="93"/>
      <c r="L506" s="93"/>
      <c r="M506" s="93"/>
      <c r="N506" s="95"/>
      <c r="O506" t="str">
        <f t="shared" si="15"/>
        <v>503. _</v>
      </c>
    </row>
    <row r="507" spans="1:15">
      <c r="A507" s="91">
        <v>24</v>
      </c>
      <c r="B507" s="92">
        <f t="shared" si="16"/>
        <v>504</v>
      </c>
      <c r="C507" s="217"/>
      <c r="D507" s="217"/>
      <c r="E507" s="92"/>
      <c r="F507" s="92"/>
      <c r="G507" s="92"/>
      <c r="H507" s="114"/>
      <c r="I507" s="115"/>
      <c r="J507" s="93"/>
      <c r="K507" s="93"/>
      <c r="L507" s="93"/>
      <c r="M507" s="93"/>
      <c r="N507" s="95"/>
      <c r="O507" t="str">
        <f t="shared" si="15"/>
        <v>504. _</v>
      </c>
    </row>
    <row r="508" spans="1:15">
      <c r="A508" s="91">
        <v>24</v>
      </c>
      <c r="B508" s="92">
        <f t="shared" si="16"/>
        <v>505</v>
      </c>
      <c r="C508" s="217"/>
      <c r="D508" s="217"/>
      <c r="E508" s="92"/>
      <c r="F508" s="92"/>
      <c r="G508" s="92"/>
      <c r="H508" s="114"/>
      <c r="I508" s="115"/>
      <c r="J508" s="93"/>
      <c r="K508" s="93"/>
      <c r="L508" s="93"/>
      <c r="M508" s="93"/>
      <c r="N508" s="95"/>
      <c r="O508" t="str">
        <f t="shared" si="15"/>
        <v>505. _</v>
      </c>
    </row>
    <row r="509" spans="1:15">
      <c r="A509" s="91">
        <v>24</v>
      </c>
      <c r="B509" s="92">
        <f t="shared" si="16"/>
        <v>506</v>
      </c>
      <c r="C509" s="217"/>
      <c r="D509" s="217"/>
      <c r="E509" s="92"/>
      <c r="F509" s="92"/>
      <c r="G509" s="92"/>
      <c r="H509" s="114"/>
      <c r="I509" s="115"/>
      <c r="J509" s="93"/>
      <c r="K509" s="93"/>
      <c r="L509" s="93"/>
      <c r="M509" s="93"/>
      <c r="N509" s="95"/>
      <c r="O509" t="str">
        <f t="shared" si="15"/>
        <v>506. _</v>
      </c>
    </row>
    <row r="510" spans="1:15">
      <c r="A510" s="91">
        <v>24</v>
      </c>
      <c r="B510" s="92">
        <f t="shared" si="16"/>
        <v>507</v>
      </c>
      <c r="C510" s="217"/>
      <c r="D510" s="217"/>
      <c r="E510" s="92"/>
      <c r="F510" s="92"/>
      <c r="G510" s="92"/>
      <c r="H510" s="114"/>
      <c r="I510" s="115"/>
      <c r="J510" s="93"/>
      <c r="K510" s="93"/>
      <c r="L510" s="93"/>
      <c r="M510" s="93"/>
      <c r="N510" s="95"/>
      <c r="O510" t="str">
        <f t="shared" si="15"/>
        <v>507. _</v>
      </c>
    </row>
    <row r="511" spans="1:15">
      <c r="A511" s="91">
        <v>24</v>
      </c>
      <c r="B511" s="92">
        <f t="shared" si="16"/>
        <v>508</v>
      </c>
      <c r="C511" s="217"/>
      <c r="D511" s="217"/>
      <c r="E511" s="92"/>
      <c r="F511" s="92"/>
      <c r="G511" s="92"/>
      <c r="H511" s="114"/>
      <c r="I511" s="115"/>
      <c r="J511" s="93"/>
      <c r="K511" s="93"/>
      <c r="L511" s="93"/>
      <c r="M511" s="93"/>
      <c r="N511" s="95"/>
      <c r="O511" t="str">
        <f t="shared" si="15"/>
        <v>508. _</v>
      </c>
    </row>
    <row r="512" spans="1:15">
      <c r="A512" s="91">
        <v>24</v>
      </c>
      <c r="B512" s="92">
        <f t="shared" si="16"/>
        <v>509</v>
      </c>
      <c r="C512" s="217"/>
      <c r="D512" s="217"/>
      <c r="E512" s="92"/>
      <c r="F512" s="92"/>
      <c r="G512" s="92"/>
      <c r="H512" s="114"/>
      <c r="I512" s="115"/>
      <c r="J512" s="93"/>
      <c r="K512" s="93"/>
      <c r="L512" s="93"/>
      <c r="M512" s="93"/>
      <c r="N512" s="95"/>
      <c r="O512" t="str">
        <f t="shared" si="15"/>
        <v>509. _</v>
      </c>
    </row>
    <row r="513" spans="1:15">
      <c r="A513" s="91">
        <v>24</v>
      </c>
      <c r="B513" s="92">
        <f t="shared" si="16"/>
        <v>510</v>
      </c>
      <c r="C513" s="217"/>
      <c r="D513" s="217"/>
      <c r="E513" s="92"/>
      <c r="F513" s="92"/>
      <c r="G513" s="92"/>
      <c r="H513" s="114"/>
      <c r="I513" s="111"/>
      <c r="J513" s="93"/>
      <c r="K513" s="93"/>
      <c r="L513" s="93"/>
      <c r="M513" s="93"/>
      <c r="N513" s="95"/>
      <c r="O513" t="str">
        <f t="shared" si="15"/>
        <v>510. _</v>
      </c>
    </row>
    <row r="514" spans="1:15">
      <c r="A514" s="91"/>
      <c r="B514" s="92">
        <f t="shared" si="16"/>
        <v>511</v>
      </c>
      <c r="C514" s="217"/>
      <c r="D514" s="217"/>
      <c r="E514" s="92"/>
      <c r="F514" s="92"/>
      <c r="G514" s="92"/>
      <c r="H514" s="93"/>
      <c r="I514" s="115"/>
      <c r="J514" s="93"/>
      <c r="K514" s="93"/>
      <c r="L514" s="93"/>
      <c r="M514" s="93"/>
      <c r="N514" s="95"/>
      <c r="O514" t="str">
        <f t="shared" si="15"/>
        <v>511. _</v>
      </c>
    </row>
    <row r="515" spans="1:15">
      <c r="A515" s="91"/>
      <c r="B515" s="92">
        <f t="shared" si="16"/>
        <v>512</v>
      </c>
      <c r="C515" s="217"/>
      <c r="D515" s="217"/>
      <c r="E515" s="92"/>
      <c r="F515" s="92"/>
      <c r="G515" s="92"/>
      <c r="H515" s="93"/>
      <c r="I515" s="115"/>
      <c r="J515" s="93"/>
      <c r="K515" s="93"/>
      <c r="L515" s="93"/>
      <c r="M515" s="93"/>
      <c r="N515" s="95"/>
      <c r="O515" t="str">
        <f t="shared" ref="O515:O578" si="17">CONCATENATE(B515,". ",C515,"_",D515)</f>
        <v>512. _</v>
      </c>
    </row>
    <row r="516" spans="1:15">
      <c r="A516" s="91"/>
      <c r="B516" s="92">
        <f t="shared" si="16"/>
        <v>513</v>
      </c>
      <c r="C516" s="217"/>
      <c r="D516" s="217"/>
      <c r="E516" s="92"/>
      <c r="F516" s="92"/>
      <c r="G516" s="92"/>
      <c r="H516" s="93"/>
      <c r="I516" s="115"/>
      <c r="J516" s="93"/>
      <c r="K516" s="93"/>
      <c r="L516" s="93"/>
      <c r="M516" s="93"/>
      <c r="N516" s="95"/>
      <c r="O516" t="str">
        <f t="shared" si="17"/>
        <v>513. _</v>
      </c>
    </row>
    <row r="517" spans="1:15">
      <c r="A517" s="91"/>
      <c r="B517" s="92">
        <f t="shared" ref="B517:B580" si="18">B516+1</f>
        <v>514</v>
      </c>
      <c r="C517" s="217"/>
      <c r="D517" s="217"/>
      <c r="E517" s="92"/>
      <c r="F517" s="92"/>
      <c r="G517" s="92"/>
      <c r="H517" s="93"/>
      <c r="I517" s="115"/>
      <c r="J517" s="93"/>
      <c r="K517" s="93"/>
      <c r="L517" s="93"/>
      <c r="M517" s="93"/>
      <c r="N517" s="95"/>
      <c r="O517" t="str">
        <f t="shared" si="17"/>
        <v>514. _</v>
      </c>
    </row>
    <row r="518" spans="1:15">
      <c r="A518" s="91"/>
      <c r="B518" s="92">
        <f t="shared" si="18"/>
        <v>515</v>
      </c>
      <c r="C518" s="217"/>
      <c r="D518" s="217"/>
      <c r="E518" s="92"/>
      <c r="F518" s="92"/>
      <c r="G518" s="92"/>
      <c r="H518" s="93"/>
      <c r="I518" s="115"/>
      <c r="J518" s="93"/>
      <c r="K518" s="93"/>
      <c r="L518" s="93"/>
      <c r="M518" s="93"/>
      <c r="N518" s="95"/>
      <c r="O518" t="str">
        <f t="shared" si="17"/>
        <v>515. _</v>
      </c>
    </row>
    <row r="519" spans="1:15">
      <c r="A519" s="91"/>
      <c r="B519" s="92">
        <f t="shared" si="18"/>
        <v>516</v>
      </c>
      <c r="C519" s="217"/>
      <c r="D519" s="217"/>
      <c r="E519" s="92"/>
      <c r="F519" s="92"/>
      <c r="G519" s="92"/>
      <c r="H519" s="93"/>
      <c r="I519" s="115"/>
      <c r="J519" s="93"/>
      <c r="K519" s="93"/>
      <c r="L519" s="93"/>
      <c r="M519" s="93"/>
      <c r="N519" s="95"/>
      <c r="O519" t="str">
        <f t="shared" si="17"/>
        <v>516. _</v>
      </c>
    </row>
    <row r="520" spans="1:15">
      <c r="A520" s="91"/>
      <c r="B520" s="92">
        <f t="shared" si="18"/>
        <v>517</v>
      </c>
      <c r="C520" s="217"/>
      <c r="D520" s="217"/>
      <c r="E520" s="92"/>
      <c r="F520" s="92"/>
      <c r="G520" s="92"/>
      <c r="H520" s="93"/>
      <c r="I520" s="111"/>
      <c r="J520" s="93"/>
      <c r="K520" s="93"/>
      <c r="L520" s="93"/>
      <c r="M520" s="93"/>
      <c r="N520" s="95"/>
      <c r="O520" t="str">
        <f t="shared" si="17"/>
        <v>517. _</v>
      </c>
    </row>
    <row r="521" spans="1:15">
      <c r="A521" s="91"/>
      <c r="B521" s="92">
        <f t="shared" si="18"/>
        <v>518</v>
      </c>
      <c r="C521" s="217"/>
      <c r="D521" s="217"/>
      <c r="E521" s="92"/>
      <c r="F521" s="92"/>
      <c r="G521" s="92"/>
      <c r="H521" s="93"/>
      <c r="I521" s="115"/>
      <c r="J521" s="93"/>
      <c r="K521" s="93"/>
      <c r="L521" s="93"/>
      <c r="M521" s="93"/>
      <c r="N521" s="95"/>
      <c r="O521" t="str">
        <f t="shared" si="17"/>
        <v>518. _</v>
      </c>
    </row>
    <row r="522" spans="1:15" s="116" customFormat="1">
      <c r="B522" s="92">
        <f t="shared" si="18"/>
        <v>519</v>
      </c>
      <c r="C522" s="217"/>
      <c r="D522" s="217"/>
      <c r="E522" s="97"/>
      <c r="F522" s="97"/>
      <c r="G522" s="97"/>
      <c r="H522" s="103"/>
      <c r="I522" s="117"/>
      <c r="J522" s="103"/>
      <c r="K522" s="103"/>
      <c r="L522" s="103"/>
      <c r="M522" s="103"/>
      <c r="N522" s="102"/>
      <c r="O522" s="116" t="str">
        <f t="shared" si="17"/>
        <v>519. _</v>
      </c>
    </row>
    <row r="523" spans="1:15" s="116" customFormat="1">
      <c r="B523" s="92">
        <f t="shared" si="18"/>
        <v>520</v>
      </c>
      <c r="C523" s="217"/>
      <c r="D523" s="217"/>
      <c r="E523" s="97"/>
      <c r="F523" s="97"/>
      <c r="G523" s="97"/>
      <c r="H523" s="103"/>
      <c r="I523" s="117"/>
      <c r="J523" s="103"/>
      <c r="K523" s="103"/>
      <c r="L523" s="103"/>
      <c r="M523" s="103"/>
      <c r="N523" s="102"/>
      <c r="O523" s="116" t="str">
        <f t="shared" si="17"/>
        <v>520. _</v>
      </c>
    </row>
    <row r="524" spans="1:15" s="116" customFormat="1">
      <c r="B524" s="92">
        <f t="shared" si="18"/>
        <v>521</v>
      </c>
      <c r="C524" s="217"/>
      <c r="D524" s="217"/>
      <c r="E524" s="97"/>
      <c r="F524" s="97"/>
      <c r="G524" s="97"/>
      <c r="H524" s="103"/>
      <c r="I524" s="117"/>
      <c r="J524" s="103"/>
      <c r="K524" s="103"/>
      <c r="L524" s="103"/>
      <c r="M524" s="103"/>
      <c r="N524" s="102"/>
      <c r="O524" s="116" t="str">
        <f t="shared" si="17"/>
        <v>521. _</v>
      </c>
    </row>
    <row r="525" spans="1:15" s="116" customFormat="1">
      <c r="B525" s="92">
        <f t="shared" si="18"/>
        <v>522</v>
      </c>
      <c r="C525" s="217"/>
      <c r="D525" s="217"/>
      <c r="E525" s="97"/>
      <c r="F525" s="97"/>
      <c r="G525" s="97"/>
      <c r="H525" s="103"/>
      <c r="I525" s="117"/>
      <c r="J525" s="103"/>
      <c r="K525" s="103"/>
      <c r="L525" s="103"/>
      <c r="M525" s="103"/>
      <c r="N525" s="102"/>
      <c r="O525" s="116" t="str">
        <f t="shared" si="17"/>
        <v>522. _</v>
      </c>
    </row>
    <row r="526" spans="1:15" s="116" customFormat="1">
      <c r="B526" s="92">
        <f t="shared" si="18"/>
        <v>523</v>
      </c>
      <c r="C526" s="217"/>
      <c r="D526" s="217"/>
      <c r="E526" s="97"/>
      <c r="F526" s="97"/>
      <c r="G526" s="97"/>
      <c r="H526" s="103"/>
      <c r="I526" s="118"/>
      <c r="J526" s="103"/>
      <c r="K526" s="103"/>
      <c r="L526" s="103"/>
      <c r="M526" s="103"/>
      <c r="N526" s="102"/>
      <c r="O526" s="116" t="str">
        <f t="shared" si="17"/>
        <v>523. _</v>
      </c>
    </row>
    <row r="527" spans="1:15" s="116" customFormat="1">
      <c r="B527" s="92">
        <f t="shared" si="18"/>
        <v>524</v>
      </c>
      <c r="C527" s="217"/>
      <c r="D527" s="217"/>
      <c r="E527" s="97"/>
      <c r="F527" s="97"/>
      <c r="G527" s="97"/>
      <c r="H527" s="103"/>
      <c r="I527" s="118"/>
      <c r="J527" s="103"/>
      <c r="K527" s="103"/>
      <c r="L527" s="103"/>
      <c r="M527" s="103"/>
      <c r="N527" s="102"/>
      <c r="O527" s="116" t="str">
        <f t="shared" si="17"/>
        <v>524. _</v>
      </c>
    </row>
    <row r="528" spans="1:15" s="116" customFormat="1">
      <c r="B528" s="92">
        <f t="shared" si="18"/>
        <v>525</v>
      </c>
      <c r="C528" s="217"/>
      <c r="D528" s="217"/>
      <c r="E528" s="97"/>
      <c r="F528" s="97"/>
      <c r="G528" s="97"/>
      <c r="H528" s="103"/>
      <c r="I528" s="117"/>
      <c r="J528" s="103"/>
      <c r="K528" s="103"/>
      <c r="L528" s="103"/>
      <c r="M528" s="103"/>
      <c r="N528" s="102"/>
      <c r="O528" s="116" t="str">
        <f t="shared" si="17"/>
        <v>525. _</v>
      </c>
    </row>
    <row r="529" spans="2:15" s="116" customFormat="1">
      <c r="B529" s="92">
        <f t="shared" si="18"/>
        <v>526</v>
      </c>
      <c r="C529" s="217"/>
      <c r="D529" s="217"/>
      <c r="E529" s="97"/>
      <c r="F529" s="97"/>
      <c r="G529" s="97"/>
      <c r="H529" s="103"/>
      <c r="I529" s="118"/>
      <c r="J529" s="103"/>
      <c r="K529" s="103"/>
      <c r="L529" s="103"/>
      <c r="M529" s="103"/>
      <c r="N529" s="102"/>
      <c r="O529" s="116" t="str">
        <f t="shared" si="17"/>
        <v>526. _</v>
      </c>
    </row>
    <row r="530" spans="2:15" s="116" customFormat="1">
      <c r="B530" s="92">
        <f t="shared" si="18"/>
        <v>527</v>
      </c>
      <c r="C530" s="217"/>
      <c r="D530" s="217"/>
      <c r="E530" s="97"/>
      <c r="F530" s="97"/>
      <c r="G530" s="97"/>
      <c r="H530" s="103"/>
      <c r="I530" s="117"/>
      <c r="J530" s="103"/>
      <c r="K530" s="103"/>
      <c r="L530" s="103"/>
      <c r="M530" s="103"/>
      <c r="N530" s="102"/>
      <c r="O530" s="116" t="str">
        <f t="shared" si="17"/>
        <v>527. _</v>
      </c>
    </row>
    <row r="531" spans="2:15" s="116" customFormat="1">
      <c r="B531" s="92">
        <f t="shared" si="18"/>
        <v>528</v>
      </c>
      <c r="C531" s="217"/>
      <c r="D531" s="217"/>
      <c r="E531" s="97"/>
      <c r="F531" s="97"/>
      <c r="G531" s="97"/>
      <c r="H531" s="103"/>
      <c r="I531" s="117"/>
      <c r="J531" s="103"/>
      <c r="K531" s="103"/>
      <c r="L531" s="103"/>
      <c r="M531" s="103"/>
      <c r="N531" s="102"/>
      <c r="O531" s="116" t="str">
        <f t="shared" si="17"/>
        <v>528. _</v>
      </c>
    </row>
    <row r="532" spans="2:15" s="116" customFormat="1">
      <c r="B532" s="92">
        <f t="shared" si="18"/>
        <v>529</v>
      </c>
      <c r="C532" s="217"/>
      <c r="D532" s="217"/>
      <c r="E532" s="97"/>
      <c r="F532" s="97"/>
      <c r="G532" s="97"/>
      <c r="H532" s="103"/>
      <c r="I532" s="117"/>
      <c r="J532" s="103"/>
      <c r="K532" s="103"/>
      <c r="L532" s="103"/>
      <c r="M532" s="103"/>
      <c r="N532" s="102"/>
      <c r="O532" s="116" t="str">
        <f t="shared" si="17"/>
        <v>529. _</v>
      </c>
    </row>
    <row r="533" spans="2:15" s="116" customFormat="1">
      <c r="B533" s="92">
        <f t="shared" si="18"/>
        <v>530</v>
      </c>
      <c r="C533" s="217"/>
      <c r="D533" s="217"/>
      <c r="E533" s="97"/>
      <c r="F533" s="97"/>
      <c r="G533" s="97"/>
      <c r="H533" s="103"/>
      <c r="I533" s="117"/>
      <c r="J533" s="103"/>
      <c r="K533" s="103"/>
      <c r="L533" s="103"/>
      <c r="M533" s="103"/>
      <c r="N533" s="102"/>
      <c r="O533" s="116" t="str">
        <f t="shared" si="17"/>
        <v>530. _</v>
      </c>
    </row>
    <row r="534" spans="2:15" s="116" customFormat="1">
      <c r="B534" s="92">
        <f t="shared" si="18"/>
        <v>531</v>
      </c>
      <c r="C534" s="217"/>
      <c r="D534" s="217"/>
      <c r="E534" s="97"/>
      <c r="F534" s="97"/>
      <c r="G534" s="97"/>
      <c r="H534" s="103"/>
      <c r="I534" s="117"/>
      <c r="J534" s="103"/>
      <c r="K534" s="103"/>
      <c r="L534" s="103"/>
      <c r="M534" s="103"/>
      <c r="N534" s="102"/>
      <c r="O534" s="116" t="str">
        <f t="shared" si="17"/>
        <v>531. _</v>
      </c>
    </row>
    <row r="535" spans="2:15" s="116" customFormat="1">
      <c r="B535" s="92">
        <f t="shared" si="18"/>
        <v>532</v>
      </c>
      <c r="C535" s="217"/>
      <c r="D535" s="217"/>
      <c r="E535" s="97"/>
      <c r="F535" s="97"/>
      <c r="G535" s="97"/>
      <c r="H535" s="103"/>
      <c r="I535" s="117"/>
      <c r="J535" s="103"/>
      <c r="K535" s="103"/>
      <c r="L535" s="103"/>
      <c r="M535" s="103"/>
      <c r="N535" s="102"/>
      <c r="O535" s="116" t="str">
        <f t="shared" si="17"/>
        <v>532. _</v>
      </c>
    </row>
    <row r="536" spans="2:15" s="116" customFormat="1">
      <c r="B536" s="92">
        <f t="shared" si="18"/>
        <v>533</v>
      </c>
      <c r="C536" s="217"/>
      <c r="D536" s="217"/>
      <c r="E536" s="97"/>
      <c r="F536" s="97"/>
      <c r="G536" s="97"/>
      <c r="H536" s="103"/>
      <c r="I536" s="117"/>
      <c r="J536" s="103"/>
      <c r="K536" s="103"/>
      <c r="L536" s="103"/>
      <c r="M536" s="103"/>
      <c r="N536" s="102"/>
      <c r="O536" s="116" t="str">
        <f t="shared" si="17"/>
        <v>533. _</v>
      </c>
    </row>
    <row r="537" spans="2:15" s="116" customFormat="1">
      <c r="B537" s="92">
        <f t="shared" si="18"/>
        <v>534</v>
      </c>
      <c r="C537" s="217"/>
      <c r="D537" s="217"/>
      <c r="E537" s="97"/>
      <c r="F537" s="97"/>
      <c r="G537" s="97"/>
      <c r="H537" s="103"/>
      <c r="I537" s="117"/>
      <c r="J537" s="103"/>
      <c r="K537" s="103"/>
      <c r="L537" s="103"/>
      <c r="M537" s="103"/>
      <c r="N537" s="102"/>
      <c r="O537" s="116" t="str">
        <f t="shared" si="17"/>
        <v>534. _</v>
      </c>
    </row>
    <row r="538" spans="2:15" s="116" customFormat="1">
      <c r="B538" s="92">
        <f t="shared" si="18"/>
        <v>535</v>
      </c>
      <c r="C538" s="217"/>
      <c r="D538" s="217"/>
      <c r="E538" s="97"/>
      <c r="F538" s="97"/>
      <c r="G538" s="97"/>
      <c r="H538" s="117"/>
      <c r="I538" s="117"/>
      <c r="J538" s="103"/>
      <c r="K538" s="103"/>
      <c r="L538" s="103"/>
      <c r="M538" s="103"/>
      <c r="N538" s="119"/>
      <c r="O538" s="116" t="str">
        <f t="shared" si="17"/>
        <v>535. _</v>
      </c>
    </row>
    <row r="539" spans="2:15" s="116" customFormat="1">
      <c r="B539" s="92">
        <f t="shared" si="18"/>
        <v>536</v>
      </c>
      <c r="C539" s="217"/>
      <c r="D539" s="217"/>
      <c r="E539" s="97"/>
      <c r="F539" s="97"/>
      <c r="G539" s="97"/>
      <c r="H539" s="117"/>
      <c r="I539" s="117"/>
      <c r="J539" s="103"/>
      <c r="K539" s="103"/>
      <c r="L539" s="103"/>
      <c r="M539" s="103"/>
      <c r="N539" s="119"/>
      <c r="O539" s="116" t="str">
        <f t="shared" si="17"/>
        <v>536. _</v>
      </c>
    </row>
    <row r="540" spans="2:15" s="116" customFormat="1">
      <c r="B540" s="92">
        <f t="shared" si="18"/>
        <v>537</v>
      </c>
      <c r="C540" s="217"/>
      <c r="D540" s="217"/>
      <c r="E540" s="97"/>
      <c r="F540" s="97"/>
      <c r="G540" s="97"/>
      <c r="H540" s="103"/>
      <c r="I540" s="117"/>
      <c r="J540" s="103"/>
      <c r="K540" s="103"/>
      <c r="L540" s="103"/>
      <c r="M540" s="103"/>
      <c r="N540" s="119"/>
      <c r="O540" s="116" t="str">
        <f t="shared" si="17"/>
        <v>537. _</v>
      </c>
    </row>
    <row r="541" spans="2:15" s="116" customFormat="1">
      <c r="B541" s="92">
        <f t="shared" si="18"/>
        <v>538</v>
      </c>
      <c r="C541" s="217"/>
      <c r="D541" s="217"/>
      <c r="E541" s="97"/>
      <c r="F541" s="97"/>
      <c r="G541" s="97"/>
      <c r="H541" s="103"/>
      <c r="I541" s="117"/>
      <c r="J541" s="103"/>
      <c r="K541" s="103"/>
      <c r="L541" s="103"/>
      <c r="M541" s="103"/>
      <c r="N541" s="102"/>
      <c r="O541" s="116" t="str">
        <f t="shared" si="17"/>
        <v>538. _</v>
      </c>
    </row>
    <row r="542" spans="2:15" s="116" customFormat="1">
      <c r="B542" s="92">
        <f t="shared" si="18"/>
        <v>539</v>
      </c>
      <c r="C542" s="217"/>
      <c r="D542" s="217"/>
      <c r="E542" s="97"/>
      <c r="F542" s="97"/>
      <c r="G542" s="97"/>
      <c r="H542" s="103"/>
      <c r="I542" s="117"/>
      <c r="J542" s="103"/>
      <c r="K542" s="103"/>
      <c r="L542" s="103"/>
      <c r="M542" s="103"/>
      <c r="N542" s="102"/>
      <c r="O542" s="116" t="str">
        <f t="shared" si="17"/>
        <v>539. _</v>
      </c>
    </row>
    <row r="543" spans="2:15" s="116" customFormat="1">
      <c r="B543" s="92">
        <f t="shared" si="18"/>
        <v>540</v>
      </c>
      <c r="C543" s="217"/>
      <c r="D543" s="217"/>
      <c r="E543" s="97"/>
      <c r="F543" s="97"/>
      <c r="G543" s="97"/>
      <c r="H543" s="103"/>
      <c r="I543" s="117"/>
      <c r="J543" s="103"/>
      <c r="K543" s="103"/>
      <c r="L543" s="103"/>
      <c r="M543" s="103"/>
      <c r="N543" s="102"/>
      <c r="O543" s="116" t="str">
        <f t="shared" si="17"/>
        <v>540. _</v>
      </c>
    </row>
    <row r="544" spans="2:15" s="116" customFormat="1">
      <c r="B544" s="92">
        <f t="shared" si="18"/>
        <v>541</v>
      </c>
      <c r="C544" s="217"/>
      <c r="D544" s="217"/>
      <c r="E544" s="97"/>
      <c r="F544" s="97"/>
      <c r="G544" s="97"/>
      <c r="H544" s="103"/>
      <c r="I544" s="117"/>
      <c r="J544" s="103"/>
      <c r="K544" s="103"/>
      <c r="L544" s="103"/>
      <c r="M544" s="103"/>
      <c r="N544" s="102"/>
      <c r="O544" s="116" t="str">
        <f t="shared" si="17"/>
        <v>541. _</v>
      </c>
    </row>
    <row r="545" spans="2:15" s="116" customFormat="1">
      <c r="B545" s="92">
        <f t="shared" si="18"/>
        <v>542</v>
      </c>
      <c r="C545" s="217"/>
      <c r="D545" s="217"/>
      <c r="E545" s="97"/>
      <c r="F545" s="97"/>
      <c r="G545" s="97"/>
      <c r="H545" s="103"/>
      <c r="I545" s="117"/>
      <c r="J545" s="103"/>
      <c r="K545" s="103"/>
      <c r="L545" s="103"/>
      <c r="M545" s="103"/>
      <c r="N545" s="102"/>
      <c r="O545" s="116" t="str">
        <f t="shared" si="17"/>
        <v>542. _</v>
      </c>
    </row>
    <row r="546" spans="2:15" s="116" customFormat="1">
      <c r="B546" s="92">
        <f t="shared" si="18"/>
        <v>543</v>
      </c>
      <c r="C546" s="217"/>
      <c r="D546" s="217"/>
      <c r="E546" s="97"/>
      <c r="F546" s="97"/>
      <c r="G546" s="97"/>
      <c r="H546" s="103"/>
      <c r="I546" s="117"/>
      <c r="J546" s="103"/>
      <c r="K546" s="103"/>
      <c r="L546" s="103"/>
      <c r="M546" s="103"/>
      <c r="N546" s="102"/>
      <c r="O546" s="116" t="str">
        <f t="shared" si="17"/>
        <v>543. _</v>
      </c>
    </row>
    <row r="547" spans="2:15" s="116" customFormat="1">
      <c r="B547" s="92">
        <f t="shared" si="18"/>
        <v>544</v>
      </c>
      <c r="C547" s="217"/>
      <c r="D547" s="217"/>
      <c r="E547" s="97"/>
      <c r="F547" s="97"/>
      <c r="G547" s="97"/>
      <c r="H547" s="103"/>
      <c r="I547" s="117"/>
      <c r="J547" s="103"/>
      <c r="K547" s="103"/>
      <c r="L547" s="103"/>
      <c r="M547" s="103"/>
      <c r="N547" s="102"/>
      <c r="O547" s="116" t="str">
        <f t="shared" si="17"/>
        <v>544. _</v>
      </c>
    </row>
    <row r="548" spans="2:15" s="116" customFormat="1">
      <c r="B548" s="92">
        <f t="shared" si="18"/>
        <v>545</v>
      </c>
      <c r="C548" s="217"/>
      <c r="D548" s="217"/>
      <c r="E548" s="97"/>
      <c r="F548" s="97"/>
      <c r="G548" s="97"/>
      <c r="H548" s="103"/>
      <c r="I548" s="117"/>
      <c r="J548" s="103"/>
      <c r="K548" s="103"/>
      <c r="L548" s="103"/>
      <c r="M548" s="103"/>
      <c r="N548" s="102"/>
      <c r="O548" s="116" t="str">
        <f t="shared" si="17"/>
        <v>545. _</v>
      </c>
    </row>
    <row r="549" spans="2:15" s="116" customFormat="1">
      <c r="B549" s="92">
        <f t="shared" si="18"/>
        <v>546</v>
      </c>
      <c r="C549" s="217"/>
      <c r="D549" s="217"/>
      <c r="E549" s="97"/>
      <c r="F549" s="97"/>
      <c r="G549" s="97"/>
      <c r="H549" s="103"/>
      <c r="I549" s="117"/>
      <c r="J549" s="103"/>
      <c r="K549" s="103"/>
      <c r="L549" s="103"/>
      <c r="M549" s="103"/>
      <c r="N549" s="102"/>
      <c r="O549" s="116" t="str">
        <f t="shared" si="17"/>
        <v>546. _</v>
      </c>
    </row>
    <row r="550" spans="2:15" s="116" customFormat="1">
      <c r="B550" s="92">
        <f t="shared" si="18"/>
        <v>547</v>
      </c>
      <c r="C550" s="217"/>
      <c r="D550" s="217"/>
      <c r="E550" s="97"/>
      <c r="F550" s="97"/>
      <c r="G550" s="97"/>
      <c r="H550" s="103"/>
      <c r="I550" s="117"/>
      <c r="J550" s="103"/>
      <c r="K550" s="103"/>
      <c r="L550" s="103"/>
      <c r="M550" s="103"/>
      <c r="N550" s="102"/>
      <c r="O550" s="116" t="str">
        <f t="shared" si="17"/>
        <v>547. _</v>
      </c>
    </row>
    <row r="551" spans="2:15" s="116" customFormat="1">
      <c r="B551" s="92">
        <f t="shared" si="18"/>
        <v>548</v>
      </c>
      <c r="C551" s="217"/>
      <c r="D551" s="217"/>
      <c r="E551" s="97"/>
      <c r="F551" s="97"/>
      <c r="G551" s="97"/>
      <c r="H551" s="103"/>
      <c r="I551" s="117"/>
      <c r="J551" s="103"/>
      <c r="K551" s="103"/>
      <c r="L551" s="103"/>
      <c r="M551" s="103"/>
      <c r="N551" s="102"/>
      <c r="O551" s="116" t="str">
        <f t="shared" si="17"/>
        <v>548. _</v>
      </c>
    </row>
    <row r="552" spans="2:15" s="116" customFormat="1">
      <c r="B552" s="92">
        <f t="shared" si="18"/>
        <v>549</v>
      </c>
      <c r="C552" s="217"/>
      <c r="D552" s="217"/>
      <c r="E552" s="97"/>
      <c r="F552" s="97"/>
      <c r="G552" s="97"/>
      <c r="H552" s="103"/>
      <c r="I552" s="117"/>
      <c r="J552" s="103"/>
      <c r="K552" s="103"/>
      <c r="L552" s="103"/>
      <c r="M552" s="103"/>
      <c r="N552" s="102"/>
      <c r="O552" s="116" t="str">
        <f t="shared" si="17"/>
        <v>549. _</v>
      </c>
    </row>
    <row r="553" spans="2:15" s="116" customFormat="1">
      <c r="B553" s="92">
        <f t="shared" si="18"/>
        <v>550</v>
      </c>
      <c r="C553" s="217"/>
      <c r="D553" s="217"/>
      <c r="E553" s="97"/>
      <c r="F553" s="97"/>
      <c r="G553" s="97"/>
      <c r="H553" s="103"/>
      <c r="I553" s="117"/>
      <c r="J553" s="103"/>
      <c r="K553" s="103"/>
      <c r="L553" s="103"/>
      <c r="M553" s="103"/>
      <c r="N553" s="102"/>
      <c r="O553" s="116" t="str">
        <f t="shared" si="17"/>
        <v>550. _</v>
      </c>
    </row>
    <row r="554" spans="2:15" s="116" customFormat="1">
      <c r="B554" s="92">
        <f t="shared" si="18"/>
        <v>551</v>
      </c>
      <c r="C554" s="217"/>
      <c r="D554" s="217"/>
      <c r="E554" s="97"/>
      <c r="F554" s="97"/>
      <c r="G554" s="97"/>
      <c r="H554" s="103"/>
      <c r="I554" s="117"/>
      <c r="J554" s="103"/>
      <c r="K554" s="103"/>
      <c r="L554" s="103"/>
      <c r="M554" s="103"/>
      <c r="N554" s="102"/>
      <c r="O554" s="116" t="str">
        <f t="shared" si="17"/>
        <v>551. _</v>
      </c>
    </row>
    <row r="555" spans="2:15" s="116" customFormat="1">
      <c r="B555" s="92">
        <f t="shared" si="18"/>
        <v>552</v>
      </c>
      <c r="C555" s="217"/>
      <c r="D555" s="217"/>
      <c r="E555" s="97"/>
      <c r="F555" s="97"/>
      <c r="G555" s="97"/>
      <c r="H555" s="103"/>
      <c r="I555" s="117"/>
      <c r="J555" s="103"/>
      <c r="K555" s="103"/>
      <c r="L555" s="103"/>
      <c r="M555" s="103"/>
      <c r="N555" s="102"/>
      <c r="O555" s="116" t="str">
        <f t="shared" si="17"/>
        <v>552. _</v>
      </c>
    </row>
    <row r="556" spans="2:15" s="116" customFormat="1">
      <c r="B556" s="92">
        <f t="shared" si="18"/>
        <v>553</v>
      </c>
      <c r="C556" s="217"/>
      <c r="D556" s="217"/>
      <c r="E556" s="97"/>
      <c r="F556" s="97"/>
      <c r="G556" s="97"/>
      <c r="H556" s="103"/>
      <c r="I556" s="117"/>
      <c r="J556" s="103"/>
      <c r="K556" s="103"/>
      <c r="L556" s="103"/>
      <c r="M556" s="103"/>
      <c r="N556" s="102"/>
      <c r="O556" s="116" t="str">
        <f t="shared" si="17"/>
        <v>553. _</v>
      </c>
    </row>
    <row r="557" spans="2:15" s="116" customFormat="1">
      <c r="B557" s="92">
        <f t="shared" si="18"/>
        <v>554</v>
      </c>
      <c r="C557" s="217"/>
      <c r="D557" s="217"/>
      <c r="E557" s="97"/>
      <c r="F557" s="97"/>
      <c r="G557" s="97"/>
      <c r="H557" s="103"/>
      <c r="I557" s="117"/>
      <c r="J557" s="103"/>
      <c r="K557" s="103"/>
      <c r="L557" s="103"/>
      <c r="M557" s="103"/>
      <c r="N557" s="102"/>
      <c r="O557" s="116" t="str">
        <f t="shared" si="17"/>
        <v>554. _</v>
      </c>
    </row>
    <row r="558" spans="2:15" s="116" customFormat="1">
      <c r="B558" s="92">
        <f t="shared" si="18"/>
        <v>555</v>
      </c>
      <c r="C558" s="217"/>
      <c r="D558" s="217"/>
      <c r="E558" s="97"/>
      <c r="F558" s="97"/>
      <c r="G558" s="97"/>
      <c r="H558" s="103"/>
      <c r="I558" s="117"/>
      <c r="J558" s="103"/>
      <c r="K558" s="103"/>
      <c r="L558" s="103"/>
      <c r="M558" s="103"/>
      <c r="N558" s="102"/>
      <c r="O558" s="116" t="str">
        <f t="shared" si="17"/>
        <v>555. _</v>
      </c>
    </row>
    <row r="559" spans="2:15" s="116" customFormat="1">
      <c r="B559" s="92">
        <f t="shared" si="18"/>
        <v>556</v>
      </c>
      <c r="C559" s="217"/>
      <c r="D559" s="217"/>
      <c r="E559" s="97"/>
      <c r="F559" s="97"/>
      <c r="G559" s="97"/>
      <c r="H559" s="103"/>
      <c r="I559" s="117"/>
      <c r="J559" s="103"/>
      <c r="K559" s="103"/>
      <c r="L559" s="103"/>
      <c r="M559" s="103"/>
      <c r="N559" s="102"/>
      <c r="O559" s="116" t="str">
        <f t="shared" si="17"/>
        <v>556. _</v>
      </c>
    </row>
    <row r="560" spans="2:15" s="116" customFormat="1">
      <c r="B560" s="92">
        <f t="shared" si="18"/>
        <v>557</v>
      </c>
      <c r="C560" s="217"/>
      <c r="D560" s="217"/>
      <c r="E560" s="97"/>
      <c r="F560" s="97"/>
      <c r="G560" s="97"/>
      <c r="H560" s="103"/>
      <c r="I560" s="117"/>
      <c r="J560" s="103"/>
      <c r="K560" s="103"/>
      <c r="L560" s="103"/>
      <c r="M560" s="103"/>
      <c r="N560" s="102"/>
      <c r="O560" s="116" t="str">
        <f t="shared" si="17"/>
        <v>557. _</v>
      </c>
    </row>
    <row r="561" spans="2:15" s="116" customFormat="1">
      <c r="B561" s="92">
        <f t="shared" si="18"/>
        <v>558</v>
      </c>
      <c r="C561" s="217"/>
      <c r="D561" s="217"/>
      <c r="E561" s="97"/>
      <c r="F561" s="97"/>
      <c r="G561" s="97"/>
      <c r="H561" s="103"/>
      <c r="I561" s="117"/>
      <c r="J561" s="103"/>
      <c r="K561" s="103"/>
      <c r="L561" s="103"/>
      <c r="M561" s="103"/>
      <c r="N561" s="102"/>
      <c r="O561" s="116" t="str">
        <f t="shared" si="17"/>
        <v>558. _</v>
      </c>
    </row>
    <row r="562" spans="2:15" s="116" customFormat="1">
      <c r="B562" s="92">
        <f t="shared" si="18"/>
        <v>559</v>
      </c>
      <c r="C562" s="217"/>
      <c r="D562" s="217"/>
      <c r="E562" s="97"/>
      <c r="F562" s="97"/>
      <c r="G562" s="97"/>
      <c r="H562" s="103"/>
      <c r="I562" s="117"/>
      <c r="J562" s="103"/>
      <c r="K562" s="103"/>
      <c r="L562" s="103"/>
      <c r="M562" s="103"/>
      <c r="N562" s="102"/>
      <c r="O562" s="116" t="str">
        <f t="shared" si="17"/>
        <v>559. _</v>
      </c>
    </row>
    <row r="563" spans="2:15" s="116" customFormat="1">
      <c r="B563" s="92">
        <f t="shared" si="18"/>
        <v>560</v>
      </c>
      <c r="C563" s="217"/>
      <c r="D563" s="217"/>
      <c r="E563" s="97"/>
      <c r="F563" s="97"/>
      <c r="G563" s="97"/>
      <c r="H563" s="103"/>
      <c r="I563" s="117"/>
      <c r="J563" s="103"/>
      <c r="K563" s="103"/>
      <c r="L563" s="103"/>
      <c r="M563" s="103"/>
      <c r="N563" s="102"/>
      <c r="O563" s="116" t="str">
        <f t="shared" si="17"/>
        <v>560. _</v>
      </c>
    </row>
    <row r="564" spans="2:15" s="116" customFormat="1">
      <c r="B564" s="92">
        <f t="shared" si="18"/>
        <v>561</v>
      </c>
      <c r="C564" s="217"/>
      <c r="D564" s="217"/>
      <c r="E564" s="97"/>
      <c r="F564" s="97"/>
      <c r="G564" s="97"/>
      <c r="H564" s="103"/>
      <c r="I564" s="117"/>
      <c r="J564" s="103"/>
      <c r="K564" s="103"/>
      <c r="L564" s="103"/>
      <c r="M564" s="103"/>
      <c r="N564" s="102"/>
      <c r="O564" s="116" t="str">
        <f t="shared" si="17"/>
        <v>561. _</v>
      </c>
    </row>
    <row r="565" spans="2:15" s="116" customFormat="1">
      <c r="B565" s="92">
        <f t="shared" si="18"/>
        <v>562</v>
      </c>
      <c r="C565" s="217"/>
      <c r="D565" s="217"/>
      <c r="E565" s="97"/>
      <c r="F565" s="97"/>
      <c r="G565" s="97"/>
      <c r="H565" s="103"/>
      <c r="I565" s="117"/>
      <c r="J565" s="103"/>
      <c r="K565" s="103"/>
      <c r="L565" s="103"/>
      <c r="M565" s="103"/>
      <c r="N565" s="102"/>
      <c r="O565" s="116" t="str">
        <f t="shared" si="17"/>
        <v>562. _</v>
      </c>
    </row>
    <row r="566" spans="2:15" s="116" customFormat="1">
      <c r="B566" s="92">
        <f t="shared" si="18"/>
        <v>563</v>
      </c>
      <c r="C566" s="217"/>
      <c r="D566" s="217"/>
      <c r="E566" s="97"/>
      <c r="F566" s="97"/>
      <c r="G566" s="97"/>
      <c r="H566" s="103"/>
      <c r="I566" s="117"/>
      <c r="J566" s="103"/>
      <c r="K566" s="103"/>
      <c r="L566" s="103"/>
      <c r="M566" s="103"/>
      <c r="N566" s="102"/>
      <c r="O566" s="116" t="str">
        <f t="shared" si="17"/>
        <v>563. _</v>
      </c>
    </row>
    <row r="567" spans="2:15" s="116" customFormat="1">
      <c r="B567" s="92">
        <f t="shared" si="18"/>
        <v>564</v>
      </c>
      <c r="C567" s="217"/>
      <c r="D567" s="217"/>
      <c r="E567" s="97"/>
      <c r="F567" s="97"/>
      <c r="G567" s="97"/>
      <c r="H567" s="103"/>
      <c r="I567" s="117"/>
      <c r="J567" s="103"/>
      <c r="K567" s="103"/>
      <c r="L567" s="103"/>
      <c r="M567" s="103"/>
      <c r="N567" s="102"/>
      <c r="O567" s="116" t="str">
        <f t="shared" si="17"/>
        <v>564. _</v>
      </c>
    </row>
    <row r="568" spans="2:15" s="116" customFormat="1">
      <c r="B568" s="92">
        <f t="shared" si="18"/>
        <v>565</v>
      </c>
      <c r="C568" s="217"/>
      <c r="D568" s="217"/>
      <c r="E568" s="97"/>
      <c r="F568" s="97"/>
      <c r="G568" s="97"/>
      <c r="H568" s="103"/>
      <c r="I568" s="117"/>
      <c r="J568" s="103"/>
      <c r="K568" s="103"/>
      <c r="L568" s="103"/>
      <c r="M568" s="103"/>
      <c r="N568" s="102"/>
      <c r="O568" s="116" t="str">
        <f t="shared" si="17"/>
        <v>565. _</v>
      </c>
    </row>
    <row r="569" spans="2:15" s="116" customFormat="1">
      <c r="B569" s="92">
        <f t="shared" si="18"/>
        <v>566</v>
      </c>
      <c r="C569" s="217"/>
      <c r="D569" s="217"/>
      <c r="E569" s="97"/>
      <c r="F569" s="97"/>
      <c r="G569" s="97"/>
      <c r="H569" s="103"/>
      <c r="I569" s="117"/>
      <c r="J569" s="103"/>
      <c r="K569" s="103"/>
      <c r="L569" s="103"/>
      <c r="M569" s="103"/>
      <c r="N569" s="102"/>
      <c r="O569" s="116" t="str">
        <f t="shared" si="17"/>
        <v>566. _</v>
      </c>
    </row>
    <row r="570" spans="2:15" s="116" customFormat="1">
      <c r="B570" s="92">
        <f t="shared" si="18"/>
        <v>567</v>
      </c>
      <c r="C570" s="217"/>
      <c r="D570" s="217"/>
      <c r="E570" s="97"/>
      <c r="F570" s="97"/>
      <c r="G570" s="97"/>
      <c r="H570" s="103"/>
      <c r="I570" s="117"/>
      <c r="J570" s="103"/>
      <c r="K570" s="103"/>
      <c r="L570" s="103"/>
      <c r="M570" s="103"/>
      <c r="N570" s="102"/>
      <c r="O570" s="116" t="str">
        <f t="shared" si="17"/>
        <v>567. _</v>
      </c>
    </row>
    <row r="571" spans="2:15" s="116" customFormat="1">
      <c r="B571" s="92">
        <f t="shared" si="18"/>
        <v>568</v>
      </c>
      <c r="C571" s="217"/>
      <c r="D571" s="217"/>
      <c r="E571" s="97"/>
      <c r="F571" s="97"/>
      <c r="G571" s="97"/>
      <c r="H571" s="103"/>
      <c r="I571" s="117"/>
      <c r="J571" s="103"/>
      <c r="K571" s="103"/>
      <c r="L571" s="103"/>
      <c r="M571" s="103"/>
      <c r="N571" s="102"/>
      <c r="O571" s="116" t="str">
        <f t="shared" si="17"/>
        <v>568. _</v>
      </c>
    </row>
    <row r="572" spans="2:15" s="116" customFormat="1">
      <c r="B572" s="92">
        <f t="shared" si="18"/>
        <v>569</v>
      </c>
      <c r="C572" s="217"/>
      <c r="D572" s="217"/>
      <c r="E572" s="97"/>
      <c r="F572" s="97"/>
      <c r="G572" s="97"/>
      <c r="H572" s="103"/>
      <c r="I572" s="117"/>
      <c r="J572" s="103"/>
      <c r="K572" s="103"/>
      <c r="L572" s="103"/>
      <c r="M572" s="103"/>
      <c r="N572" s="102"/>
      <c r="O572" s="116" t="str">
        <f t="shared" si="17"/>
        <v>569. _</v>
      </c>
    </row>
    <row r="573" spans="2:15" s="116" customFormat="1">
      <c r="B573" s="92">
        <f t="shared" si="18"/>
        <v>570</v>
      </c>
      <c r="C573" s="217"/>
      <c r="D573" s="217"/>
      <c r="E573" s="97"/>
      <c r="F573" s="97"/>
      <c r="G573" s="97"/>
      <c r="H573" s="103"/>
      <c r="I573" s="117"/>
      <c r="J573" s="103"/>
      <c r="K573" s="103"/>
      <c r="L573" s="103"/>
      <c r="M573" s="103"/>
      <c r="N573" s="102"/>
      <c r="O573" s="116" t="str">
        <f t="shared" si="17"/>
        <v>570. _</v>
      </c>
    </row>
    <row r="574" spans="2:15" s="116" customFormat="1">
      <c r="B574" s="92">
        <f t="shared" si="18"/>
        <v>571</v>
      </c>
      <c r="C574" s="217"/>
      <c r="D574" s="217"/>
      <c r="E574" s="97"/>
      <c r="F574" s="97"/>
      <c r="G574" s="97"/>
      <c r="H574" s="103"/>
      <c r="I574" s="117"/>
      <c r="J574" s="103"/>
      <c r="K574" s="103"/>
      <c r="L574" s="103"/>
      <c r="M574" s="103"/>
      <c r="N574" s="102"/>
      <c r="O574" s="116" t="str">
        <f t="shared" si="17"/>
        <v>571. _</v>
      </c>
    </row>
    <row r="575" spans="2:15" s="116" customFormat="1">
      <c r="B575" s="92">
        <f t="shared" si="18"/>
        <v>572</v>
      </c>
      <c r="C575" s="217"/>
      <c r="D575" s="217"/>
      <c r="E575" s="97"/>
      <c r="F575" s="97"/>
      <c r="G575" s="97"/>
      <c r="H575" s="103"/>
      <c r="I575" s="117"/>
      <c r="J575" s="103"/>
      <c r="K575" s="103"/>
      <c r="L575" s="103"/>
      <c r="M575" s="103"/>
      <c r="N575" s="102"/>
      <c r="O575" s="116" t="str">
        <f t="shared" si="17"/>
        <v>572. _</v>
      </c>
    </row>
    <row r="576" spans="2:15" s="116" customFormat="1">
      <c r="B576" s="92">
        <f t="shared" si="18"/>
        <v>573</v>
      </c>
      <c r="C576" s="217"/>
      <c r="D576" s="217"/>
      <c r="E576" s="97"/>
      <c r="F576" s="97"/>
      <c r="G576" s="97"/>
      <c r="H576" s="103"/>
      <c r="I576" s="117"/>
      <c r="J576" s="103"/>
      <c r="K576" s="103"/>
      <c r="L576" s="103"/>
      <c r="M576" s="103"/>
      <c r="N576" s="102"/>
      <c r="O576" s="116" t="str">
        <f t="shared" si="17"/>
        <v>573. _</v>
      </c>
    </row>
    <row r="577" spans="2:15" s="116" customFormat="1">
      <c r="B577" s="92">
        <f t="shared" si="18"/>
        <v>574</v>
      </c>
      <c r="C577" s="217"/>
      <c r="D577" s="217"/>
      <c r="E577" s="97"/>
      <c r="F577" s="97"/>
      <c r="G577" s="97"/>
      <c r="H577" s="103"/>
      <c r="I577" s="117"/>
      <c r="J577" s="103"/>
      <c r="K577" s="103"/>
      <c r="L577" s="103"/>
      <c r="M577" s="103"/>
      <c r="N577" s="102"/>
      <c r="O577" s="116" t="str">
        <f t="shared" si="17"/>
        <v>574. _</v>
      </c>
    </row>
    <row r="578" spans="2:15" s="116" customFormat="1">
      <c r="B578" s="92">
        <f t="shared" si="18"/>
        <v>575</v>
      </c>
      <c r="C578" s="217"/>
      <c r="D578" s="217"/>
      <c r="E578" s="97"/>
      <c r="F578" s="97"/>
      <c r="G578" s="97"/>
      <c r="H578" s="103"/>
      <c r="I578" s="117"/>
      <c r="J578" s="103"/>
      <c r="K578" s="103"/>
      <c r="L578" s="103"/>
      <c r="M578" s="103"/>
      <c r="N578" s="102"/>
      <c r="O578" s="116" t="str">
        <f t="shared" si="17"/>
        <v>575. _</v>
      </c>
    </row>
    <row r="579" spans="2:15" s="116" customFormat="1">
      <c r="B579" s="92">
        <f t="shared" si="18"/>
        <v>576</v>
      </c>
      <c r="C579" s="217"/>
      <c r="D579" s="217"/>
      <c r="E579" s="97"/>
      <c r="F579" s="97"/>
      <c r="G579" s="97"/>
      <c r="H579" s="103"/>
      <c r="I579" s="117"/>
      <c r="J579" s="103"/>
      <c r="K579" s="103"/>
      <c r="L579" s="103"/>
      <c r="M579" s="103"/>
      <c r="N579" s="102"/>
      <c r="O579" s="116" t="str">
        <f t="shared" ref="O579:O642" si="19">CONCATENATE(B579,". ",C579,"_",D579)</f>
        <v>576. _</v>
      </c>
    </row>
    <row r="580" spans="2:15" s="116" customFormat="1">
      <c r="B580" s="92">
        <f t="shared" si="18"/>
        <v>577</v>
      </c>
      <c r="C580" s="217"/>
      <c r="D580" s="217"/>
      <c r="E580" s="97"/>
      <c r="F580" s="97"/>
      <c r="G580" s="97"/>
      <c r="H580" s="103"/>
      <c r="I580" s="117"/>
      <c r="J580" s="103"/>
      <c r="K580" s="103"/>
      <c r="L580" s="103"/>
      <c r="M580" s="103"/>
      <c r="N580" s="102"/>
      <c r="O580" s="116" t="str">
        <f t="shared" si="19"/>
        <v>577. _</v>
      </c>
    </row>
    <row r="581" spans="2:15" s="116" customFormat="1">
      <c r="B581" s="92">
        <f t="shared" ref="B581:B644" si="20">B580+1</f>
        <v>578</v>
      </c>
      <c r="C581" s="217"/>
      <c r="D581" s="217"/>
      <c r="E581" s="97"/>
      <c r="F581" s="97"/>
      <c r="G581" s="97"/>
      <c r="H581" s="103"/>
      <c r="I581" s="117"/>
      <c r="J581" s="103"/>
      <c r="K581" s="103"/>
      <c r="L581" s="103"/>
      <c r="M581" s="103"/>
      <c r="N581" s="102"/>
      <c r="O581" s="116" t="str">
        <f t="shared" si="19"/>
        <v>578. _</v>
      </c>
    </row>
    <row r="582" spans="2:15" s="116" customFormat="1">
      <c r="B582" s="92">
        <f t="shared" si="20"/>
        <v>579</v>
      </c>
      <c r="C582" s="217"/>
      <c r="D582" s="217"/>
      <c r="E582" s="97"/>
      <c r="F582" s="97"/>
      <c r="G582" s="97"/>
      <c r="H582" s="103"/>
      <c r="I582" s="117"/>
      <c r="J582" s="103"/>
      <c r="K582" s="103"/>
      <c r="L582" s="103"/>
      <c r="M582" s="103"/>
      <c r="N582" s="102"/>
      <c r="O582" s="116" t="str">
        <f t="shared" si="19"/>
        <v>579. _</v>
      </c>
    </row>
    <row r="583" spans="2:15" s="116" customFormat="1">
      <c r="B583" s="92">
        <f t="shared" si="20"/>
        <v>580</v>
      </c>
      <c r="C583" s="217"/>
      <c r="D583" s="217"/>
      <c r="E583" s="97"/>
      <c r="F583" s="97"/>
      <c r="G583" s="97"/>
      <c r="H583" s="103"/>
      <c r="I583" s="117"/>
      <c r="J583" s="103"/>
      <c r="K583" s="103"/>
      <c r="L583" s="103"/>
      <c r="M583" s="103"/>
      <c r="N583" s="102"/>
      <c r="O583" s="116" t="str">
        <f t="shared" si="19"/>
        <v>580. _</v>
      </c>
    </row>
    <row r="584" spans="2:15" s="116" customFormat="1">
      <c r="B584" s="92">
        <f t="shared" si="20"/>
        <v>581</v>
      </c>
      <c r="C584" s="217"/>
      <c r="D584" s="217"/>
      <c r="E584" s="97"/>
      <c r="F584" s="97"/>
      <c r="G584" s="97"/>
      <c r="H584" s="103"/>
      <c r="I584" s="117"/>
      <c r="J584" s="103"/>
      <c r="K584" s="103"/>
      <c r="L584" s="103"/>
      <c r="M584" s="103"/>
      <c r="N584" s="102"/>
      <c r="O584" s="116" t="str">
        <f t="shared" si="19"/>
        <v>581. _</v>
      </c>
    </row>
    <row r="585" spans="2:15" s="116" customFormat="1">
      <c r="B585" s="92">
        <f t="shared" si="20"/>
        <v>582</v>
      </c>
      <c r="C585" s="217"/>
      <c r="D585" s="217"/>
      <c r="E585" s="97"/>
      <c r="F585" s="97"/>
      <c r="G585" s="97"/>
      <c r="H585" s="103"/>
      <c r="I585" s="117"/>
      <c r="J585" s="103"/>
      <c r="K585" s="103"/>
      <c r="L585" s="103"/>
      <c r="M585" s="103"/>
      <c r="N585" s="102"/>
      <c r="O585" s="116" t="str">
        <f t="shared" si="19"/>
        <v>582. _</v>
      </c>
    </row>
    <row r="586" spans="2:15" s="116" customFormat="1">
      <c r="B586" s="92">
        <f t="shared" si="20"/>
        <v>583</v>
      </c>
      <c r="C586" s="217"/>
      <c r="D586" s="217"/>
      <c r="E586" s="97"/>
      <c r="F586" s="97"/>
      <c r="G586" s="97"/>
      <c r="H586" s="103"/>
      <c r="I586" s="117"/>
      <c r="J586" s="103"/>
      <c r="K586" s="103"/>
      <c r="L586" s="103"/>
      <c r="M586" s="103"/>
      <c r="N586" s="102"/>
      <c r="O586" s="116" t="str">
        <f t="shared" si="19"/>
        <v>583. _</v>
      </c>
    </row>
    <row r="587" spans="2:15" s="116" customFormat="1">
      <c r="B587" s="92">
        <f t="shared" si="20"/>
        <v>584</v>
      </c>
      <c r="C587" s="217"/>
      <c r="D587" s="217"/>
      <c r="E587" s="97"/>
      <c r="F587" s="97"/>
      <c r="G587" s="97"/>
      <c r="H587" s="103"/>
      <c r="I587" s="117"/>
      <c r="J587" s="103"/>
      <c r="K587" s="103"/>
      <c r="L587" s="103"/>
      <c r="M587" s="103"/>
      <c r="N587" s="102"/>
      <c r="O587" s="116" t="str">
        <f t="shared" si="19"/>
        <v>584. _</v>
      </c>
    </row>
    <row r="588" spans="2:15" s="116" customFormat="1">
      <c r="B588" s="92">
        <f t="shared" si="20"/>
        <v>585</v>
      </c>
      <c r="C588" s="217"/>
      <c r="D588" s="217"/>
      <c r="E588" s="97"/>
      <c r="F588" s="97"/>
      <c r="G588" s="97"/>
      <c r="H588" s="103"/>
      <c r="I588" s="117"/>
      <c r="J588" s="103"/>
      <c r="K588" s="103"/>
      <c r="L588" s="103"/>
      <c r="M588" s="103"/>
      <c r="N588" s="102"/>
      <c r="O588" s="116" t="str">
        <f t="shared" si="19"/>
        <v>585. _</v>
      </c>
    </row>
    <row r="589" spans="2:15" s="116" customFormat="1">
      <c r="B589" s="92">
        <f t="shared" si="20"/>
        <v>586</v>
      </c>
      <c r="C589" s="217"/>
      <c r="D589" s="217"/>
      <c r="E589" s="97"/>
      <c r="F589" s="97"/>
      <c r="G589" s="97"/>
      <c r="H589" s="103"/>
      <c r="I589" s="117"/>
      <c r="J589" s="103"/>
      <c r="K589" s="103"/>
      <c r="L589" s="103"/>
      <c r="M589" s="103"/>
      <c r="N589" s="102"/>
      <c r="O589" s="116" t="str">
        <f t="shared" si="19"/>
        <v>586. _</v>
      </c>
    </row>
    <row r="590" spans="2:15" s="116" customFormat="1">
      <c r="B590" s="92">
        <f t="shared" si="20"/>
        <v>587</v>
      </c>
      <c r="C590" s="217"/>
      <c r="D590" s="217"/>
      <c r="E590" s="97"/>
      <c r="F590" s="97"/>
      <c r="G590" s="97"/>
      <c r="H590" s="103"/>
      <c r="I590" s="117"/>
      <c r="J590" s="103"/>
      <c r="K590" s="103"/>
      <c r="L590" s="103"/>
      <c r="M590" s="103"/>
      <c r="N590" s="102"/>
      <c r="O590" s="116" t="str">
        <f t="shared" si="19"/>
        <v>587. _</v>
      </c>
    </row>
    <row r="591" spans="2:15" s="116" customFormat="1">
      <c r="B591" s="92">
        <f t="shared" si="20"/>
        <v>588</v>
      </c>
      <c r="C591" s="217"/>
      <c r="D591" s="217"/>
      <c r="E591" s="97"/>
      <c r="F591" s="97"/>
      <c r="G591" s="97"/>
      <c r="H591" s="103"/>
      <c r="I591" s="117"/>
      <c r="J591" s="103"/>
      <c r="K591" s="103"/>
      <c r="L591" s="103"/>
      <c r="M591" s="103"/>
      <c r="N591" s="102"/>
      <c r="O591" s="116" t="str">
        <f t="shared" si="19"/>
        <v>588. _</v>
      </c>
    </row>
    <row r="592" spans="2:15" s="116" customFormat="1">
      <c r="B592" s="92">
        <f t="shared" si="20"/>
        <v>589</v>
      </c>
      <c r="C592" s="217"/>
      <c r="D592" s="217"/>
      <c r="E592" s="97"/>
      <c r="F592" s="97"/>
      <c r="G592" s="97"/>
      <c r="H592" s="117"/>
      <c r="I592" s="117"/>
      <c r="J592" s="103"/>
      <c r="K592" s="103"/>
      <c r="L592" s="103"/>
      <c r="M592" s="103"/>
      <c r="N592" s="102"/>
      <c r="O592" s="116" t="str">
        <f t="shared" si="19"/>
        <v>589. _</v>
      </c>
    </row>
    <row r="593" spans="2:15" s="116" customFormat="1">
      <c r="B593" s="92">
        <f t="shared" si="20"/>
        <v>590</v>
      </c>
      <c r="C593" s="217"/>
      <c r="D593" s="217"/>
      <c r="E593" s="97"/>
      <c r="F593" s="97"/>
      <c r="G593" s="97"/>
      <c r="H593" s="103"/>
      <c r="I593" s="117"/>
      <c r="J593" s="103"/>
      <c r="K593" s="103"/>
      <c r="L593" s="103"/>
      <c r="M593" s="103"/>
      <c r="N593" s="102"/>
      <c r="O593" s="116" t="str">
        <f t="shared" si="19"/>
        <v>590. _</v>
      </c>
    </row>
    <row r="594" spans="2:15" s="116" customFormat="1">
      <c r="B594" s="92">
        <f t="shared" si="20"/>
        <v>591</v>
      </c>
      <c r="C594" s="217"/>
      <c r="D594" s="217"/>
      <c r="E594" s="97"/>
      <c r="F594" s="97"/>
      <c r="G594" s="97"/>
      <c r="H594" s="103"/>
      <c r="I594" s="117"/>
      <c r="J594" s="103"/>
      <c r="K594" s="103"/>
      <c r="L594" s="103"/>
      <c r="M594" s="103"/>
      <c r="N594" s="102"/>
      <c r="O594" s="116" t="str">
        <f t="shared" si="19"/>
        <v>591. _</v>
      </c>
    </row>
    <row r="595" spans="2:15" s="116" customFormat="1">
      <c r="B595" s="92">
        <f t="shared" si="20"/>
        <v>592</v>
      </c>
      <c r="C595" s="217"/>
      <c r="D595" s="217"/>
      <c r="E595" s="97"/>
      <c r="F595" s="97"/>
      <c r="G595" s="97"/>
      <c r="H595" s="103"/>
      <c r="I595" s="117"/>
      <c r="J595" s="103"/>
      <c r="K595" s="103"/>
      <c r="L595" s="103"/>
      <c r="M595" s="103"/>
      <c r="N595" s="102"/>
      <c r="O595" s="116" t="str">
        <f t="shared" si="19"/>
        <v>592. _</v>
      </c>
    </row>
    <row r="596" spans="2:15" s="116" customFormat="1">
      <c r="B596" s="92">
        <f t="shared" si="20"/>
        <v>593</v>
      </c>
      <c r="C596" s="217"/>
      <c r="D596" s="217"/>
      <c r="E596" s="97"/>
      <c r="F596" s="97"/>
      <c r="G596" s="97"/>
      <c r="H596" s="103"/>
      <c r="I596" s="117"/>
      <c r="J596" s="103"/>
      <c r="K596" s="103"/>
      <c r="L596" s="103"/>
      <c r="M596" s="103"/>
      <c r="N596" s="102"/>
      <c r="O596" s="116" t="str">
        <f t="shared" si="19"/>
        <v>593. _</v>
      </c>
    </row>
    <row r="597" spans="2:15" s="116" customFormat="1">
      <c r="B597" s="92">
        <f t="shared" si="20"/>
        <v>594</v>
      </c>
      <c r="C597" s="217"/>
      <c r="D597" s="217"/>
      <c r="E597" s="97"/>
      <c r="F597" s="97"/>
      <c r="G597" s="97"/>
      <c r="H597" s="103"/>
      <c r="I597" s="117"/>
      <c r="J597" s="103"/>
      <c r="K597" s="103"/>
      <c r="L597" s="103"/>
      <c r="M597" s="103"/>
      <c r="N597" s="102"/>
      <c r="O597" s="116" t="str">
        <f t="shared" si="19"/>
        <v>594. _</v>
      </c>
    </row>
    <row r="598" spans="2:15" s="116" customFormat="1">
      <c r="B598" s="92">
        <f t="shared" si="20"/>
        <v>595</v>
      </c>
      <c r="C598" s="217"/>
      <c r="D598" s="217"/>
      <c r="E598" s="97"/>
      <c r="F598" s="97"/>
      <c r="G598" s="97"/>
      <c r="H598" s="103"/>
      <c r="I598" s="117"/>
      <c r="J598" s="103"/>
      <c r="K598" s="103"/>
      <c r="L598" s="103"/>
      <c r="M598" s="103"/>
      <c r="N598" s="102"/>
      <c r="O598" s="116" t="str">
        <f t="shared" si="19"/>
        <v>595. _</v>
      </c>
    </row>
    <row r="599" spans="2:15" s="116" customFormat="1">
      <c r="B599" s="92">
        <f t="shared" si="20"/>
        <v>596</v>
      </c>
      <c r="C599" s="217"/>
      <c r="D599" s="217"/>
      <c r="E599" s="97"/>
      <c r="F599" s="97"/>
      <c r="G599" s="97"/>
      <c r="H599" s="103"/>
      <c r="I599" s="117"/>
      <c r="J599" s="103"/>
      <c r="K599" s="103"/>
      <c r="L599" s="103"/>
      <c r="M599" s="103"/>
      <c r="N599" s="102"/>
      <c r="O599" s="116" t="str">
        <f t="shared" si="19"/>
        <v>596. _</v>
      </c>
    </row>
    <row r="600" spans="2:15" s="116" customFormat="1">
      <c r="B600" s="92">
        <f t="shared" si="20"/>
        <v>597</v>
      </c>
      <c r="C600" s="217"/>
      <c r="D600" s="217"/>
      <c r="E600" s="97"/>
      <c r="F600" s="97"/>
      <c r="G600" s="97"/>
      <c r="H600" s="103"/>
      <c r="I600" s="117"/>
      <c r="J600" s="103"/>
      <c r="K600" s="103"/>
      <c r="L600" s="103"/>
      <c r="M600" s="103"/>
      <c r="N600" s="102"/>
      <c r="O600" s="116" t="str">
        <f t="shared" si="19"/>
        <v>597. _</v>
      </c>
    </row>
    <row r="601" spans="2:15" s="116" customFormat="1">
      <c r="B601" s="92">
        <f t="shared" si="20"/>
        <v>598</v>
      </c>
      <c r="C601" s="217"/>
      <c r="D601" s="217"/>
      <c r="E601" s="97"/>
      <c r="F601" s="97"/>
      <c r="G601" s="97"/>
      <c r="H601" s="103"/>
      <c r="I601" s="117"/>
      <c r="J601" s="103"/>
      <c r="K601" s="103"/>
      <c r="L601" s="103"/>
      <c r="M601" s="103"/>
      <c r="N601" s="102"/>
      <c r="O601" s="116" t="str">
        <f t="shared" si="19"/>
        <v>598. _</v>
      </c>
    </row>
    <row r="602" spans="2:15" s="116" customFormat="1">
      <c r="B602" s="92">
        <f t="shared" si="20"/>
        <v>599</v>
      </c>
      <c r="C602" s="217"/>
      <c r="D602" s="217"/>
      <c r="E602" s="97"/>
      <c r="F602" s="97"/>
      <c r="G602" s="97"/>
      <c r="H602" s="103"/>
      <c r="I602" s="117"/>
      <c r="J602" s="103"/>
      <c r="K602" s="103"/>
      <c r="L602" s="103"/>
      <c r="M602" s="103"/>
      <c r="N602" s="102"/>
      <c r="O602" s="116" t="str">
        <f t="shared" si="19"/>
        <v>599. _</v>
      </c>
    </row>
    <row r="603" spans="2:15" s="116" customFormat="1">
      <c r="B603" s="92">
        <f t="shared" si="20"/>
        <v>600</v>
      </c>
      <c r="C603" s="217"/>
      <c r="D603" s="217"/>
      <c r="E603" s="97"/>
      <c r="F603" s="97"/>
      <c r="G603" s="97"/>
      <c r="H603" s="103"/>
      <c r="I603" s="117"/>
      <c r="J603" s="103"/>
      <c r="K603" s="103"/>
      <c r="L603" s="103"/>
      <c r="M603" s="103"/>
      <c r="N603" s="102"/>
      <c r="O603" s="116" t="str">
        <f t="shared" si="19"/>
        <v>600. _</v>
      </c>
    </row>
    <row r="604" spans="2:15" s="116" customFormat="1">
      <c r="B604" s="92">
        <f t="shared" si="20"/>
        <v>601</v>
      </c>
      <c r="C604" s="217"/>
      <c r="D604" s="217"/>
      <c r="E604" s="97"/>
      <c r="F604" s="97"/>
      <c r="G604" s="97"/>
      <c r="H604" s="103"/>
      <c r="I604" s="117"/>
      <c r="J604" s="103"/>
      <c r="K604" s="103"/>
      <c r="L604" s="103"/>
      <c r="M604" s="103"/>
      <c r="N604" s="102"/>
      <c r="O604" s="116" t="str">
        <f t="shared" si="19"/>
        <v>601. _</v>
      </c>
    </row>
    <row r="605" spans="2:15" s="116" customFormat="1">
      <c r="B605" s="92">
        <f t="shared" si="20"/>
        <v>602</v>
      </c>
      <c r="C605" s="217"/>
      <c r="D605" s="217"/>
      <c r="E605" s="97"/>
      <c r="F605" s="97"/>
      <c r="G605" s="97"/>
      <c r="H605" s="103"/>
      <c r="I605" s="117"/>
      <c r="J605" s="103"/>
      <c r="K605" s="103"/>
      <c r="L605" s="103"/>
      <c r="M605" s="103"/>
      <c r="N605" s="102"/>
      <c r="O605" s="116" t="str">
        <f t="shared" si="19"/>
        <v>602. _</v>
      </c>
    </row>
    <row r="606" spans="2:15" s="116" customFormat="1">
      <c r="B606" s="92">
        <f t="shared" si="20"/>
        <v>603</v>
      </c>
      <c r="C606" s="217"/>
      <c r="D606" s="217"/>
      <c r="E606" s="97"/>
      <c r="F606" s="97"/>
      <c r="G606" s="97"/>
      <c r="H606" s="103"/>
      <c r="I606" s="117"/>
      <c r="J606" s="103"/>
      <c r="K606" s="103"/>
      <c r="L606" s="103"/>
      <c r="M606" s="103"/>
      <c r="N606" s="102"/>
      <c r="O606" s="116" t="str">
        <f t="shared" si="19"/>
        <v>603. _</v>
      </c>
    </row>
    <row r="607" spans="2:15" s="116" customFormat="1">
      <c r="B607" s="92">
        <f t="shared" si="20"/>
        <v>604</v>
      </c>
      <c r="C607" s="217"/>
      <c r="D607" s="217"/>
      <c r="E607" s="97"/>
      <c r="F607" s="97"/>
      <c r="G607" s="97"/>
      <c r="H607" s="103"/>
      <c r="I607" s="117"/>
      <c r="J607" s="103"/>
      <c r="K607" s="103"/>
      <c r="L607" s="103"/>
      <c r="M607" s="103"/>
      <c r="N607" s="102"/>
      <c r="O607" s="116" t="str">
        <f t="shared" si="19"/>
        <v>604. _</v>
      </c>
    </row>
    <row r="608" spans="2:15" s="116" customFormat="1">
      <c r="B608" s="92">
        <f t="shared" si="20"/>
        <v>605</v>
      </c>
      <c r="C608" s="217"/>
      <c r="D608" s="217"/>
      <c r="E608" s="97"/>
      <c r="F608" s="97"/>
      <c r="G608" s="97"/>
      <c r="H608" s="103"/>
      <c r="I608" s="117"/>
      <c r="J608" s="103"/>
      <c r="K608" s="103"/>
      <c r="L608" s="103"/>
      <c r="M608" s="103"/>
      <c r="N608" s="102"/>
      <c r="O608" s="116" t="str">
        <f t="shared" si="19"/>
        <v>605. _</v>
      </c>
    </row>
    <row r="609" spans="2:15" s="116" customFormat="1">
      <c r="B609" s="92">
        <f t="shared" si="20"/>
        <v>606</v>
      </c>
      <c r="C609" s="217"/>
      <c r="D609" s="217"/>
      <c r="E609" s="97"/>
      <c r="F609" s="97"/>
      <c r="G609" s="97"/>
      <c r="H609" s="103"/>
      <c r="I609" s="117"/>
      <c r="J609" s="103"/>
      <c r="K609" s="103"/>
      <c r="L609" s="103"/>
      <c r="M609" s="103"/>
      <c r="N609" s="102"/>
      <c r="O609" s="116" t="str">
        <f t="shared" si="19"/>
        <v>606. _</v>
      </c>
    </row>
    <row r="610" spans="2:15" s="116" customFormat="1">
      <c r="B610" s="92">
        <f t="shared" si="20"/>
        <v>607</v>
      </c>
      <c r="C610" s="217"/>
      <c r="D610" s="217"/>
      <c r="E610" s="97"/>
      <c r="F610" s="97"/>
      <c r="G610" s="97"/>
      <c r="H610" s="103"/>
      <c r="I610" s="117"/>
      <c r="J610" s="103"/>
      <c r="K610" s="103"/>
      <c r="L610" s="103"/>
      <c r="M610" s="103"/>
      <c r="N610" s="102"/>
      <c r="O610" s="116" t="str">
        <f t="shared" si="19"/>
        <v>607. _</v>
      </c>
    </row>
    <row r="611" spans="2:15" s="116" customFormat="1">
      <c r="B611" s="92">
        <f t="shared" si="20"/>
        <v>608</v>
      </c>
      <c r="C611" s="217"/>
      <c r="D611" s="217"/>
      <c r="E611" s="97"/>
      <c r="F611" s="97"/>
      <c r="G611" s="97"/>
      <c r="H611" s="103"/>
      <c r="I611" s="117"/>
      <c r="J611" s="103"/>
      <c r="K611" s="103"/>
      <c r="L611" s="103"/>
      <c r="M611" s="103"/>
      <c r="N611" s="102"/>
      <c r="O611" s="116" t="str">
        <f t="shared" si="19"/>
        <v>608. _</v>
      </c>
    </row>
    <row r="612" spans="2:15">
      <c r="B612" s="92">
        <f t="shared" si="20"/>
        <v>609</v>
      </c>
      <c r="C612" s="222"/>
      <c r="D612" s="222"/>
      <c r="E612" s="97"/>
      <c r="F612" s="88"/>
      <c r="G612" s="88"/>
      <c r="H612" s="103"/>
      <c r="I612" s="120"/>
      <c r="J612" s="3"/>
      <c r="K612" s="3"/>
      <c r="L612" s="3"/>
      <c r="M612" s="3"/>
      <c r="N612" s="1"/>
      <c r="O612" t="str">
        <f t="shared" si="19"/>
        <v>609. _</v>
      </c>
    </row>
    <row r="613" spans="2:15">
      <c r="B613" s="92">
        <f t="shared" si="20"/>
        <v>610</v>
      </c>
      <c r="C613" s="222"/>
      <c r="D613" s="222"/>
      <c r="E613" s="97"/>
      <c r="F613" s="88"/>
      <c r="G613" s="88"/>
      <c r="H613" s="103"/>
      <c r="I613" s="120"/>
      <c r="J613" s="3"/>
      <c r="K613" s="3"/>
      <c r="L613" s="3"/>
      <c r="M613" s="3"/>
      <c r="N613" s="102"/>
      <c r="O613" t="str">
        <f t="shared" si="19"/>
        <v>610. _</v>
      </c>
    </row>
    <row r="614" spans="2:15">
      <c r="B614" s="92">
        <f t="shared" si="20"/>
        <v>611</v>
      </c>
      <c r="C614" s="222"/>
      <c r="D614" s="222"/>
      <c r="E614" s="97"/>
      <c r="F614" s="88"/>
      <c r="G614" s="88"/>
      <c r="H614" s="103"/>
      <c r="I614" s="120"/>
      <c r="J614" s="3"/>
      <c r="K614" s="3"/>
      <c r="L614" s="3"/>
      <c r="M614" s="3"/>
      <c r="N614" s="102"/>
      <c r="O614" t="str">
        <f t="shared" si="19"/>
        <v>611. _</v>
      </c>
    </row>
    <row r="615" spans="2:15">
      <c r="B615" s="92">
        <f t="shared" si="20"/>
        <v>612</v>
      </c>
      <c r="C615" s="222"/>
      <c r="D615" s="222"/>
      <c r="E615" s="97"/>
      <c r="F615" s="88"/>
      <c r="G615" s="88"/>
      <c r="H615" s="103"/>
      <c r="I615" s="120"/>
      <c r="J615" s="3"/>
      <c r="K615" s="3"/>
      <c r="L615" s="3"/>
      <c r="M615" s="3"/>
      <c r="N615" s="102"/>
      <c r="O615" t="str">
        <f t="shared" si="19"/>
        <v>612. _</v>
      </c>
    </row>
    <row r="616" spans="2:15">
      <c r="B616" s="92">
        <f t="shared" si="20"/>
        <v>613</v>
      </c>
      <c r="C616" s="222"/>
      <c r="D616" s="222"/>
      <c r="E616" s="97"/>
      <c r="F616" s="88"/>
      <c r="G616" s="88"/>
      <c r="H616" s="120"/>
      <c r="I616" s="120"/>
      <c r="J616" s="3"/>
      <c r="K616" s="3"/>
      <c r="L616" s="3"/>
      <c r="M616" s="3"/>
      <c r="N616" s="1"/>
      <c r="O616" t="str">
        <f t="shared" si="19"/>
        <v>613. _</v>
      </c>
    </row>
    <row r="617" spans="2:15">
      <c r="B617" s="92">
        <f t="shared" si="20"/>
        <v>614</v>
      </c>
      <c r="C617" s="222"/>
      <c r="D617" s="222"/>
      <c r="E617" s="97"/>
      <c r="F617" s="88"/>
      <c r="G617" s="88"/>
      <c r="H617" s="120"/>
      <c r="I617" s="120"/>
      <c r="J617" s="3"/>
      <c r="K617" s="3"/>
      <c r="L617" s="3"/>
      <c r="M617" s="3"/>
      <c r="N617" s="1"/>
      <c r="O617" t="str">
        <f t="shared" si="19"/>
        <v>614. _</v>
      </c>
    </row>
    <row r="618" spans="2:15">
      <c r="B618" s="92">
        <f t="shared" si="20"/>
        <v>615</v>
      </c>
      <c r="C618" s="222"/>
      <c r="D618" s="222"/>
      <c r="E618" s="88"/>
      <c r="F618" s="88"/>
      <c r="G618" s="88"/>
      <c r="H618" s="120"/>
      <c r="I618" s="120"/>
      <c r="J618" s="3"/>
      <c r="K618" s="3"/>
      <c r="L618" s="3"/>
      <c r="M618" s="3"/>
      <c r="N618" s="1"/>
      <c r="O618" t="str">
        <f t="shared" si="19"/>
        <v>615. _</v>
      </c>
    </row>
    <row r="619" spans="2:15">
      <c r="B619" s="92">
        <f t="shared" si="20"/>
        <v>616</v>
      </c>
      <c r="C619" s="222"/>
      <c r="D619" s="222"/>
      <c r="E619" s="97"/>
      <c r="F619" s="88"/>
      <c r="G619" s="88"/>
      <c r="H619" s="120"/>
      <c r="I619" s="120"/>
      <c r="J619" s="3"/>
      <c r="K619" s="3"/>
      <c r="L619" s="3"/>
      <c r="M619" s="3"/>
      <c r="N619" s="1"/>
      <c r="O619" t="str">
        <f t="shared" si="19"/>
        <v>616. _</v>
      </c>
    </row>
    <row r="620" spans="2:15">
      <c r="B620" s="92">
        <f t="shared" si="20"/>
        <v>617</v>
      </c>
      <c r="C620" s="222"/>
      <c r="D620" s="222"/>
      <c r="E620" s="97"/>
      <c r="F620" s="88"/>
      <c r="G620" s="88"/>
      <c r="H620" s="120"/>
      <c r="I620" s="120"/>
      <c r="J620" s="3"/>
      <c r="K620" s="3"/>
      <c r="L620" s="3"/>
      <c r="M620" s="3"/>
      <c r="N620" s="1"/>
      <c r="O620" t="str">
        <f t="shared" si="19"/>
        <v>617. _</v>
      </c>
    </row>
    <row r="621" spans="2:15">
      <c r="B621" s="92">
        <f t="shared" si="20"/>
        <v>618</v>
      </c>
      <c r="C621" s="222"/>
      <c r="D621" s="222"/>
      <c r="E621" s="97"/>
      <c r="F621" s="88"/>
      <c r="G621" s="88"/>
      <c r="H621" s="120"/>
      <c r="I621" s="120"/>
      <c r="J621" s="3"/>
      <c r="K621" s="3"/>
      <c r="L621" s="3"/>
      <c r="M621" s="3"/>
      <c r="N621" s="1"/>
      <c r="O621" t="str">
        <f t="shared" si="19"/>
        <v>618. _</v>
      </c>
    </row>
    <row r="622" spans="2:15">
      <c r="B622" s="92">
        <f t="shared" si="20"/>
        <v>619</v>
      </c>
      <c r="C622" s="222"/>
      <c r="D622" s="222"/>
      <c r="E622" s="97"/>
      <c r="F622" s="88"/>
      <c r="G622" s="88"/>
      <c r="H622" s="120"/>
      <c r="I622" s="120"/>
      <c r="J622" s="3"/>
      <c r="K622" s="3"/>
      <c r="L622" s="3"/>
      <c r="M622" s="3"/>
      <c r="N622" s="1"/>
      <c r="O622" t="str">
        <f t="shared" si="19"/>
        <v>619. _</v>
      </c>
    </row>
    <row r="623" spans="2:15">
      <c r="B623" s="92">
        <f t="shared" si="20"/>
        <v>620</v>
      </c>
      <c r="C623" s="222"/>
      <c r="D623" s="222"/>
      <c r="E623" s="88"/>
      <c r="F623" s="88"/>
      <c r="G623" s="88"/>
      <c r="H623" s="3"/>
      <c r="I623" s="3"/>
      <c r="J623" s="3"/>
      <c r="K623" s="3"/>
      <c r="L623" s="3"/>
      <c r="M623" s="3"/>
      <c r="N623" s="1"/>
      <c r="O623" t="str">
        <f t="shared" si="19"/>
        <v>620. _</v>
      </c>
    </row>
    <row r="624" spans="2:15">
      <c r="B624" s="92">
        <f t="shared" si="20"/>
        <v>621</v>
      </c>
      <c r="C624" s="222"/>
      <c r="D624" s="222"/>
      <c r="E624" s="97"/>
      <c r="F624" s="88"/>
      <c r="G624" s="88"/>
      <c r="H624" s="3"/>
      <c r="I624" s="120"/>
      <c r="J624" s="3"/>
      <c r="K624" s="3"/>
      <c r="L624" s="3"/>
      <c r="M624" s="3"/>
      <c r="N624" s="1"/>
      <c r="O624" t="str">
        <f t="shared" si="19"/>
        <v>621. _</v>
      </c>
    </row>
    <row r="625" spans="2:15">
      <c r="B625" s="92">
        <f t="shared" si="20"/>
        <v>622</v>
      </c>
      <c r="C625" s="222"/>
      <c r="D625" s="222"/>
      <c r="E625" s="97"/>
      <c r="F625" s="88"/>
      <c r="G625" s="88"/>
      <c r="H625" s="3"/>
      <c r="I625" s="120"/>
      <c r="J625" s="3"/>
      <c r="K625" s="3"/>
      <c r="L625" s="3"/>
      <c r="M625" s="3"/>
      <c r="N625" s="1"/>
      <c r="O625" t="str">
        <f t="shared" si="19"/>
        <v>622. _</v>
      </c>
    </row>
    <row r="626" spans="2:15">
      <c r="B626" s="92">
        <f t="shared" si="20"/>
        <v>623</v>
      </c>
      <c r="C626" s="222"/>
      <c r="D626" s="222"/>
      <c r="E626" s="97"/>
      <c r="F626" s="88"/>
      <c r="G626" s="88"/>
      <c r="H626" s="3"/>
      <c r="I626" s="120"/>
      <c r="J626" s="3"/>
      <c r="K626" s="3"/>
      <c r="L626" s="3"/>
      <c r="M626" s="3"/>
      <c r="N626" s="1"/>
      <c r="O626" t="str">
        <f t="shared" si="19"/>
        <v>623. _</v>
      </c>
    </row>
    <row r="627" spans="2:15">
      <c r="B627" s="92">
        <f t="shared" si="20"/>
        <v>624</v>
      </c>
      <c r="C627" s="222"/>
      <c r="D627" s="222"/>
      <c r="E627" s="97"/>
      <c r="F627" s="88"/>
      <c r="G627" s="88"/>
      <c r="H627" s="3"/>
      <c r="I627" s="120"/>
      <c r="J627" s="3"/>
      <c r="K627" s="3"/>
      <c r="L627" s="3"/>
      <c r="M627" s="3"/>
      <c r="N627" s="1"/>
      <c r="O627" t="str">
        <f t="shared" si="19"/>
        <v>624. _</v>
      </c>
    </row>
    <row r="628" spans="2:15">
      <c r="B628" s="92">
        <f t="shared" si="20"/>
        <v>625</v>
      </c>
      <c r="C628" s="222"/>
      <c r="D628" s="222"/>
      <c r="E628" s="97"/>
      <c r="F628" s="88"/>
      <c r="G628" s="88"/>
      <c r="H628" s="3"/>
      <c r="I628" s="120"/>
      <c r="J628" s="3"/>
      <c r="K628" s="3"/>
      <c r="L628" s="3"/>
      <c r="M628" s="3"/>
      <c r="N628" s="1"/>
      <c r="O628" t="str">
        <f t="shared" si="19"/>
        <v>625. _</v>
      </c>
    </row>
    <row r="629" spans="2:15">
      <c r="B629" s="92">
        <f t="shared" si="20"/>
        <v>626</v>
      </c>
      <c r="C629" s="222"/>
      <c r="D629" s="222"/>
      <c r="E629" s="97"/>
      <c r="F629" s="88"/>
      <c r="G629" s="88"/>
      <c r="H629" s="3"/>
      <c r="I629" s="120"/>
      <c r="J629" s="3"/>
      <c r="K629" s="3"/>
      <c r="L629" s="3"/>
      <c r="M629" s="3"/>
      <c r="N629" s="1"/>
      <c r="O629" t="str">
        <f t="shared" si="19"/>
        <v>626. _</v>
      </c>
    </row>
    <row r="630" spans="2:15">
      <c r="B630" s="92">
        <f t="shared" si="20"/>
        <v>627</v>
      </c>
      <c r="C630" s="222"/>
      <c r="D630" s="222"/>
      <c r="E630" s="97"/>
      <c r="F630" s="88"/>
      <c r="G630" s="88"/>
      <c r="H630" s="3"/>
      <c r="I630" s="120"/>
      <c r="J630" s="3"/>
      <c r="K630" s="3"/>
      <c r="L630" s="3"/>
      <c r="M630" s="3"/>
      <c r="N630" s="1"/>
      <c r="O630" t="str">
        <f t="shared" si="19"/>
        <v>627. _</v>
      </c>
    </row>
    <row r="631" spans="2:15">
      <c r="B631" s="92">
        <f t="shared" si="20"/>
        <v>628</v>
      </c>
      <c r="C631" s="222"/>
      <c r="D631" s="222"/>
      <c r="E631" s="97"/>
      <c r="F631" s="88"/>
      <c r="G631" s="88"/>
      <c r="H631" s="3"/>
      <c r="I631" s="120"/>
      <c r="J631" s="3"/>
      <c r="K631" s="3"/>
      <c r="L631" s="3"/>
      <c r="M631" s="3"/>
      <c r="N631" s="1"/>
      <c r="O631" t="str">
        <f t="shared" si="19"/>
        <v>628. _</v>
      </c>
    </row>
    <row r="632" spans="2:15">
      <c r="B632" s="92">
        <f t="shared" si="20"/>
        <v>629</v>
      </c>
      <c r="C632" s="222"/>
      <c r="D632" s="222"/>
      <c r="E632" s="97"/>
      <c r="F632" s="88"/>
      <c r="G632" s="88"/>
      <c r="H632" s="3"/>
      <c r="I632" s="120"/>
      <c r="J632" s="3"/>
      <c r="K632" s="3"/>
      <c r="L632" s="3"/>
      <c r="M632" s="3"/>
      <c r="N632" s="1"/>
      <c r="O632" t="str">
        <f t="shared" si="19"/>
        <v>629. _</v>
      </c>
    </row>
    <row r="633" spans="2:15">
      <c r="B633" s="92">
        <f t="shared" si="20"/>
        <v>630</v>
      </c>
      <c r="C633" s="222"/>
      <c r="D633" s="222"/>
      <c r="E633" s="97"/>
      <c r="F633" s="88"/>
      <c r="G633" s="88"/>
      <c r="H633" s="3"/>
      <c r="I633" s="120"/>
      <c r="J633" s="3"/>
      <c r="K633" s="3"/>
      <c r="L633" s="3"/>
      <c r="M633" s="3"/>
      <c r="N633" s="1"/>
      <c r="O633" t="str">
        <f t="shared" si="19"/>
        <v>630. _</v>
      </c>
    </row>
    <row r="634" spans="2:15">
      <c r="B634" s="92">
        <f t="shared" si="20"/>
        <v>631</v>
      </c>
      <c r="C634" s="222"/>
      <c r="D634" s="222"/>
      <c r="E634" s="97"/>
      <c r="F634" s="88"/>
      <c r="G634" s="88"/>
      <c r="H634" s="3"/>
      <c r="I634" s="120"/>
      <c r="J634" s="3"/>
      <c r="K634" s="3"/>
      <c r="L634" s="3"/>
      <c r="M634" s="3"/>
      <c r="N634" s="1"/>
      <c r="O634" t="str">
        <f t="shared" si="19"/>
        <v>631. _</v>
      </c>
    </row>
    <row r="635" spans="2:15">
      <c r="B635" s="92">
        <f t="shared" si="20"/>
        <v>632</v>
      </c>
      <c r="C635" s="222"/>
      <c r="D635" s="222"/>
      <c r="E635" s="97"/>
      <c r="F635" s="88"/>
      <c r="G635" s="88"/>
      <c r="H635" s="3"/>
      <c r="J635" s="3"/>
      <c r="K635" s="3"/>
      <c r="L635" s="3"/>
      <c r="M635" s="3"/>
      <c r="N635" s="1"/>
      <c r="O635" t="str">
        <f t="shared" si="19"/>
        <v>632. _</v>
      </c>
    </row>
    <row r="636" spans="2:15">
      <c r="B636" s="92">
        <f t="shared" si="20"/>
        <v>633</v>
      </c>
      <c r="C636" s="222"/>
      <c r="D636" s="222"/>
      <c r="E636" s="97"/>
      <c r="F636" s="88"/>
      <c r="G636" s="88"/>
      <c r="H636" s="3"/>
      <c r="I636" s="120"/>
      <c r="J636" s="3"/>
      <c r="K636" s="3"/>
      <c r="L636" s="3"/>
      <c r="M636" s="3"/>
      <c r="N636" s="1"/>
      <c r="O636" t="str">
        <f t="shared" si="19"/>
        <v>633. _</v>
      </c>
    </row>
    <row r="637" spans="2:15">
      <c r="B637" s="92">
        <f t="shared" si="20"/>
        <v>634</v>
      </c>
      <c r="C637" s="222"/>
      <c r="D637" s="222"/>
      <c r="E637" s="97"/>
      <c r="F637" s="88"/>
      <c r="G637" s="88"/>
      <c r="H637" s="3"/>
      <c r="I637" s="120"/>
      <c r="J637" s="3"/>
      <c r="K637" s="3"/>
      <c r="L637" s="3"/>
      <c r="M637" s="3"/>
      <c r="N637" s="1"/>
      <c r="O637" t="str">
        <f t="shared" si="19"/>
        <v>634. _</v>
      </c>
    </row>
    <row r="638" spans="2:15">
      <c r="B638" s="92">
        <f t="shared" si="20"/>
        <v>635</v>
      </c>
      <c r="C638" s="222"/>
      <c r="D638" s="222"/>
      <c r="E638" s="97"/>
      <c r="F638" s="88"/>
      <c r="G638" s="88"/>
      <c r="H638" s="3"/>
      <c r="I638" s="120"/>
      <c r="J638" s="3"/>
      <c r="K638" s="3"/>
      <c r="L638" s="3"/>
      <c r="M638" s="3"/>
      <c r="N638" s="1"/>
      <c r="O638" t="str">
        <f t="shared" si="19"/>
        <v>635. _</v>
      </c>
    </row>
    <row r="639" spans="2:15">
      <c r="B639" s="92">
        <f t="shared" si="20"/>
        <v>636</v>
      </c>
      <c r="C639" s="222"/>
      <c r="D639" s="222"/>
      <c r="E639" s="97"/>
      <c r="F639" s="88"/>
      <c r="G639" s="88"/>
      <c r="H639" s="3"/>
      <c r="I639" s="120"/>
      <c r="J639" s="3"/>
      <c r="K639" s="3"/>
      <c r="L639" s="3"/>
      <c r="M639" s="3"/>
      <c r="N639" s="1"/>
      <c r="O639" t="str">
        <f t="shared" si="19"/>
        <v>636. _</v>
      </c>
    </row>
    <row r="640" spans="2:15">
      <c r="B640" s="92">
        <f t="shared" si="20"/>
        <v>637</v>
      </c>
      <c r="C640" s="222"/>
      <c r="D640" s="222"/>
      <c r="E640" s="97"/>
      <c r="F640" s="88"/>
      <c r="G640" s="88"/>
      <c r="H640" s="3"/>
      <c r="I640" s="120"/>
      <c r="J640" s="3"/>
      <c r="K640" s="3"/>
      <c r="L640" s="3"/>
      <c r="M640" s="3"/>
      <c r="N640" s="1"/>
      <c r="O640" t="str">
        <f t="shared" si="19"/>
        <v>637. _</v>
      </c>
    </row>
    <row r="641" spans="2:15">
      <c r="B641" s="92">
        <f t="shared" si="20"/>
        <v>638</v>
      </c>
      <c r="C641" s="222"/>
      <c r="D641" s="222"/>
      <c r="E641" s="97"/>
      <c r="F641" s="88"/>
      <c r="G641" s="88"/>
      <c r="H641" s="3"/>
      <c r="I641" s="120"/>
      <c r="J641" s="3"/>
      <c r="K641" s="3"/>
      <c r="L641" s="3"/>
      <c r="M641" s="3"/>
      <c r="N641" s="1"/>
      <c r="O641" t="str">
        <f t="shared" si="19"/>
        <v>638. _</v>
      </c>
    </row>
    <row r="642" spans="2:15">
      <c r="B642" s="92">
        <f t="shared" si="20"/>
        <v>639</v>
      </c>
      <c r="C642" s="222"/>
      <c r="D642" s="222"/>
      <c r="E642" s="97"/>
      <c r="F642" s="88"/>
      <c r="G642" s="88"/>
      <c r="H642" s="3"/>
      <c r="I642" s="120"/>
      <c r="J642" s="3"/>
      <c r="K642" s="3"/>
      <c r="L642" s="3"/>
      <c r="M642" s="3"/>
      <c r="N642" s="1"/>
      <c r="O642" t="str">
        <f t="shared" si="19"/>
        <v>639. _</v>
      </c>
    </row>
    <row r="643" spans="2:15">
      <c r="B643" s="92">
        <f t="shared" si="20"/>
        <v>640</v>
      </c>
      <c r="C643" s="222"/>
      <c r="D643" s="222"/>
      <c r="E643" s="97"/>
      <c r="F643" s="88"/>
      <c r="G643" s="88"/>
      <c r="H643" s="3"/>
      <c r="I643" s="120"/>
      <c r="J643" s="3"/>
      <c r="K643" s="3"/>
      <c r="L643" s="3"/>
      <c r="M643" s="3"/>
      <c r="N643" s="1"/>
      <c r="O643" t="str">
        <f t="shared" ref="O643:O706" si="21">CONCATENATE(B643,". ",C643,"_",D643)</f>
        <v>640. _</v>
      </c>
    </row>
    <row r="644" spans="2:15">
      <c r="B644" s="92">
        <f t="shared" si="20"/>
        <v>641</v>
      </c>
      <c r="C644" s="222"/>
      <c r="D644" s="222"/>
      <c r="E644" s="97"/>
      <c r="F644" s="88"/>
      <c r="G644" s="88"/>
      <c r="H644" s="3"/>
      <c r="I644" s="120"/>
      <c r="J644" s="3"/>
      <c r="K644" s="3"/>
      <c r="L644" s="3"/>
      <c r="M644" s="3"/>
      <c r="N644" s="1"/>
      <c r="O644" t="str">
        <f t="shared" si="21"/>
        <v>641. _</v>
      </c>
    </row>
    <row r="645" spans="2:15">
      <c r="B645" s="92">
        <f t="shared" ref="B645:B708" si="22">B644+1</f>
        <v>642</v>
      </c>
      <c r="C645" s="222"/>
      <c r="D645" s="222"/>
      <c r="E645" s="97"/>
      <c r="F645" s="88"/>
      <c r="G645" s="88"/>
      <c r="H645" s="3"/>
      <c r="I645" s="120"/>
      <c r="J645" s="3"/>
      <c r="K645" s="3"/>
      <c r="L645" s="3"/>
      <c r="M645" s="3"/>
      <c r="N645" s="1"/>
      <c r="O645" t="str">
        <f t="shared" si="21"/>
        <v>642. _</v>
      </c>
    </row>
    <row r="646" spans="2:15">
      <c r="B646" s="92">
        <f t="shared" si="22"/>
        <v>643</v>
      </c>
      <c r="C646" s="222"/>
      <c r="D646" s="222"/>
      <c r="E646" s="97"/>
      <c r="F646" s="88"/>
      <c r="G646" s="88"/>
      <c r="H646" s="3"/>
      <c r="I646" s="120"/>
      <c r="J646" s="3"/>
      <c r="K646" s="3"/>
      <c r="L646" s="3"/>
      <c r="M646" s="3"/>
      <c r="N646" s="1"/>
      <c r="O646" t="str">
        <f t="shared" si="21"/>
        <v>643. _</v>
      </c>
    </row>
    <row r="647" spans="2:15">
      <c r="B647" s="92">
        <f t="shared" si="22"/>
        <v>644</v>
      </c>
      <c r="C647" s="222"/>
      <c r="D647" s="222"/>
      <c r="E647" s="97"/>
      <c r="F647" s="88"/>
      <c r="G647" s="88"/>
      <c r="H647" s="3"/>
      <c r="J647" s="3"/>
      <c r="K647" s="3"/>
      <c r="L647" s="3"/>
      <c r="M647" s="3"/>
      <c r="N647" s="1"/>
      <c r="O647" t="str">
        <f t="shared" si="21"/>
        <v>644. _</v>
      </c>
    </row>
    <row r="648" spans="2:15">
      <c r="B648" s="92">
        <f t="shared" si="22"/>
        <v>645</v>
      </c>
      <c r="C648" s="222"/>
      <c r="D648" s="222"/>
      <c r="E648" s="97"/>
      <c r="F648" s="88"/>
      <c r="G648" s="88"/>
      <c r="H648" s="3"/>
      <c r="I648" s="120"/>
      <c r="J648" s="3"/>
      <c r="K648" s="3"/>
      <c r="L648" s="3"/>
      <c r="M648" s="3"/>
      <c r="N648" s="1"/>
      <c r="O648" t="str">
        <f t="shared" si="21"/>
        <v>645. _</v>
      </c>
    </row>
    <row r="649" spans="2:15">
      <c r="B649" s="92">
        <f t="shared" si="22"/>
        <v>646</v>
      </c>
      <c r="C649" s="222"/>
      <c r="D649" s="222"/>
      <c r="E649" s="97"/>
      <c r="F649" s="88"/>
      <c r="G649" s="88"/>
      <c r="H649" s="3"/>
      <c r="I649" s="120"/>
      <c r="J649" s="3"/>
      <c r="K649" s="3"/>
      <c r="L649" s="3"/>
      <c r="M649" s="3"/>
      <c r="N649" s="1"/>
      <c r="O649" t="str">
        <f t="shared" si="21"/>
        <v>646. _</v>
      </c>
    </row>
    <row r="650" spans="2:15">
      <c r="B650" s="92">
        <f t="shared" si="22"/>
        <v>647</v>
      </c>
      <c r="C650" s="222"/>
      <c r="D650" s="222"/>
      <c r="E650" s="97"/>
      <c r="F650" s="88"/>
      <c r="G650" s="88"/>
      <c r="H650" s="3"/>
      <c r="I650" s="120"/>
      <c r="J650" s="3"/>
      <c r="K650" s="3"/>
      <c r="L650" s="3"/>
      <c r="M650" s="3"/>
      <c r="N650" s="1"/>
      <c r="O650" t="str">
        <f t="shared" si="21"/>
        <v>647. _</v>
      </c>
    </row>
    <row r="651" spans="2:15">
      <c r="B651" s="92">
        <f t="shared" si="22"/>
        <v>648</v>
      </c>
      <c r="C651" s="222"/>
      <c r="D651" s="222"/>
      <c r="E651" s="97"/>
      <c r="F651" s="88"/>
      <c r="G651" s="88"/>
      <c r="H651" s="3"/>
      <c r="J651" s="3"/>
      <c r="K651" s="3"/>
      <c r="L651" s="3"/>
      <c r="M651" s="3"/>
      <c r="N651" s="1"/>
      <c r="O651" t="str">
        <f t="shared" si="21"/>
        <v>648. _</v>
      </c>
    </row>
    <row r="652" spans="2:15">
      <c r="B652" s="92">
        <f t="shared" si="22"/>
        <v>649</v>
      </c>
      <c r="C652" s="222"/>
      <c r="D652" s="222"/>
      <c r="E652" s="97"/>
      <c r="F652" s="88"/>
      <c r="G652" s="88"/>
      <c r="H652" s="3"/>
      <c r="I652" s="120"/>
      <c r="J652" s="3"/>
      <c r="K652" s="3"/>
      <c r="L652" s="3"/>
      <c r="M652" s="3"/>
      <c r="N652" s="1"/>
      <c r="O652" t="str">
        <f t="shared" si="21"/>
        <v>649. _</v>
      </c>
    </row>
    <row r="653" spans="2:15">
      <c r="B653" s="92">
        <f t="shared" si="22"/>
        <v>650</v>
      </c>
      <c r="C653" s="222"/>
      <c r="D653" s="222"/>
      <c r="E653" s="97"/>
      <c r="F653" s="88"/>
      <c r="G653" s="88"/>
      <c r="H653" s="3"/>
      <c r="I653" s="120"/>
      <c r="J653" s="3"/>
      <c r="K653" s="3"/>
      <c r="L653" s="3"/>
      <c r="M653" s="3"/>
      <c r="N653" s="1"/>
      <c r="O653" t="str">
        <f t="shared" si="21"/>
        <v>650. _</v>
      </c>
    </row>
    <row r="654" spans="2:15">
      <c r="B654" s="92">
        <f t="shared" si="22"/>
        <v>651</v>
      </c>
      <c r="C654" s="222"/>
      <c r="D654" s="222"/>
      <c r="E654" s="97"/>
      <c r="F654" s="88"/>
      <c r="G654" s="88"/>
      <c r="H654" s="3"/>
      <c r="I654" s="120"/>
      <c r="J654" s="3"/>
      <c r="K654" s="3"/>
      <c r="L654" s="3"/>
      <c r="M654" s="3"/>
      <c r="N654" s="1"/>
      <c r="O654" t="str">
        <f t="shared" si="21"/>
        <v>651. _</v>
      </c>
    </row>
    <row r="655" spans="2:15">
      <c r="B655" s="92">
        <f t="shared" si="22"/>
        <v>652</v>
      </c>
      <c r="C655" s="222"/>
      <c r="D655" s="222"/>
      <c r="E655" s="97"/>
      <c r="F655" s="88"/>
      <c r="G655" s="88"/>
      <c r="H655" s="3"/>
      <c r="I655" s="120"/>
      <c r="J655" s="3"/>
      <c r="K655" s="3"/>
      <c r="L655" s="3"/>
      <c r="M655" s="3"/>
      <c r="N655" s="1"/>
      <c r="O655" t="str">
        <f t="shared" si="21"/>
        <v>652. _</v>
      </c>
    </row>
    <row r="656" spans="2:15">
      <c r="B656" s="92">
        <f t="shared" si="22"/>
        <v>653</v>
      </c>
      <c r="C656" s="222"/>
      <c r="D656" s="222"/>
      <c r="E656" s="97"/>
      <c r="F656" s="88"/>
      <c r="G656" s="88"/>
      <c r="H656" s="3"/>
      <c r="I656" s="120"/>
      <c r="J656" s="3"/>
      <c r="K656" s="3"/>
      <c r="L656" s="3"/>
      <c r="M656" s="3"/>
      <c r="N656" s="1"/>
      <c r="O656" t="str">
        <f t="shared" si="21"/>
        <v>653. _</v>
      </c>
    </row>
    <row r="657" spans="2:15">
      <c r="B657" s="92">
        <f t="shared" si="22"/>
        <v>654</v>
      </c>
      <c r="C657" s="222"/>
      <c r="D657" s="222"/>
      <c r="E657" s="97"/>
      <c r="F657" s="88"/>
      <c r="G657" s="88"/>
      <c r="H657" s="120"/>
      <c r="I657" s="120"/>
      <c r="J657" s="3"/>
      <c r="K657" s="3"/>
      <c r="L657" s="3"/>
      <c r="M657" s="3"/>
      <c r="N657" s="1"/>
      <c r="O657" t="str">
        <f t="shared" si="21"/>
        <v>654. _</v>
      </c>
    </row>
    <row r="658" spans="2:15">
      <c r="B658" s="92">
        <f t="shared" si="22"/>
        <v>655</v>
      </c>
      <c r="C658" s="222"/>
      <c r="D658" s="222"/>
      <c r="E658" s="97"/>
      <c r="F658" s="88"/>
      <c r="G658" s="88"/>
      <c r="H658" s="120"/>
      <c r="I658" s="120"/>
      <c r="J658" s="3"/>
      <c r="K658" s="3"/>
      <c r="L658" s="3"/>
      <c r="M658" s="3"/>
      <c r="N658" s="1"/>
      <c r="O658" t="str">
        <f t="shared" si="21"/>
        <v>655. _</v>
      </c>
    </row>
    <row r="659" spans="2:15">
      <c r="B659" s="92">
        <f t="shared" si="22"/>
        <v>656</v>
      </c>
      <c r="C659" s="229"/>
      <c r="D659" s="229"/>
      <c r="E659" s="97"/>
      <c r="F659" s="121"/>
      <c r="G659" s="88"/>
      <c r="H659" s="122"/>
      <c r="I659" s="122"/>
      <c r="J659" s="3"/>
      <c r="K659" s="3"/>
      <c r="L659" s="3"/>
      <c r="M659" s="3"/>
      <c r="N659" s="1"/>
      <c r="O659" t="str">
        <f t="shared" si="21"/>
        <v>656. _</v>
      </c>
    </row>
    <row r="660" spans="2:15">
      <c r="B660" s="92">
        <f t="shared" si="22"/>
        <v>657</v>
      </c>
      <c r="C660" s="222"/>
      <c r="D660" s="222"/>
      <c r="E660" s="121"/>
      <c r="F660" s="88"/>
      <c r="G660" s="88"/>
      <c r="H660" s="122"/>
      <c r="I660" s="122"/>
      <c r="J660" s="3"/>
      <c r="K660" s="3"/>
      <c r="L660" s="3"/>
      <c r="M660" s="3"/>
      <c r="N660" s="1"/>
      <c r="O660" t="str">
        <f t="shared" si="21"/>
        <v>657. _</v>
      </c>
    </row>
    <row r="661" spans="2:15">
      <c r="B661" s="92">
        <f t="shared" si="22"/>
        <v>658</v>
      </c>
      <c r="C661" s="222"/>
      <c r="D661" s="222"/>
      <c r="E661" s="121"/>
      <c r="F661" s="88"/>
      <c r="G661" s="88"/>
      <c r="H661" s="122"/>
      <c r="I661" s="122"/>
      <c r="J661" s="3"/>
      <c r="K661" s="3"/>
      <c r="L661" s="3"/>
      <c r="M661" s="3"/>
      <c r="N661" s="1"/>
      <c r="O661" t="str">
        <f t="shared" si="21"/>
        <v>658. _</v>
      </c>
    </row>
    <row r="662" spans="2:15">
      <c r="B662" s="92">
        <f t="shared" si="22"/>
        <v>659</v>
      </c>
      <c r="C662" s="222"/>
      <c r="D662" s="222"/>
      <c r="E662" s="121"/>
      <c r="F662" s="88"/>
      <c r="G662" s="88"/>
      <c r="H662" s="122"/>
      <c r="I662" s="122"/>
      <c r="J662" s="3"/>
      <c r="K662" s="3"/>
      <c r="L662" s="3"/>
      <c r="M662" s="3"/>
      <c r="N662" s="1"/>
      <c r="O662" t="str">
        <f t="shared" si="21"/>
        <v>659. _</v>
      </c>
    </row>
    <row r="663" spans="2:15">
      <c r="B663" s="92">
        <f t="shared" si="22"/>
        <v>660</v>
      </c>
      <c r="C663" s="222"/>
      <c r="D663" s="222"/>
      <c r="E663" s="97"/>
      <c r="F663" s="88"/>
      <c r="G663" s="88"/>
      <c r="H663" s="122"/>
      <c r="I663" s="120"/>
      <c r="J663" s="3"/>
      <c r="K663" s="3"/>
      <c r="L663" s="3"/>
      <c r="M663" s="3"/>
      <c r="N663" s="1"/>
      <c r="O663" t="str">
        <f t="shared" si="21"/>
        <v>660. _</v>
      </c>
    </row>
    <row r="664" spans="2:15">
      <c r="B664" s="92">
        <f t="shared" si="22"/>
        <v>661</v>
      </c>
      <c r="C664" s="222"/>
      <c r="D664" s="222"/>
      <c r="E664" s="97"/>
      <c r="F664" s="88"/>
      <c r="G664" s="88"/>
      <c r="H664" s="122"/>
      <c r="I664" s="120"/>
      <c r="J664" s="3"/>
      <c r="K664" s="3"/>
      <c r="L664" s="3"/>
      <c r="M664" s="3"/>
      <c r="N664" s="1"/>
      <c r="O664" t="str">
        <f t="shared" si="21"/>
        <v>661. _</v>
      </c>
    </row>
    <row r="665" spans="2:15">
      <c r="B665" s="92">
        <f t="shared" si="22"/>
        <v>662</v>
      </c>
      <c r="C665" s="222"/>
      <c r="D665" s="222"/>
      <c r="E665" s="97"/>
      <c r="F665" s="88"/>
      <c r="G665" s="88"/>
      <c r="H665" s="122"/>
      <c r="I665" s="120"/>
      <c r="J665" s="3"/>
      <c r="K665" s="3"/>
      <c r="L665" s="3"/>
      <c r="M665" s="3"/>
      <c r="N665" s="1"/>
      <c r="O665" t="str">
        <f t="shared" si="21"/>
        <v>662. _</v>
      </c>
    </row>
    <row r="666" spans="2:15">
      <c r="B666" s="92">
        <f t="shared" si="22"/>
        <v>663</v>
      </c>
      <c r="C666" s="222"/>
      <c r="D666" s="222"/>
      <c r="E666" s="97"/>
      <c r="F666" s="88"/>
      <c r="G666" s="88"/>
      <c r="H666" s="122"/>
      <c r="I666" s="120"/>
      <c r="J666" s="3"/>
      <c r="K666" s="3"/>
      <c r="L666" s="3"/>
      <c r="M666" s="3"/>
      <c r="N666" s="1"/>
      <c r="O666" t="str">
        <f t="shared" si="21"/>
        <v>663. _</v>
      </c>
    </row>
    <row r="667" spans="2:15">
      <c r="B667" s="92">
        <f t="shared" si="22"/>
        <v>664</v>
      </c>
      <c r="C667" s="222"/>
      <c r="D667" s="222"/>
      <c r="E667" s="97"/>
      <c r="F667" s="88"/>
      <c r="G667" s="88"/>
      <c r="H667" s="122"/>
      <c r="I667" s="120"/>
      <c r="J667" s="3"/>
      <c r="K667" s="3"/>
      <c r="L667" s="3"/>
      <c r="M667" s="3"/>
      <c r="N667" s="1"/>
      <c r="O667" t="str">
        <f t="shared" si="21"/>
        <v>664. _</v>
      </c>
    </row>
    <row r="668" spans="2:15">
      <c r="B668" s="92">
        <f t="shared" si="22"/>
        <v>665</v>
      </c>
      <c r="C668" s="222"/>
      <c r="D668" s="222"/>
      <c r="E668" s="97"/>
      <c r="F668" s="88"/>
      <c r="G668" s="88"/>
      <c r="H668" s="3"/>
      <c r="I668" s="120"/>
      <c r="J668" s="3"/>
      <c r="K668" s="3"/>
      <c r="L668" s="3"/>
      <c r="M668" s="3"/>
      <c r="N668" s="1"/>
      <c r="O668" t="str">
        <f t="shared" si="21"/>
        <v>665. _</v>
      </c>
    </row>
    <row r="669" spans="2:15">
      <c r="B669" s="92">
        <f t="shared" si="22"/>
        <v>666</v>
      </c>
      <c r="C669" s="222"/>
      <c r="D669" s="222"/>
      <c r="E669" s="97"/>
      <c r="F669" s="88"/>
      <c r="G669" s="88"/>
      <c r="H669" s="3"/>
      <c r="I669" s="120"/>
      <c r="J669" s="3"/>
      <c r="K669" s="3"/>
      <c r="L669" s="3"/>
      <c r="M669" s="3"/>
      <c r="N669" s="1"/>
      <c r="O669" t="str">
        <f t="shared" si="21"/>
        <v>666. _</v>
      </c>
    </row>
    <row r="670" spans="2:15">
      <c r="B670" s="92">
        <f t="shared" si="22"/>
        <v>667</v>
      </c>
      <c r="C670" s="222"/>
      <c r="D670" s="222"/>
      <c r="E670" s="97"/>
      <c r="F670" s="88"/>
      <c r="G670" s="88"/>
      <c r="H670" s="3"/>
      <c r="I670" s="120"/>
      <c r="J670" s="3"/>
      <c r="K670" s="3"/>
      <c r="L670" s="3"/>
      <c r="M670" s="3"/>
      <c r="N670" s="1"/>
      <c r="O670" t="str">
        <f t="shared" si="21"/>
        <v>667. _</v>
      </c>
    </row>
    <row r="671" spans="2:15">
      <c r="B671" s="92">
        <f t="shared" si="22"/>
        <v>668</v>
      </c>
      <c r="C671" s="222"/>
      <c r="D671" s="222"/>
      <c r="E671" s="97"/>
      <c r="F671" s="88"/>
      <c r="G671" s="88"/>
      <c r="H671" s="3"/>
      <c r="I671" s="120"/>
      <c r="J671" s="3"/>
      <c r="K671" s="3"/>
      <c r="L671" s="3"/>
      <c r="M671" s="3"/>
      <c r="N671" s="1"/>
      <c r="O671" t="str">
        <f t="shared" si="21"/>
        <v>668. _</v>
      </c>
    </row>
    <row r="672" spans="2:15">
      <c r="B672" s="92">
        <f t="shared" si="22"/>
        <v>669</v>
      </c>
      <c r="C672" s="222"/>
      <c r="D672" s="222"/>
      <c r="E672" s="97"/>
      <c r="F672" s="88"/>
      <c r="G672" s="88"/>
      <c r="H672" s="3"/>
      <c r="I672" s="120"/>
      <c r="J672" s="3"/>
      <c r="K672" s="3"/>
      <c r="L672" s="3"/>
      <c r="M672" s="3"/>
      <c r="N672" s="1"/>
      <c r="O672" t="str">
        <f t="shared" si="21"/>
        <v>669. _</v>
      </c>
    </row>
    <row r="673" spans="2:15">
      <c r="B673" s="92">
        <f t="shared" si="22"/>
        <v>670</v>
      </c>
      <c r="C673" s="222"/>
      <c r="D673" s="222"/>
      <c r="E673" s="97"/>
      <c r="F673" s="88"/>
      <c r="G673" s="88"/>
      <c r="H673" s="3"/>
      <c r="I673" s="120"/>
      <c r="J673" s="3"/>
      <c r="K673" s="3"/>
      <c r="L673" s="3"/>
      <c r="M673" s="3"/>
      <c r="N673" s="1"/>
      <c r="O673" t="str">
        <f t="shared" si="21"/>
        <v>670. _</v>
      </c>
    </row>
    <row r="674" spans="2:15">
      <c r="B674" s="92">
        <f t="shared" si="22"/>
        <v>671</v>
      </c>
      <c r="C674" s="222"/>
      <c r="D674" s="222"/>
      <c r="E674" s="97"/>
      <c r="F674" s="88"/>
      <c r="G674" s="88"/>
      <c r="H674" s="3"/>
      <c r="I674" s="120"/>
      <c r="J674" s="3"/>
      <c r="K674" s="3"/>
      <c r="L674" s="3"/>
      <c r="M674" s="3"/>
      <c r="N674" s="1"/>
      <c r="O674" t="str">
        <f t="shared" si="21"/>
        <v>671. _</v>
      </c>
    </row>
    <row r="675" spans="2:15">
      <c r="B675" s="92">
        <f t="shared" si="22"/>
        <v>672</v>
      </c>
      <c r="C675" s="222"/>
      <c r="D675" s="222"/>
      <c r="E675" s="97"/>
      <c r="F675" s="88"/>
      <c r="G675" s="88"/>
      <c r="H675" s="3"/>
      <c r="I675" s="120"/>
      <c r="J675" s="3"/>
      <c r="K675" s="3"/>
      <c r="L675" s="3"/>
      <c r="M675" s="3"/>
      <c r="N675" s="1"/>
      <c r="O675" t="str">
        <f t="shared" si="21"/>
        <v>672. _</v>
      </c>
    </row>
    <row r="676" spans="2:15">
      <c r="B676" s="92">
        <f t="shared" si="22"/>
        <v>673</v>
      </c>
      <c r="C676" s="222"/>
      <c r="D676" s="222"/>
      <c r="E676" s="97"/>
      <c r="F676" s="88"/>
      <c r="G676" s="88"/>
      <c r="H676" s="3"/>
      <c r="I676" s="120"/>
      <c r="J676" s="3"/>
      <c r="K676" s="3"/>
      <c r="L676" s="3"/>
      <c r="M676" s="3"/>
      <c r="N676" s="1"/>
      <c r="O676" t="str">
        <f t="shared" si="21"/>
        <v>673. _</v>
      </c>
    </row>
    <row r="677" spans="2:15">
      <c r="B677" s="92">
        <f t="shared" si="22"/>
        <v>674</v>
      </c>
      <c r="C677" s="222"/>
      <c r="D677" s="222"/>
      <c r="E677" s="97"/>
      <c r="F677" s="88"/>
      <c r="G677" s="88"/>
      <c r="H677" s="3"/>
      <c r="I677" s="120"/>
      <c r="J677" s="3"/>
      <c r="K677" s="3"/>
      <c r="L677" s="3"/>
      <c r="M677" s="3"/>
      <c r="N677" s="1"/>
      <c r="O677" t="str">
        <f t="shared" si="21"/>
        <v>674. _</v>
      </c>
    </row>
    <row r="678" spans="2:15">
      <c r="B678" s="92">
        <f t="shared" si="22"/>
        <v>675</v>
      </c>
      <c r="C678" s="222"/>
      <c r="D678" s="222"/>
      <c r="E678" s="97"/>
      <c r="F678" s="88"/>
      <c r="G678" s="88"/>
      <c r="H678" s="3"/>
      <c r="I678" s="120"/>
      <c r="J678" s="3"/>
      <c r="K678" s="3"/>
      <c r="L678" s="3"/>
      <c r="M678" s="3"/>
      <c r="N678" s="1"/>
      <c r="O678" t="str">
        <f t="shared" si="21"/>
        <v>675. _</v>
      </c>
    </row>
    <row r="679" spans="2:15">
      <c r="B679" s="92">
        <f t="shared" si="22"/>
        <v>676</v>
      </c>
      <c r="C679" s="222"/>
      <c r="D679" s="222"/>
      <c r="E679" s="97"/>
      <c r="F679" s="88"/>
      <c r="G679" s="88"/>
      <c r="H679" s="3"/>
      <c r="I679" s="120"/>
      <c r="J679" s="3"/>
      <c r="K679" s="3"/>
      <c r="L679" s="3"/>
      <c r="M679" s="3"/>
      <c r="N679" s="1"/>
      <c r="O679" t="str">
        <f t="shared" si="21"/>
        <v>676. _</v>
      </c>
    </row>
    <row r="680" spans="2:15">
      <c r="B680" s="92">
        <f t="shared" si="22"/>
        <v>677</v>
      </c>
      <c r="C680" s="222"/>
      <c r="D680" s="222"/>
      <c r="E680" s="97"/>
      <c r="F680" s="88"/>
      <c r="G680" s="88"/>
      <c r="H680" s="3"/>
      <c r="I680" s="120"/>
      <c r="J680" s="3"/>
      <c r="K680" s="3"/>
      <c r="L680" s="3"/>
      <c r="M680" s="3"/>
      <c r="N680" s="1"/>
      <c r="O680" t="str">
        <f t="shared" si="21"/>
        <v>677. _</v>
      </c>
    </row>
    <row r="681" spans="2:15">
      <c r="B681" s="92">
        <f t="shared" si="22"/>
        <v>678</v>
      </c>
      <c r="C681" s="222"/>
      <c r="D681" s="222"/>
      <c r="E681" s="97"/>
      <c r="F681" s="88"/>
      <c r="G681" s="88"/>
      <c r="H681" s="3"/>
      <c r="I681" s="120"/>
      <c r="J681" s="3"/>
      <c r="K681" s="3"/>
      <c r="L681" s="3"/>
      <c r="M681" s="3"/>
      <c r="N681" s="1"/>
      <c r="O681" t="str">
        <f t="shared" si="21"/>
        <v>678. _</v>
      </c>
    </row>
    <row r="682" spans="2:15">
      <c r="B682" s="92">
        <f t="shared" si="22"/>
        <v>679</v>
      </c>
      <c r="C682" s="222"/>
      <c r="D682" s="222"/>
      <c r="E682" s="97"/>
      <c r="F682" s="88"/>
      <c r="G682" s="88"/>
      <c r="H682" s="3"/>
      <c r="I682" s="120"/>
      <c r="J682" s="3"/>
      <c r="K682" s="3"/>
      <c r="L682" s="3"/>
      <c r="M682" s="3"/>
      <c r="N682" s="1"/>
      <c r="O682" t="str">
        <f t="shared" si="21"/>
        <v>679. _</v>
      </c>
    </row>
    <row r="683" spans="2:15">
      <c r="B683" s="92">
        <f t="shared" si="22"/>
        <v>680</v>
      </c>
      <c r="C683" s="222"/>
      <c r="D683" s="222"/>
      <c r="E683" s="97"/>
      <c r="F683" s="88"/>
      <c r="G683" s="88"/>
      <c r="H683" s="3"/>
      <c r="I683" s="120"/>
      <c r="J683" s="3"/>
      <c r="K683" s="3"/>
      <c r="L683" s="3"/>
      <c r="M683" s="3"/>
      <c r="N683" s="1"/>
      <c r="O683" t="str">
        <f t="shared" si="21"/>
        <v>680. _</v>
      </c>
    </row>
    <row r="684" spans="2:15">
      <c r="B684" s="92">
        <f t="shared" si="22"/>
        <v>681</v>
      </c>
      <c r="C684" s="222"/>
      <c r="D684" s="222"/>
      <c r="E684" s="97"/>
      <c r="F684" s="88"/>
      <c r="G684" s="88"/>
      <c r="H684" s="3"/>
      <c r="I684" s="120"/>
      <c r="J684" s="3"/>
      <c r="K684" s="3"/>
      <c r="L684" s="3"/>
      <c r="M684" s="3"/>
      <c r="N684" s="1"/>
      <c r="O684" t="str">
        <f t="shared" si="21"/>
        <v>681. _</v>
      </c>
    </row>
    <row r="685" spans="2:15">
      <c r="B685" s="92">
        <f t="shared" si="22"/>
        <v>682</v>
      </c>
      <c r="C685" s="230"/>
      <c r="D685" s="222"/>
      <c r="E685" s="97"/>
      <c r="F685" s="88"/>
      <c r="G685" s="88"/>
      <c r="H685" s="3"/>
      <c r="I685" s="120"/>
      <c r="J685" s="3"/>
      <c r="K685" s="3"/>
      <c r="L685" s="3"/>
      <c r="M685" s="3"/>
      <c r="N685" s="1"/>
      <c r="O685" t="str">
        <f t="shared" si="21"/>
        <v>682. _</v>
      </c>
    </row>
    <row r="686" spans="2:15">
      <c r="B686" s="92">
        <f t="shared" si="22"/>
        <v>683</v>
      </c>
      <c r="C686" s="222"/>
      <c r="D686" s="222"/>
      <c r="E686" s="97"/>
      <c r="F686" s="88"/>
      <c r="G686" s="88"/>
      <c r="H686" s="3"/>
      <c r="I686" s="120"/>
      <c r="J686" s="3"/>
      <c r="K686" s="3"/>
      <c r="L686" s="3"/>
      <c r="M686" s="3"/>
      <c r="N686" s="1"/>
      <c r="O686" t="str">
        <f t="shared" si="21"/>
        <v>683. _</v>
      </c>
    </row>
    <row r="687" spans="2:15">
      <c r="B687" s="92">
        <f t="shared" si="22"/>
        <v>684</v>
      </c>
      <c r="C687" s="222"/>
      <c r="D687" s="222"/>
      <c r="E687" s="97"/>
      <c r="F687" s="88"/>
      <c r="G687" s="88"/>
      <c r="H687" s="3"/>
      <c r="I687" s="120"/>
      <c r="J687" s="3"/>
      <c r="K687" s="3"/>
      <c r="L687" s="3"/>
      <c r="M687" s="3"/>
      <c r="N687" s="1"/>
      <c r="O687" t="str">
        <f t="shared" si="21"/>
        <v>684. _</v>
      </c>
    </row>
    <row r="688" spans="2:15">
      <c r="B688" s="92">
        <f t="shared" si="22"/>
        <v>685</v>
      </c>
      <c r="C688" s="222"/>
      <c r="D688" s="222"/>
      <c r="E688" s="97"/>
      <c r="F688" s="88"/>
      <c r="G688" s="88"/>
      <c r="H688" s="3"/>
      <c r="I688" s="120"/>
      <c r="J688" s="3"/>
      <c r="K688" s="3"/>
      <c r="L688" s="3"/>
      <c r="M688" s="3"/>
      <c r="N688" s="1"/>
      <c r="O688" t="str">
        <f t="shared" si="21"/>
        <v>685. _</v>
      </c>
    </row>
    <row r="689" spans="2:15">
      <c r="B689" s="92">
        <f t="shared" si="22"/>
        <v>686</v>
      </c>
      <c r="C689" s="222"/>
      <c r="D689" s="222"/>
      <c r="E689" s="97"/>
      <c r="F689" s="88"/>
      <c r="G689" s="88"/>
      <c r="H689" s="3"/>
      <c r="I689" s="120"/>
      <c r="J689" s="3"/>
      <c r="K689" s="3"/>
      <c r="L689" s="3"/>
      <c r="M689" s="3"/>
      <c r="N689" s="1"/>
      <c r="O689" t="str">
        <f t="shared" si="21"/>
        <v>686. _</v>
      </c>
    </row>
    <row r="690" spans="2:15">
      <c r="B690" s="92">
        <f t="shared" si="22"/>
        <v>687</v>
      </c>
      <c r="C690" s="222"/>
      <c r="D690" s="222"/>
      <c r="E690" s="97"/>
      <c r="F690" s="88"/>
      <c r="G690" s="88"/>
      <c r="H690" s="3"/>
      <c r="I690" s="120"/>
      <c r="J690" s="3"/>
      <c r="K690" s="3"/>
      <c r="L690" s="3"/>
      <c r="M690" s="3"/>
      <c r="N690" s="1"/>
      <c r="O690" t="str">
        <f t="shared" si="21"/>
        <v>687. _</v>
      </c>
    </row>
    <row r="691" spans="2:15">
      <c r="B691" s="92">
        <f t="shared" si="22"/>
        <v>688</v>
      </c>
      <c r="C691" s="222"/>
      <c r="D691" s="222"/>
      <c r="E691" s="97"/>
      <c r="F691" s="88"/>
      <c r="G691" s="88"/>
      <c r="H691" s="3"/>
      <c r="I691" s="120"/>
      <c r="J691" s="3"/>
      <c r="K691" s="3"/>
      <c r="L691" s="3"/>
      <c r="M691" s="3"/>
      <c r="N691" s="1"/>
      <c r="O691" t="str">
        <f t="shared" si="21"/>
        <v>688. _</v>
      </c>
    </row>
    <row r="692" spans="2:15">
      <c r="B692" s="92">
        <f t="shared" si="22"/>
        <v>689</v>
      </c>
      <c r="C692" s="222"/>
      <c r="D692" s="222"/>
      <c r="E692" s="97"/>
      <c r="F692" s="88"/>
      <c r="G692" s="88"/>
      <c r="H692" s="3"/>
      <c r="I692" s="120"/>
      <c r="J692" s="3"/>
      <c r="K692" s="3"/>
      <c r="L692" s="3"/>
      <c r="M692" s="3"/>
      <c r="N692" s="1"/>
      <c r="O692" t="str">
        <f t="shared" si="21"/>
        <v>689. _</v>
      </c>
    </row>
    <row r="693" spans="2:15">
      <c r="B693" s="92">
        <f t="shared" si="22"/>
        <v>690</v>
      </c>
      <c r="C693" s="222"/>
      <c r="D693" s="222"/>
      <c r="E693" s="97"/>
      <c r="F693" s="88"/>
      <c r="G693" s="88"/>
      <c r="H693" s="3"/>
      <c r="I693" s="120"/>
      <c r="J693" s="3"/>
      <c r="K693" s="3"/>
      <c r="L693" s="3"/>
      <c r="M693" s="3"/>
      <c r="N693" s="1"/>
      <c r="O693" t="str">
        <f t="shared" si="21"/>
        <v>690. _</v>
      </c>
    </row>
    <row r="694" spans="2:15">
      <c r="B694" s="92">
        <f t="shared" si="22"/>
        <v>691</v>
      </c>
      <c r="C694" s="222"/>
      <c r="D694" s="222"/>
      <c r="E694" s="97"/>
      <c r="F694" s="88"/>
      <c r="G694" s="88"/>
      <c r="H694" s="3"/>
      <c r="I694" s="120"/>
      <c r="J694" s="3"/>
      <c r="K694" s="3"/>
      <c r="L694" s="3"/>
      <c r="M694" s="3"/>
      <c r="N694" s="1"/>
      <c r="O694" t="str">
        <f t="shared" si="21"/>
        <v>691. _</v>
      </c>
    </row>
    <row r="695" spans="2:15">
      <c r="B695" s="92">
        <f t="shared" si="22"/>
        <v>692</v>
      </c>
      <c r="C695" s="222"/>
      <c r="D695" s="222"/>
      <c r="E695" s="97"/>
      <c r="F695" s="88"/>
      <c r="G695" s="88"/>
      <c r="H695" s="3"/>
      <c r="I695" s="120"/>
      <c r="J695" s="3"/>
      <c r="K695" s="3"/>
      <c r="L695" s="3"/>
      <c r="M695" s="3"/>
      <c r="N695" s="1"/>
      <c r="O695" t="str">
        <f t="shared" si="21"/>
        <v>692. _</v>
      </c>
    </row>
    <row r="696" spans="2:15">
      <c r="B696" s="92">
        <f t="shared" si="22"/>
        <v>693</v>
      </c>
      <c r="C696" s="222"/>
      <c r="D696" s="222"/>
      <c r="E696" s="97"/>
      <c r="F696" s="88"/>
      <c r="G696" s="88"/>
      <c r="H696" s="3"/>
      <c r="I696" s="120"/>
      <c r="J696" s="3"/>
      <c r="K696" s="3"/>
      <c r="L696" s="3"/>
      <c r="M696" s="3"/>
      <c r="N696" s="1"/>
      <c r="O696" t="str">
        <f t="shared" si="21"/>
        <v>693. _</v>
      </c>
    </row>
    <row r="697" spans="2:15">
      <c r="B697" s="92">
        <f t="shared" si="22"/>
        <v>694</v>
      </c>
      <c r="C697" s="222"/>
      <c r="D697" s="222"/>
      <c r="E697" s="97"/>
      <c r="F697" s="88"/>
      <c r="G697" s="88"/>
      <c r="H697" s="3"/>
      <c r="I697" s="120"/>
      <c r="J697" s="3"/>
      <c r="K697" s="3"/>
      <c r="L697" s="3"/>
      <c r="M697" s="3"/>
      <c r="N697" s="1"/>
      <c r="O697" t="str">
        <f t="shared" si="21"/>
        <v>694. _</v>
      </c>
    </row>
    <row r="698" spans="2:15">
      <c r="B698" s="92">
        <f t="shared" si="22"/>
        <v>695</v>
      </c>
      <c r="C698" s="222"/>
      <c r="D698" s="222"/>
      <c r="E698" s="97"/>
      <c r="F698" s="88"/>
      <c r="G698" s="88"/>
      <c r="H698" s="3"/>
      <c r="I698" s="120"/>
      <c r="J698" s="3"/>
      <c r="K698" s="3"/>
      <c r="L698" s="3"/>
      <c r="M698" s="3"/>
      <c r="N698" s="1"/>
      <c r="O698" t="str">
        <f t="shared" si="21"/>
        <v>695. _</v>
      </c>
    </row>
    <row r="699" spans="2:15">
      <c r="B699" s="92">
        <f t="shared" si="22"/>
        <v>696</v>
      </c>
      <c r="C699" s="222"/>
      <c r="D699" s="222"/>
      <c r="E699" s="97"/>
      <c r="F699" s="88"/>
      <c r="G699" s="88"/>
      <c r="H699" s="3"/>
      <c r="I699" s="120"/>
      <c r="J699" s="3"/>
      <c r="K699" s="3"/>
      <c r="L699" s="3"/>
      <c r="M699" s="3"/>
      <c r="N699" s="1"/>
      <c r="O699" t="str">
        <f t="shared" si="21"/>
        <v>696. _</v>
      </c>
    </row>
    <row r="700" spans="2:15">
      <c r="B700" s="92">
        <f t="shared" si="22"/>
        <v>697</v>
      </c>
      <c r="C700" s="222"/>
      <c r="D700" s="222"/>
      <c r="E700" s="97"/>
      <c r="F700" s="88"/>
      <c r="G700" s="88"/>
      <c r="H700" s="3"/>
      <c r="I700" s="120"/>
      <c r="J700" s="3"/>
      <c r="K700" s="3"/>
      <c r="L700" s="3"/>
      <c r="M700" s="3"/>
      <c r="N700" s="1"/>
      <c r="O700" t="str">
        <f t="shared" si="21"/>
        <v>697. _</v>
      </c>
    </row>
    <row r="701" spans="2:15">
      <c r="B701" s="92">
        <f t="shared" si="22"/>
        <v>698</v>
      </c>
      <c r="C701" s="222"/>
      <c r="D701" s="222"/>
      <c r="E701" s="97"/>
      <c r="F701" s="88"/>
      <c r="G701" s="88"/>
      <c r="H701" s="3"/>
      <c r="I701" s="120"/>
      <c r="J701" s="3"/>
      <c r="K701" s="3"/>
      <c r="L701" s="3"/>
      <c r="M701" s="3"/>
      <c r="N701" s="1"/>
      <c r="O701" t="str">
        <f t="shared" si="21"/>
        <v>698. _</v>
      </c>
    </row>
    <row r="702" spans="2:15">
      <c r="B702" s="92">
        <f t="shared" si="22"/>
        <v>699</v>
      </c>
      <c r="C702" s="222"/>
      <c r="D702" s="222"/>
      <c r="E702" s="97"/>
      <c r="F702" s="88"/>
      <c r="G702" s="88"/>
      <c r="H702" s="3"/>
      <c r="I702" s="120"/>
      <c r="J702" s="3"/>
      <c r="K702" s="3"/>
      <c r="L702" s="3"/>
      <c r="M702" s="3"/>
      <c r="N702" s="1"/>
      <c r="O702" t="str">
        <f t="shared" si="21"/>
        <v>699. _</v>
      </c>
    </row>
    <row r="703" spans="2:15">
      <c r="B703" s="92">
        <f t="shared" si="22"/>
        <v>700</v>
      </c>
      <c r="C703" s="222"/>
      <c r="D703" s="222"/>
      <c r="E703" s="97"/>
      <c r="F703" s="88"/>
      <c r="G703" s="88"/>
      <c r="H703" s="3"/>
      <c r="I703" s="120"/>
      <c r="J703" s="3"/>
      <c r="K703" s="3"/>
      <c r="L703" s="3"/>
      <c r="M703" s="3"/>
      <c r="N703" s="1"/>
      <c r="O703" t="str">
        <f t="shared" si="21"/>
        <v>700. _</v>
      </c>
    </row>
    <row r="704" spans="2:15">
      <c r="B704" s="92">
        <f t="shared" si="22"/>
        <v>701</v>
      </c>
      <c r="C704" s="222"/>
      <c r="D704" s="222"/>
      <c r="E704" s="97"/>
      <c r="F704" s="88"/>
      <c r="G704" s="88"/>
      <c r="H704" s="3"/>
      <c r="I704" s="120"/>
      <c r="J704" s="3"/>
      <c r="K704" s="3"/>
      <c r="L704" s="3"/>
      <c r="M704" s="3"/>
      <c r="N704" s="1"/>
      <c r="O704" t="str">
        <f t="shared" si="21"/>
        <v>701. _</v>
      </c>
    </row>
    <row r="705" spans="2:15">
      <c r="B705" s="92">
        <f t="shared" si="22"/>
        <v>702</v>
      </c>
      <c r="C705" s="222"/>
      <c r="D705" s="222"/>
      <c r="E705" s="97"/>
      <c r="F705" s="88"/>
      <c r="G705" s="88"/>
      <c r="H705" s="3"/>
      <c r="I705" s="120"/>
      <c r="J705" s="3"/>
      <c r="K705" s="3"/>
      <c r="L705" s="3"/>
      <c r="M705" s="3"/>
      <c r="N705" s="1"/>
      <c r="O705" t="str">
        <f t="shared" si="21"/>
        <v>702. _</v>
      </c>
    </row>
    <row r="706" spans="2:15">
      <c r="B706" s="92">
        <f t="shared" si="22"/>
        <v>703</v>
      </c>
      <c r="C706" s="222"/>
      <c r="D706" s="222"/>
      <c r="E706" s="97"/>
      <c r="F706" s="88"/>
      <c r="G706" s="88"/>
      <c r="H706" s="3"/>
      <c r="I706" s="120"/>
      <c r="J706" s="3"/>
      <c r="K706" s="3"/>
      <c r="L706" s="3"/>
      <c r="M706" s="3"/>
      <c r="N706" s="1"/>
      <c r="O706" t="str">
        <f t="shared" si="21"/>
        <v>703. _</v>
      </c>
    </row>
    <row r="707" spans="2:15">
      <c r="B707" s="92">
        <f t="shared" si="22"/>
        <v>704</v>
      </c>
      <c r="C707" s="222"/>
      <c r="D707" s="222"/>
      <c r="E707" s="97"/>
      <c r="F707" s="88"/>
      <c r="G707" s="88"/>
      <c r="H707" s="3"/>
      <c r="I707" s="120"/>
      <c r="J707" s="3"/>
      <c r="K707" s="3"/>
      <c r="L707" s="3"/>
      <c r="M707" s="3"/>
      <c r="N707" s="1"/>
      <c r="O707" t="str">
        <f t="shared" ref="O707:O770" si="23">CONCATENATE(B707,". ",C707,"_",D707)</f>
        <v>704. _</v>
      </c>
    </row>
    <row r="708" spans="2:15">
      <c r="B708" s="92">
        <f t="shared" si="22"/>
        <v>705</v>
      </c>
      <c r="C708" s="222"/>
      <c r="D708" s="222"/>
      <c r="E708" s="97"/>
      <c r="F708" s="88"/>
      <c r="G708" s="88"/>
      <c r="H708" s="3"/>
      <c r="I708" s="120"/>
      <c r="J708" s="3"/>
      <c r="K708" s="3"/>
      <c r="L708" s="3"/>
      <c r="M708" s="3"/>
      <c r="N708" s="1"/>
      <c r="O708" t="str">
        <f t="shared" si="23"/>
        <v>705. _</v>
      </c>
    </row>
    <row r="709" spans="2:15">
      <c r="B709" s="92">
        <f t="shared" ref="B709:B772" si="24">B708+1</f>
        <v>706</v>
      </c>
      <c r="C709" s="222"/>
      <c r="D709" s="222"/>
      <c r="E709" s="97"/>
      <c r="F709" s="88"/>
      <c r="G709" s="88"/>
      <c r="H709" s="3"/>
      <c r="I709" s="120"/>
      <c r="J709" s="3"/>
      <c r="K709" s="3"/>
      <c r="L709" s="3"/>
      <c r="M709" s="3"/>
      <c r="N709" s="1"/>
      <c r="O709" t="str">
        <f t="shared" si="23"/>
        <v>706. _</v>
      </c>
    </row>
    <row r="710" spans="2:15">
      <c r="B710" s="92">
        <f t="shared" si="24"/>
        <v>707</v>
      </c>
      <c r="C710" s="222"/>
      <c r="D710" s="222"/>
      <c r="E710" s="97"/>
      <c r="F710" s="88"/>
      <c r="G710" s="88"/>
      <c r="H710" s="3"/>
      <c r="I710" s="120"/>
      <c r="J710" s="3"/>
      <c r="K710" s="3"/>
      <c r="L710" s="3"/>
      <c r="M710" s="3"/>
      <c r="N710" s="1"/>
      <c r="O710" t="str">
        <f t="shared" si="23"/>
        <v>707. _</v>
      </c>
    </row>
    <row r="711" spans="2:15">
      <c r="B711" s="92">
        <f t="shared" si="24"/>
        <v>708</v>
      </c>
      <c r="C711" s="222"/>
      <c r="D711" s="222"/>
      <c r="E711" s="97"/>
      <c r="F711" s="88"/>
      <c r="G711" s="88"/>
      <c r="H711" s="3"/>
      <c r="I711" s="120"/>
      <c r="J711" s="3"/>
      <c r="K711" s="3"/>
      <c r="L711" s="3"/>
      <c r="M711" s="3"/>
      <c r="N711" s="1"/>
      <c r="O711" t="str">
        <f t="shared" si="23"/>
        <v>708. _</v>
      </c>
    </row>
    <row r="712" spans="2:15">
      <c r="B712" s="92">
        <f t="shared" si="24"/>
        <v>709</v>
      </c>
      <c r="C712" s="222"/>
      <c r="D712" s="222"/>
      <c r="E712" s="97"/>
      <c r="F712" s="88"/>
      <c r="G712" s="88"/>
      <c r="H712" s="3"/>
      <c r="I712" s="120"/>
      <c r="J712" s="3"/>
      <c r="K712" s="3"/>
      <c r="L712" s="3"/>
      <c r="M712" s="3"/>
      <c r="N712" s="1"/>
      <c r="O712" t="str">
        <f t="shared" si="23"/>
        <v>709. _</v>
      </c>
    </row>
    <row r="713" spans="2:15">
      <c r="B713" s="92">
        <f t="shared" si="24"/>
        <v>710</v>
      </c>
      <c r="C713" s="222"/>
      <c r="D713" s="222"/>
      <c r="E713" s="97"/>
      <c r="F713" s="88"/>
      <c r="G713" s="88"/>
      <c r="H713" s="3"/>
      <c r="I713" s="120"/>
      <c r="J713" s="3"/>
      <c r="K713" s="3"/>
      <c r="L713" s="3"/>
      <c r="M713" s="3"/>
      <c r="N713" s="1"/>
      <c r="O713" t="str">
        <f t="shared" si="23"/>
        <v>710. _</v>
      </c>
    </row>
    <row r="714" spans="2:15">
      <c r="B714" s="92">
        <f t="shared" si="24"/>
        <v>711</v>
      </c>
      <c r="C714" s="222"/>
      <c r="D714" s="222"/>
      <c r="E714" s="88"/>
      <c r="F714" s="88"/>
      <c r="G714" s="88"/>
      <c r="H714" s="3"/>
      <c r="I714" s="120"/>
      <c r="J714" s="3"/>
      <c r="K714" s="3"/>
      <c r="L714" s="3"/>
      <c r="M714" s="3"/>
      <c r="N714" s="1"/>
      <c r="O714" t="str">
        <f t="shared" si="23"/>
        <v>711. _</v>
      </c>
    </row>
    <row r="715" spans="2:15">
      <c r="B715" s="92">
        <f t="shared" si="24"/>
        <v>712</v>
      </c>
      <c r="C715" s="222"/>
      <c r="D715" s="222"/>
      <c r="E715" s="97"/>
      <c r="F715" s="88"/>
      <c r="G715" s="88"/>
      <c r="H715" s="3"/>
      <c r="I715" s="120"/>
      <c r="J715" s="3"/>
      <c r="K715" s="3"/>
      <c r="L715" s="3"/>
      <c r="M715" s="3"/>
      <c r="N715" s="1"/>
      <c r="O715" t="str">
        <f t="shared" si="23"/>
        <v>712. _</v>
      </c>
    </row>
    <row r="716" spans="2:15">
      <c r="B716" s="92">
        <f t="shared" si="24"/>
        <v>713</v>
      </c>
      <c r="C716" s="222"/>
      <c r="D716" s="222"/>
      <c r="E716" s="88"/>
      <c r="F716" s="88"/>
      <c r="G716" s="88"/>
      <c r="H716" s="3"/>
      <c r="I716" s="120"/>
      <c r="J716" s="3"/>
      <c r="K716" s="3"/>
      <c r="L716" s="3"/>
      <c r="M716" s="3"/>
      <c r="N716" s="1"/>
      <c r="O716" t="str">
        <f t="shared" si="23"/>
        <v>713. _</v>
      </c>
    </row>
    <row r="717" spans="2:15">
      <c r="B717" s="92">
        <f t="shared" si="24"/>
        <v>714</v>
      </c>
      <c r="C717" s="222"/>
      <c r="D717" s="222"/>
      <c r="E717" s="88"/>
      <c r="F717" s="88"/>
      <c r="G717" s="88"/>
      <c r="H717" s="3"/>
      <c r="I717" s="120"/>
      <c r="J717" s="3"/>
      <c r="K717" s="3"/>
      <c r="L717" s="3"/>
      <c r="M717" s="3"/>
      <c r="N717" s="1"/>
      <c r="O717" t="str">
        <f t="shared" si="23"/>
        <v>714. _</v>
      </c>
    </row>
    <row r="718" spans="2:15">
      <c r="B718" s="92">
        <f t="shared" si="24"/>
        <v>715</v>
      </c>
      <c r="C718" s="222"/>
      <c r="D718" s="222"/>
      <c r="E718" s="88"/>
      <c r="F718" s="88"/>
      <c r="G718" s="88"/>
      <c r="H718" s="3"/>
      <c r="I718" s="3"/>
      <c r="J718" s="3"/>
      <c r="K718" s="3"/>
      <c r="L718" s="3"/>
      <c r="M718" s="3"/>
      <c r="N718" s="1"/>
      <c r="O718" t="str">
        <f t="shared" si="23"/>
        <v>715. _</v>
      </c>
    </row>
    <row r="719" spans="2:15">
      <c r="B719" s="92">
        <f t="shared" si="24"/>
        <v>716</v>
      </c>
      <c r="C719" s="222"/>
      <c r="D719" s="222"/>
      <c r="E719" s="88"/>
      <c r="F719" s="88"/>
      <c r="G719" s="88"/>
      <c r="H719" s="3"/>
      <c r="I719" s="3"/>
      <c r="J719" s="3"/>
      <c r="K719" s="3"/>
      <c r="L719" s="3"/>
      <c r="M719" s="3"/>
      <c r="N719" s="1"/>
      <c r="O719" t="str">
        <f t="shared" si="23"/>
        <v>716. _</v>
      </c>
    </row>
    <row r="720" spans="2:15">
      <c r="B720" s="92">
        <f t="shared" si="24"/>
        <v>717</v>
      </c>
      <c r="C720" s="222"/>
      <c r="D720" s="222"/>
      <c r="E720" s="88"/>
      <c r="F720" s="88"/>
      <c r="G720" s="88"/>
      <c r="H720" s="3"/>
      <c r="I720" s="120"/>
      <c r="J720" s="3"/>
      <c r="K720" s="3"/>
      <c r="L720" s="3"/>
      <c r="M720" s="3"/>
      <c r="N720" s="1"/>
      <c r="O720" t="str">
        <f t="shared" si="23"/>
        <v>717. _</v>
      </c>
    </row>
    <row r="721" spans="2:15">
      <c r="B721" s="92">
        <f t="shared" si="24"/>
        <v>718</v>
      </c>
      <c r="C721" s="222"/>
      <c r="D721" s="222"/>
      <c r="E721" s="88"/>
      <c r="F721" s="88"/>
      <c r="G721" s="88"/>
      <c r="H721" s="3"/>
      <c r="I721" s="120"/>
      <c r="J721" s="3"/>
      <c r="K721" s="3"/>
      <c r="L721" s="3"/>
      <c r="M721" s="3"/>
      <c r="N721" s="1"/>
      <c r="O721" t="str">
        <f t="shared" si="23"/>
        <v>718. _</v>
      </c>
    </row>
    <row r="722" spans="2:15">
      <c r="B722" s="92">
        <f t="shared" si="24"/>
        <v>719</v>
      </c>
      <c r="C722" s="222"/>
      <c r="D722" s="222"/>
      <c r="E722" s="88"/>
      <c r="F722" s="88"/>
      <c r="G722" s="88"/>
      <c r="H722" s="3"/>
      <c r="I722" s="120"/>
      <c r="J722" s="3"/>
      <c r="K722" s="3"/>
      <c r="L722" s="3"/>
      <c r="M722" s="3"/>
      <c r="N722" s="1"/>
      <c r="O722" t="str">
        <f t="shared" si="23"/>
        <v>719. _</v>
      </c>
    </row>
    <row r="723" spans="2:15">
      <c r="B723" s="92">
        <f t="shared" si="24"/>
        <v>720</v>
      </c>
      <c r="C723" s="222"/>
      <c r="D723" s="222"/>
      <c r="E723" s="88"/>
      <c r="F723" s="88"/>
      <c r="G723" s="88"/>
      <c r="H723" s="3"/>
      <c r="I723" s="120"/>
      <c r="J723" s="3"/>
      <c r="K723" s="3"/>
      <c r="L723" s="3"/>
      <c r="M723" s="3"/>
      <c r="N723" s="1"/>
      <c r="O723" t="str">
        <f t="shared" si="23"/>
        <v>720. _</v>
      </c>
    </row>
    <row r="724" spans="2:15">
      <c r="B724" s="92">
        <f t="shared" si="24"/>
        <v>721</v>
      </c>
      <c r="C724" s="222"/>
      <c r="D724" s="222"/>
      <c r="E724" s="88"/>
      <c r="F724" s="88"/>
      <c r="G724" s="88"/>
      <c r="H724" s="3"/>
      <c r="I724" s="120"/>
      <c r="J724" s="3"/>
      <c r="K724" s="3"/>
      <c r="L724" s="3"/>
      <c r="M724" s="3"/>
      <c r="N724" s="1"/>
      <c r="O724" t="str">
        <f t="shared" si="23"/>
        <v>721. _</v>
      </c>
    </row>
    <row r="725" spans="2:15">
      <c r="B725" s="92">
        <f t="shared" si="24"/>
        <v>722</v>
      </c>
      <c r="C725" s="222"/>
      <c r="D725" s="222"/>
      <c r="E725" s="88"/>
      <c r="F725" s="88"/>
      <c r="G725" s="88"/>
      <c r="H725" s="3"/>
      <c r="I725" s="120"/>
      <c r="J725" s="3"/>
      <c r="K725" s="3"/>
      <c r="L725" s="3"/>
      <c r="M725" s="3"/>
      <c r="N725" s="1"/>
      <c r="O725" t="str">
        <f t="shared" si="23"/>
        <v>722. _</v>
      </c>
    </row>
    <row r="726" spans="2:15">
      <c r="B726" s="92">
        <f t="shared" si="24"/>
        <v>723</v>
      </c>
      <c r="C726" s="222"/>
      <c r="D726" s="222"/>
      <c r="E726" s="88"/>
      <c r="F726" s="88"/>
      <c r="G726" s="88"/>
      <c r="H726" s="3"/>
      <c r="I726" s="120"/>
      <c r="J726" s="3"/>
      <c r="K726" s="3"/>
      <c r="L726" s="3"/>
      <c r="M726" s="3"/>
      <c r="N726" s="1"/>
      <c r="O726" t="str">
        <f t="shared" si="23"/>
        <v>723. _</v>
      </c>
    </row>
    <row r="727" spans="2:15">
      <c r="B727" s="92">
        <f t="shared" si="24"/>
        <v>724</v>
      </c>
      <c r="C727" s="222"/>
      <c r="D727" s="222"/>
      <c r="E727" s="88"/>
      <c r="F727" s="88"/>
      <c r="G727" s="88"/>
      <c r="H727" s="3"/>
      <c r="I727" s="120"/>
      <c r="J727" s="3"/>
      <c r="K727" s="3"/>
      <c r="L727" s="3"/>
      <c r="M727" s="3"/>
      <c r="N727" s="1"/>
      <c r="O727" t="str">
        <f t="shared" si="23"/>
        <v>724. _</v>
      </c>
    </row>
    <row r="728" spans="2:15">
      <c r="B728" s="92">
        <f t="shared" si="24"/>
        <v>725</v>
      </c>
      <c r="C728" s="222"/>
      <c r="D728" s="222"/>
      <c r="E728" s="88"/>
      <c r="F728" s="88"/>
      <c r="G728" s="88"/>
      <c r="H728" s="3"/>
      <c r="I728" s="120"/>
      <c r="J728" s="3"/>
      <c r="K728" s="3"/>
      <c r="L728" s="3"/>
      <c r="M728" s="3"/>
      <c r="N728" s="1"/>
      <c r="O728" t="str">
        <f t="shared" si="23"/>
        <v>725. _</v>
      </c>
    </row>
    <row r="729" spans="2:15">
      <c r="B729" s="92">
        <f t="shared" si="24"/>
        <v>726</v>
      </c>
      <c r="C729" s="222"/>
      <c r="D729" s="222"/>
      <c r="E729" s="88"/>
      <c r="F729" s="88"/>
      <c r="G729" s="88"/>
      <c r="H729" s="3"/>
      <c r="I729" s="120"/>
      <c r="J729" s="3"/>
      <c r="K729" s="3"/>
      <c r="L729" s="3"/>
      <c r="M729" s="3"/>
      <c r="N729" s="1"/>
      <c r="O729" t="str">
        <f t="shared" si="23"/>
        <v>726. _</v>
      </c>
    </row>
    <row r="730" spans="2:15">
      <c r="B730" s="92">
        <f t="shared" si="24"/>
        <v>727</v>
      </c>
      <c r="C730" s="222"/>
      <c r="D730" s="222"/>
      <c r="E730" s="88"/>
      <c r="F730" s="88"/>
      <c r="G730" s="88"/>
      <c r="H730" s="3"/>
      <c r="I730" s="120"/>
      <c r="J730" s="3"/>
      <c r="K730" s="3"/>
      <c r="L730" s="3"/>
      <c r="M730" s="3"/>
      <c r="N730" s="1"/>
      <c r="O730" t="str">
        <f t="shared" si="23"/>
        <v>727. _</v>
      </c>
    </row>
    <row r="731" spans="2:15">
      <c r="B731" s="92">
        <f t="shared" si="24"/>
        <v>728</v>
      </c>
      <c r="C731" s="222"/>
      <c r="D731" s="222"/>
      <c r="E731" s="88"/>
      <c r="F731" s="88"/>
      <c r="G731" s="88"/>
      <c r="H731" s="3"/>
      <c r="I731" s="120"/>
      <c r="J731" s="3"/>
      <c r="K731" s="3"/>
      <c r="L731" s="3"/>
      <c r="M731" s="3"/>
      <c r="N731" s="1"/>
      <c r="O731" t="str">
        <f t="shared" si="23"/>
        <v>728. _</v>
      </c>
    </row>
    <row r="732" spans="2:15">
      <c r="B732" s="92">
        <f t="shared" si="24"/>
        <v>729</v>
      </c>
      <c r="C732" s="222"/>
      <c r="D732" s="222"/>
      <c r="E732" s="88"/>
      <c r="F732" s="88"/>
      <c r="G732" s="88"/>
      <c r="H732" s="3"/>
      <c r="I732" s="120"/>
      <c r="J732" s="3"/>
      <c r="K732" s="3"/>
      <c r="L732" s="3"/>
      <c r="M732" s="3"/>
      <c r="N732" s="1"/>
      <c r="O732" t="str">
        <f t="shared" si="23"/>
        <v>729. _</v>
      </c>
    </row>
    <row r="733" spans="2:15">
      <c r="B733" s="92">
        <f t="shared" si="24"/>
        <v>730</v>
      </c>
      <c r="C733" s="222"/>
      <c r="D733" s="222"/>
      <c r="E733" s="88"/>
      <c r="F733" s="88"/>
      <c r="G733" s="88"/>
      <c r="H733" s="3"/>
      <c r="I733" s="120"/>
      <c r="J733" s="3"/>
      <c r="K733" s="3"/>
      <c r="L733" s="3"/>
      <c r="M733" s="3"/>
      <c r="N733" s="1"/>
      <c r="O733" t="str">
        <f t="shared" si="23"/>
        <v>730. _</v>
      </c>
    </row>
    <row r="734" spans="2:15">
      <c r="B734" s="92">
        <f t="shared" si="24"/>
        <v>731</v>
      </c>
      <c r="C734" s="222"/>
      <c r="D734" s="222"/>
      <c r="E734" s="88"/>
      <c r="F734" s="88"/>
      <c r="G734" s="88"/>
      <c r="H734" s="3"/>
      <c r="I734" s="120"/>
      <c r="J734" s="3"/>
      <c r="K734" s="3"/>
      <c r="L734" s="3"/>
      <c r="M734" s="3"/>
      <c r="N734" s="1"/>
      <c r="O734" t="str">
        <f t="shared" si="23"/>
        <v>731. _</v>
      </c>
    </row>
    <row r="735" spans="2:15">
      <c r="B735" s="92">
        <f t="shared" si="24"/>
        <v>732</v>
      </c>
      <c r="C735" s="222"/>
      <c r="D735" s="222"/>
      <c r="E735" s="88"/>
      <c r="F735" s="88"/>
      <c r="G735" s="88"/>
      <c r="H735" s="3"/>
      <c r="I735" s="120"/>
      <c r="J735" s="3"/>
      <c r="K735" s="3"/>
      <c r="L735" s="3"/>
      <c r="M735" s="3"/>
      <c r="N735" s="1"/>
      <c r="O735" t="str">
        <f t="shared" si="23"/>
        <v>732. _</v>
      </c>
    </row>
    <row r="736" spans="2:15">
      <c r="B736" s="92">
        <f t="shared" si="24"/>
        <v>733</v>
      </c>
      <c r="C736" s="222"/>
      <c r="D736" s="222"/>
      <c r="E736" s="88"/>
      <c r="F736" s="88"/>
      <c r="G736" s="88"/>
      <c r="H736" s="3"/>
      <c r="I736" s="120"/>
      <c r="J736" s="3"/>
      <c r="K736" s="3"/>
      <c r="L736" s="3"/>
      <c r="M736" s="3"/>
      <c r="N736" s="1"/>
      <c r="O736" t="str">
        <f t="shared" si="23"/>
        <v>733. _</v>
      </c>
    </row>
    <row r="737" spans="2:15">
      <c r="B737" s="92">
        <f t="shared" si="24"/>
        <v>734</v>
      </c>
      <c r="C737" s="222"/>
      <c r="D737" s="222"/>
      <c r="E737" s="88"/>
      <c r="F737" s="88"/>
      <c r="G737" s="88"/>
      <c r="H737" s="3"/>
      <c r="I737" s="120"/>
      <c r="J737" s="3"/>
      <c r="K737" s="3"/>
      <c r="L737" s="3"/>
      <c r="M737" s="3"/>
      <c r="N737" s="1"/>
      <c r="O737" t="str">
        <f t="shared" si="23"/>
        <v>734. _</v>
      </c>
    </row>
    <row r="738" spans="2:15">
      <c r="B738" s="92">
        <f t="shared" si="24"/>
        <v>735</v>
      </c>
      <c r="C738" s="222"/>
      <c r="D738" s="222"/>
      <c r="E738" s="88"/>
      <c r="F738" s="88"/>
      <c r="G738" s="88"/>
      <c r="H738" s="3"/>
      <c r="I738" s="120"/>
      <c r="J738" s="3"/>
      <c r="K738" s="3"/>
      <c r="L738" s="3"/>
      <c r="M738" s="3"/>
      <c r="N738" s="1"/>
      <c r="O738" t="str">
        <f t="shared" si="23"/>
        <v>735. _</v>
      </c>
    </row>
    <row r="739" spans="2:15">
      <c r="B739" s="92">
        <f t="shared" si="24"/>
        <v>736</v>
      </c>
      <c r="C739" s="222"/>
      <c r="D739" s="222"/>
      <c r="E739" s="88"/>
      <c r="F739" s="88"/>
      <c r="G739" s="88"/>
      <c r="H739" s="3"/>
      <c r="I739" s="120"/>
      <c r="J739" s="3"/>
      <c r="K739" s="3"/>
      <c r="L739" s="3"/>
      <c r="M739" s="3"/>
      <c r="N739" s="1"/>
      <c r="O739" t="str">
        <f t="shared" si="23"/>
        <v>736. _</v>
      </c>
    </row>
    <row r="740" spans="2:15">
      <c r="B740" s="92">
        <f t="shared" si="24"/>
        <v>737</v>
      </c>
      <c r="C740" s="222"/>
      <c r="D740" s="222"/>
      <c r="E740" s="88"/>
      <c r="F740" s="88"/>
      <c r="G740" s="88"/>
      <c r="H740" s="3"/>
      <c r="I740" s="120"/>
      <c r="J740" s="3"/>
      <c r="K740" s="3"/>
      <c r="L740" s="3"/>
      <c r="M740" s="3"/>
      <c r="N740" s="1"/>
      <c r="O740" t="str">
        <f t="shared" si="23"/>
        <v>737. _</v>
      </c>
    </row>
    <row r="741" spans="2:15">
      <c r="B741" s="92">
        <f t="shared" si="24"/>
        <v>738</v>
      </c>
      <c r="C741" s="222"/>
      <c r="D741" s="222"/>
      <c r="E741" s="88"/>
      <c r="F741" s="88"/>
      <c r="G741" s="88"/>
      <c r="H741" s="3"/>
      <c r="I741" s="120"/>
      <c r="J741" s="3"/>
      <c r="K741" s="3"/>
      <c r="L741" s="3"/>
      <c r="M741" s="3"/>
      <c r="N741" s="1"/>
      <c r="O741" t="str">
        <f t="shared" si="23"/>
        <v>738. _</v>
      </c>
    </row>
    <row r="742" spans="2:15">
      <c r="B742" s="92">
        <f t="shared" si="24"/>
        <v>739</v>
      </c>
      <c r="C742" s="222"/>
      <c r="D742" s="222"/>
      <c r="E742" s="88"/>
      <c r="F742" s="88"/>
      <c r="G742" s="88"/>
      <c r="H742" s="3"/>
      <c r="I742" s="120"/>
      <c r="J742" s="3"/>
      <c r="K742" s="3"/>
      <c r="L742" s="3"/>
      <c r="M742" s="3"/>
      <c r="N742" s="1"/>
      <c r="O742" t="str">
        <f t="shared" si="23"/>
        <v>739. _</v>
      </c>
    </row>
    <row r="743" spans="2:15">
      <c r="B743" s="92">
        <f t="shared" si="24"/>
        <v>740</v>
      </c>
      <c r="C743" s="222"/>
      <c r="D743" s="222"/>
      <c r="E743" s="88"/>
      <c r="F743" s="88"/>
      <c r="G743" s="88"/>
      <c r="H743" s="3"/>
      <c r="I743" s="120"/>
      <c r="J743" s="3"/>
      <c r="K743" s="3"/>
      <c r="L743" s="3"/>
      <c r="M743" s="3"/>
      <c r="N743" s="1"/>
      <c r="O743" t="str">
        <f t="shared" si="23"/>
        <v>740. _</v>
      </c>
    </row>
    <row r="744" spans="2:15">
      <c r="B744" s="92">
        <f t="shared" si="24"/>
        <v>741</v>
      </c>
      <c r="C744" s="222"/>
      <c r="D744" s="222"/>
      <c r="E744" s="88"/>
      <c r="F744" s="88"/>
      <c r="G744" s="88"/>
      <c r="H744" s="3"/>
      <c r="I744" s="120"/>
      <c r="J744" s="3"/>
      <c r="K744" s="3"/>
      <c r="L744" s="3"/>
      <c r="M744" s="3"/>
      <c r="N744" s="1"/>
      <c r="O744" t="str">
        <f t="shared" si="23"/>
        <v>741. _</v>
      </c>
    </row>
    <row r="745" spans="2:15">
      <c r="B745" s="92">
        <f t="shared" si="24"/>
        <v>742</v>
      </c>
      <c r="C745" s="222"/>
      <c r="D745" s="222"/>
      <c r="E745" s="88"/>
      <c r="F745" s="88"/>
      <c r="G745" s="88"/>
      <c r="H745" s="3"/>
      <c r="I745" s="120"/>
      <c r="J745" s="3"/>
      <c r="K745" s="3"/>
      <c r="L745" s="3"/>
      <c r="M745" s="3"/>
      <c r="N745" s="1"/>
      <c r="O745" t="str">
        <f t="shared" si="23"/>
        <v>742. _</v>
      </c>
    </row>
    <row r="746" spans="2:15">
      <c r="B746" s="92">
        <f t="shared" si="24"/>
        <v>743</v>
      </c>
      <c r="C746" s="222"/>
      <c r="D746" s="222"/>
      <c r="E746" s="88"/>
      <c r="F746" s="88"/>
      <c r="G746" s="88"/>
      <c r="H746" s="3"/>
      <c r="I746" s="120"/>
      <c r="J746" s="3"/>
      <c r="K746" s="3"/>
      <c r="L746" s="3"/>
      <c r="M746" s="3"/>
      <c r="N746" s="1"/>
      <c r="O746" t="str">
        <f t="shared" si="23"/>
        <v>743. _</v>
      </c>
    </row>
    <row r="747" spans="2:15">
      <c r="B747" s="92">
        <f t="shared" si="24"/>
        <v>744</v>
      </c>
      <c r="C747" s="222"/>
      <c r="D747" s="222"/>
      <c r="E747" s="88"/>
      <c r="F747" s="88"/>
      <c r="G747" s="88"/>
      <c r="H747" s="3"/>
      <c r="I747" s="120"/>
      <c r="J747" s="3"/>
      <c r="K747" s="3"/>
      <c r="L747" s="3"/>
      <c r="M747" s="3"/>
      <c r="N747" s="1"/>
      <c r="O747" t="str">
        <f t="shared" si="23"/>
        <v>744. _</v>
      </c>
    </row>
    <row r="748" spans="2:15">
      <c r="B748" s="92">
        <f t="shared" si="24"/>
        <v>745</v>
      </c>
      <c r="C748" s="222"/>
      <c r="D748" s="222"/>
      <c r="E748" s="88"/>
      <c r="F748" s="88"/>
      <c r="G748" s="88"/>
      <c r="H748" s="3"/>
      <c r="I748" s="120"/>
      <c r="J748" s="3"/>
      <c r="K748" s="3"/>
      <c r="L748" s="3"/>
      <c r="M748" s="3"/>
      <c r="N748" s="1"/>
      <c r="O748" t="str">
        <f t="shared" si="23"/>
        <v>745. _</v>
      </c>
    </row>
    <row r="749" spans="2:15">
      <c r="B749" s="92">
        <f t="shared" si="24"/>
        <v>746</v>
      </c>
      <c r="C749" s="222"/>
      <c r="D749" s="222"/>
      <c r="E749" s="88"/>
      <c r="F749" s="88"/>
      <c r="G749" s="88"/>
      <c r="H749" s="3"/>
      <c r="I749" s="120"/>
      <c r="J749" s="3"/>
      <c r="K749" s="3"/>
      <c r="L749" s="3"/>
      <c r="M749" s="3"/>
      <c r="N749" s="1"/>
      <c r="O749" t="str">
        <f t="shared" si="23"/>
        <v>746. _</v>
      </c>
    </row>
    <row r="750" spans="2:15">
      <c r="B750" s="92">
        <f t="shared" si="24"/>
        <v>747</v>
      </c>
      <c r="C750" s="222"/>
      <c r="D750" s="222"/>
      <c r="E750" s="88"/>
      <c r="F750" s="88"/>
      <c r="G750" s="88"/>
      <c r="H750" s="3"/>
      <c r="I750" s="120"/>
      <c r="J750" s="3"/>
      <c r="K750" s="3"/>
      <c r="L750" s="3"/>
      <c r="M750" s="3"/>
      <c r="N750" s="1"/>
      <c r="O750" t="str">
        <f t="shared" si="23"/>
        <v>747. _</v>
      </c>
    </row>
    <row r="751" spans="2:15">
      <c r="B751" s="92">
        <f t="shared" si="24"/>
        <v>748</v>
      </c>
      <c r="C751" s="222"/>
      <c r="D751" s="222"/>
      <c r="E751" s="88"/>
      <c r="F751" s="88"/>
      <c r="G751" s="88"/>
      <c r="H751" s="3"/>
      <c r="I751" s="120"/>
      <c r="J751" s="3"/>
      <c r="K751" s="3"/>
      <c r="L751" s="3"/>
      <c r="M751" s="3"/>
      <c r="N751" s="1"/>
      <c r="O751" t="str">
        <f t="shared" si="23"/>
        <v>748. _</v>
      </c>
    </row>
    <row r="752" spans="2:15">
      <c r="B752" s="92">
        <f t="shared" si="24"/>
        <v>749</v>
      </c>
      <c r="C752" s="222"/>
      <c r="D752" s="222"/>
      <c r="E752" s="88"/>
      <c r="F752" s="88"/>
      <c r="G752" s="88"/>
      <c r="H752" s="3"/>
      <c r="I752" s="120"/>
      <c r="J752" s="3"/>
      <c r="K752" s="3"/>
      <c r="L752" s="3"/>
      <c r="M752" s="3"/>
      <c r="N752" s="1"/>
      <c r="O752" t="str">
        <f t="shared" si="23"/>
        <v>749. _</v>
      </c>
    </row>
    <row r="753" spans="2:15">
      <c r="B753" s="92">
        <f t="shared" si="24"/>
        <v>750</v>
      </c>
      <c r="C753" s="222"/>
      <c r="D753" s="222"/>
      <c r="E753" s="88"/>
      <c r="F753" s="88"/>
      <c r="G753" s="88"/>
      <c r="H753" s="3"/>
      <c r="I753" s="120"/>
      <c r="J753" s="3"/>
      <c r="K753" s="3"/>
      <c r="L753" s="3"/>
      <c r="M753" s="3"/>
      <c r="N753" s="1"/>
      <c r="O753" t="str">
        <f t="shared" si="23"/>
        <v>750. _</v>
      </c>
    </row>
    <row r="754" spans="2:15">
      <c r="B754" s="92">
        <f t="shared" si="24"/>
        <v>751</v>
      </c>
      <c r="C754" s="222"/>
      <c r="D754" s="222"/>
      <c r="E754" s="88"/>
      <c r="F754" s="88"/>
      <c r="G754" s="88"/>
      <c r="H754" s="3"/>
      <c r="I754" s="120"/>
      <c r="J754" s="3"/>
      <c r="K754" s="3"/>
      <c r="L754" s="3"/>
      <c r="M754" s="3"/>
      <c r="N754" s="1"/>
      <c r="O754" t="str">
        <f t="shared" si="23"/>
        <v>751. _</v>
      </c>
    </row>
    <row r="755" spans="2:15">
      <c r="B755" s="92">
        <f t="shared" si="24"/>
        <v>752</v>
      </c>
      <c r="C755" s="222"/>
      <c r="D755" s="222"/>
      <c r="E755" s="88"/>
      <c r="F755" s="88"/>
      <c r="G755" s="88"/>
      <c r="H755" s="3"/>
      <c r="I755" s="120"/>
      <c r="J755" s="3"/>
      <c r="K755" s="3"/>
      <c r="L755" s="3"/>
      <c r="M755" s="3"/>
      <c r="N755" s="1"/>
      <c r="O755" t="str">
        <f t="shared" si="23"/>
        <v>752. _</v>
      </c>
    </row>
    <row r="756" spans="2:15">
      <c r="B756" s="92">
        <f t="shared" si="24"/>
        <v>753</v>
      </c>
      <c r="C756" s="222"/>
      <c r="D756" s="222"/>
      <c r="E756" s="88"/>
      <c r="F756" s="88"/>
      <c r="G756" s="88"/>
      <c r="H756" s="3"/>
      <c r="I756" s="120"/>
      <c r="J756" s="3"/>
      <c r="K756" s="3"/>
      <c r="L756" s="3"/>
      <c r="M756" s="3"/>
      <c r="N756" s="1"/>
      <c r="O756" t="str">
        <f t="shared" si="23"/>
        <v>753. _</v>
      </c>
    </row>
    <row r="757" spans="2:15">
      <c r="B757" s="92">
        <f t="shared" si="24"/>
        <v>754</v>
      </c>
      <c r="C757" s="222"/>
      <c r="D757" s="222"/>
      <c r="E757" s="88"/>
      <c r="F757" s="88"/>
      <c r="G757" s="88"/>
      <c r="H757" s="3"/>
      <c r="I757" s="120"/>
      <c r="J757" s="3"/>
      <c r="K757" s="3"/>
      <c r="L757" s="3"/>
      <c r="M757" s="3"/>
      <c r="N757" s="1"/>
      <c r="O757" t="str">
        <f t="shared" si="23"/>
        <v>754. _</v>
      </c>
    </row>
    <row r="758" spans="2:15">
      <c r="B758" s="92">
        <f t="shared" si="24"/>
        <v>755</v>
      </c>
      <c r="C758" s="222"/>
      <c r="D758" s="222"/>
      <c r="E758" s="88"/>
      <c r="F758" s="88"/>
      <c r="G758" s="88"/>
      <c r="H758" s="3"/>
      <c r="I758" s="120"/>
      <c r="J758" s="3"/>
      <c r="N758" s="1"/>
      <c r="O758" t="str">
        <f t="shared" si="23"/>
        <v>755. _</v>
      </c>
    </row>
    <row r="759" spans="2:15">
      <c r="B759" s="92">
        <f t="shared" si="24"/>
        <v>756</v>
      </c>
      <c r="C759" s="222"/>
      <c r="D759" s="222"/>
      <c r="E759" s="88"/>
      <c r="F759" s="88"/>
      <c r="G759" s="88"/>
      <c r="H759" s="3"/>
      <c r="I759" s="120"/>
      <c r="J759" s="3"/>
      <c r="K759" s="3"/>
      <c r="L759" s="3"/>
      <c r="M759" s="3"/>
      <c r="N759" s="1"/>
      <c r="O759" t="str">
        <f t="shared" si="23"/>
        <v>756. _</v>
      </c>
    </row>
    <row r="760" spans="2:15">
      <c r="B760" s="92">
        <f t="shared" si="24"/>
        <v>757</v>
      </c>
      <c r="C760" s="217"/>
      <c r="D760" s="217"/>
      <c r="E760" s="88"/>
      <c r="F760" s="88"/>
      <c r="G760" s="88"/>
      <c r="H760" s="3"/>
      <c r="I760" s="120"/>
      <c r="J760" s="3"/>
      <c r="K760" s="3"/>
      <c r="L760" s="3"/>
      <c r="M760" s="3"/>
      <c r="N760" s="1"/>
      <c r="O760" t="str">
        <f t="shared" si="23"/>
        <v>757. _</v>
      </c>
    </row>
    <row r="761" spans="2:15">
      <c r="B761" s="92">
        <f t="shared" si="24"/>
        <v>758</v>
      </c>
      <c r="C761" s="222"/>
      <c r="D761" s="222"/>
      <c r="E761" s="88"/>
      <c r="F761" s="88"/>
      <c r="G761" s="88"/>
      <c r="H761" s="3"/>
      <c r="I761" s="120"/>
      <c r="J761" s="3"/>
      <c r="K761" s="3"/>
      <c r="L761" s="3"/>
      <c r="M761" s="3"/>
      <c r="N761" s="1"/>
      <c r="O761" t="str">
        <f t="shared" si="23"/>
        <v>758. _</v>
      </c>
    </row>
    <row r="762" spans="2:15">
      <c r="B762" s="92">
        <f t="shared" si="24"/>
        <v>759</v>
      </c>
      <c r="C762" s="222"/>
      <c r="D762" s="222"/>
      <c r="E762" s="88"/>
      <c r="F762" s="88"/>
      <c r="G762" s="88"/>
      <c r="H762" s="3"/>
      <c r="I762" s="120"/>
      <c r="J762" s="3"/>
      <c r="K762" s="3"/>
      <c r="L762" s="3"/>
      <c r="M762" s="3"/>
      <c r="N762" s="1"/>
      <c r="O762" t="str">
        <f t="shared" si="23"/>
        <v>759. _</v>
      </c>
    </row>
    <row r="763" spans="2:15">
      <c r="B763" s="92">
        <f t="shared" si="24"/>
        <v>760</v>
      </c>
      <c r="C763" s="222"/>
      <c r="D763" s="222"/>
      <c r="E763" s="88"/>
      <c r="F763" s="88"/>
      <c r="G763" s="88"/>
      <c r="H763" s="3"/>
      <c r="I763" s="120"/>
      <c r="J763" s="3"/>
      <c r="K763" s="3"/>
      <c r="L763" s="3"/>
      <c r="M763" s="3"/>
      <c r="N763" s="1"/>
      <c r="O763" t="str">
        <f t="shared" si="23"/>
        <v>760. _</v>
      </c>
    </row>
    <row r="764" spans="2:15">
      <c r="B764" s="92">
        <f t="shared" si="24"/>
        <v>761</v>
      </c>
      <c r="C764" s="222"/>
      <c r="D764" s="222"/>
      <c r="E764" s="88"/>
      <c r="F764" s="88"/>
      <c r="G764" s="88"/>
      <c r="H764" s="3"/>
      <c r="I764" s="120"/>
      <c r="J764" s="3"/>
      <c r="K764" s="3"/>
      <c r="L764" s="3"/>
      <c r="M764" s="3"/>
      <c r="N764" s="1"/>
      <c r="O764" t="str">
        <f t="shared" si="23"/>
        <v>761. _</v>
      </c>
    </row>
    <row r="765" spans="2:15">
      <c r="B765" s="92">
        <f t="shared" si="24"/>
        <v>762</v>
      </c>
      <c r="C765" s="222"/>
      <c r="D765" s="222"/>
      <c r="E765" s="88"/>
      <c r="F765" s="88"/>
      <c r="G765" s="88"/>
      <c r="H765" s="3"/>
      <c r="I765" s="120"/>
      <c r="J765" s="3"/>
      <c r="K765" s="3"/>
      <c r="L765" s="3"/>
      <c r="M765" s="3"/>
      <c r="N765" s="1"/>
      <c r="O765" t="str">
        <f t="shared" si="23"/>
        <v>762. _</v>
      </c>
    </row>
    <row r="766" spans="2:15">
      <c r="B766" s="92">
        <f t="shared" si="24"/>
        <v>763</v>
      </c>
      <c r="C766" s="222"/>
      <c r="D766" s="222"/>
      <c r="E766" s="88"/>
      <c r="F766" s="88"/>
      <c r="G766" s="88"/>
      <c r="H766" s="3"/>
      <c r="I766" s="120"/>
      <c r="J766" s="3"/>
      <c r="K766" s="3"/>
      <c r="L766" s="3"/>
      <c r="M766" s="3"/>
      <c r="N766" s="1"/>
      <c r="O766" t="str">
        <f t="shared" si="23"/>
        <v>763. _</v>
      </c>
    </row>
    <row r="767" spans="2:15">
      <c r="B767" s="92">
        <f t="shared" si="24"/>
        <v>764</v>
      </c>
      <c r="C767" s="222"/>
      <c r="D767" s="222"/>
      <c r="E767" s="88"/>
      <c r="F767" s="88"/>
      <c r="G767" s="88"/>
      <c r="H767" s="3"/>
      <c r="I767" s="120"/>
      <c r="J767" s="3"/>
      <c r="K767" s="3"/>
      <c r="L767" s="3"/>
      <c r="M767" s="3"/>
      <c r="N767" s="1"/>
      <c r="O767" t="str">
        <f t="shared" si="23"/>
        <v>764. _</v>
      </c>
    </row>
    <row r="768" spans="2:15">
      <c r="B768" s="92">
        <f t="shared" si="24"/>
        <v>765</v>
      </c>
      <c r="C768" s="222"/>
      <c r="D768" s="222"/>
      <c r="E768" s="88"/>
      <c r="F768" s="88"/>
      <c r="G768" s="88"/>
      <c r="H768" s="3"/>
      <c r="I768" s="120"/>
      <c r="J768" s="3"/>
      <c r="K768" s="3"/>
      <c r="L768" s="3"/>
      <c r="M768" s="3"/>
      <c r="N768" s="1"/>
      <c r="O768" t="str">
        <f t="shared" si="23"/>
        <v>765. _</v>
      </c>
    </row>
    <row r="769" spans="2:15">
      <c r="B769" s="92">
        <f t="shared" si="24"/>
        <v>766</v>
      </c>
      <c r="C769" s="222"/>
      <c r="D769" s="222"/>
      <c r="E769" s="88"/>
      <c r="F769" s="88"/>
      <c r="G769" s="88"/>
      <c r="H769" s="3"/>
      <c r="I769" s="120"/>
      <c r="J769" s="3"/>
      <c r="K769" s="3"/>
      <c r="L769" s="3"/>
      <c r="M769" s="3"/>
      <c r="N769" s="1"/>
      <c r="O769" t="str">
        <f t="shared" si="23"/>
        <v>766. _</v>
      </c>
    </row>
    <row r="770" spans="2:15">
      <c r="B770" s="92">
        <f t="shared" si="24"/>
        <v>767</v>
      </c>
      <c r="C770" s="222"/>
      <c r="D770" s="222"/>
      <c r="E770" s="88"/>
      <c r="F770" s="88"/>
      <c r="G770" s="88"/>
      <c r="H770" s="3"/>
      <c r="I770" s="120"/>
      <c r="J770" s="3"/>
      <c r="K770" s="3"/>
      <c r="L770" s="3"/>
      <c r="M770" s="3"/>
      <c r="N770" s="1"/>
      <c r="O770" t="str">
        <f t="shared" si="23"/>
        <v>767. _</v>
      </c>
    </row>
    <row r="771" spans="2:15">
      <c r="B771" s="92">
        <f t="shared" si="24"/>
        <v>768</v>
      </c>
      <c r="C771" s="222"/>
      <c r="D771" s="222"/>
      <c r="E771" s="88"/>
      <c r="F771" s="88"/>
      <c r="G771" s="88"/>
      <c r="H771" s="3"/>
      <c r="I771" s="120"/>
      <c r="J771" s="3"/>
      <c r="K771" s="3"/>
      <c r="L771" s="3"/>
      <c r="M771" s="3"/>
      <c r="N771" s="1"/>
      <c r="O771" t="str">
        <f t="shared" ref="O771:O834" si="25">CONCATENATE(B771,". ",C771,"_",D771)</f>
        <v>768. _</v>
      </c>
    </row>
    <row r="772" spans="2:15">
      <c r="B772" s="92">
        <f t="shared" si="24"/>
        <v>769</v>
      </c>
      <c r="C772" s="222"/>
      <c r="D772" s="222"/>
      <c r="E772" s="88"/>
      <c r="F772" s="88"/>
      <c r="G772" s="88"/>
      <c r="H772" s="3"/>
      <c r="I772" s="120"/>
      <c r="J772" s="3"/>
      <c r="K772" s="3"/>
      <c r="L772" s="3"/>
      <c r="M772" s="3"/>
      <c r="N772" s="1"/>
      <c r="O772" t="str">
        <f t="shared" si="25"/>
        <v>769. _</v>
      </c>
    </row>
    <row r="773" spans="2:15">
      <c r="B773" s="92">
        <f t="shared" ref="B773:B836" si="26">B772+1</f>
        <v>770</v>
      </c>
      <c r="C773" s="222"/>
      <c r="D773" s="222"/>
      <c r="E773" s="88"/>
      <c r="F773" s="88"/>
      <c r="G773" s="88"/>
      <c r="H773" s="3"/>
      <c r="I773" s="120"/>
      <c r="J773" s="3"/>
      <c r="K773" s="3"/>
      <c r="L773" s="3"/>
      <c r="M773" s="3"/>
      <c r="N773" s="1"/>
      <c r="O773" t="str">
        <f t="shared" si="25"/>
        <v>770. _</v>
      </c>
    </row>
    <row r="774" spans="2:15">
      <c r="B774" s="92">
        <f t="shared" si="26"/>
        <v>771</v>
      </c>
      <c r="C774" s="222"/>
      <c r="D774" s="222"/>
      <c r="E774" s="88"/>
      <c r="F774" s="88"/>
      <c r="G774" s="88"/>
      <c r="H774" s="3"/>
      <c r="I774" s="120"/>
      <c r="J774" s="3"/>
      <c r="K774" s="3"/>
      <c r="L774" s="3"/>
      <c r="M774" s="3"/>
      <c r="N774" s="1"/>
      <c r="O774" t="str">
        <f t="shared" si="25"/>
        <v>771. _</v>
      </c>
    </row>
    <row r="775" spans="2:15">
      <c r="B775" s="92">
        <f t="shared" si="26"/>
        <v>772</v>
      </c>
      <c r="C775" s="222"/>
      <c r="D775" s="222"/>
      <c r="E775" s="88"/>
      <c r="F775" s="88"/>
      <c r="G775" s="88"/>
      <c r="H775" s="3"/>
      <c r="I775" s="120"/>
      <c r="J775" s="3"/>
      <c r="K775" s="3"/>
      <c r="L775" s="3"/>
      <c r="M775" s="3"/>
      <c r="N775" s="1"/>
      <c r="O775" t="str">
        <f t="shared" si="25"/>
        <v>772. _</v>
      </c>
    </row>
    <row r="776" spans="2:15">
      <c r="B776" s="92">
        <f t="shared" si="26"/>
        <v>773</v>
      </c>
      <c r="C776" s="222"/>
      <c r="D776" s="222"/>
      <c r="E776" s="88"/>
      <c r="F776" s="88"/>
      <c r="G776" s="88"/>
      <c r="H776" s="3"/>
      <c r="I776" s="120"/>
      <c r="J776" s="3"/>
      <c r="K776" s="3"/>
      <c r="L776" s="3"/>
      <c r="M776" s="3"/>
      <c r="N776" s="1"/>
      <c r="O776" t="str">
        <f t="shared" si="25"/>
        <v>773. _</v>
      </c>
    </row>
    <row r="777" spans="2:15">
      <c r="B777" s="92">
        <f t="shared" si="26"/>
        <v>774</v>
      </c>
      <c r="C777" s="222"/>
      <c r="D777" s="222"/>
      <c r="E777" s="88"/>
      <c r="F777" s="88"/>
      <c r="G777" s="88"/>
      <c r="H777" s="3"/>
      <c r="I777" s="120"/>
      <c r="J777" s="3"/>
      <c r="K777" s="3"/>
      <c r="L777" s="3"/>
      <c r="M777" s="3"/>
      <c r="N777" s="1"/>
      <c r="O777" t="str">
        <f t="shared" si="25"/>
        <v>774. _</v>
      </c>
    </row>
    <row r="778" spans="2:15">
      <c r="B778" s="92">
        <f t="shared" si="26"/>
        <v>775</v>
      </c>
      <c r="C778" s="222"/>
      <c r="D778" s="222"/>
      <c r="E778" s="88"/>
      <c r="F778" s="88"/>
      <c r="G778" s="88"/>
      <c r="H778" s="3"/>
      <c r="I778" s="120"/>
      <c r="J778" s="3"/>
      <c r="K778" s="3"/>
      <c r="L778" s="3"/>
      <c r="M778" s="3"/>
      <c r="N778" s="1"/>
      <c r="O778" t="str">
        <f t="shared" si="25"/>
        <v>775. _</v>
      </c>
    </row>
    <row r="779" spans="2:15">
      <c r="B779" s="92">
        <f t="shared" si="26"/>
        <v>776</v>
      </c>
      <c r="C779" s="222"/>
      <c r="D779" s="222"/>
      <c r="E779" s="88"/>
      <c r="F779" s="88"/>
      <c r="G779" s="88"/>
      <c r="H779" s="3"/>
      <c r="I779" s="120"/>
      <c r="J779" s="3"/>
      <c r="K779" s="3"/>
      <c r="L779" s="3"/>
      <c r="M779" s="3"/>
      <c r="N779" s="1"/>
      <c r="O779" t="str">
        <f t="shared" si="25"/>
        <v>776. _</v>
      </c>
    </row>
    <row r="780" spans="2:15">
      <c r="B780" s="92">
        <f t="shared" si="26"/>
        <v>777</v>
      </c>
      <c r="C780" s="222"/>
      <c r="D780" s="222"/>
      <c r="E780" s="88"/>
      <c r="F780" s="88"/>
      <c r="G780" s="88"/>
      <c r="H780" s="3"/>
      <c r="I780" s="120"/>
      <c r="J780" s="3"/>
      <c r="K780" s="3"/>
      <c r="L780" s="3"/>
      <c r="M780" s="3"/>
      <c r="N780" s="1"/>
      <c r="O780" t="str">
        <f t="shared" si="25"/>
        <v>777. _</v>
      </c>
    </row>
    <row r="781" spans="2:15">
      <c r="B781" s="92">
        <f t="shared" si="26"/>
        <v>778</v>
      </c>
      <c r="C781" s="222"/>
      <c r="D781" s="238"/>
      <c r="E781" s="88"/>
      <c r="F781" s="88"/>
      <c r="G781" s="88"/>
      <c r="H781" s="3"/>
      <c r="I781" s="120"/>
      <c r="J781" s="3"/>
      <c r="K781" s="3"/>
      <c r="L781" s="3"/>
      <c r="M781" s="3"/>
      <c r="N781" s="1"/>
      <c r="O781" t="str">
        <f t="shared" si="25"/>
        <v>778. _</v>
      </c>
    </row>
    <row r="782" spans="2:15">
      <c r="B782" s="92">
        <f t="shared" si="26"/>
        <v>779</v>
      </c>
      <c r="C782" s="222"/>
      <c r="D782" s="222"/>
      <c r="E782" s="88"/>
      <c r="F782" s="88"/>
      <c r="G782" s="88"/>
      <c r="H782" s="3"/>
      <c r="I782" s="120"/>
      <c r="J782" s="3"/>
      <c r="K782" s="3"/>
      <c r="L782" s="3"/>
      <c r="M782" s="3"/>
      <c r="N782" s="1"/>
      <c r="O782" t="str">
        <f t="shared" si="25"/>
        <v>779. _</v>
      </c>
    </row>
    <row r="783" spans="2:15">
      <c r="B783" s="92">
        <f t="shared" si="26"/>
        <v>780</v>
      </c>
      <c r="C783" s="222"/>
      <c r="D783" s="222"/>
      <c r="E783" s="88"/>
      <c r="F783" s="88"/>
      <c r="G783" s="88"/>
      <c r="H783" s="3"/>
      <c r="I783" s="120"/>
      <c r="J783" s="3"/>
      <c r="K783" s="3"/>
      <c r="L783" s="3"/>
      <c r="M783" s="3"/>
      <c r="N783" s="1"/>
      <c r="O783" t="str">
        <f t="shared" si="25"/>
        <v>780. _</v>
      </c>
    </row>
    <row r="784" spans="2:15">
      <c r="B784" s="92">
        <f t="shared" si="26"/>
        <v>781</v>
      </c>
      <c r="C784" s="222"/>
      <c r="D784" s="222"/>
      <c r="E784" s="88"/>
      <c r="F784" s="88"/>
      <c r="G784" s="88"/>
      <c r="H784" s="3"/>
      <c r="I784" s="120"/>
      <c r="J784" s="3"/>
      <c r="K784" s="3"/>
      <c r="L784" s="3"/>
      <c r="M784" s="3"/>
      <c r="N784" s="1"/>
      <c r="O784" t="str">
        <f t="shared" si="25"/>
        <v>781. _</v>
      </c>
    </row>
    <row r="785" spans="2:15">
      <c r="B785" s="92">
        <f t="shared" si="26"/>
        <v>782</v>
      </c>
      <c r="C785" s="222"/>
      <c r="D785" s="222"/>
      <c r="E785" s="88"/>
      <c r="F785" s="88"/>
      <c r="G785" s="88"/>
      <c r="H785" s="3"/>
      <c r="I785" s="120"/>
      <c r="J785" s="3"/>
      <c r="K785" s="3"/>
      <c r="L785" s="3"/>
      <c r="M785" s="3"/>
      <c r="N785" s="1"/>
      <c r="O785" t="str">
        <f t="shared" si="25"/>
        <v>782. _</v>
      </c>
    </row>
    <row r="786" spans="2:15">
      <c r="B786" s="92">
        <f t="shared" si="26"/>
        <v>783</v>
      </c>
      <c r="C786" s="222"/>
      <c r="D786" s="222"/>
      <c r="E786" s="88"/>
      <c r="F786" s="88"/>
      <c r="G786" s="88"/>
      <c r="H786" s="3"/>
      <c r="I786" s="120"/>
      <c r="J786" s="3"/>
      <c r="K786" s="3"/>
      <c r="L786" s="3"/>
      <c r="M786" s="3"/>
      <c r="N786" s="1"/>
      <c r="O786" t="str">
        <f t="shared" si="25"/>
        <v>783. _</v>
      </c>
    </row>
    <row r="787" spans="2:15">
      <c r="B787" s="92">
        <f t="shared" si="26"/>
        <v>784</v>
      </c>
      <c r="C787" s="222"/>
      <c r="D787" s="222"/>
      <c r="E787" s="88"/>
      <c r="F787" s="88"/>
      <c r="G787" s="88"/>
      <c r="H787" s="3"/>
      <c r="I787" s="120"/>
      <c r="J787" s="3"/>
      <c r="K787" s="3"/>
      <c r="L787" s="3"/>
      <c r="M787" s="3"/>
      <c r="N787" s="1"/>
      <c r="O787" t="str">
        <f t="shared" si="25"/>
        <v>784. _</v>
      </c>
    </row>
    <row r="788" spans="2:15">
      <c r="B788" s="92">
        <f t="shared" si="26"/>
        <v>785</v>
      </c>
      <c r="C788" s="222"/>
      <c r="D788" s="222"/>
      <c r="E788" s="88"/>
      <c r="F788" s="88"/>
      <c r="G788" s="88"/>
      <c r="H788" s="3"/>
      <c r="I788" s="120"/>
      <c r="J788" s="3"/>
      <c r="K788" s="3"/>
      <c r="L788" s="3"/>
      <c r="M788" s="3"/>
      <c r="N788" s="1"/>
      <c r="O788" t="str">
        <f t="shared" si="25"/>
        <v>785. _</v>
      </c>
    </row>
    <row r="789" spans="2:15">
      <c r="B789" s="92">
        <f t="shared" si="26"/>
        <v>786</v>
      </c>
      <c r="C789" s="222"/>
      <c r="D789" s="222"/>
      <c r="E789" s="88"/>
      <c r="F789" s="88"/>
      <c r="G789" s="88"/>
      <c r="H789" s="3"/>
      <c r="I789" s="120"/>
      <c r="J789" s="3"/>
      <c r="K789" s="3"/>
      <c r="L789" s="3"/>
      <c r="M789" s="3"/>
      <c r="N789" s="1"/>
      <c r="O789" t="str">
        <f t="shared" si="25"/>
        <v>786. _</v>
      </c>
    </row>
    <row r="790" spans="2:15" ht="17.25" customHeight="1">
      <c r="B790" s="92">
        <f t="shared" si="26"/>
        <v>787</v>
      </c>
      <c r="C790" s="222"/>
      <c r="D790" s="222"/>
      <c r="E790" s="88"/>
      <c r="F790" s="88"/>
      <c r="G790" s="88"/>
      <c r="H790" s="3"/>
      <c r="I790" s="120"/>
      <c r="J790" s="3"/>
      <c r="K790" s="3"/>
      <c r="L790" s="3"/>
      <c r="M790" s="3"/>
      <c r="N790" s="1"/>
      <c r="O790" t="str">
        <f t="shared" si="25"/>
        <v>787. _</v>
      </c>
    </row>
    <row r="791" spans="2:15">
      <c r="B791" s="92">
        <f t="shared" si="26"/>
        <v>788</v>
      </c>
      <c r="C791" s="222"/>
      <c r="D791" s="222"/>
      <c r="E791" s="88"/>
      <c r="F791" s="88"/>
      <c r="G791" s="88"/>
      <c r="H791" s="3"/>
      <c r="I791" s="120"/>
      <c r="J791" s="3"/>
      <c r="K791" s="3"/>
      <c r="L791" s="3"/>
      <c r="M791" s="3"/>
      <c r="N791" s="1"/>
      <c r="O791" t="str">
        <f t="shared" si="25"/>
        <v>788. _</v>
      </c>
    </row>
    <row r="792" spans="2:15">
      <c r="B792" s="92">
        <f t="shared" si="26"/>
        <v>789</v>
      </c>
      <c r="C792" s="222"/>
      <c r="D792" s="222"/>
      <c r="E792" s="88"/>
      <c r="F792" s="88"/>
      <c r="G792" s="88"/>
      <c r="H792" s="3"/>
      <c r="I792" s="120"/>
      <c r="J792" s="3"/>
      <c r="K792" s="3"/>
      <c r="L792" s="3"/>
      <c r="M792" s="3"/>
      <c r="N792" s="1"/>
      <c r="O792" t="str">
        <f t="shared" si="25"/>
        <v>789. _</v>
      </c>
    </row>
    <row r="793" spans="2:15">
      <c r="B793" s="92">
        <f t="shared" si="26"/>
        <v>790</v>
      </c>
      <c r="C793" s="222"/>
      <c r="D793" s="222"/>
      <c r="E793" s="88"/>
      <c r="F793" s="88"/>
      <c r="G793" s="88"/>
      <c r="H793" s="3"/>
      <c r="I793" s="120"/>
      <c r="J793" s="3"/>
      <c r="K793" s="3"/>
      <c r="L793" s="3"/>
      <c r="M793" s="3"/>
      <c r="N793" s="1"/>
      <c r="O793" t="str">
        <f t="shared" si="25"/>
        <v>790. _</v>
      </c>
    </row>
    <row r="794" spans="2:15">
      <c r="B794" s="92">
        <f t="shared" si="26"/>
        <v>791</v>
      </c>
      <c r="C794" s="222"/>
      <c r="D794" s="222"/>
      <c r="E794" s="88"/>
      <c r="F794" s="88"/>
      <c r="G794" s="88"/>
      <c r="H794" s="3"/>
      <c r="I794" s="120"/>
      <c r="J794" s="3"/>
      <c r="K794" s="3"/>
      <c r="L794" s="3"/>
      <c r="M794" s="3"/>
      <c r="N794" s="1"/>
      <c r="O794" t="str">
        <f t="shared" si="25"/>
        <v>791. _</v>
      </c>
    </row>
    <row r="795" spans="2:15">
      <c r="B795" s="92">
        <f t="shared" si="26"/>
        <v>792</v>
      </c>
      <c r="C795" s="222"/>
      <c r="D795" s="222"/>
      <c r="E795" s="88"/>
      <c r="F795" s="88"/>
      <c r="G795" s="88"/>
      <c r="H795" s="3"/>
      <c r="I795" s="3"/>
      <c r="J795" s="3"/>
      <c r="K795" s="3"/>
      <c r="L795" s="3"/>
      <c r="M795" s="3"/>
      <c r="N795" s="1"/>
      <c r="O795" t="str">
        <f t="shared" si="25"/>
        <v>792. _</v>
      </c>
    </row>
    <row r="796" spans="2:15">
      <c r="B796" s="92">
        <f t="shared" si="26"/>
        <v>793</v>
      </c>
      <c r="C796" s="222"/>
      <c r="D796" s="222"/>
      <c r="E796" s="88"/>
      <c r="F796" s="88"/>
      <c r="G796" s="88"/>
      <c r="H796" s="3"/>
      <c r="I796" s="120"/>
      <c r="J796" s="3"/>
      <c r="K796" s="3"/>
      <c r="L796" s="3"/>
      <c r="M796" s="3"/>
      <c r="N796" s="1"/>
      <c r="O796" t="str">
        <f t="shared" si="25"/>
        <v>793. _</v>
      </c>
    </row>
    <row r="797" spans="2:15">
      <c r="B797" s="92">
        <f t="shared" si="26"/>
        <v>794</v>
      </c>
      <c r="C797" s="222"/>
      <c r="D797" s="222"/>
      <c r="E797" s="88"/>
      <c r="F797" s="88"/>
      <c r="G797" s="88"/>
      <c r="H797" s="3"/>
      <c r="I797" s="120"/>
      <c r="J797" s="3"/>
      <c r="K797" s="3"/>
      <c r="L797" s="3"/>
      <c r="M797" s="3"/>
      <c r="N797" s="1"/>
      <c r="O797" t="str">
        <f t="shared" si="25"/>
        <v>794. _</v>
      </c>
    </row>
    <row r="798" spans="2:15">
      <c r="B798" s="92">
        <f t="shared" si="26"/>
        <v>795</v>
      </c>
      <c r="C798" s="222"/>
      <c r="D798" s="222"/>
      <c r="E798" s="88"/>
      <c r="F798" s="88"/>
      <c r="G798" s="88"/>
      <c r="H798" s="3"/>
      <c r="I798" s="3"/>
      <c r="J798" s="3"/>
      <c r="K798" s="3"/>
      <c r="L798" s="3"/>
      <c r="M798" s="3"/>
      <c r="N798" s="1"/>
      <c r="O798" t="str">
        <f t="shared" si="25"/>
        <v>795. _</v>
      </c>
    </row>
    <row r="799" spans="2:15">
      <c r="B799" s="92">
        <f t="shared" si="26"/>
        <v>796</v>
      </c>
      <c r="C799" s="222"/>
      <c r="D799" s="222"/>
      <c r="E799" s="88"/>
      <c r="F799" s="88"/>
      <c r="G799" s="88"/>
      <c r="H799" s="3"/>
      <c r="I799" s="3"/>
      <c r="J799" s="3"/>
      <c r="K799" s="3"/>
      <c r="L799" s="3"/>
      <c r="M799" s="3"/>
      <c r="N799" s="1"/>
      <c r="O799" t="str">
        <f t="shared" si="25"/>
        <v>796. _</v>
      </c>
    </row>
    <row r="800" spans="2:15">
      <c r="B800" s="92">
        <f t="shared" si="26"/>
        <v>797</v>
      </c>
      <c r="C800" s="222"/>
      <c r="D800" s="222"/>
      <c r="E800" s="88"/>
      <c r="F800" s="88"/>
      <c r="G800" s="88"/>
      <c r="H800" s="3"/>
      <c r="I800" s="3"/>
      <c r="J800" s="3"/>
      <c r="K800" s="3"/>
      <c r="L800" s="3"/>
      <c r="M800" s="3"/>
      <c r="N800" s="1"/>
      <c r="O800" t="str">
        <f t="shared" si="25"/>
        <v>797. _</v>
      </c>
    </row>
    <row r="801" spans="2:15">
      <c r="B801" s="92">
        <f t="shared" si="26"/>
        <v>798</v>
      </c>
      <c r="C801" s="222"/>
      <c r="D801" s="222"/>
      <c r="E801" s="88"/>
      <c r="F801" s="88"/>
      <c r="G801" s="88"/>
      <c r="H801" s="3"/>
      <c r="I801" s="3"/>
      <c r="J801" s="3"/>
      <c r="K801" s="3"/>
      <c r="L801" s="3"/>
      <c r="M801" s="3"/>
      <c r="N801" s="1"/>
      <c r="O801" t="str">
        <f t="shared" si="25"/>
        <v>798. _</v>
      </c>
    </row>
    <row r="802" spans="2:15">
      <c r="B802" s="92">
        <f t="shared" si="26"/>
        <v>799</v>
      </c>
      <c r="C802" s="222"/>
      <c r="D802" s="222"/>
      <c r="E802" s="88"/>
      <c r="F802" s="88"/>
      <c r="G802" s="88"/>
      <c r="H802" s="3"/>
      <c r="I802" s="3"/>
      <c r="J802" s="3"/>
      <c r="K802" s="3"/>
      <c r="L802" s="3"/>
      <c r="M802" s="3"/>
      <c r="N802" s="1"/>
      <c r="O802" t="str">
        <f t="shared" si="25"/>
        <v>799. _</v>
      </c>
    </row>
    <row r="803" spans="2:15">
      <c r="B803" s="92">
        <f t="shared" si="26"/>
        <v>800</v>
      </c>
      <c r="C803" s="222"/>
      <c r="D803" s="222"/>
      <c r="E803" s="88"/>
      <c r="F803" s="88"/>
      <c r="G803" s="88"/>
      <c r="H803" s="3"/>
      <c r="I803" s="3"/>
      <c r="J803" s="3"/>
      <c r="K803" s="3"/>
      <c r="L803" s="3"/>
      <c r="M803" s="3"/>
      <c r="N803" s="1"/>
      <c r="O803" t="str">
        <f t="shared" si="25"/>
        <v>800. _</v>
      </c>
    </row>
    <row r="804" spans="2:15">
      <c r="B804" s="92">
        <f t="shared" si="26"/>
        <v>801</v>
      </c>
      <c r="C804" s="222"/>
      <c r="D804" s="222"/>
      <c r="E804" s="88"/>
      <c r="F804" s="88"/>
      <c r="G804" s="88"/>
      <c r="H804" s="3"/>
      <c r="I804" s="3"/>
      <c r="J804" s="3"/>
      <c r="K804" s="3"/>
      <c r="L804" s="3"/>
      <c r="M804" s="3"/>
      <c r="N804" s="1"/>
      <c r="O804" t="str">
        <f t="shared" si="25"/>
        <v>801. _</v>
      </c>
    </row>
    <row r="805" spans="2:15">
      <c r="B805" s="92">
        <f t="shared" si="26"/>
        <v>802</v>
      </c>
      <c r="C805" s="222"/>
      <c r="D805" s="222"/>
      <c r="E805" s="88"/>
      <c r="F805" s="88"/>
      <c r="G805" s="88"/>
      <c r="H805" s="3"/>
      <c r="I805" s="120"/>
      <c r="J805" s="3"/>
      <c r="K805" s="3"/>
      <c r="L805" s="3"/>
      <c r="M805" s="3"/>
      <c r="N805" s="1"/>
      <c r="O805" t="str">
        <f t="shared" si="25"/>
        <v>802. _</v>
      </c>
    </row>
    <row r="806" spans="2:15">
      <c r="B806" s="92">
        <f t="shared" si="26"/>
        <v>803</v>
      </c>
      <c r="C806" s="217"/>
      <c r="D806" s="217"/>
      <c r="E806" s="88"/>
      <c r="F806" s="88"/>
      <c r="G806" s="88"/>
      <c r="H806" s="3"/>
      <c r="I806" s="3"/>
      <c r="J806" s="3"/>
      <c r="K806" s="3"/>
      <c r="L806" s="3"/>
      <c r="M806" s="3"/>
      <c r="N806" s="1"/>
      <c r="O806" t="str">
        <f t="shared" si="25"/>
        <v>803. _</v>
      </c>
    </row>
    <row r="807" spans="2:15">
      <c r="B807" s="92">
        <f t="shared" si="26"/>
        <v>804</v>
      </c>
      <c r="C807" s="222"/>
      <c r="D807" s="222"/>
      <c r="E807" s="88"/>
      <c r="F807" s="88"/>
      <c r="G807" s="88"/>
      <c r="H807" s="3"/>
      <c r="I807" s="3"/>
      <c r="J807" s="3"/>
      <c r="K807" s="3"/>
      <c r="L807" s="3"/>
      <c r="M807" s="3"/>
      <c r="N807" s="1"/>
      <c r="O807" t="str">
        <f t="shared" si="25"/>
        <v>804. _</v>
      </c>
    </row>
    <row r="808" spans="2:15">
      <c r="B808" s="92">
        <f t="shared" si="26"/>
        <v>805</v>
      </c>
      <c r="C808" s="222"/>
      <c r="D808" s="222"/>
      <c r="E808" s="88"/>
      <c r="F808" s="88"/>
      <c r="G808" s="88"/>
      <c r="H808" s="3"/>
      <c r="I808" s="3"/>
      <c r="J808" s="3"/>
      <c r="K808" s="3"/>
      <c r="L808" s="3"/>
      <c r="M808" s="3"/>
      <c r="N808" s="1"/>
      <c r="O808" t="str">
        <f t="shared" si="25"/>
        <v>805. _</v>
      </c>
    </row>
    <row r="809" spans="2:15">
      <c r="B809" s="92">
        <f t="shared" si="26"/>
        <v>806</v>
      </c>
      <c r="C809" s="222"/>
      <c r="D809" s="222"/>
      <c r="E809" s="88"/>
      <c r="F809" s="88"/>
      <c r="G809" s="88"/>
      <c r="H809" s="3"/>
      <c r="I809" s="3"/>
      <c r="J809" s="3"/>
      <c r="K809" s="3"/>
      <c r="L809" s="3"/>
      <c r="M809" s="3"/>
      <c r="N809" s="1"/>
      <c r="O809" t="str">
        <f t="shared" si="25"/>
        <v>806. _</v>
      </c>
    </row>
    <row r="810" spans="2:15">
      <c r="B810" s="92">
        <f t="shared" si="26"/>
        <v>807</v>
      </c>
      <c r="C810" s="222"/>
      <c r="D810" s="222"/>
      <c r="E810" s="88"/>
      <c r="F810" s="88"/>
      <c r="G810" s="88"/>
      <c r="H810" s="3"/>
      <c r="I810" s="3"/>
      <c r="J810" s="3"/>
      <c r="K810" s="3"/>
      <c r="L810" s="3"/>
      <c r="M810" s="3"/>
      <c r="N810" s="1"/>
      <c r="O810" t="str">
        <f t="shared" si="25"/>
        <v>807. _</v>
      </c>
    </row>
    <row r="811" spans="2:15">
      <c r="B811" s="92">
        <f t="shared" si="26"/>
        <v>808</v>
      </c>
      <c r="C811" s="222"/>
      <c r="D811" s="222"/>
      <c r="E811" s="88"/>
      <c r="F811" s="88"/>
      <c r="G811" s="88"/>
      <c r="H811" s="3"/>
      <c r="I811" s="3"/>
      <c r="J811" s="3"/>
      <c r="K811" s="3"/>
      <c r="L811" s="3"/>
      <c r="M811" s="3"/>
      <c r="N811" s="1"/>
      <c r="O811" t="str">
        <f t="shared" si="25"/>
        <v>808. _</v>
      </c>
    </row>
    <row r="812" spans="2:15">
      <c r="B812" s="92">
        <f t="shared" si="26"/>
        <v>809</v>
      </c>
      <c r="C812" s="222"/>
      <c r="D812" s="222"/>
      <c r="E812" s="88"/>
      <c r="F812" s="88"/>
      <c r="G812" s="88"/>
      <c r="H812" s="3"/>
      <c r="I812" s="3"/>
      <c r="J812" s="3"/>
      <c r="K812" s="3"/>
      <c r="L812" s="3"/>
      <c r="M812" s="3"/>
      <c r="N812" s="1"/>
      <c r="O812" t="str">
        <f t="shared" si="25"/>
        <v>809. _</v>
      </c>
    </row>
    <row r="813" spans="2:15">
      <c r="B813" s="92">
        <f t="shared" si="26"/>
        <v>810</v>
      </c>
      <c r="C813" s="222"/>
      <c r="D813" s="222"/>
      <c r="E813" s="88"/>
      <c r="F813" s="88"/>
      <c r="G813" s="88"/>
      <c r="H813" s="3"/>
      <c r="I813" s="3"/>
      <c r="J813" s="3"/>
      <c r="K813" s="3"/>
      <c r="L813" s="3"/>
      <c r="M813" s="3"/>
      <c r="N813" s="1"/>
      <c r="O813" t="str">
        <f t="shared" si="25"/>
        <v>810. _</v>
      </c>
    </row>
    <row r="814" spans="2:15">
      <c r="B814" s="92">
        <f t="shared" si="26"/>
        <v>811</v>
      </c>
      <c r="C814" s="222"/>
      <c r="D814" s="222"/>
      <c r="E814" s="88"/>
      <c r="F814" s="88"/>
      <c r="G814" s="88"/>
      <c r="H814" s="3"/>
      <c r="I814" s="3"/>
      <c r="J814" s="3"/>
      <c r="K814" s="3"/>
      <c r="L814" s="3"/>
      <c r="M814" s="3"/>
      <c r="N814" s="1"/>
      <c r="O814" t="str">
        <f t="shared" si="25"/>
        <v>811. _</v>
      </c>
    </row>
    <row r="815" spans="2:15">
      <c r="B815" s="92">
        <f t="shared" si="26"/>
        <v>812</v>
      </c>
      <c r="C815" s="222"/>
      <c r="D815" s="222"/>
      <c r="E815" s="88"/>
      <c r="F815" s="88"/>
      <c r="G815" s="88"/>
      <c r="H815" s="3"/>
      <c r="I815" s="3"/>
      <c r="J815" s="3"/>
      <c r="K815" s="3"/>
      <c r="L815" s="3"/>
      <c r="M815" s="3"/>
      <c r="N815" s="1"/>
      <c r="O815" t="str">
        <f t="shared" si="25"/>
        <v>812. _</v>
      </c>
    </row>
    <row r="816" spans="2:15">
      <c r="B816" s="92">
        <f t="shared" si="26"/>
        <v>813</v>
      </c>
      <c r="C816" s="222"/>
      <c r="D816" s="222"/>
      <c r="E816" s="88"/>
      <c r="F816" s="88"/>
      <c r="G816" s="88"/>
      <c r="H816" s="3"/>
      <c r="I816" s="3"/>
      <c r="J816" s="3"/>
      <c r="K816" s="3"/>
      <c r="L816" s="3"/>
      <c r="M816" s="3"/>
      <c r="N816" s="1"/>
      <c r="O816" t="str">
        <f t="shared" si="25"/>
        <v>813. _</v>
      </c>
    </row>
    <row r="817" spans="2:15">
      <c r="B817" s="92">
        <f t="shared" si="26"/>
        <v>814</v>
      </c>
      <c r="C817" s="222"/>
      <c r="D817" s="222"/>
      <c r="E817" s="88"/>
      <c r="F817" s="88"/>
      <c r="G817" s="88"/>
      <c r="H817" s="3"/>
      <c r="I817" s="3"/>
      <c r="J817" s="3"/>
      <c r="K817" s="3"/>
      <c r="L817" s="3"/>
      <c r="M817" s="3"/>
      <c r="N817" s="1"/>
      <c r="O817" t="str">
        <f t="shared" si="25"/>
        <v>814. _</v>
      </c>
    </row>
    <row r="818" spans="2:15">
      <c r="B818" s="92">
        <f t="shared" si="26"/>
        <v>815</v>
      </c>
      <c r="C818" s="222"/>
      <c r="D818" s="222"/>
      <c r="E818" s="88"/>
      <c r="F818" s="88"/>
      <c r="G818" s="88"/>
      <c r="H818" s="3"/>
      <c r="I818" s="3"/>
      <c r="J818" s="3"/>
      <c r="K818" s="3"/>
      <c r="L818" s="3"/>
      <c r="M818" s="3"/>
      <c r="N818" s="1"/>
      <c r="O818" t="str">
        <f t="shared" si="25"/>
        <v>815. _</v>
      </c>
    </row>
    <row r="819" spans="2:15">
      <c r="B819" s="92">
        <f t="shared" si="26"/>
        <v>816</v>
      </c>
      <c r="C819" s="222"/>
      <c r="D819" s="222"/>
      <c r="E819" s="88"/>
      <c r="F819" s="88"/>
      <c r="G819" s="88"/>
      <c r="H819" s="3"/>
      <c r="I819" s="3"/>
      <c r="J819" s="3"/>
      <c r="K819" s="3"/>
      <c r="L819" s="3"/>
      <c r="M819" s="3"/>
      <c r="N819" s="1"/>
      <c r="O819" t="str">
        <f t="shared" si="25"/>
        <v>816. _</v>
      </c>
    </row>
    <row r="820" spans="2:15">
      <c r="B820" s="92">
        <f t="shared" si="26"/>
        <v>817</v>
      </c>
      <c r="C820" s="222"/>
      <c r="D820" s="222"/>
      <c r="E820" s="88"/>
      <c r="F820" s="88"/>
      <c r="G820" s="88"/>
      <c r="H820" s="3"/>
      <c r="I820" s="3"/>
      <c r="J820" s="3"/>
      <c r="K820" s="3"/>
      <c r="L820" s="3"/>
      <c r="M820" s="3"/>
      <c r="N820" s="1"/>
      <c r="O820" t="str">
        <f t="shared" si="25"/>
        <v>817. _</v>
      </c>
    </row>
    <row r="821" spans="2:15">
      <c r="B821" s="92">
        <f t="shared" si="26"/>
        <v>818</v>
      </c>
      <c r="C821" s="222"/>
      <c r="D821" s="222"/>
      <c r="E821" s="88"/>
      <c r="F821" s="88"/>
      <c r="G821" s="88"/>
      <c r="H821" s="3"/>
      <c r="I821" s="3"/>
      <c r="J821" s="3"/>
      <c r="K821" s="3"/>
      <c r="L821" s="3"/>
      <c r="M821" s="3"/>
      <c r="N821" s="1"/>
      <c r="O821" t="str">
        <f t="shared" si="25"/>
        <v>818. _</v>
      </c>
    </row>
    <row r="822" spans="2:15">
      <c r="B822" s="92">
        <f t="shared" si="26"/>
        <v>819</v>
      </c>
      <c r="C822" s="222"/>
      <c r="D822" s="222"/>
      <c r="E822" s="88"/>
      <c r="F822" s="88"/>
      <c r="G822" s="88"/>
      <c r="H822" s="3"/>
      <c r="I822" s="3"/>
      <c r="J822" s="3"/>
      <c r="K822" s="3"/>
      <c r="L822" s="3"/>
      <c r="M822" s="3"/>
      <c r="N822" s="1"/>
      <c r="O822" t="str">
        <f t="shared" si="25"/>
        <v>819. _</v>
      </c>
    </row>
    <row r="823" spans="2:15">
      <c r="B823" s="92">
        <f t="shared" si="26"/>
        <v>820</v>
      </c>
      <c r="C823" s="222"/>
      <c r="D823" s="222"/>
      <c r="E823" s="88"/>
      <c r="F823" s="88"/>
      <c r="G823" s="88"/>
      <c r="H823" s="3"/>
      <c r="I823" s="3"/>
      <c r="J823" s="3"/>
      <c r="K823" s="3"/>
      <c r="L823" s="3"/>
      <c r="M823" s="3"/>
      <c r="N823" s="1"/>
      <c r="O823" t="str">
        <f t="shared" si="25"/>
        <v>820. _</v>
      </c>
    </row>
    <row r="824" spans="2:15">
      <c r="B824" s="92">
        <f t="shared" si="26"/>
        <v>821</v>
      </c>
      <c r="C824" s="222"/>
      <c r="D824" s="222"/>
      <c r="E824" s="88"/>
      <c r="F824" s="88"/>
      <c r="G824" s="88"/>
      <c r="H824" s="3"/>
      <c r="I824" s="3"/>
      <c r="J824" s="3"/>
      <c r="K824" s="3"/>
      <c r="L824" s="3"/>
      <c r="M824" s="3"/>
      <c r="N824" s="1"/>
      <c r="O824" t="str">
        <f t="shared" si="25"/>
        <v>821. _</v>
      </c>
    </row>
    <row r="825" spans="2:15">
      <c r="B825" s="92">
        <f t="shared" si="26"/>
        <v>822</v>
      </c>
      <c r="C825" s="222"/>
      <c r="D825" s="222"/>
      <c r="E825" s="88"/>
      <c r="F825" s="88"/>
      <c r="G825" s="88"/>
      <c r="H825" s="3"/>
      <c r="I825" s="3"/>
      <c r="J825" s="3"/>
      <c r="K825" s="3"/>
      <c r="L825" s="3"/>
      <c r="M825" s="3"/>
      <c r="N825" s="1"/>
      <c r="O825" t="str">
        <f t="shared" si="25"/>
        <v>822. _</v>
      </c>
    </row>
    <row r="826" spans="2:15">
      <c r="B826" s="92">
        <f t="shared" si="26"/>
        <v>823</v>
      </c>
      <c r="C826" s="222"/>
      <c r="D826" s="222"/>
      <c r="E826" s="88"/>
      <c r="F826" s="88"/>
      <c r="G826" s="88"/>
      <c r="H826" s="3"/>
      <c r="I826" s="3"/>
      <c r="J826" s="3"/>
      <c r="K826" s="3"/>
      <c r="L826" s="3"/>
      <c r="M826" s="3"/>
      <c r="N826" s="1"/>
      <c r="O826" t="str">
        <f t="shared" si="25"/>
        <v>823. _</v>
      </c>
    </row>
    <row r="827" spans="2:15">
      <c r="B827" s="92">
        <f t="shared" si="26"/>
        <v>824</v>
      </c>
      <c r="C827" s="222"/>
      <c r="D827" s="222"/>
      <c r="E827" s="88"/>
      <c r="F827" s="88"/>
      <c r="G827" s="88"/>
      <c r="H827" s="3"/>
      <c r="I827" s="3"/>
      <c r="J827" s="3"/>
      <c r="K827" s="3"/>
      <c r="L827" s="3"/>
      <c r="M827" s="3"/>
      <c r="N827" s="1"/>
      <c r="O827" t="str">
        <f t="shared" si="25"/>
        <v>824. _</v>
      </c>
    </row>
    <row r="828" spans="2:15">
      <c r="B828" s="92">
        <f t="shared" si="26"/>
        <v>825</v>
      </c>
      <c r="C828" s="222"/>
      <c r="D828" s="222"/>
      <c r="E828" s="88"/>
      <c r="F828" s="88"/>
      <c r="G828" s="88"/>
      <c r="H828" s="3"/>
      <c r="I828" s="3"/>
      <c r="J828" s="3"/>
      <c r="K828" s="3"/>
      <c r="L828" s="3"/>
      <c r="M828" s="3"/>
      <c r="N828" s="1"/>
      <c r="O828" t="str">
        <f t="shared" si="25"/>
        <v>825. _</v>
      </c>
    </row>
    <row r="829" spans="2:15">
      <c r="B829" s="92">
        <f t="shared" si="26"/>
        <v>826</v>
      </c>
      <c r="C829" s="222"/>
      <c r="D829" s="222"/>
      <c r="E829" s="88"/>
      <c r="F829" s="88"/>
      <c r="G829" s="88"/>
      <c r="H829" s="3"/>
      <c r="I829" s="3"/>
      <c r="J829" s="3"/>
      <c r="K829" s="3"/>
      <c r="L829" s="3"/>
      <c r="M829" s="3"/>
      <c r="N829" s="1"/>
      <c r="O829" t="str">
        <f t="shared" si="25"/>
        <v>826. _</v>
      </c>
    </row>
    <row r="830" spans="2:15">
      <c r="B830" s="92">
        <f t="shared" si="26"/>
        <v>827</v>
      </c>
      <c r="C830" s="222"/>
      <c r="D830" s="222"/>
      <c r="E830" s="88"/>
      <c r="F830" s="88"/>
      <c r="G830" s="88"/>
      <c r="H830" s="3"/>
      <c r="I830" s="3"/>
      <c r="J830" s="3"/>
      <c r="K830" s="3"/>
      <c r="L830" s="3"/>
      <c r="M830" s="3"/>
      <c r="N830" s="1"/>
      <c r="O830" t="str">
        <f t="shared" si="25"/>
        <v>827. _</v>
      </c>
    </row>
    <row r="831" spans="2:15">
      <c r="B831" s="92">
        <f t="shared" si="26"/>
        <v>828</v>
      </c>
      <c r="C831" s="222"/>
      <c r="D831" s="222"/>
      <c r="E831" s="88"/>
      <c r="F831" s="88"/>
      <c r="G831" s="88"/>
      <c r="H831" s="3"/>
      <c r="I831" s="3"/>
      <c r="J831" s="3"/>
      <c r="K831" s="3"/>
      <c r="L831" s="3"/>
      <c r="M831" s="3"/>
      <c r="N831" s="1"/>
      <c r="O831" t="str">
        <f t="shared" si="25"/>
        <v>828. _</v>
      </c>
    </row>
    <row r="832" spans="2:15">
      <c r="B832" s="92">
        <f t="shared" si="26"/>
        <v>829</v>
      </c>
      <c r="C832" s="222"/>
      <c r="D832" s="222"/>
      <c r="E832" s="88"/>
      <c r="F832" s="88"/>
      <c r="G832" s="88"/>
      <c r="H832" s="3"/>
      <c r="I832" s="3"/>
      <c r="J832" s="3"/>
      <c r="K832" s="3"/>
      <c r="L832" s="3"/>
      <c r="M832" s="3"/>
      <c r="N832" s="1"/>
      <c r="O832" t="str">
        <f t="shared" si="25"/>
        <v>829. _</v>
      </c>
    </row>
    <row r="833" spans="2:15">
      <c r="B833" s="92">
        <f t="shared" si="26"/>
        <v>830</v>
      </c>
      <c r="C833" s="222"/>
      <c r="D833" s="222"/>
      <c r="E833" s="88"/>
      <c r="F833" s="88"/>
      <c r="G833" s="88"/>
      <c r="H833" s="3"/>
      <c r="I833" s="3"/>
      <c r="J833" s="3"/>
      <c r="K833" s="3"/>
      <c r="L833" s="3"/>
      <c r="M833" s="3"/>
      <c r="N833" s="1"/>
      <c r="O833" t="str">
        <f t="shared" si="25"/>
        <v>830. _</v>
      </c>
    </row>
    <row r="834" spans="2:15">
      <c r="B834" s="92">
        <f t="shared" si="26"/>
        <v>831</v>
      </c>
      <c r="C834" s="222"/>
      <c r="D834" s="222"/>
      <c r="E834" s="88"/>
      <c r="F834" s="88"/>
      <c r="G834" s="88"/>
      <c r="H834" s="3"/>
      <c r="I834" s="3"/>
      <c r="J834" s="3"/>
      <c r="K834" s="3"/>
      <c r="L834" s="3"/>
      <c r="M834" s="3"/>
      <c r="N834" s="1"/>
      <c r="O834" t="str">
        <f t="shared" si="25"/>
        <v>831. _</v>
      </c>
    </row>
    <row r="835" spans="2:15">
      <c r="B835" s="92">
        <f t="shared" si="26"/>
        <v>832</v>
      </c>
      <c r="C835" s="231"/>
      <c r="D835" s="231"/>
      <c r="E835" s="88"/>
      <c r="F835" s="88"/>
      <c r="G835" s="88"/>
      <c r="H835" s="3"/>
      <c r="I835" s="3"/>
      <c r="J835" s="3"/>
      <c r="K835" s="3"/>
      <c r="L835" s="3"/>
      <c r="M835" s="3"/>
      <c r="N835" s="1"/>
      <c r="O835" t="str">
        <f t="shared" ref="O835:O857" si="27">CONCATENATE(B835,". ",C835,"_",D835)</f>
        <v>832. _</v>
      </c>
    </row>
    <row r="836" spans="2:15">
      <c r="B836" s="92">
        <f t="shared" si="26"/>
        <v>833</v>
      </c>
      <c r="C836" s="231"/>
      <c r="D836" s="231"/>
      <c r="E836" s="88"/>
      <c r="F836" s="88"/>
      <c r="G836" s="88"/>
      <c r="H836" s="3"/>
      <c r="I836" s="3"/>
      <c r="J836" s="3"/>
      <c r="K836" s="3"/>
      <c r="L836" s="3"/>
      <c r="M836" s="123"/>
      <c r="N836" s="1"/>
      <c r="O836" t="str">
        <f t="shared" si="27"/>
        <v>833. _</v>
      </c>
    </row>
    <row r="837" spans="2:15">
      <c r="B837" s="92">
        <f t="shared" ref="B837:B900" si="28">B836+1</f>
        <v>834</v>
      </c>
      <c r="C837" s="222"/>
      <c r="D837" s="222"/>
      <c r="E837" s="88"/>
      <c r="F837" s="88"/>
      <c r="G837" s="88"/>
      <c r="H837" s="3"/>
      <c r="I837" s="3"/>
      <c r="J837" s="3"/>
      <c r="K837" s="3"/>
      <c r="L837" s="3"/>
      <c r="M837" s="3"/>
      <c r="N837" s="1"/>
      <c r="O837" t="str">
        <f t="shared" si="27"/>
        <v>834. _</v>
      </c>
    </row>
    <row r="838" spans="2:15">
      <c r="B838" s="92">
        <f t="shared" si="28"/>
        <v>835</v>
      </c>
      <c r="C838" s="222"/>
      <c r="D838" s="222"/>
      <c r="E838" s="88"/>
      <c r="F838" s="88"/>
      <c r="G838" s="88"/>
      <c r="H838" s="3"/>
      <c r="I838" s="3"/>
      <c r="J838" s="3"/>
      <c r="K838" s="3"/>
      <c r="L838" s="3"/>
      <c r="M838" s="3"/>
      <c r="N838" s="1"/>
      <c r="O838" t="str">
        <f t="shared" si="27"/>
        <v>835. _</v>
      </c>
    </row>
    <row r="839" spans="2:15">
      <c r="B839" s="92">
        <f t="shared" si="28"/>
        <v>836</v>
      </c>
      <c r="C839" s="222"/>
      <c r="D839" s="222"/>
      <c r="E839" s="88"/>
      <c r="F839" s="88"/>
      <c r="G839" s="88"/>
      <c r="H839" s="3"/>
      <c r="I839" s="3"/>
      <c r="J839" s="3"/>
      <c r="K839" s="3"/>
      <c r="L839" s="3"/>
      <c r="M839" s="3"/>
      <c r="N839" s="1"/>
      <c r="O839" t="str">
        <f t="shared" si="27"/>
        <v>836. _</v>
      </c>
    </row>
    <row r="840" spans="2:15">
      <c r="B840" s="92">
        <f t="shared" si="28"/>
        <v>837</v>
      </c>
      <c r="C840" s="222"/>
      <c r="D840" s="222"/>
      <c r="E840" s="88"/>
      <c r="F840" s="88"/>
      <c r="G840" s="88"/>
      <c r="H840" s="3"/>
      <c r="I840" s="3"/>
      <c r="J840" s="3"/>
      <c r="K840" s="3"/>
      <c r="L840" s="3"/>
      <c r="M840" s="3"/>
      <c r="N840" s="1"/>
      <c r="O840" t="str">
        <f t="shared" si="27"/>
        <v>837. _</v>
      </c>
    </row>
    <row r="841" spans="2:15">
      <c r="B841" s="92">
        <f t="shared" si="28"/>
        <v>838</v>
      </c>
      <c r="C841" s="222"/>
      <c r="D841" s="222"/>
      <c r="E841" s="88"/>
      <c r="F841" s="88"/>
      <c r="G841" s="88"/>
      <c r="H841" s="3"/>
      <c r="I841" s="3"/>
      <c r="J841" s="3"/>
      <c r="K841" s="3"/>
      <c r="L841" s="3"/>
      <c r="M841" s="3"/>
      <c r="N841" s="1"/>
      <c r="O841" t="str">
        <f t="shared" si="27"/>
        <v>838. _</v>
      </c>
    </row>
    <row r="842" spans="2:15">
      <c r="B842" s="92">
        <f t="shared" si="28"/>
        <v>839</v>
      </c>
      <c r="C842" s="222"/>
      <c r="D842" s="222"/>
      <c r="E842" s="88"/>
      <c r="F842" s="88"/>
      <c r="G842" s="88"/>
      <c r="H842" s="3"/>
      <c r="I842" s="3"/>
      <c r="J842" s="3"/>
      <c r="K842" s="3"/>
      <c r="L842" s="3"/>
      <c r="M842" s="3"/>
      <c r="N842" s="1"/>
      <c r="O842" t="str">
        <f t="shared" si="27"/>
        <v>839. _</v>
      </c>
    </row>
    <row r="843" spans="2:15">
      <c r="B843" s="92">
        <f t="shared" si="28"/>
        <v>840</v>
      </c>
      <c r="C843" s="222"/>
      <c r="D843" s="222"/>
      <c r="E843" s="88"/>
      <c r="F843" s="88"/>
      <c r="G843" s="88"/>
      <c r="H843" s="3"/>
      <c r="I843" s="3"/>
      <c r="J843" s="3"/>
      <c r="K843" s="3"/>
      <c r="L843" s="3"/>
      <c r="M843" s="3"/>
      <c r="N843" s="1"/>
      <c r="O843" t="str">
        <f t="shared" si="27"/>
        <v>840. _</v>
      </c>
    </row>
    <row r="844" spans="2:15">
      <c r="B844" s="92">
        <f t="shared" si="28"/>
        <v>841</v>
      </c>
      <c r="C844" s="222"/>
      <c r="D844" s="222"/>
      <c r="E844" s="88"/>
      <c r="F844" s="88"/>
      <c r="G844" s="88"/>
      <c r="H844" s="3"/>
      <c r="I844" s="3"/>
      <c r="J844" s="3"/>
      <c r="K844" s="3"/>
      <c r="L844" s="3"/>
      <c r="M844" s="3"/>
      <c r="N844" s="1"/>
      <c r="O844" t="str">
        <f t="shared" si="27"/>
        <v>841. _</v>
      </c>
    </row>
    <row r="845" spans="2:15">
      <c r="B845" s="92">
        <f t="shared" si="28"/>
        <v>842</v>
      </c>
      <c r="C845" s="222"/>
      <c r="D845" s="222"/>
      <c r="E845" s="88"/>
      <c r="F845" s="88"/>
      <c r="G845" s="88"/>
      <c r="H845" s="3"/>
      <c r="I845" s="3"/>
      <c r="J845" s="3"/>
      <c r="K845" s="3"/>
      <c r="L845" s="3"/>
      <c r="M845" s="3"/>
      <c r="N845" s="1"/>
      <c r="O845" t="str">
        <f t="shared" si="27"/>
        <v>842. _</v>
      </c>
    </row>
    <row r="846" spans="2:15">
      <c r="B846" s="92">
        <f t="shared" si="28"/>
        <v>843</v>
      </c>
      <c r="C846" s="222"/>
      <c r="D846" s="222"/>
      <c r="E846" s="88"/>
      <c r="F846" s="88"/>
      <c r="G846" s="88"/>
      <c r="H846" s="3"/>
      <c r="I846" s="3"/>
      <c r="J846" s="3"/>
      <c r="K846" s="3"/>
      <c r="L846" s="3"/>
      <c r="M846" s="3"/>
      <c r="N846" s="1"/>
      <c r="O846" t="str">
        <f t="shared" si="27"/>
        <v>843. _</v>
      </c>
    </row>
    <row r="847" spans="2:15">
      <c r="B847" s="92">
        <f t="shared" si="28"/>
        <v>844</v>
      </c>
      <c r="C847" s="222"/>
      <c r="D847" s="222"/>
      <c r="E847" s="88"/>
      <c r="F847" s="88"/>
      <c r="G847" s="88"/>
      <c r="H847" s="3"/>
      <c r="I847" s="3"/>
      <c r="J847" s="3"/>
      <c r="K847" s="3"/>
      <c r="L847" s="3"/>
      <c r="M847" s="3"/>
      <c r="N847" s="1"/>
      <c r="O847" t="str">
        <f t="shared" si="27"/>
        <v>844. _</v>
      </c>
    </row>
    <row r="848" spans="2:15">
      <c r="B848" s="92">
        <f t="shared" si="28"/>
        <v>845</v>
      </c>
      <c r="C848" s="222"/>
      <c r="D848" s="222"/>
      <c r="E848" s="88"/>
      <c r="F848" s="88"/>
      <c r="G848" s="88"/>
      <c r="H848" s="3"/>
      <c r="I848" s="3"/>
      <c r="J848" s="3"/>
      <c r="K848" s="3"/>
      <c r="L848" s="3"/>
      <c r="M848" s="3"/>
      <c r="N848" s="1"/>
      <c r="O848" t="str">
        <f t="shared" si="27"/>
        <v>845. _</v>
      </c>
    </row>
    <row r="849" spans="2:15">
      <c r="B849" s="92">
        <f t="shared" si="28"/>
        <v>846</v>
      </c>
      <c r="C849" s="222"/>
      <c r="D849" s="222"/>
      <c r="E849" s="88"/>
      <c r="F849" s="88"/>
      <c r="G849" s="88"/>
      <c r="H849" s="3"/>
      <c r="I849" s="3"/>
      <c r="J849" s="3"/>
      <c r="K849" s="3"/>
      <c r="L849" s="3"/>
      <c r="M849" s="3"/>
      <c r="N849" s="1"/>
      <c r="O849" t="str">
        <f t="shared" si="27"/>
        <v>846. _</v>
      </c>
    </row>
    <row r="850" spans="2:15">
      <c r="B850" s="92">
        <f t="shared" si="28"/>
        <v>847</v>
      </c>
      <c r="C850" s="222"/>
      <c r="D850" s="222"/>
      <c r="E850" s="88"/>
      <c r="F850" s="88"/>
      <c r="G850" s="88"/>
      <c r="H850" s="3"/>
      <c r="I850" s="3"/>
      <c r="J850" s="3"/>
      <c r="K850" s="3"/>
      <c r="L850" s="3"/>
      <c r="M850" s="3"/>
      <c r="N850" s="1"/>
      <c r="O850" t="str">
        <f t="shared" si="27"/>
        <v>847. _</v>
      </c>
    </row>
    <row r="851" spans="2:15">
      <c r="B851" s="92">
        <f t="shared" si="28"/>
        <v>848</v>
      </c>
      <c r="C851" s="222"/>
      <c r="D851" s="222"/>
      <c r="E851" s="88"/>
      <c r="F851" s="88"/>
      <c r="G851" s="88"/>
      <c r="H851" s="3"/>
      <c r="I851" s="3"/>
      <c r="J851" s="3"/>
      <c r="K851" s="3"/>
      <c r="L851" s="3"/>
      <c r="M851" s="3"/>
      <c r="N851" s="1"/>
      <c r="O851" t="str">
        <f t="shared" si="27"/>
        <v>848. _</v>
      </c>
    </row>
    <row r="852" spans="2:15">
      <c r="B852" s="92">
        <f t="shared" si="28"/>
        <v>849</v>
      </c>
      <c r="C852" s="222"/>
      <c r="D852" s="222"/>
      <c r="E852" s="88"/>
      <c r="F852" s="88"/>
      <c r="G852" s="88"/>
      <c r="H852" s="3"/>
      <c r="I852" s="3"/>
      <c r="J852" s="3"/>
      <c r="K852" s="3"/>
      <c r="L852" s="3"/>
      <c r="M852" s="3"/>
      <c r="N852" s="1"/>
      <c r="O852" t="str">
        <f t="shared" si="27"/>
        <v>849. _</v>
      </c>
    </row>
    <row r="853" spans="2:15">
      <c r="B853" s="92">
        <f t="shared" si="28"/>
        <v>850</v>
      </c>
      <c r="C853" s="222"/>
      <c r="D853" s="222"/>
      <c r="E853" s="88"/>
      <c r="F853" s="88"/>
      <c r="G853" s="88"/>
      <c r="H853" s="3"/>
      <c r="I853" s="3"/>
      <c r="J853" s="3"/>
      <c r="K853" s="3"/>
      <c r="L853" s="3"/>
      <c r="M853" s="3"/>
      <c r="N853" s="1"/>
      <c r="O853" t="str">
        <f t="shared" si="27"/>
        <v>850. _</v>
      </c>
    </row>
    <row r="854" spans="2:15">
      <c r="B854" s="92">
        <f t="shared" si="28"/>
        <v>851</v>
      </c>
      <c r="C854" s="222"/>
      <c r="D854" s="222"/>
      <c r="E854" s="88"/>
      <c r="F854" s="88"/>
      <c r="G854" s="88"/>
      <c r="H854" s="3"/>
      <c r="I854" s="3"/>
      <c r="J854" s="3"/>
      <c r="K854" s="3"/>
      <c r="L854" s="3"/>
      <c r="M854" s="3"/>
      <c r="N854" s="1"/>
      <c r="O854" t="str">
        <f t="shared" si="27"/>
        <v>851. _</v>
      </c>
    </row>
    <row r="855" spans="2:15">
      <c r="B855" s="92">
        <f t="shared" si="28"/>
        <v>852</v>
      </c>
      <c r="C855" s="222"/>
      <c r="D855" s="222"/>
      <c r="E855" s="88"/>
      <c r="F855" s="88"/>
      <c r="G855" s="88"/>
      <c r="H855" s="3"/>
      <c r="I855" s="3"/>
      <c r="J855" s="3"/>
      <c r="K855" s="3"/>
      <c r="L855" s="3"/>
      <c r="M855" s="3"/>
      <c r="N855" s="1"/>
      <c r="O855" t="str">
        <f t="shared" si="27"/>
        <v>852. _</v>
      </c>
    </row>
    <row r="856" spans="2:15">
      <c r="B856" s="92">
        <f t="shared" si="28"/>
        <v>853</v>
      </c>
      <c r="C856" s="222"/>
      <c r="D856" s="222"/>
      <c r="E856" s="88"/>
      <c r="F856" s="88"/>
      <c r="G856" s="88"/>
      <c r="H856" s="3"/>
      <c r="I856" s="3"/>
      <c r="J856" s="3"/>
      <c r="K856" s="3"/>
      <c r="L856" s="3"/>
      <c r="M856" s="3"/>
      <c r="N856" s="1"/>
      <c r="O856" t="str">
        <f t="shared" si="27"/>
        <v>853. _</v>
      </c>
    </row>
    <row r="857" spans="2:15">
      <c r="B857" s="92">
        <f t="shared" si="28"/>
        <v>854</v>
      </c>
      <c r="C857" s="222"/>
      <c r="D857" s="222"/>
      <c r="E857" s="88"/>
      <c r="F857" s="88"/>
      <c r="G857" s="88"/>
      <c r="H857" s="3"/>
      <c r="I857" s="3"/>
      <c r="J857" s="3"/>
      <c r="K857" s="3"/>
      <c r="L857" s="3"/>
      <c r="M857" s="3"/>
      <c r="N857" s="1"/>
      <c r="O857" t="str">
        <f t="shared" si="27"/>
        <v>854. _</v>
      </c>
    </row>
    <row r="858" spans="2:15">
      <c r="B858" s="92">
        <f t="shared" si="28"/>
        <v>855</v>
      </c>
      <c r="C858" s="222"/>
      <c r="D858" s="222"/>
      <c r="E858" s="88"/>
      <c r="F858" s="88"/>
      <c r="G858" s="88"/>
      <c r="H858" s="3"/>
      <c r="I858" s="3"/>
      <c r="J858" s="3"/>
      <c r="K858" s="3"/>
      <c r="L858" s="3"/>
      <c r="M858" s="3"/>
      <c r="N858" s="1"/>
      <c r="O858" t="str">
        <f>CONCATENATE(B858,". ",C857,"_",D857)</f>
        <v>855. _</v>
      </c>
    </row>
    <row r="859" spans="2:15">
      <c r="B859" s="92">
        <f t="shared" si="28"/>
        <v>856</v>
      </c>
      <c r="C859" s="222"/>
      <c r="D859" s="222"/>
      <c r="E859" s="88"/>
      <c r="F859" s="88"/>
      <c r="G859" s="88"/>
      <c r="H859" s="3"/>
      <c r="I859" s="3"/>
      <c r="J859" s="3"/>
      <c r="K859" s="3"/>
      <c r="L859" s="3"/>
      <c r="M859" s="3"/>
      <c r="N859" s="1"/>
      <c r="O859" t="str">
        <f t="shared" ref="O859:O890" si="29">CONCATENATE(B859,". ",C859,"_",D859)</f>
        <v>856. _</v>
      </c>
    </row>
    <row r="860" spans="2:15">
      <c r="B860" s="92">
        <f t="shared" si="28"/>
        <v>857</v>
      </c>
      <c r="C860" s="222"/>
      <c r="D860" s="222"/>
      <c r="E860" s="88"/>
      <c r="F860" s="88"/>
      <c r="G860" s="88"/>
      <c r="H860" s="3"/>
      <c r="I860" s="3"/>
      <c r="J860" s="3"/>
      <c r="K860" s="3"/>
      <c r="L860" s="3"/>
      <c r="M860" s="3"/>
      <c r="N860" s="1"/>
      <c r="O860" t="str">
        <f t="shared" si="29"/>
        <v>857. _</v>
      </c>
    </row>
    <row r="861" spans="2:15">
      <c r="B861" s="92">
        <f t="shared" si="28"/>
        <v>858</v>
      </c>
      <c r="C861" s="222"/>
      <c r="D861" s="222"/>
      <c r="E861" s="88"/>
      <c r="F861" s="88"/>
      <c r="G861" s="88"/>
      <c r="H861" s="3"/>
      <c r="I861" s="3"/>
      <c r="J861" s="3"/>
      <c r="K861" s="3"/>
      <c r="L861" s="3"/>
      <c r="M861" s="3"/>
      <c r="N861" s="1"/>
      <c r="O861" t="str">
        <f t="shared" si="29"/>
        <v>858. _</v>
      </c>
    </row>
    <row r="862" spans="2:15">
      <c r="B862" s="92">
        <f t="shared" si="28"/>
        <v>859</v>
      </c>
      <c r="C862" s="222"/>
      <c r="D862" s="222"/>
      <c r="E862" s="88"/>
      <c r="F862" s="88"/>
      <c r="G862" s="88"/>
      <c r="H862" s="3"/>
      <c r="I862" s="3"/>
      <c r="J862" s="3"/>
      <c r="K862" s="3"/>
      <c r="L862" s="3"/>
      <c r="M862" s="3"/>
      <c r="N862" s="1"/>
      <c r="O862" t="str">
        <f t="shared" si="29"/>
        <v>859. _</v>
      </c>
    </row>
    <row r="863" spans="2:15">
      <c r="B863" s="92">
        <f t="shared" si="28"/>
        <v>860</v>
      </c>
      <c r="C863" s="222"/>
      <c r="D863" s="222"/>
      <c r="E863" s="88"/>
      <c r="F863" s="88"/>
      <c r="G863" s="88"/>
      <c r="H863" s="3"/>
      <c r="I863" s="3"/>
      <c r="J863" s="3"/>
      <c r="K863" s="3"/>
      <c r="L863" s="3"/>
      <c r="M863" s="3"/>
      <c r="N863" s="1"/>
      <c r="O863" t="str">
        <f t="shared" si="29"/>
        <v>860. _</v>
      </c>
    </row>
    <row r="864" spans="2:15">
      <c r="B864" s="92">
        <f t="shared" si="28"/>
        <v>861</v>
      </c>
      <c r="C864" s="222"/>
      <c r="D864" s="222"/>
      <c r="E864" s="88"/>
      <c r="F864" s="88"/>
      <c r="G864" s="88"/>
      <c r="H864" s="3"/>
      <c r="I864" s="3"/>
      <c r="J864" s="3"/>
      <c r="K864" s="3"/>
      <c r="L864" s="3"/>
      <c r="M864" s="3"/>
      <c r="N864" s="1"/>
      <c r="O864" t="str">
        <f t="shared" si="29"/>
        <v>861. _</v>
      </c>
    </row>
    <row r="865" spans="2:15">
      <c r="B865" s="92">
        <f t="shared" si="28"/>
        <v>862</v>
      </c>
      <c r="C865" s="222"/>
      <c r="D865" s="222"/>
      <c r="E865" s="88"/>
      <c r="F865" s="88"/>
      <c r="G865" s="88"/>
      <c r="H865" s="3"/>
      <c r="I865" s="3"/>
      <c r="J865" s="3"/>
      <c r="K865" s="3"/>
      <c r="L865" s="3"/>
      <c r="M865" s="3"/>
      <c r="N865" s="1"/>
      <c r="O865" t="str">
        <f t="shared" si="29"/>
        <v>862. _</v>
      </c>
    </row>
    <row r="866" spans="2:15">
      <c r="B866" s="92">
        <f t="shared" si="28"/>
        <v>863</v>
      </c>
      <c r="C866" s="222"/>
      <c r="D866" s="222"/>
      <c r="E866" s="88"/>
      <c r="F866" s="88"/>
      <c r="G866" s="88"/>
      <c r="H866" s="3"/>
      <c r="I866" s="3"/>
      <c r="J866" s="3"/>
      <c r="K866" s="3"/>
      <c r="L866" s="3"/>
      <c r="M866" s="3"/>
      <c r="N866" s="1"/>
      <c r="O866" t="str">
        <f t="shared" si="29"/>
        <v>863. _</v>
      </c>
    </row>
    <row r="867" spans="2:15">
      <c r="B867" s="92">
        <f t="shared" si="28"/>
        <v>864</v>
      </c>
      <c r="C867" s="222"/>
      <c r="D867" s="222"/>
      <c r="E867" s="88"/>
      <c r="F867" s="88"/>
      <c r="G867" s="88"/>
      <c r="H867" s="3"/>
      <c r="I867" s="3"/>
      <c r="J867" s="3"/>
      <c r="K867" s="3"/>
      <c r="L867" s="3"/>
      <c r="M867" s="3"/>
      <c r="N867" s="1"/>
      <c r="O867" t="str">
        <f t="shared" si="29"/>
        <v>864. _</v>
      </c>
    </row>
    <row r="868" spans="2:15">
      <c r="B868" s="92">
        <f t="shared" si="28"/>
        <v>865</v>
      </c>
      <c r="C868" s="222"/>
      <c r="D868" s="222"/>
      <c r="E868" s="88"/>
      <c r="F868" s="88"/>
      <c r="G868" s="88"/>
      <c r="H868" s="3"/>
      <c r="I868" s="3"/>
      <c r="J868" s="3"/>
      <c r="K868" s="3"/>
      <c r="L868" s="3"/>
      <c r="M868" s="3"/>
      <c r="N868" s="1"/>
      <c r="O868" t="str">
        <f t="shared" si="29"/>
        <v>865. _</v>
      </c>
    </row>
    <row r="869" spans="2:15">
      <c r="B869" s="92">
        <f t="shared" si="28"/>
        <v>866</v>
      </c>
      <c r="C869" s="222"/>
      <c r="D869" s="222"/>
      <c r="E869" s="88"/>
      <c r="F869" s="88"/>
      <c r="G869" s="88"/>
      <c r="H869" s="3"/>
      <c r="I869" s="3"/>
      <c r="J869" s="3"/>
      <c r="K869" s="3"/>
      <c r="L869" s="3"/>
      <c r="M869" s="3"/>
      <c r="N869" s="1"/>
      <c r="O869" t="str">
        <f t="shared" si="29"/>
        <v>866. _</v>
      </c>
    </row>
    <row r="870" spans="2:15">
      <c r="B870" s="92">
        <f t="shared" si="28"/>
        <v>867</v>
      </c>
      <c r="C870" s="222"/>
      <c r="D870" s="222"/>
      <c r="E870" s="88"/>
      <c r="F870" s="88"/>
      <c r="G870" s="88"/>
      <c r="H870" s="3"/>
      <c r="I870" s="3"/>
      <c r="J870" s="3"/>
      <c r="K870" s="3"/>
      <c r="L870" s="3"/>
      <c r="M870" s="3"/>
      <c r="N870" s="1"/>
      <c r="O870" t="str">
        <f t="shared" si="29"/>
        <v>867. _</v>
      </c>
    </row>
    <row r="871" spans="2:15">
      <c r="B871" s="92">
        <f t="shared" si="28"/>
        <v>868</v>
      </c>
      <c r="C871" s="222"/>
      <c r="D871" s="222"/>
      <c r="E871" s="88"/>
      <c r="F871" s="88"/>
      <c r="G871" s="88"/>
      <c r="H871" s="3"/>
      <c r="I871" s="3"/>
      <c r="J871" s="3"/>
      <c r="K871" s="3"/>
      <c r="L871" s="3"/>
      <c r="M871" s="3"/>
      <c r="N871" s="1"/>
      <c r="O871" t="str">
        <f t="shared" si="29"/>
        <v>868. _</v>
      </c>
    </row>
    <row r="872" spans="2:15">
      <c r="B872" s="92">
        <f t="shared" si="28"/>
        <v>869</v>
      </c>
      <c r="C872" s="222"/>
      <c r="D872" s="222"/>
      <c r="E872" s="88"/>
      <c r="F872" s="88"/>
      <c r="G872" s="88"/>
      <c r="H872" s="3"/>
      <c r="I872" s="3"/>
      <c r="J872" s="3"/>
      <c r="K872" s="3"/>
      <c r="L872" s="3"/>
      <c r="M872" s="3"/>
      <c r="N872" s="1"/>
      <c r="O872" t="str">
        <f t="shared" si="29"/>
        <v>869. _</v>
      </c>
    </row>
    <row r="873" spans="2:15">
      <c r="B873" s="92">
        <f t="shared" si="28"/>
        <v>870</v>
      </c>
      <c r="C873" s="222"/>
      <c r="D873" s="222"/>
      <c r="E873" s="88"/>
      <c r="F873" s="88"/>
      <c r="G873" s="88"/>
      <c r="H873" s="3"/>
      <c r="I873" s="3"/>
      <c r="J873" s="3"/>
      <c r="K873" s="3"/>
      <c r="L873" s="3"/>
      <c r="M873" s="3"/>
      <c r="N873" s="1"/>
      <c r="O873" t="str">
        <f t="shared" si="29"/>
        <v>870. _</v>
      </c>
    </row>
    <row r="874" spans="2:15">
      <c r="B874" s="92">
        <f t="shared" si="28"/>
        <v>871</v>
      </c>
      <c r="C874" s="222"/>
      <c r="D874" s="222"/>
      <c r="E874" s="88"/>
      <c r="F874" s="88"/>
      <c r="G874" s="88"/>
      <c r="H874" s="3"/>
      <c r="I874" s="3"/>
      <c r="J874" s="3"/>
      <c r="K874" s="3"/>
      <c r="L874" s="3"/>
      <c r="M874" s="3"/>
      <c r="N874" s="1"/>
      <c r="O874" t="str">
        <f t="shared" si="29"/>
        <v>871. _</v>
      </c>
    </row>
    <row r="875" spans="2:15">
      <c r="B875" s="92">
        <f t="shared" si="28"/>
        <v>872</v>
      </c>
      <c r="C875" s="222"/>
      <c r="D875" s="222"/>
      <c r="E875" s="88"/>
      <c r="F875" s="88"/>
      <c r="G875" s="88"/>
      <c r="H875" s="3"/>
      <c r="I875" s="3"/>
      <c r="J875" s="3"/>
      <c r="K875" s="3"/>
      <c r="L875" s="3"/>
      <c r="M875" s="3"/>
      <c r="N875" s="1"/>
      <c r="O875" t="str">
        <f t="shared" si="29"/>
        <v>872. _</v>
      </c>
    </row>
    <row r="876" spans="2:15">
      <c r="B876" s="92">
        <f t="shared" si="28"/>
        <v>873</v>
      </c>
      <c r="C876" s="222"/>
      <c r="D876" s="222"/>
      <c r="E876" s="88"/>
      <c r="F876" s="88"/>
      <c r="G876" s="88"/>
      <c r="H876" s="3"/>
      <c r="I876" s="3"/>
      <c r="J876" s="3"/>
      <c r="K876" s="3"/>
      <c r="L876" s="3"/>
      <c r="M876" s="3"/>
      <c r="N876" s="1"/>
      <c r="O876" t="str">
        <f t="shared" si="29"/>
        <v>873. _</v>
      </c>
    </row>
    <row r="877" spans="2:15">
      <c r="B877" s="92">
        <f t="shared" si="28"/>
        <v>874</v>
      </c>
      <c r="C877" s="222"/>
      <c r="D877" s="222"/>
      <c r="E877" s="88"/>
      <c r="F877" s="88"/>
      <c r="G877" s="88"/>
      <c r="H877" s="3"/>
      <c r="I877" s="3"/>
      <c r="J877" s="3"/>
      <c r="K877" s="3"/>
      <c r="L877" s="3"/>
      <c r="M877" s="3"/>
      <c r="N877" s="1"/>
      <c r="O877" t="str">
        <f t="shared" si="29"/>
        <v>874. _</v>
      </c>
    </row>
    <row r="878" spans="2:15">
      <c r="B878" s="92">
        <f t="shared" si="28"/>
        <v>875</v>
      </c>
      <c r="C878" s="222"/>
      <c r="D878" s="222"/>
      <c r="E878" s="88"/>
      <c r="F878" s="88"/>
      <c r="G878" s="88"/>
      <c r="H878" s="3"/>
      <c r="I878" s="3"/>
      <c r="J878" s="3"/>
      <c r="K878" s="3"/>
      <c r="L878" s="3"/>
      <c r="M878" s="3"/>
      <c r="N878" s="1"/>
      <c r="O878" t="str">
        <f t="shared" si="29"/>
        <v>875. _</v>
      </c>
    </row>
    <row r="879" spans="2:15">
      <c r="B879" s="92">
        <f t="shared" si="28"/>
        <v>876</v>
      </c>
      <c r="C879" s="222"/>
      <c r="D879" s="222"/>
      <c r="E879" s="88"/>
      <c r="F879" s="88"/>
      <c r="G879" s="88"/>
      <c r="H879" s="3"/>
      <c r="I879" s="3"/>
      <c r="J879" s="3"/>
      <c r="K879" s="3"/>
      <c r="L879" s="3"/>
      <c r="M879" s="3"/>
      <c r="N879" s="1"/>
      <c r="O879" t="str">
        <f t="shared" si="29"/>
        <v>876. _</v>
      </c>
    </row>
    <row r="880" spans="2:15">
      <c r="B880" s="92">
        <f t="shared" si="28"/>
        <v>877</v>
      </c>
      <c r="C880" s="222"/>
      <c r="D880" s="222"/>
      <c r="E880" s="88"/>
      <c r="F880" s="88"/>
      <c r="G880" s="88"/>
      <c r="H880" s="3"/>
      <c r="I880" s="3"/>
      <c r="J880" s="3"/>
      <c r="K880" s="3"/>
      <c r="L880" s="3"/>
      <c r="M880" s="3"/>
      <c r="N880" s="1"/>
      <c r="O880" t="str">
        <f t="shared" si="29"/>
        <v>877. _</v>
      </c>
    </row>
    <row r="881" spans="2:15">
      <c r="B881" s="92">
        <f t="shared" si="28"/>
        <v>878</v>
      </c>
      <c r="C881" s="222"/>
      <c r="D881" s="222"/>
      <c r="E881" s="88"/>
      <c r="F881" s="88"/>
      <c r="G881" s="88"/>
      <c r="H881" s="3"/>
      <c r="I881" s="3"/>
      <c r="J881" s="3"/>
      <c r="K881" s="3"/>
      <c r="L881" s="3"/>
      <c r="M881" s="3"/>
      <c r="N881" s="1"/>
      <c r="O881" t="str">
        <f t="shared" si="29"/>
        <v>878. _</v>
      </c>
    </row>
    <row r="882" spans="2:15">
      <c r="B882" s="92">
        <f t="shared" si="28"/>
        <v>879</v>
      </c>
      <c r="C882" s="222"/>
      <c r="D882" s="222"/>
      <c r="E882" s="88"/>
      <c r="F882" s="88"/>
      <c r="G882" s="88"/>
      <c r="H882" s="3"/>
      <c r="I882" s="3"/>
      <c r="J882" s="3"/>
      <c r="K882" s="3"/>
      <c r="L882" s="3"/>
      <c r="M882" s="3"/>
      <c r="N882" s="1"/>
      <c r="O882" t="str">
        <f t="shared" si="29"/>
        <v>879. _</v>
      </c>
    </row>
    <row r="883" spans="2:15">
      <c r="B883" s="92">
        <f t="shared" si="28"/>
        <v>880</v>
      </c>
      <c r="C883" s="222"/>
      <c r="D883" s="222"/>
      <c r="E883" s="88"/>
      <c r="F883" s="88"/>
      <c r="G883" s="88"/>
      <c r="H883" s="3"/>
      <c r="I883" s="3"/>
      <c r="J883" s="3"/>
      <c r="K883" s="3"/>
      <c r="L883" s="3"/>
      <c r="M883" s="3"/>
      <c r="N883" s="1"/>
      <c r="O883" t="str">
        <f t="shared" si="29"/>
        <v>880. _</v>
      </c>
    </row>
    <row r="884" spans="2:15">
      <c r="B884" s="92">
        <f t="shared" si="28"/>
        <v>881</v>
      </c>
      <c r="C884" s="222"/>
      <c r="D884" s="222"/>
      <c r="E884" s="88"/>
      <c r="F884" s="88"/>
      <c r="G884" s="88"/>
      <c r="H884" s="3"/>
      <c r="I884" s="3"/>
      <c r="J884" s="3"/>
      <c r="K884" s="3"/>
      <c r="L884" s="3"/>
      <c r="M884" s="3"/>
      <c r="N884" s="1"/>
      <c r="O884" t="str">
        <f t="shared" si="29"/>
        <v>881. _</v>
      </c>
    </row>
    <row r="885" spans="2:15">
      <c r="B885" s="92">
        <f t="shared" si="28"/>
        <v>882</v>
      </c>
      <c r="C885" s="222"/>
      <c r="D885" s="222"/>
      <c r="E885" s="88"/>
      <c r="F885" s="88"/>
      <c r="G885" s="88"/>
      <c r="H885" s="3"/>
      <c r="I885" s="3"/>
      <c r="J885" s="3"/>
      <c r="K885" s="3"/>
      <c r="L885" s="3"/>
      <c r="M885" s="3"/>
      <c r="N885" s="1"/>
      <c r="O885" t="str">
        <f t="shared" si="29"/>
        <v>882. _</v>
      </c>
    </row>
    <row r="886" spans="2:15">
      <c r="B886" s="92">
        <f t="shared" si="28"/>
        <v>883</v>
      </c>
      <c r="C886" s="222"/>
      <c r="D886" s="222"/>
      <c r="E886" s="88"/>
      <c r="F886" s="88"/>
      <c r="G886" s="88"/>
      <c r="H886" s="3"/>
      <c r="I886" s="3"/>
      <c r="J886" s="3"/>
      <c r="K886" s="3"/>
      <c r="L886" s="3"/>
      <c r="M886" s="3"/>
      <c r="N886" s="1"/>
      <c r="O886" t="str">
        <f t="shared" si="29"/>
        <v>883. _</v>
      </c>
    </row>
    <row r="887" spans="2:15">
      <c r="B887" s="92">
        <f t="shared" si="28"/>
        <v>884</v>
      </c>
      <c r="C887" s="222"/>
      <c r="D887" s="222"/>
      <c r="E887" s="88"/>
      <c r="F887" s="88"/>
      <c r="G887" s="88"/>
      <c r="H887" s="3"/>
      <c r="I887" s="3"/>
      <c r="J887" s="3"/>
      <c r="K887" s="3"/>
      <c r="L887" s="3"/>
      <c r="M887" s="3"/>
      <c r="N887" s="1"/>
      <c r="O887" t="str">
        <f t="shared" si="29"/>
        <v>884. _</v>
      </c>
    </row>
    <row r="888" spans="2:15">
      <c r="B888" s="92">
        <f t="shared" si="28"/>
        <v>885</v>
      </c>
      <c r="C888" s="222"/>
      <c r="D888" s="222"/>
      <c r="E888" s="88"/>
      <c r="F888" s="88"/>
      <c r="G888" s="88"/>
      <c r="H888" s="3"/>
      <c r="I888" s="3"/>
      <c r="J888" s="3"/>
      <c r="K888" s="3"/>
      <c r="L888" s="3"/>
      <c r="M888" s="3"/>
      <c r="N888" s="1"/>
      <c r="O888" t="str">
        <f t="shared" si="29"/>
        <v>885. _</v>
      </c>
    </row>
    <row r="889" spans="2:15">
      <c r="B889" s="92">
        <f t="shared" si="28"/>
        <v>886</v>
      </c>
      <c r="C889" s="222"/>
      <c r="D889" s="222"/>
      <c r="E889" s="88"/>
      <c r="F889" s="88"/>
      <c r="G889" s="88"/>
      <c r="H889" s="3"/>
      <c r="I889" s="3"/>
      <c r="J889" s="3"/>
      <c r="K889" s="3"/>
      <c r="L889" s="3"/>
      <c r="M889" s="3"/>
      <c r="N889" s="1"/>
      <c r="O889" t="str">
        <f t="shared" si="29"/>
        <v>886. _</v>
      </c>
    </row>
    <row r="890" spans="2:15">
      <c r="B890" s="92">
        <f t="shared" si="28"/>
        <v>887</v>
      </c>
      <c r="C890" s="222"/>
      <c r="D890" s="222"/>
      <c r="E890" s="88"/>
      <c r="F890" s="88"/>
      <c r="G890" s="88"/>
      <c r="H890" s="3"/>
      <c r="I890" s="3"/>
      <c r="J890" s="3"/>
      <c r="K890" s="3"/>
      <c r="L890" s="3"/>
      <c r="M890" s="3"/>
      <c r="N890" s="1"/>
      <c r="O890" t="str">
        <f t="shared" si="29"/>
        <v>887. _</v>
      </c>
    </row>
    <row r="891" spans="2:15">
      <c r="B891" s="92">
        <f t="shared" si="28"/>
        <v>888</v>
      </c>
      <c r="C891" s="222"/>
      <c r="D891" s="222"/>
      <c r="E891" s="88"/>
      <c r="F891" s="88"/>
      <c r="G891" s="88"/>
      <c r="H891" s="3"/>
      <c r="I891" s="3"/>
      <c r="J891" s="3"/>
      <c r="K891" s="3"/>
      <c r="L891" s="3"/>
      <c r="M891" s="3"/>
      <c r="N891" s="1"/>
      <c r="O891" t="str">
        <f t="shared" ref="O891:O922" si="30">CONCATENATE(B891,". ",C891,"_",D891)</f>
        <v>888. _</v>
      </c>
    </row>
    <row r="892" spans="2:15">
      <c r="B892" s="92">
        <f t="shared" si="28"/>
        <v>889</v>
      </c>
      <c r="C892" s="222"/>
      <c r="D892" s="222"/>
      <c r="E892" s="88"/>
      <c r="F892" s="88"/>
      <c r="G892" s="88"/>
      <c r="H892" s="3"/>
      <c r="I892" s="3"/>
      <c r="J892" s="3"/>
      <c r="K892" s="3"/>
      <c r="L892" s="3"/>
      <c r="M892" s="3"/>
      <c r="N892" s="1"/>
      <c r="O892" t="str">
        <f t="shared" si="30"/>
        <v>889. _</v>
      </c>
    </row>
    <row r="893" spans="2:15">
      <c r="B893" s="92">
        <f t="shared" si="28"/>
        <v>890</v>
      </c>
      <c r="C893" s="222"/>
      <c r="D893" s="222"/>
      <c r="E893" s="88"/>
      <c r="F893" s="88"/>
      <c r="G893" s="88"/>
      <c r="H893" s="3"/>
      <c r="I893" s="3"/>
      <c r="J893" s="3"/>
      <c r="K893" s="3"/>
      <c r="L893" s="3"/>
      <c r="M893" s="3"/>
      <c r="N893" s="1"/>
      <c r="O893" t="str">
        <f t="shared" si="30"/>
        <v>890. _</v>
      </c>
    </row>
    <row r="894" spans="2:15">
      <c r="B894" s="92">
        <f t="shared" si="28"/>
        <v>891</v>
      </c>
      <c r="C894" s="222"/>
      <c r="D894" s="222"/>
      <c r="E894" s="88"/>
      <c r="F894" s="88"/>
      <c r="G894" s="88"/>
      <c r="H894" s="3"/>
      <c r="I894" s="3"/>
      <c r="J894" s="3"/>
      <c r="K894" s="3"/>
      <c r="L894" s="3"/>
      <c r="M894" s="3"/>
      <c r="N894" s="1"/>
      <c r="O894" t="str">
        <f t="shared" si="30"/>
        <v>891. _</v>
      </c>
    </row>
    <row r="895" spans="2:15">
      <c r="B895" s="92">
        <f t="shared" si="28"/>
        <v>892</v>
      </c>
      <c r="C895" s="222"/>
      <c r="D895" s="222"/>
      <c r="E895" s="88"/>
      <c r="F895" s="88"/>
      <c r="G895" s="88"/>
      <c r="H895" s="3"/>
      <c r="I895" s="3"/>
      <c r="J895" s="3"/>
      <c r="K895" s="3"/>
      <c r="L895" s="3"/>
      <c r="M895" s="3"/>
      <c r="N895" s="1"/>
      <c r="O895" t="str">
        <f t="shared" si="30"/>
        <v>892. _</v>
      </c>
    </row>
    <row r="896" spans="2:15">
      <c r="B896" s="92">
        <f t="shared" si="28"/>
        <v>893</v>
      </c>
      <c r="C896" s="222"/>
      <c r="D896" s="222"/>
      <c r="E896" s="88"/>
      <c r="F896" s="88"/>
      <c r="G896" s="88"/>
      <c r="H896" s="3"/>
      <c r="I896" s="3"/>
      <c r="J896" s="3"/>
      <c r="K896" s="3"/>
      <c r="L896" s="3"/>
      <c r="M896" s="3"/>
      <c r="N896" s="1"/>
      <c r="O896" t="str">
        <f t="shared" si="30"/>
        <v>893. _</v>
      </c>
    </row>
    <row r="897" spans="2:15">
      <c r="B897" s="92">
        <f t="shared" si="28"/>
        <v>894</v>
      </c>
      <c r="C897" s="222"/>
      <c r="D897" s="222"/>
      <c r="E897" s="88"/>
      <c r="F897" s="88"/>
      <c r="G897" s="88"/>
      <c r="H897" s="3"/>
      <c r="I897" s="3"/>
      <c r="J897" s="3"/>
      <c r="K897" s="3"/>
      <c r="L897" s="3"/>
      <c r="M897" s="3"/>
      <c r="N897" s="1"/>
      <c r="O897" t="str">
        <f t="shared" si="30"/>
        <v>894. _</v>
      </c>
    </row>
    <row r="898" spans="2:15">
      <c r="B898" s="92">
        <f t="shared" si="28"/>
        <v>895</v>
      </c>
      <c r="C898" s="222"/>
      <c r="D898" s="222"/>
      <c r="E898" s="88"/>
      <c r="F898" s="88"/>
      <c r="G898" s="88"/>
      <c r="H898" s="3"/>
      <c r="I898" s="3"/>
      <c r="J898" s="3"/>
      <c r="K898" s="3"/>
      <c r="L898" s="3"/>
      <c r="M898" s="3"/>
      <c r="N898" s="1"/>
      <c r="O898" t="str">
        <f t="shared" si="30"/>
        <v>895. _</v>
      </c>
    </row>
    <row r="899" spans="2:15">
      <c r="B899" s="92">
        <f t="shared" si="28"/>
        <v>896</v>
      </c>
      <c r="C899" s="222"/>
      <c r="D899" s="222"/>
      <c r="E899" s="88"/>
      <c r="F899" s="88"/>
      <c r="G899" s="88"/>
      <c r="H899" s="3"/>
      <c r="I899" s="3"/>
      <c r="J899" s="3"/>
      <c r="K899" s="3"/>
      <c r="L899" s="3"/>
      <c r="M899" s="3"/>
      <c r="N899" s="1"/>
      <c r="O899" t="str">
        <f t="shared" si="30"/>
        <v>896. _</v>
      </c>
    </row>
    <row r="900" spans="2:15">
      <c r="B900" s="88">
        <f t="shared" si="28"/>
        <v>897</v>
      </c>
      <c r="C900" s="222"/>
      <c r="D900" s="222"/>
      <c r="E900" s="88"/>
      <c r="F900" s="88"/>
      <c r="G900" s="88"/>
      <c r="H900" s="3"/>
      <c r="I900" s="3"/>
      <c r="J900" s="3"/>
      <c r="K900" s="3"/>
      <c r="L900" s="3"/>
      <c r="M900" s="3"/>
      <c r="N900" s="1"/>
      <c r="O900" t="str">
        <f t="shared" si="30"/>
        <v>897. _</v>
      </c>
    </row>
    <row r="901" spans="2:15">
      <c r="B901" s="88">
        <f t="shared" ref="B901:B964" si="31">B900+1</f>
        <v>898</v>
      </c>
      <c r="C901" s="222"/>
      <c r="D901" s="222"/>
      <c r="E901" s="88"/>
      <c r="F901" s="88"/>
      <c r="G901" s="88"/>
      <c r="H901" s="3"/>
      <c r="I901" s="3"/>
      <c r="J901" s="3"/>
      <c r="K901" s="3"/>
      <c r="L901" s="3"/>
      <c r="M901" s="3"/>
      <c r="N901" s="1"/>
      <c r="O901" t="str">
        <f t="shared" si="30"/>
        <v>898. _</v>
      </c>
    </row>
    <row r="902" spans="2:15">
      <c r="B902" s="88">
        <f t="shared" si="31"/>
        <v>899</v>
      </c>
      <c r="C902" s="222"/>
      <c r="D902" s="222"/>
      <c r="E902" s="88"/>
      <c r="F902" s="88"/>
      <c r="G902" s="88"/>
      <c r="H902" s="3"/>
      <c r="I902" s="3"/>
      <c r="J902" s="3"/>
      <c r="K902" s="3"/>
      <c r="L902" s="3"/>
      <c r="M902" s="3"/>
      <c r="N902" s="1"/>
      <c r="O902" t="str">
        <f t="shared" si="30"/>
        <v>899. _</v>
      </c>
    </row>
    <row r="903" spans="2:15">
      <c r="B903" s="88">
        <f t="shared" si="31"/>
        <v>900</v>
      </c>
      <c r="C903" s="222"/>
      <c r="D903" s="222"/>
      <c r="E903" s="88"/>
      <c r="F903" s="88"/>
      <c r="G903" s="88"/>
      <c r="H903" s="3"/>
      <c r="I903" s="3"/>
      <c r="J903" s="3"/>
      <c r="K903" s="3"/>
      <c r="L903" s="3"/>
      <c r="M903" s="3"/>
      <c r="N903" s="1"/>
      <c r="O903" t="str">
        <f t="shared" si="30"/>
        <v>900. _</v>
      </c>
    </row>
    <row r="904" spans="2:15">
      <c r="B904" s="88">
        <f t="shared" si="31"/>
        <v>901</v>
      </c>
      <c r="C904" s="222"/>
      <c r="D904" s="222"/>
      <c r="E904" s="88"/>
      <c r="F904" s="88"/>
      <c r="G904" s="88"/>
      <c r="H904" s="3"/>
      <c r="I904" s="3"/>
      <c r="J904" s="3"/>
      <c r="K904" s="3"/>
      <c r="L904" s="3"/>
      <c r="M904" s="3"/>
      <c r="N904" s="1"/>
      <c r="O904" t="str">
        <f t="shared" si="30"/>
        <v>901. _</v>
      </c>
    </row>
    <row r="905" spans="2:15">
      <c r="B905" s="88">
        <f t="shared" si="31"/>
        <v>902</v>
      </c>
      <c r="C905" s="222"/>
      <c r="D905" s="222"/>
      <c r="E905" s="88"/>
      <c r="F905" s="88"/>
      <c r="G905" s="88"/>
      <c r="H905" s="3"/>
      <c r="I905" s="3"/>
      <c r="J905" s="3"/>
      <c r="K905" s="3"/>
      <c r="L905" s="3"/>
      <c r="M905" s="3"/>
      <c r="N905" s="1"/>
      <c r="O905" t="str">
        <f t="shared" si="30"/>
        <v>902. _</v>
      </c>
    </row>
    <row r="906" spans="2:15">
      <c r="B906" s="88">
        <f t="shared" si="31"/>
        <v>903</v>
      </c>
      <c r="C906" s="222"/>
      <c r="D906" s="222"/>
      <c r="E906" s="88"/>
      <c r="F906" s="88"/>
      <c r="G906" s="88"/>
      <c r="H906" s="3"/>
      <c r="I906" s="3"/>
      <c r="J906" s="3"/>
      <c r="K906" s="3"/>
      <c r="L906" s="3"/>
      <c r="M906" s="3"/>
      <c r="N906" s="1"/>
      <c r="O906" t="str">
        <f t="shared" si="30"/>
        <v>903. _</v>
      </c>
    </row>
    <row r="907" spans="2:15">
      <c r="B907" s="88">
        <f t="shared" si="31"/>
        <v>904</v>
      </c>
      <c r="C907" s="222"/>
      <c r="D907" s="222"/>
      <c r="E907" s="88"/>
      <c r="F907" s="88"/>
      <c r="G907" s="88"/>
      <c r="H907" s="3"/>
      <c r="I907" s="3"/>
      <c r="J907" s="3"/>
      <c r="K907" s="3"/>
      <c r="L907" s="3"/>
      <c r="M907" s="3"/>
      <c r="N907" s="1"/>
      <c r="O907" t="str">
        <f t="shared" si="30"/>
        <v>904. _</v>
      </c>
    </row>
    <row r="908" spans="2:15">
      <c r="B908" s="88">
        <f t="shared" si="31"/>
        <v>905</v>
      </c>
      <c r="C908" s="222"/>
      <c r="D908" s="222"/>
      <c r="E908" s="88"/>
      <c r="F908" s="88"/>
      <c r="G908" s="88"/>
      <c r="H908" s="3"/>
      <c r="I908" s="3"/>
      <c r="J908" s="3"/>
      <c r="K908" s="3"/>
      <c r="L908" s="3"/>
      <c r="M908" s="3"/>
      <c r="N908" s="1"/>
      <c r="O908" t="str">
        <f t="shared" si="30"/>
        <v>905. _</v>
      </c>
    </row>
    <row r="909" spans="2:15">
      <c r="B909" s="88">
        <f t="shared" si="31"/>
        <v>906</v>
      </c>
      <c r="C909" s="222"/>
      <c r="D909" s="222"/>
      <c r="E909" s="88"/>
      <c r="F909" s="88"/>
      <c r="G909" s="88"/>
      <c r="H909" s="3"/>
      <c r="I909" s="3"/>
      <c r="J909" s="3"/>
      <c r="K909" s="3"/>
      <c r="L909" s="3"/>
      <c r="M909" s="3"/>
      <c r="N909" s="1"/>
      <c r="O909" t="str">
        <f t="shared" si="30"/>
        <v>906. _</v>
      </c>
    </row>
    <row r="910" spans="2:15">
      <c r="B910" s="88">
        <f t="shared" si="31"/>
        <v>907</v>
      </c>
      <c r="C910" s="222"/>
      <c r="D910" s="222"/>
      <c r="E910" s="88"/>
      <c r="F910" s="88"/>
      <c r="G910" s="88"/>
      <c r="H910" s="3"/>
      <c r="I910" s="3"/>
      <c r="J910" s="3"/>
      <c r="K910" s="3"/>
      <c r="L910" s="3"/>
      <c r="M910" s="3"/>
      <c r="N910" s="1"/>
      <c r="O910" t="str">
        <f t="shared" si="30"/>
        <v>907. _</v>
      </c>
    </row>
    <row r="911" spans="2:15">
      <c r="B911" s="88">
        <f t="shared" si="31"/>
        <v>908</v>
      </c>
      <c r="C911" s="222"/>
      <c r="D911" s="222"/>
      <c r="E911" s="88"/>
      <c r="F911" s="88"/>
      <c r="G911" s="88"/>
      <c r="H911" s="3"/>
      <c r="I911" s="3"/>
      <c r="J911" s="3"/>
      <c r="K911" s="3"/>
      <c r="L911" s="3"/>
      <c r="M911" s="3"/>
      <c r="N911" s="1"/>
      <c r="O911" t="str">
        <f t="shared" si="30"/>
        <v>908. _</v>
      </c>
    </row>
    <row r="912" spans="2:15">
      <c r="B912" s="88">
        <f t="shared" si="31"/>
        <v>909</v>
      </c>
      <c r="C912" s="222"/>
      <c r="D912" s="222"/>
      <c r="E912" s="88"/>
      <c r="F912" s="88"/>
      <c r="G912" s="88"/>
      <c r="H912" s="3"/>
      <c r="I912" s="3"/>
      <c r="J912" s="3"/>
      <c r="K912" s="3"/>
      <c r="L912" s="3"/>
      <c r="M912" s="3"/>
      <c r="N912" s="1"/>
      <c r="O912" t="str">
        <f t="shared" si="30"/>
        <v>909. _</v>
      </c>
    </row>
    <row r="913" spans="2:15">
      <c r="B913" s="88">
        <f t="shared" si="31"/>
        <v>910</v>
      </c>
      <c r="C913" s="222"/>
      <c r="D913" s="222"/>
      <c r="E913" s="88"/>
      <c r="F913" s="88"/>
      <c r="G913" s="88"/>
      <c r="H913" s="3"/>
      <c r="I913" s="3"/>
      <c r="J913" s="3"/>
      <c r="K913" s="3"/>
      <c r="L913" s="3"/>
      <c r="M913" s="3"/>
      <c r="N913" s="1"/>
      <c r="O913" t="str">
        <f t="shared" si="30"/>
        <v>910. _</v>
      </c>
    </row>
    <row r="914" spans="2:15">
      <c r="B914" s="88">
        <f t="shared" si="31"/>
        <v>911</v>
      </c>
      <c r="C914" s="222"/>
      <c r="D914" s="222"/>
      <c r="E914" s="88"/>
      <c r="F914" s="88"/>
      <c r="G914" s="88"/>
      <c r="H914" s="3"/>
      <c r="I914" s="3"/>
      <c r="J914" s="3"/>
      <c r="K914" s="3"/>
      <c r="L914" s="3"/>
      <c r="M914" s="3"/>
      <c r="N914" s="1"/>
      <c r="O914" t="str">
        <f t="shared" si="30"/>
        <v>911. _</v>
      </c>
    </row>
    <row r="915" spans="2:15">
      <c r="B915" s="88">
        <f t="shared" si="31"/>
        <v>912</v>
      </c>
      <c r="C915" s="222"/>
      <c r="D915" s="222"/>
      <c r="E915" s="88"/>
      <c r="F915" s="88"/>
      <c r="G915" s="88"/>
      <c r="H915" s="3"/>
      <c r="I915" s="3"/>
      <c r="J915" s="3"/>
      <c r="K915" s="3"/>
      <c r="L915" s="3"/>
      <c r="M915" s="3"/>
      <c r="N915" s="1"/>
      <c r="O915" t="str">
        <f t="shared" si="30"/>
        <v>912. _</v>
      </c>
    </row>
    <row r="916" spans="2:15">
      <c r="B916" s="88">
        <f t="shared" si="31"/>
        <v>913</v>
      </c>
      <c r="C916" s="222"/>
      <c r="D916" s="222"/>
      <c r="E916" s="88"/>
      <c r="F916" s="88"/>
      <c r="G916" s="88"/>
      <c r="H916" s="3"/>
      <c r="I916" s="3"/>
      <c r="J916" s="3"/>
      <c r="K916" s="3"/>
      <c r="L916" s="3"/>
      <c r="M916" s="3"/>
      <c r="N916" s="1"/>
      <c r="O916" t="str">
        <f t="shared" si="30"/>
        <v>913. _</v>
      </c>
    </row>
    <row r="917" spans="2:15">
      <c r="B917" s="88">
        <f t="shared" si="31"/>
        <v>914</v>
      </c>
      <c r="C917" s="222"/>
      <c r="D917" s="222"/>
      <c r="E917" s="88"/>
      <c r="F917" s="88"/>
      <c r="G917" s="88"/>
      <c r="H917" s="3"/>
      <c r="I917" s="3"/>
      <c r="J917" s="3"/>
      <c r="K917" s="3"/>
      <c r="L917" s="3"/>
      <c r="M917" s="3"/>
      <c r="N917" s="1"/>
      <c r="O917" t="str">
        <f t="shared" si="30"/>
        <v>914. _</v>
      </c>
    </row>
    <row r="918" spans="2:15">
      <c r="B918" s="88">
        <f t="shared" si="31"/>
        <v>915</v>
      </c>
      <c r="C918" s="222"/>
      <c r="D918" s="222"/>
      <c r="E918" s="88"/>
      <c r="F918" s="88"/>
      <c r="G918" s="88"/>
      <c r="H918" s="3"/>
      <c r="I918" s="3"/>
      <c r="J918" s="3"/>
      <c r="K918" s="3"/>
      <c r="L918" s="3"/>
      <c r="M918" s="3"/>
      <c r="N918" s="1"/>
      <c r="O918" t="str">
        <f t="shared" si="30"/>
        <v>915. _</v>
      </c>
    </row>
    <row r="919" spans="2:15">
      <c r="B919" s="88">
        <f t="shared" si="31"/>
        <v>916</v>
      </c>
      <c r="C919" s="222"/>
      <c r="D919" s="222"/>
      <c r="E919" s="88"/>
      <c r="F919" s="88"/>
      <c r="G919" s="88"/>
      <c r="H919" s="3"/>
      <c r="I919" s="3"/>
      <c r="J919" s="3"/>
      <c r="K919" s="3"/>
      <c r="L919" s="3"/>
      <c r="M919" s="3"/>
      <c r="N919" s="1"/>
      <c r="O919" t="str">
        <f t="shared" si="30"/>
        <v>916. _</v>
      </c>
    </row>
    <row r="920" spans="2:15">
      <c r="B920" s="88">
        <f t="shared" si="31"/>
        <v>917</v>
      </c>
      <c r="C920" s="222"/>
      <c r="D920" s="222"/>
      <c r="E920" s="88"/>
      <c r="F920" s="88"/>
      <c r="G920" s="88"/>
      <c r="H920" s="3"/>
      <c r="I920" s="3"/>
      <c r="J920" s="3"/>
      <c r="K920" s="3"/>
      <c r="L920" s="3"/>
      <c r="M920" s="3"/>
      <c r="N920" s="1"/>
      <c r="O920" t="str">
        <f t="shared" si="30"/>
        <v>917. _</v>
      </c>
    </row>
    <row r="921" spans="2:15">
      <c r="B921" s="88">
        <f t="shared" si="31"/>
        <v>918</v>
      </c>
      <c r="C921" s="222"/>
      <c r="D921" s="222"/>
      <c r="E921" s="88"/>
      <c r="F921" s="88"/>
      <c r="G921" s="88"/>
      <c r="H921" s="3"/>
      <c r="I921" s="3"/>
      <c r="J921" s="3"/>
      <c r="K921" s="3"/>
      <c r="L921" s="3"/>
      <c r="M921" s="3"/>
      <c r="N921" s="1"/>
      <c r="O921" t="str">
        <f t="shared" si="30"/>
        <v>918. _</v>
      </c>
    </row>
    <row r="922" spans="2:15">
      <c r="B922" s="88">
        <f t="shared" si="31"/>
        <v>919</v>
      </c>
      <c r="C922" s="222"/>
      <c r="D922" s="222"/>
      <c r="E922" s="88"/>
      <c r="F922" s="88"/>
      <c r="G922" s="88"/>
      <c r="H922" s="3"/>
      <c r="I922" s="3"/>
      <c r="J922" s="3"/>
      <c r="K922" s="3"/>
      <c r="L922" s="3"/>
      <c r="M922" s="3"/>
      <c r="N922" s="1"/>
      <c r="O922" t="str">
        <f t="shared" si="30"/>
        <v>919. _</v>
      </c>
    </row>
    <row r="923" spans="2:15">
      <c r="B923" s="88">
        <f t="shared" si="31"/>
        <v>920</v>
      </c>
      <c r="C923" s="222"/>
      <c r="D923" s="222"/>
      <c r="E923" s="88"/>
      <c r="F923" s="88"/>
      <c r="G923" s="88"/>
      <c r="H923" s="3"/>
      <c r="I923" s="3"/>
      <c r="J923" s="3"/>
      <c r="K923" s="3"/>
      <c r="L923" s="3"/>
      <c r="M923" s="3"/>
      <c r="N923" s="1"/>
      <c r="O923" t="str">
        <f t="shared" ref="O923:O954" si="32">CONCATENATE(B923,". ",C923,"_",D923)</f>
        <v>920. _</v>
      </c>
    </row>
    <row r="924" spans="2:15">
      <c r="B924" s="88">
        <f t="shared" si="31"/>
        <v>921</v>
      </c>
      <c r="C924" s="222"/>
      <c r="D924" s="222"/>
      <c r="E924" s="88"/>
      <c r="F924" s="88"/>
      <c r="G924" s="88"/>
      <c r="H924" s="3"/>
      <c r="I924" s="3"/>
      <c r="J924" s="3"/>
      <c r="K924" s="3"/>
      <c r="L924" s="3"/>
      <c r="M924" s="3"/>
      <c r="N924" s="1"/>
      <c r="O924" t="str">
        <f t="shared" si="32"/>
        <v>921. _</v>
      </c>
    </row>
    <row r="925" spans="2:15">
      <c r="B925" s="88">
        <f t="shared" si="31"/>
        <v>922</v>
      </c>
      <c r="C925" s="222"/>
      <c r="D925" s="222"/>
      <c r="E925" s="88"/>
      <c r="F925" s="88"/>
      <c r="G925" s="88"/>
      <c r="H925" s="3"/>
      <c r="I925" s="3"/>
      <c r="J925" s="3"/>
      <c r="K925" s="3"/>
      <c r="L925" s="3"/>
      <c r="M925" s="3"/>
      <c r="N925" s="1"/>
      <c r="O925" t="str">
        <f t="shared" si="32"/>
        <v>922. _</v>
      </c>
    </row>
    <row r="926" spans="2:15">
      <c r="B926" s="88">
        <f t="shared" si="31"/>
        <v>923</v>
      </c>
      <c r="C926" s="222"/>
      <c r="D926" s="222"/>
      <c r="E926" s="88"/>
      <c r="F926" s="88"/>
      <c r="G926" s="88"/>
      <c r="H926" s="3"/>
      <c r="I926" s="3"/>
      <c r="J926" s="3"/>
      <c r="K926" s="3"/>
      <c r="L926" s="3"/>
      <c r="M926" s="3"/>
      <c r="N926" s="1"/>
      <c r="O926" t="str">
        <f t="shared" si="32"/>
        <v>923. _</v>
      </c>
    </row>
    <row r="927" spans="2:15">
      <c r="B927" s="88">
        <f t="shared" si="31"/>
        <v>924</v>
      </c>
      <c r="C927" s="222"/>
      <c r="D927" s="222"/>
      <c r="E927" s="88"/>
      <c r="F927" s="88"/>
      <c r="G927" s="88"/>
      <c r="H927" s="3"/>
      <c r="I927" s="3"/>
      <c r="J927" s="3"/>
      <c r="K927" s="3"/>
      <c r="L927" s="3"/>
      <c r="M927" s="3"/>
      <c r="N927" s="1"/>
      <c r="O927" t="str">
        <f t="shared" si="32"/>
        <v>924. _</v>
      </c>
    </row>
    <row r="928" spans="2:15">
      <c r="B928" s="88">
        <f t="shared" si="31"/>
        <v>925</v>
      </c>
      <c r="C928" s="222"/>
      <c r="D928" s="222"/>
      <c r="E928" s="88"/>
      <c r="F928" s="88"/>
      <c r="G928" s="88"/>
      <c r="H928" s="3"/>
      <c r="I928" s="3"/>
      <c r="J928" s="3"/>
      <c r="K928" s="3"/>
      <c r="L928" s="3"/>
      <c r="M928" s="3"/>
      <c r="N928" s="1"/>
      <c r="O928" t="str">
        <f t="shared" si="32"/>
        <v>925. _</v>
      </c>
    </row>
    <row r="929" spans="2:15">
      <c r="B929" s="88">
        <f t="shared" si="31"/>
        <v>926</v>
      </c>
      <c r="C929" s="222"/>
      <c r="D929" s="222"/>
      <c r="E929" s="88"/>
      <c r="F929" s="88"/>
      <c r="G929" s="88"/>
      <c r="H929" s="3"/>
      <c r="I929" s="3"/>
      <c r="J929" s="3"/>
      <c r="K929" s="3"/>
      <c r="L929" s="3"/>
      <c r="M929" s="3"/>
      <c r="N929" s="1"/>
      <c r="O929" t="str">
        <f t="shared" si="32"/>
        <v>926. _</v>
      </c>
    </row>
    <row r="930" spans="2:15">
      <c r="B930" s="88">
        <f t="shared" si="31"/>
        <v>927</v>
      </c>
      <c r="C930" s="222"/>
      <c r="D930" s="222"/>
      <c r="E930" s="88"/>
      <c r="F930" s="88"/>
      <c r="G930" s="88"/>
      <c r="H930" s="3"/>
      <c r="I930" s="3"/>
      <c r="J930" s="3"/>
      <c r="K930" s="3"/>
      <c r="L930" s="3"/>
      <c r="M930" s="3"/>
      <c r="N930" s="1"/>
      <c r="O930" t="str">
        <f t="shared" si="32"/>
        <v>927. _</v>
      </c>
    </row>
    <row r="931" spans="2:15">
      <c r="B931" s="88">
        <f t="shared" si="31"/>
        <v>928</v>
      </c>
      <c r="C931" s="222"/>
      <c r="D931" s="222"/>
      <c r="E931" s="88"/>
      <c r="F931" s="88"/>
      <c r="G931" s="88"/>
      <c r="H931" s="3"/>
      <c r="I931" s="3"/>
      <c r="J931" s="3"/>
      <c r="K931" s="3"/>
      <c r="L931" s="3"/>
      <c r="M931" s="3"/>
      <c r="N931" s="1"/>
      <c r="O931" t="str">
        <f t="shared" si="32"/>
        <v>928. _</v>
      </c>
    </row>
    <row r="932" spans="2:15">
      <c r="B932" s="88">
        <f t="shared" si="31"/>
        <v>929</v>
      </c>
      <c r="C932" s="222"/>
      <c r="D932" s="222"/>
      <c r="E932" s="88"/>
      <c r="F932" s="88"/>
      <c r="G932" s="88"/>
      <c r="H932" s="3"/>
      <c r="I932" s="3"/>
      <c r="J932" s="3"/>
      <c r="K932" s="3"/>
      <c r="L932" s="3"/>
      <c r="M932" s="3"/>
      <c r="N932" s="1"/>
      <c r="O932" t="str">
        <f t="shared" si="32"/>
        <v>929. _</v>
      </c>
    </row>
    <row r="933" spans="2:15">
      <c r="B933" s="88">
        <f t="shared" si="31"/>
        <v>930</v>
      </c>
      <c r="C933" s="222"/>
      <c r="D933" s="222"/>
      <c r="E933" s="88"/>
      <c r="F933" s="88"/>
      <c r="G933" s="88"/>
      <c r="H933" s="3"/>
      <c r="I933" s="3"/>
      <c r="J933" s="3"/>
      <c r="K933" s="3"/>
      <c r="L933" s="3"/>
      <c r="M933" s="3"/>
      <c r="N933" s="1"/>
      <c r="O933" t="str">
        <f t="shared" si="32"/>
        <v>930. _</v>
      </c>
    </row>
    <row r="934" spans="2:15">
      <c r="B934" s="88">
        <f t="shared" si="31"/>
        <v>931</v>
      </c>
      <c r="C934" s="222"/>
      <c r="D934" s="222"/>
      <c r="E934" s="88"/>
      <c r="F934" s="88"/>
      <c r="G934" s="88"/>
      <c r="H934" s="3"/>
      <c r="I934" s="3"/>
      <c r="J934" s="3"/>
      <c r="K934" s="3"/>
      <c r="L934" s="3"/>
      <c r="M934" s="3"/>
      <c r="N934" s="1"/>
      <c r="O934" t="str">
        <f t="shared" si="32"/>
        <v>931. _</v>
      </c>
    </row>
    <row r="935" spans="2:15">
      <c r="B935" s="88">
        <f t="shared" si="31"/>
        <v>932</v>
      </c>
      <c r="C935" s="222"/>
      <c r="D935" s="222"/>
      <c r="E935" s="88"/>
      <c r="F935" s="88"/>
      <c r="G935" s="88"/>
      <c r="H935" s="3"/>
      <c r="I935" s="3"/>
      <c r="J935" s="3"/>
      <c r="K935" s="3"/>
      <c r="L935" s="3"/>
      <c r="M935" s="3"/>
      <c r="N935" s="1"/>
      <c r="O935" t="str">
        <f t="shared" si="32"/>
        <v>932. _</v>
      </c>
    </row>
    <row r="936" spans="2:15">
      <c r="B936" s="88">
        <f t="shared" si="31"/>
        <v>933</v>
      </c>
      <c r="C936" s="222"/>
      <c r="D936" s="222"/>
      <c r="E936" s="88"/>
      <c r="F936" s="88"/>
      <c r="G936" s="88"/>
      <c r="H936" s="3"/>
      <c r="I936" s="3"/>
      <c r="J936" s="3"/>
      <c r="K936" s="3"/>
      <c r="L936" s="3"/>
      <c r="M936" s="3"/>
      <c r="N936" s="1"/>
      <c r="O936" t="str">
        <f t="shared" si="32"/>
        <v>933. _</v>
      </c>
    </row>
    <row r="937" spans="2:15">
      <c r="B937" s="88">
        <f t="shared" si="31"/>
        <v>934</v>
      </c>
      <c r="C937" s="222"/>
      <c r="D937" s="222"/>
      <c r="E937" s="88"/>
      <c r="F937" s="88"/>
      <c r="G937" s="88"/>
      <c r="H937" s="3"/>
      <c r="I937" s="3"/>
      <c r="J937" s="3"/>
      <c r="K937" s="3"/>
      <c r="L937" s="3"/>
      <c r="M937" s="3"/>
      <c r="N937" s="1"/>
      <c r="O937" t="str">
        <f t="shared" si="32"/>
        <v>934. _</v>
      </c>
    </row>
    <row r="938" spans="2:15">
      <c r="B938" s="88">
        <f t="shared" si="31"/>
        <v>935</v>
      </c>
      <c r="C938" s="222"/>
      <c r="D938" s="222"/>
      <c r="E938" s="88"/>
      <c r="F938" s="88"/>
      <c r="G938" s="88"/>
      <c r="H938" s="3"/>
      <c r="I938" s="3"/>
      <c r="J938" s="3"/>
      <c r="K938" s="3"/>
      <c r="L938" s="3"/>
      <c r="M938" s="3"/>
      <c r="N938" s="1"/>
      <c r="O938" t="str">
        <f t="shared" si="32"/>
        <v>935. _</v>
      </c>
    </row>
    <row r="939" spans="2:15">
      <c r="B939" s="88">
        <f t="shared" si="31"/>
        <v>936</v>
      </c>
      <c r="O939" t="str">
        <f t="shared" si="32"/>
        <v>936. _</v>
      </c>
    </row>
    <row r="940" spans="2:15">
      <c r="B940" s="88">
        <f t="shared" si="31"/>
        <v>937</v>
      </c>
      <c r="O940" t="str">
        <f t="shared" si="32"/>
        <v>937. _</v>
      </c>
    </row>
    <row r="941" spans="2:15">
      <c r="B941" s="88">
        <f t="shared" si="31"/>
        <v>938</v>
      </c>
      <c r="O941" t="str">
        <f t="shared" si="32"/>
        <v>938. _</v>
      </c>
    </row>
    <row r="942" spans="2:15">
      <c r="B942" s="88">
        <f t="shared" si="31"/>
        <v>939</v>
      </c>
      <c r="O942" t="str">
        <f t="shared" si="32"/>
        <v>939. _</v>
      </c>
    </row>
    <row r="943" spans="2:15">
      <c r="B943" s="88">
        <f t="shared" si="31"/>
        <v>940</v>
      </c>
      <c r="O943" t="str">
        <f t="shared" si="32"/>
        <v>940. _</v>
      </c>
    </row>
    <row r="944" spans="2:15">
      <c r="B944" s="88">
        <f t="shared" si="31"/>
        <v>941</v>
      </c>
      <c r="O944" t="str">
        <f t="shared" si="32"/>
        <v>941. _</v>
      </c>
    </row>
    <row r="945" spans="2:15">
      <c r="B945" s="88">
        <f t="shared" si="31"/>
        <v>942</v>
      </c>
      <c r="O945" t="str">
        <f t="shared" si="32"/>
        <v>942. _</v>
      </c>
    </row>
    <row r="946" spans="2:15">
      <c r="B946" s="88">
        <f t="shared" si="31"/>
        <v>943</v>
      </c>
      <c r="O946" t="str">
        <f t="shared" si="32"/>
        <v>943. _</v>
      </c>
    </row>
    <row r="947" spans="2:15">
      <c r="B947" s="88">
        <f t="shared" si="31"/>
        <v>944</v>
      </c>
      <c r="O947" t="str">
        <f t="shared" si="32"/>
        <v>944. _</v>
      </c>
    </row>
    <row r="948" spans="2:15">
      <c r="B948" s="88">
        <f t="shared" si="31"/>
        <v>945</v>
      </c>
      <c r="O948" t="str">
        <f t="shared" si="32"/>
        <v>945. _</v>
      </c>
    </row>
    <row r="949" spans="2:15">
      <c r="B949" s="88">
        <f t="shared" si="31"/>
        <v>946</v>
      </c>
      <c r="O949" t="str">
        <f t="shared" si="32"/>
        <v>946. _</v>
      </c>
    </row>
    <row r="950" spans="2:15">
      <c r="B950" s="88">
        <f t="shared" si="31"/>
        <v>947</v>
      </c>
      <c r="O950" t="str">
        <f t="shared" si="32"/>
        <v>947. _</v>
      </c>
    </row>
    <row r="951" spans="2:15">
      <c r="B951" s="88">
        <f t="shared" si="31"/>
        <v>948</v>
      </c>
      <c r="O951" t="str">
        <f t="shared" si="32"/>
        <v>948. _</v>
      </c>
    </row>
    <row r="952" spans="2:15">
      <c r="B952" s="88">
        <f t="shared" si="31"/>
        <v>949</v>
      </c>
      <c r="O952" t="str">
        <f t="shared" si="32"/>
        <v>949. _</v>
      </c>
    </row>
    <row r="953" spans="2:15">
      <c r="B953" s="88">
        <f t="shared" si="31"/>
        <v>950</v>
      </c>
      <c r="O953" t="str">
        <f t="shared" si="32"/>
        <v>950. _</v>
      </c>
    </row>
    <row r="954" spans="2:15">
      <c r="B954" s="88">
        <f t="shared" si="31"/>
        <v>951</v>
      </c>
      <c r="O954" t="str">
        <f t="shared" si="32"/>
        <v>951. _</v>
      </c>
    </row>
    <row r="955" spans="2:15">
      <c r="B955" s="88">
        <f t="shared" si="31"/>
        <v>952</v>
      </c>
      <c r="O955" t="str">
        <f t="shared" ref="O955:O986" si="33">CONCATENATE(B955,". ",C955,"_",D955)</f>
        <v>952. _</v>
      </c>
    </row>
    <row r="956" spans="2:15">
      <c r="B956" s="88">
        <f t="shared" si="31"/>
        <v>953</v>
      </c>
      <c r="O956" t="str">
        <f t="shared" si="33"/>
        <v>953. _</v>
      </c>
    </row>
    <row r="957" spans="2:15">
      <c r="B957" s="88">
        <f t="shared" si="31"/>
        <v>954</v>
      </c>
      <c r="O957" t="str">
        <f t="shared" si="33"/>
        <v>954. _</v>
      </c>
    </row>
    <row r="958" spans="2:15">
      <c r="B958" s="88">
        <f t="shared" si="31"/>
        <v>955</v>
      </c>
      <c r="O958" t="str">
        <f t="shared" si="33"/>
        <v>955. _</v>
      </c>
    </row>
    <row r="959" spans="2:15">
      <c r="B959" s="88">
        <f t="shared" si="31"/>
        <v>956</v>
      </c>
      <c r="O959" t="str">
        <f t="shared" si="33"/>
        <v>956. _</v>
      </c>
    </row>
    <row r="960" spans="2:15">
      <c r="B960" s="88">
        <f t="shared" si="31"/>
        <v>957</v>
      </c>
      <c r="O960" t="str">
        <f t="shared" si="33"/>
        <v>957. _</v>
      </c>
    </row>
    <row r="961" spans="2:15">
      <c r="B961" s="88">
        <f t="shared" si="31"/>
        <v>958</v>
      </c>
      <c r="O961" t="str">
        <f t="shared" si="33"/>
        <v>958. _</v>
      </c>
    </row>
    <row r="962" spans="2:15">
      <c r="B962" s="88">
        <f t="shared" si="31"/>
        <v>959</v>
      </c>
      <c r="O962" t="str">
        <f t="shared" si="33"/>
        <v>959. _</v>
      </c>
    </row>
    <row r="963" spans="2:15">
      <c r="B963" s="88">
        <f t="shared" si="31"/>
        <v>960</v>
      </c>
      <c r="O963" t="str">
        <f t="shared" si="33"/>
        <v>960. _</v>
      </c>
    </row>
    <row r="964" spans="2:15">
      <c r="B964" s="88">
        <f t="shared" si="31"/>
        <v>961</v>
      </c>
      <c r="O964" t="str">
        <f t="shared" si="33"/>
        <v>961. _</v>
      </c>
    </row>
    <row r="965" spans="2:15">
      <c r="B965" s="88">
        <f t="shared" ref="B965:B1010" si="34">B964+1</f>
        <v>962</v>
      </c>
      <c r="O965" t="str">
        <f t="shared" si="33"/>
        <v>962. _</v>
      </c>
    </row>
    <row r="966" spans="2:15">
      <c r="B966" s="88">
        <f t="shared" si="34"/>
        <v>963</v>
      </c>
      <c r="O966" t="str">
        <f t="shared" si="33"/>
        <v>963. _</v>
      </c>
    </row>
    <row r="967" spans="2:15">
      <c r="B967" s="88">
        <f t="shared" si="34"/>
        <v>964</v>
      </c>
      <c r="O967" t="str">
        <f t="shared" si="33"/>
        <v>964. _</v>
      </c>
    </row>
    <row r="968" spans="2:15">
      <c r="B968" s="88">
        <f t="shared" si="34"/>
        <v>965</v>
      </c>
      <c r="O968" t="str">
        <f t="shared" si="33"/>
        <v>965. _</v>
      </c>
    </row>
    <row r="969" spans="2:15">
      <c r="B969" s="88">
        <f t="shared" si="34"/>
        <v>966</v>
      </c>
      <c r="O969" t="str">
        <f t="shared" si="33"/>
        <v>966. _</v>
      </c>
    </row>
    <row r="970" spans="2:15">
      <c r="B970" s="88">
        <f t="shared" si="34"/>
        <v>967</v>
      </c>
      <c r="O970" t="str">
        <f t="shared" si="33"/>
        <v>967. _</v>
      </c>
    </row>
    <row r="971" spans="2:15">
      <c r="B971" s="88">
        <f t="shared" si="34"/>
        <v>968</v>
      </c>
      <c r="O971" t="str">
        <f t="shared" si="33"/>
        <v>968. _</v>
      </c>
    </row>
    <row r="972" spans="2:15">
      <c r="B972" s="88">
        <f t="shared" si="34"/>
        <v>969</v>
      </c>
      <c r="O972" t="str">
        <f t="shared" si="33"/>
        <v>969. _</v>
      </c>
    </row>
    <row r="973" spans="2:15">
      <c r="B973" s="88">
        <f t="shared" si="34"/>
        <v>970</v>
      </c>
      <c r="O973" t="str">
        <f t="shared" si="33"/>
        <v>970. _</v>
      </c>
    </row>
    <row r="974" spans="2:15">
      <c r="B974" s="88">
        <f t="shared" si="34"/>
        <v>971</v>
      </c>
      <c r="O974" t="str">
        <f t="shared" si="33"/>
        <v>971. _</v>
      </c>
    </row>
    <row r="975" spans="2:15">
      <c r="B975" s="88">
        <f t="shared" si="34"/>
        <v>972</v>
      </c>
      <c r="O975" t="str">
        <f t="shared" si="33"/>
        <v>972. _</v>
      </c>
    </row>
    <row r="976" spans="2:15">
      <c r="B976" s="88">
        <f t="shared" si="34"/>
        <v>973</v>
      </c>
      <c r="O976" t="str">
        <f t="shared" si="33"/>
        <v>973. _</v>
      </c>
    </row>
    <row r="977" spans="2:15">
      <c r="B977" s="88">
        <f t="shared" si="34"/>
        <v>974</v>
      </c>
      <c r="O977" t="str">
        <f t="shared" si="33"/>
        <v>974. _</v>
      </c>
    </row>
    <row r="978" spans="2:15">
      <c r="B978" s="88">
        <f t="shared" si="34"/>
        <v>975</v>
      </c>
      <c r="O978" t="str">
        <f t="shared" si="33"/>
        <v>975. _</v>
      </c>
    </row>
    <row r="979" spans="2:15">
      <c r="B979" s="88">
        <f t="shared" si="34"/>
        <v>976</v>
      </c>
      <c r="O979" t="str">
        <f t="shared" si="33"/>
        <v>976. _</v>
      </c>
    </row>
    <row r="980" spans="2:15">
      <c r="B980" s="88">
        <f t="shared" si="34"/>
        <v>977</v>
      </c>
      <c r="O980" t="str">
        <f t="shared" si="33"/>
        <v>977. _</v>
      </c>
    </row>
    <row r="981" spans="2:15">
      <c r="B981" s="88">
        <f t="shared" si="34"/>
        <v>978</v>
      </c>
      <c r="O981" t="str">
        <f t="shared" si="33"/>
        <v>978. _</v>
      </c>
    </row>
    <row r="982" spans="2:15">
      <c r="B982" s="88">
        <f t="shared" si="34"/>
        <v>979</v>
      </c>
      <c r="O982" t="str">
        <f t="shared" si="33"/>
        <v>979. _</v>
      </c>
    </row>
    <row r="983" spans="2:15">
      <c r="B983" s="88">
        <f t="shared" si="34"/>
        <v>980</v>
      </c>
      <c r="O983" t="str">
        <f t="shared" si="33"/>
        <v>980. _</v>
      </c>
    </row>
    <row r="984" spans="2:15">
      <c r="B984" s="88">
        <f t="shared" si="34"/>
        <v>981</v>
      </c>
      <c r="O984" t="str">
        <f t="shared" si="33"/>
        <v>981. _</v>
      </c>
    </row>
    <row r="985" spans="2:15">
      <c r="B985" s="88">
        <f t="shared" si="34"/>
        <v>982</v>
      </c>
      <c r="O985" t="str">
        <f t="shared" si="33"/>
        <v>982. _</v>
      </c>
    </row>
    <row r="986" spans="2:15">
      <c r="B986" s="88">
        <f t="shared" si="34"/>
        <v>983</v>
      </c>
      <c r="O986" t="str">
        <f t="shared" si="33"/>
        <v>983. _</v>
      </c>
    </row>
    <row r="987" spans="2:15">
      <c r="B987" s="88">
        <f t="shared" si="34"/>
        <v>984</v>
      </c>
      <c r="O987" t="str">
        <f t="shared" ref="O987:O1010" si="35">CONCATENATE(B987,". ",C987,"_",D987)</f>
        <v>984. _</v>
      </c>
    </row>
    <row r="988" spans="2:15">
      <c r="B988" s="88">
        <f t="shared" si="34"/>
        <v>985</v>
      </c>
      <c r="O988" t="str">
        <f t="shared" si="35"/>
        <v>985. _</v>
      </c>
    </row>
    <row r="989" spans="2:15">
      <c r="B989" s="88">
        <f t="shared" si="34"/>
        <v>986</v>
      </c>
      <c r="O989" t="str">
        <f t="shared" si="35"/>
        <v>986. _</v>
      </c>
    </row>
    <row r="990" spans="2:15">
      <c r="B990" s="88">
        <f t="shared" si="34"/>
        <v>987</v>
      </c>
      <c r="O990" t="str">
        <f t="shared" si="35"/>
        <v>987. _</v>
      </c>
    </row>
    <row r="991" spans="2:15">
      <c r="B991" s="88">
        <f t="shared" si="34"/>
        <v>988</v>
      </c>
      <c r="O991" t="str">
        <f t="shared" si="35"/>
        <v>988. _</v>
      </c>
    </row>
    <row r="992" spans="2:15">
      <c r="B992" s="88">
        <f t="shared" si="34"/>
        <v>989</v>
      </c>
      <c r="O992" t="str">
        <f t="shared" si="35"/>
        <v>989. _</v>
      </c>
    </row>
    <row r="993" spans="2:15">
      <c r="B993" s="88">
        <f t="shared" si="34"/>
        <v>990</v>
      </c>
      <c r="O993" t="str">
        <f t="shared" si="35"/>
        <v>990. _</v>
      </c>
    </row>
    <row r="994" spans="2:15">
      <c r="B994" s="88">
        <f t="shared" si="34"/>
        <v>991</v>
      </c>
      <c r="O994" t="str">
        <f t="shared" si="35"/>
        <v>991. _</v>
      </c>
    </row>
    <row r="995" spans="2:15">
      <c r="B995" s="88">
        <f t="shared" si="34"/>
        <v>992</v>
      </c>
      <c r="O995" t="str">
        <f t="shared" si="35"/>
        <v>992. _</v>
      </c>
    </row>
    <row r="996" spans="2:15">
      <c r="B996" s="88">
        <f t="shared" si="34"/>
        <v>993</v>
      </c>
      <c r="O996" t="str">
        <f t="shared" si="35"/>
        <v>993. _</v>
      </c>
    </row>
    <row r="997" spans="2:15">
      <c r="B997" s="88">
        <f t="shared" si="34"/>
        <v>994</v>
      </c>
      <c r="O997" t="str">
        <f t="shared" si="35"/>
        <v>994. _</v>
      </c>
    </row>
    <row r="998" spans="2:15">
      <c r="B998" s="88">
        <f t="shared" si="34"/>
        <v>995</v>
      </c>
      <c r="O998" t="str">
        <f t="shared" si="35"/>
        <v>995. _</v>
      </c>
    </row>
    <row r="999" spans="2:15">
      <c r="B999" s="88">
        <f t="shared" si="34"/>
        <v>996</v>
      </c>
      <c r="O999" t="str">
        <f t="shared" si="35"/>
        <v>996. _</v>
      </c>
    </row>
    <row r="1000" spans="2:15">
      <c r="B1000" s="88">
        <f t="shared" si="34"/>
        <v>997</v>
      </c>
      <c r="O1000" t="str">
        <f t="shared" si="35"/>
        <v>997. _</v>
      </c>
    </row>
    <row r="1001" spans="2:15">
      <c r="B1001" s="88">
        <f t="shared" si="34"/>
        <v>998</v>
      </c>
      <c r="O1001" t="str">
        <f t="shared" si="35"/>
        <v>998. _</v>
      </c>
    </row>
    <row r="1002" spans="2:15">
      <c r="B1002" s="88">
        <f t="shared" si="34"/>
        <v>999</v>
      </c>
      <c r="O1002" t="str">
        <f t="shared" si="35"/>
        <v>999. _</v>
      </c>
    </row>
    <row r="1003" spans="2:15">
      <c r="B1003" s="88">
        <f t="shared" si="34"/>
        <v>1000</v>
      </c>
      <c r="O1003" t="str">
        <f t="shared" si="35"/>
        <v>1000. _</v>
      </c>
    </row>
    <row r="1004" spans="2:15">
      <c r="B1004" s="88">
        <f t="shared" si="34"/>
        <v>1001</v>
      </c>
      <c r="O1004" t="str">
        <f t="shared" si="35"/>
        <v>1001. _</v>
      </c>
    </row>
    <row r="1005" spans="2:15">
      <c r="B1005" s="88">
        <f t="shared" si="34"/>
        <v>1002</v>
      </c>
      <c r="O1005" t="str">
        <f t="shared" si="35"/>
        <v>1002. _</v>
      </c>
    </row>
    <row r="1006" spans="2:15">
      <c r="B1006" s="88">
        <f t="shared" si="34"/>
        <v>1003</v>
      </c>
      <c r="O1006" t="str">
        <f t="shared" si="35"/>
        <v>1003. _</v>
      </c>
    </row>
    <row r="1007" spans="2:15">
      <c r="B1007" s="88">
        <f t="shared" si="34"/>
        <v>1004</v>
      </c>
      <c r="O1007" t="str">
        <f t="shared" si="35"/>
        <v>1004. _</v>
      </c>
    </row>
    <row r="1008" spans="2:15">
      <c r="B1008" s="88">
        <f t="shared" si="34"/>
        <v>1005</v>
      </c>
      <c r="O1008" t="str">
        <f t="shared" si="35"/>
        <v>1005. _</v>
      </c>
    </row>
    <row r="1009" spans="2:15">
      <c r="B1009" s="88">
        <f t="shared" si="34"/>
        <v>1006</v>
      </c>
      <c r="O1009" t="str">
        <f t="shared" si="35"/>
        <v>1006. _</v>
      </c>
    </row>
    <row r="1010" spans="2:15">
      <c r="B1010" s="88">
        <f t="shared" si="34"/>
        <v>1007</v>
      </c>
      <c r="O1010" t="str">
        <f t="shared" si="35"/>
        <v>1007. _</v>
      </c>
    </row>
    <row r="1011" spans="2:15" hidden="1"/>
    <row r="1048575" spans="8:14">
      <c r="H1048575" s="3"/>
      <c r="N1048575" s="1"/>
    </row>
  </sheetData>
  <autoFilter ref="B3:P1010" xr:uid="{00000000-0001-0000-0000-000000000000}">
    <sortState xmlns:xlrd2="http://schemas.microsoft.com/office/spreadsheetml/2017/richdata2" ref="B4:P829">
      <sortCondition ref="B3:B829"/>
    </sortState>
  </autoFilter>
  <phoneticPr fontId="4" type="noConversion"/>
  <conditionalFormatting sqref="A123:A124">
    <cfRule type="duplicateValues" dxfId="92" priority="25"/>
  </conditionalFormatting>
  <conditionalFormatting sqref="A125:A129">
    <cfRule type="duplicateValues" dxfId="91" priority="24"/>
  </conditionalFormatting>
  <conditionalFormatting sqref="A130:A1048576 A1:A122">
    <cfRule type="duplicateValues" dxfId="90" priority="32"/>
  </conditionalFormatting>
  <conditionalFormatting sqref="E67 E69:E252 E254:E471">
    <cfRule type="cellIs" dxfId="89" priority="30" operator="equal">
      <formula>"미제출"</formula>
    </cfRule>
    <cfRule type="cellIs" dxfId="88" priority="31" operator="equal">
      <formula>"승인"</formula>
    </cfRule>
  </conditionalFormatting>
  <conditionalFormatting sqref="F283:F291 F292:G292 F294:F301 F302:G307 F308 G308:G316 F310:F311 F313:F315 F322:G327 G328:G335">
    <cfRule type="expression" dxfId="87" priority="64">
      <formula>#REF!="현장평가 미진행"</formula>
    </cfRule>
    <cfRule type="expression" dxfId="86" priority="63">
      <formula>#REF!="사업포기"</formula>
    </cfRule>
    <cfRule type="expression" dxfId="85" priority="60">
      <formula>#REF!="사업지연"</formula>
    </cfRule>
    <cfRule type="expression" dxfId="84" priority="62">
      <formula>#REF!="완료"</formula>
    </cfRule>
    <cfRule type="expression" dxfId="83" priority="61">
      <formula>#REF!="수정요청"</formula>
    </cfRule>
    <cfRule type="expression" dxfId="82" priority="59">
      <formula>#REF!="승인"</formula>
    </cfRule>
    <cfRule type="expression" dxfId="81" priority="58">
      <formula>#REF!="확인완료"</formula>
    </cfRule>
    <cfRule type="expression" dxfId="80" priority="67">
      <formula>#REF!="기업확인"</formula>
    </cfRule>
    <cfRule type="expression" dxfId="79" priority="66">
      <formula>#REF!="작성중"</formula>
    </cfRule>
    <cfRule type="expression" dxfId="78" priority="65">
      <formula>#REF!="미제출"</formula>
    </cfRule>
    <cfRule type="expression" dxfId="77" priority="57">
      <formula>#REF!="삭제"</formula>
    </cfRule>
  </conditionalFormatting>
  <conditionalFormatting sqref="F34:G37">
    <cfRule type="expression" dxfId="76" priority="119">
      <formula>#REF!="현장평가 미진행"</formula>
    </cfRule>
    <cfRule type="expression" dxfId="75" priority="118">
      <formula>#REF!="사업포기"</formula>
    </cfRule>
    <cfRule type="expression" dxfId="74" priority="117">
      <formula>#REF!="완료"</formula>
    </cfRule>
    <cfRule type="expression" dxfId="73" priority="116">
      <formula>#REF!="수정요청"</formula>
    </cfRule>
    <cfRule type="expression" dxfId="72" priority="115">
      <formula>#REF!="사업지연"</formula>
    </cfRule>
    <cfRule type="expression" dxfId="71" priority="113">
      <formula>#REF!="확인완료"</formula>
    </cfRule>
    <cfRule type="expression" dxfId="70" priority="112">
      <formula>#REF!="삭제"</formula>
    </cfRule>
    <cfRule type="expression" dxfId="69" priority="114">
      <formula>#REF!="승인"</formula>
    </cfRule>
    <cfRule type="expression" dxfId="68" priority="122">
      <formula>#REF!="기업확인"</formula>
    </cfRule>
    <cfRule type="expression" dxfId="67" priority="120">
      <formula>#REF!="미제출"</formula>
    </cfRule>
    <cfRule type="expression" dxfId="66" priority="121">
      <formula>#REF!="작성중"</formula>
    </cfRule>
  </conditionalFormatting>
  <conditionalFormatting sqref="F63:G64">
    <cfRule type="expression" dxfId="65" priority="101">
      <formula>#REF!="삭제"</formula>
    </cfRule>
    <cfRule type="expression" dxfId="64" priority="102">
      <formula>#REF!="확인완료"</formula>
    </cfRule>
    <cfRule type="expression" dxfId="63" priority="103">
      <formula>#REF!="승인"</formula>
    </cfRule>
    <cfRule type="expression" dxfId="62" priority="106">
      <formula>#REF!="완료"</formula>
    </cfRule>
    <cfRule type="expression" dxfId="61" priority="104">
      <formula>#REF!="사업지연"</formula>
    </cfRule>
    <cfRule type="expression" dxfId="60" priority="105">
      <formula>#REF!="수정요청"</formula>
    </cfRule>
    <cfRule type="expression" dxfId="59" priority="107">
      <formula>#REF!="사업포기"</formula>
    </cfRule>
    <cfRule type="expression" dxfId="58" priority="108">
      <formula>#REF!="현장평가 미진행"</formula>
    </cfRule>
    <cfRule type="expression" dxfId="57" priority="111">
      <formula>#REF!="기업확인"</formula>
    </cfRule>
    <cfRule type="expression" dxfId="56" priority="109">
      <formula>#REF!="미제출"</formula>
    </cfRule>
    <cfRule type="expression" dxfId="55" priority="110">
      <formula>#REF!="작성중"</formula>
    </cfRule>
  </conditionalFormatting>
  <conditionalFormatting sqref="F81:G82">
    <cfRule type="expression" dxfId="54" priority="97">
      <formula>#REF!="현장평가 미진행"</formula>
    </cfRule>
    <cfRule type="expression" dxfId="53" priority="96">
      <formula>#REF!="사업포기"</formula>
    </cfRule>
    <cfRule type="expression" dxfId="52" priority="95">
      <formula>#REF!="완료"</formula>
    </cfRule>
    <cfRule type="expression" dxfId="51" priority="94">
      <formula>#REF!="수정요청"</formula>
    </cfRule>
    <cfRule type="expression" dxfId="50" priority="93">
      <formula>#REF!="사업지연"</formula>
    </cfRule>
    <cfRule type="expression" dxfId="49" priority="92">
      <formula>#REF!="승인"</formula>
    </cfRule>
    <cfRule type="expression" dxfId="48" priority="91">
      <formula>#REF!="확인완료"</formula>
    </cfRule>
    <cfRule type="expression" dxfId="47" priority="90">
      <formula>#REF!="삭제"</formula>
    </cfRule>
    <cfRule type="expression" dxfId="46" priority="99">
      <formula>#REF!="작성중"</formula>
    </cfRule>
    <cfRule type="expression" dxfId="45" priority="98">
      <formula>#REF!="미제출"</formula>
    </cfRule>
    <cfRule type="expression" dxfId="44" priority="100">
      <formula>#REF!="기업확인"</formula>
    </cfRule>
  </conditionalFormatting>
  <conditionalFormatting sqref="F93:G93">
    <cfRule type="expression" dxfId="43" priority="81">
      <formula>#REF!="승인"</formula>
    </cfRule>
    <cfRule type="expression" dxfId="42" priority="82">
      <formula>#REF!="사업지연"</formula>
    </cfRule>
    <cfRule type="expression" dxfId="41" priority="83">
      <formula>#REF!="수정요청"</formula>
    </cfRule>
    <cfRule type="expression" dxfId="40" priority="84">
      <formula>#REF!="완료"</formula>
    </cfRule>
    <cfRule type="expression" dxfId="39" priority="85">
      <formula>#REF!="사업포기"</formula>
    </cfRule>
    <cfRule type="expression" dxfId="38" priority="86">
      <formula>#REF!="현장평가 미진행"</formula>
    </cfRule>
    <cfRule type="expression" dxfId="37" priority="88">
      <formula>#REF!="작성중"</formula>
    </cfRule>
    <cfRule type="expression" dxfId="36" priority="89">
      <formula>#REF!="기업확인"</formula>
    </cfRule>
    <cfRule type="expression" dxfId="35" priority="87">
      <formula>#REF!="미제출"</formula>
    </cfRule>
    <cfRule type="expression" dxfId="34" priority="79">
      <formula>#REF!="삭제"</formula>
    </cfRule>
    <cfRule type="expression" dxfId="33" priority="80">
      <formula>#REF!="확인완료"</formula>
    </cfRule>
  </conditionalFormatting>
  <conditionalFormatting sqref="F281:G281">
    <cfRule type="expression" dxfId="32" priority="75">
      <formula>#REF!="현장평가 미진행"</formula>
    </cfRule>
    <cfRule type="expression" dxfId="31" priority="74">
      <formula>#REF!="사업포기"</formula>
    </cfRule>
    <cfRule type="expression" dxfId="30" priority="73">
      <formula>#REF!="완료"</formula>
    </cfRule>
    <cfRule type="expression" dxfId="29" priority="72">
      <formula>#REF!="수정요청"</formula>
    </cfRule>
    <cfRule type="expression" dxfId="28" priority="71">
      <formula>#REF!="사업지연"</formula>
    </cfRule>
    <cfRule type="expression" dxfId="27" priority="70">
      <formula>#REF!="승인"</formula>
    </cfRule>
    <cfRule type="expression" dxfId="26" priority="69">
      <formula>#REF!="확인완료"</formula>
    </cfRule>
    <cfRule type="expression" dxfId="25" priority="68">
      <formula>#REF!="삭제"</formula>
    </cfRule>
    <cfRule type="expression" dxfId="24" priority="76">
      <formula>#REF!="미제출"</formula>
    </cfRule>
    <cfRule type="expression" dxfId="23" priority="77">
      <formula>#REF!="작성중"</formula>
    </cfRule>
    <cfRule type="expression" dxfId="22" priority="78">
      <formula>#REF!="기업확인"</formula>
    </cfRule>
  </conditionalFormatting>
  <conditionalFormatting sqref="F317:G317 G318:G321 F319 F321">
    <cfRule type="expression" dxfId="21" priority="13">
      <formula>#REF!="기업확인"</formula>
    </cfRule>
    <cfRule type="expression" dxfId="20" priority="12">
      <formula>#REF!="작성중"</formula>
    </cfRule>
    <cfRule type="expression" dxfId="19" priority="3">
      <formula>#REF!="삭제"</formula>
    </cfRule>
    <cfRule type="expression" dxfId="18" priority="11">
      <formula>#REF!="미제출"</formula>
    </cfRule>
    <cfRule type="expression" dxfId="17" priority="10">
      <formula>#REF!="현장평가 미진행"</formula>
    </cfRule>
    <cfRule type="expression" dxfId="16" priority="9">
      <formula>#REF!="사업포기"</formula>
    </cfRule>
    <cfRule type="expression" dxfId="15" priority="8">
      <formula>#REF!="완료"</formula>
    </cfRule>
    <cfRule type="expression" dxfId="14" priority="7">
      <formula>#REF!="수정요청"</formula>
    </cfRule>
    <cfRule type="expression" dxfId="13" priority="6">
      <formula>#REF!="사업지연"</formula>
    </cfRule>
    <cfRule type="expression" dxfId="12" priority="5">
      <formula>#REF!="승인"</formula>
    </cfRule>
    <cfRule type="expression" dxfId="11" priority="4">
      <formula>#REF!="확인완료"</formula>
    </cfRule>
  </conditionalFormatting>
  <conditionalFormatting sqref="G33">
    <cfRule type="expression" dxfId="10" priority="43">
      <formula>#REF!="기업확인"</formula>
    </cfRule>
    <cfRule type="expression" dxfId="9" priority="42">
      <formula>#REF!="작성중"</formula>
    </cfRule>
    <cfRule type="expression" dxfId="8" priority="41">
      <formula>#REF!="미제출"</formula>
    </cfRule>
    <cfRule type="expression" dxfId="7" priority="40">
      <formula>#REF!="현장평가 미진행"</formula>
    </cfRule>
    <cfRule type="expression" dxfId="6" priority="39">
      <formula>#REF!="사업포기"</formula>
    </cfRule>
    <cfRule type="expression" dxfId="5" priority="38">
      <formula>#REF!="완료"</formula>
    </cfRule>
    <cfRule type="expression" dxfId="4" priority="37">
      <formula>#REF!="수정요청"</formula>
    </cfRule>
    <cfRule type="expression" dxfId="3" priority="36">
      <formula>#REF!="사업지연"</formula>
    </cfRule>
    <cfRule type="expression" dxfId="2" priority="34">
      <formula>#REF!="확인완료"</formula>
    </cfRule>
    <cfRule type="expression" dxfId="1" priority="33">
      <formula>#REF!="삭제"</formula>
    </cfRule>
    <cfRule type="expression" dxfId="0" priority="35">
      <formula>#REF!="승인"</formula>
    </cfRule>
  </conditionalFormatting>
  <dataValidations count="1">
    <dataValidation type="list" allowBlank="1" showInputMessage="1" showErrorMessage="1" sqref="E4:E316" xr:uid="{2E406645-D268-45BF-96B4-62ACAAD7C5E8}">
      <formula1>"금일신규, 미착수, 미완료, 완료, 취소"</formula1>
    </dataValidation>
  </dataValidations>
  <hyperlinks>
    <hyperlink ref="O1" r:id="rId1" xr:uid="{1015C482-5215-4259-A981-1EDA7492DD8B}"/>
  </hyperlinks>
  <pageMargins left="0.70866141732283472" right="0.70866141732283472" top="0.74803149606299213" bottom="0.74803149606299213" header="0.31496062992125984" footer="0.31496062992125984"/>
  <pageSetup paperSize="9" scale="65" fitToHeight="0" orientation="landscape" r:id="rId2"/>
  <rowBreaks count="4" manualBreakCount="4">
    <brk id="32" min="1" max="13" man="1"/>
    <brk id="209" min="1" max="13" man="1"/>
    <brk id="578" min="1" max="13" man="1"/>
    <brk id="678" min="1" max="13" man="1"/>
  </rowBreaks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D44FE-41FF-46FE-816F-76A40DCFDD28}">
  <dimension ref="A1:K48"/>
  <sheetViews>
    <sheetView workbookViewId="0">
      <selection activeCell="J13" sqref="J13"/>
    </sheetView>
  </sheetViews>
  <sheetFormatPr defaultRowHeight="15.75"/>
  <cols>
    <col min="1" max="1" width="15.625" style="37" customWidth="1"/>
    <col min="2" max="2" width="9" style="37"/>
    <col min="3" max="3" width="15.625" style="37" customWidth="1"/>
    <col min="4" max="4" width="9" style="37"/>
    <col min="5" max="5" width="15.625" style="37" customWidth="1"/>
    <col min="6" max="6" width="9" style="37"/>
    <col min="7" max="7" width="15.625" style="37" customWidth="1"/>
    <col min="8" max="8" width="35.625" style="37" customWidth="1"/>
    <col min="9" max="9" width="9" style="37"/>
    <col min="10" max="10" width="12.875" style="37" customWidth="1"/>
    <col min="11" max="16384" width="9" style="37"/>
  </cols>
  <sheetData>
    <row r="1" spans="1:11" ht="30" customHeight="1">
      <c r="A1" s="38" t="s">
        <v>71</v>
      </c>
    </row>
    <row r="2" spans="1:11" ht="20.100000000000001" customHeight="1">
      <c r="A2" s="39"/>
      <c r="B2" s="39"/>
      <c r="C2" s="39"/>
      <c r="D2" s="39"/>
      <c r="E2" s="39"/>
      <c r="F2" s="39"/>
      <c r="G2" s="39"/>
      <c r="H2" s="44" t="s">
        <v>69</v>
      </c>
      <c r="I2" s="39"/>
      <c r="J2" s="39"/>
      <c r="K2" s="39"/>
    </row>
    <row r="3" spans="1:11" ht="20.100000000000001" customHeight="1">
      <c r="A3" s="292" t="s">
        <v>59</v>
      </c>
      <c r="B3" s="292" t="s">
        <v>81</v>
      </c>
      <c r="C3" s="292"/>
      <c r="D3" s="292" t="s">
        <v>78</v>
      </c>
      <c r="E3" s="292"/>
      <c r="F3" s="292" t="s">
        <v>79</v>
      </c>
      <c r="G3" s="292"/>
      <c r="H3" s="292" t="s">
        <v>5</v>
      </c>
      <c r="I3" s="39"/>
      <c r="J3" s="39"/>
      <c r="K3" s="39"/>
    </row>
    <row r="4" spans="1:11" ht="20.100000000000001" customHeight="1">
      <c r="A4" s="292"/>
      <c r="B4" s="43" t="s">
        <v>67</v>
      </c>
      <c r="C4" s="43" t="s">
        <v>68</v>
      </c>
      <c r="D4" s="43" t="s">
        <v>67</v>
      </c>
      <c r="E4" s="43" t="s">
        <v>68</v>
      </c>
      <c r="F4" s="43" t="s">
        <v>67</v>
      </c>
      <c r="G4" s="43" t="s">
        <v>68</v>
      </c>
      <c r="H4" s="292"/>
      <c r="I4" s="39"/>
      <c r="J4" s="41" t="s">
        <v>70</v>
      </c>
      <c r="K4" s="39"/>
    </row>
    <row r="5" spans="1:11" ht="20.100000000000001" customHeight="1">
      <c r="A5" s="41" t="s">
        <v>22</v>
      </c>
      <c r="B5" s="42" t="e">
        <f>COUNTIFS(#REF!,"&lt;"&amp;수행!$J$5,#REF!,$A$5)+COUNTIFS(#REF!,"&lt;="&amp;수행!$J$5,#REF!,"자료수령")</f>
        <v>#REF!</v>
      </c>
      <c r="C5" s="45" t="e">
        <f>B5*100000</f>
        <v>#REF!</v>
      </c>
      <c r="D5" s="42" t="e">
        <f>COUNTIFS(#REF!,"&gt;="&amp;수행!$J$5,#REF!,수행!$A5)+COUNTIFS(#REF!,"&gt;="&amp;수행!$J$5,#REF!,"자료수령")</f>
        <v>#REF!</v>
      </c>
      <c r="E5" s="45" t="e">
        <f>D5*100000</f>
        <v>#REF!</v>
      </c>
      <c r="F5" s="42" t="e">
        <f t="shared" ref="F5:G7" si="0">B5+D5</f>
        <v>#REF!</v>
      </c>
      <c r="G5" s="42" t="e">
        <f t="shared" si="0"/>
        <v>#REF!</v>
      </c>
      <c r="H5" s="41" t="s">
        <v>72</v>
      </c>
      <c r="I5" s="39"/>
      <c r="J5" s="48">
        <v>46023</v>
      </c>
      <c r="K5" s="39"/>
    </row>
    <row r="6" spans="1:11" ht="20.100000000000001" customHeight="1">
      <c r="A6" s="41" t="s">
        <v>15</v>
      </c>
      <c r="B6" s="42" t="e">
        <f>COUNTIFS(#REF!,"&lt;"&amp;수행!$J$5,#REF!,수행!$A6)</f>
        <v>#REF!</v>
      </c>
      <c r="C6" s="45" t="e">
        <f t="shared" ref="C6:E7" si="1">B6*100000</f>
        <v>#REF!</v>
      </c>
      <c r="D6" s="42" t="e">
        <f>COUNTIFS(#REF!,"&gt;="&amp;수행!$J$5,#REF!,수행!$A6)</f>
        <v>#REF!</v>
      </c>
      <c r="E6" s="45" t="e">
        <f t="shared" si="1"/>
        <v>#REF!</v>
      </c>
      <c r="F6" s="42" t="e">
        <f t="shared" si="0"/>
        <v>#REF!</v>
      </c>
      <c r="G6" s="42" t="e">
        <f t="shared" si="0"/>
        <v>#REF!</v>
      </c>
      <c r="H6" s="40"/>
      <c r="I6" s="39"/>
      <c r="J6" s="49"/>
      <c r="K6" s="39"/>
    </row>
    <row r="7" spans="1:11" ht="20.100000000000001" customHeight="1">
      <c r="A7" s="41" t="s">
        <v>6</v>
      </c>
      <c r="B7" s="42" t="e">
        <f>COUNTIFS(#REF!,"&lt;"&amp;수행!$J$5,#REF!,수행!$A7)</f>
        <v>#REF!</v>
      </c>
      <c r="C7" s="45" t="e">
        <f t="shared" si="1"/>
        <v>#REF!</v>
      </c>
      <c r="D7" s="42" t="e">
        <f>COUNTIFS(#REF!,"&gt;="&amp;수행!$J$5,#REF!,수행!$A7)</f>
        <v>#REF!</v>
      </c>
      <c r="E7" s="45" t="e">
        <f t="shared" si="1"/>
        <v>#REF!</v>
      </c>
      <c r="F7" s="42" t="e">
        <f t="shared" si="0"/>
        <v>#REF!</v>
      </c>
      <c r="G7" s="42" t="e">
        <f t="shared" si="0"/>
        <v>#REF!</v>
      </c>
      <c r="H7" s="40"/>
      <c r="I7" s="39"/>
      <c r="J7" s="46"/>
      <c r="K7" s="39"/>
    </row>
    <row r="8" spans="1:11" ht="20.100000000000001" customHeight="1">
      <c r="A8" s="41" t="s">
        <v>60</v>
      </c>
      <c r="B8" s="42" t="e">
        <f t="shared" ref="B8:G8" si="2">SUM(B5:B7)</f>
        <v>#REF!</v>
      </c>
      <c r="C8" s="42" t="e">
        <f t="shared" si="2"/>
        <v>#REF!</v>
      </c>
      <c r="D8" s="42" t="e">
        <f t="shared" si="2"/>
        <v>#REF!</v>
      </c>
      <c r="E8" s="42" t="e">
        <f t="shared" si="2"/>
        <v>#REF!</v>
      </c>
      <c r="F8" s="42" t="e">
        <f t="shared" si="2"/>
        <v>#REF!</v>
      </c>
      <c r="G8" s="42" t="e">
        <f t="shared" si="2"/>
        <v>#REF!</v>
      </c>
      <c r="H8" s="40"/>
      <c r="I8" s="39"/>
      <c r="J8" s="46"/>
      <c r="K8" s="39"/>
    </row>
    <row r="9" spans="1:11" ht="20.100000000000001" customHeight="1">
      <c r="A9" s="41" t="s">
        <v>73</v>
      </c>
      <c r="B9" s="42" t="e">
        <f t="shared" ref="B9:G9" si="3">SUM(B8-B7)</f>
        <v>#REF!</v>
      </c>
      <c r="C9" s="42" t="e">
        <f t="shared" si="3"/>
        <v>#REF!</v>
      </c>
      <c r="D9" s="42" t="e">
        <f t="shared" si="3"/>
        <v>#REF!</v>
      </c>
      <c r="E9" s="42" t="e">
        <f t="shared" si="3"/>
        <v>#REF!</v>
      </c>
      <c r="F9" s="42" t="e">
        <f t="shared" si="3"/>
        <v>#REF!</v>
      </c>
      <c r="G9" s="42" t="e">
        <f t="shared" si="3"/>
        <v>#REF!</v>
      </c>
      <c r="H9" s="41" t="s">
        <v>74</v>
      </c>
      <c r="I9" s="39"/>
      <c r="J9" s="52"/>
      <c r="K9" s="39"/>
    </row>
    <row r="10" spans="1:11" ht="20.100000000000001" customHeight="1">
      <c r="A10" s="46"/>
      <c r="B10" s="47"/>
      <c r="C10" s="47"/>
      <c r="D10" s="47"/>
      <c r="E10" s="47"/>
      <c r="F10" s="47"/>
      <c r="G10" s="47"/>
      <c r="H10" s="39"/>
      <c r="I10" s="39"/>
      <c r="J10" s="50"/>
      <c r="K10" s="39"/>
    </row>
    <row r="11" spans="1:11" ht="30" customHeight="1">
      <c r="A11" s="38" t="s">
        <v>75</v>
      </c>
      <c r="J11" s="50"/>
    </row>
    <row r="12" spans="1:11" ht="20.100000000000001" customHeight="1">
      <c r="A12" s="39"/>
      <c r="B12" s="39"/>
      <c r="C12" s="39"/>
      <c r="D12" s="39"/>
      <c r="E12" s="39"/>
      <c r="F12" s="39"/>
      <c r="G12" s="39"/>
      <c r="H12" s="44" t="s">
        <v>69</v>
      </c>
      <c r="I12" s="39"/>
      <c r="J12" s="39"/>
    </row>
    <row r="13" spans="1:11" ht="20.100000000000001" customHeight="1">
      <c r="A13" s="293" t="s">
        <v>59</v>
      </c>
      <c r="B13" s="292" t="s">
        <v>81</v>
      </c>
      <c r="C13" s="292"/>
      <c r="D13" s="292" t="s">
        <v>153</v>
      </c>
      <c r="E13" s="292"/>
      <c r="F13" s="292"/>
      <c r="G13" s="292"/>
      <c r="H13" s="293" t="s">
        <v>5</v>
      </c>
      <c r="I13" s="39"/>
      <c r="J13" s="39"/>
    </row>
    <row r="14" spans="1:11" ht="20.100000000000001" customHeight="1">
      <c r="A14" s="294"/>
      <c r="B14" s="43" t="s">
        <v>67</v>
      </c>
      <c r="C14" s="43" t="s">
        <v>68</v>
      </c>
      <c r="D14" s="43" t="s">
        <v>67</v>
      </c>
      <c r="E14" s="43" t="s">
        <v>68</v>
      </c>
      <c r="F14" s="43"/>
      <c r="G14" s="43"/>
      <c r="H14" s="294"/>
      <c r="I14" s="39"/>
      <c r="J14" s="39"/>
    </row>
    <row r="15" spans="1:11" ht="20.100000000000001" customHeight="1">
      <c r="A15" s="41" t="s">
        <v>152</v>
      </c>
      <c r="B15" s="42" t="e">
        <f>COUNTIFS(#REF!,"&lt;"&amp;수행!$J$5,#REF!,수행!$A15,#REF!,"완료")</f>
        <v>#REF!</v>
      </c>
      <c r="C15" s="45" t="e">
        <f>B15*100000</f>
        <v>#REF!</v>
      </c>
      <c r="D15" s="42" t="e">
        <f>COUNTIFS(#REF!,"&gt;="&amp;수행!$J$5,#REF!,수행!$A15,#REF!,"완료")</f>
        <v>#REF!</v>
      </c>
      <c r="E15" s="45" t="e">
        <f>D15*100000</f>
        <v>#REF!</v>
      </c>
      <c r="F15" s="42"/>
      <c r="G15" s="42"/>
      <c r="H15" s="41"/>
      <c r="I15" s="39"/>
      <c r="J15" s="39"/>
    </row>
    <row r="16" spans="1:11" ht="20.100000000000001" customHeight="1">
      <c r="A16" s="41"/>
      <c r="B16" s="42" t="e">
        <f>COUNTIFS(#REF!,"&lt;"&amp;수행!$J$5,#REF!,수행!$A16,#REF!,"완료")</f>
        <v>#REF!</v>
      </c>
      <c r="C16" s="45" t="e">
        <f>B16*100000</f>
        <v>#REF!</v>
      </c>
      <c r="D16" s="42" t="e">
        <f>COUNTIFS(#REF!,"&gt;="&amp;수행!$J$5,#REF!,수행!$A16,#REF!,"완료")</f>
        <v>#REF!</v>
      </c>
      <c r="E16" s="45" t="e">
        <f>D16*100000</f>
        <v>#REF!</v>
      </c>
      <c r="F16" s="42"/>
      <c r="G16" s="42"/>
      <c r="H16" s="41"/>
      <c r="I16" s="39"/>
      <c r="J16" s="39"/>
    </row>
    <row r="17" spans="1:11" ht="20.100000000000001" customHeight="1">
      <c r="A17" s="41"/>
      <c r="B17" s="42" t="e">
        <f>COUNTIFS(#REF!,"&lt;"&amp;수행!$J$5,#REF!,수행!$A17,#REF!,"완료")</f>
        <v>#REF!</v>
      </c>
      <c r="C17" s="45" t="e">
        <f>B17*100000</f>
        <v>#REF!</v>
      </c>
      <c r="D17" s="42" t="e">
        <f>COUNTIFS(#REF!,"&gt;="&amp;수행!$J$5,#REF!,수행!$A17,#REF!,"완료")</f>
        <v>#REF!</v>
      </c>
      <c r="E17" s="45" t="e">
        <f>D17*100000</f>
        <v>#REF!</v>
      </c>
      <c r="F17" s="42"/>
      <c r="G17" s="42"/>
      <c r="H17" s="41"/>
      <c r="I17" s="39"/>
      <c r="J17" s="39"/>
    </row>
    <row r="18" spans="1:11" ht="20.100000000000001" customHeight="1">
      <c r="A18" s="41"/>
      <c r="B18" s="42" t="e">
        <f>B6-B15-B16-B17</f>
        <v>#REF!</v>
      </c>
      <c r="C18" s="45" t="e">
        <f>B18*100000</f>
        <v>#REF!</v>
      </c>
      <c r="D18" s="42" t="e">
        <f>D6-D15-D16</f>
        <v>#REF!</v>
      </c>
      <c r="E18" s="45" t="e">
        <f>D18*100000</f>
        <v>#REF!</v>
      </c>
      <c r="F18" s="42"/>
      <c r="G18" s="42"/>
      <c r="H18" s="41"/>
      <c r="I18" s="39"/>
      <c r="J18" s="39"/>
    </row>
    <row r="19" spans="1:11" ht="20.100000000000001" customHeight="1">
      <c r="A19" s="41" t="s">
        <v>60</v>
      </c>
      <c r="B19" s="42" t="e">
        <f t="shared" ref="B19:E19" si="4">SUM(B15:B18)</f>
        <v>#REF!</v>
      </c>
      <c r="C19" s="42" t="e">
        <f t="shared" si="4"/>
        <v>#REF!</v>
      </c>
      <c r="D19" s="42" t="e">
        <f t="shared" si="4"/>
        <v>#REF!</v>
      </c>
      <c r="E19" s="42" t="e">
        <f t="shared" si="4"/>
        <v>#REF!</v>
      </c>
      <c r="F19" s="42"/>
      <c r="G19" s="42"/>
      <c r="H19" s="41"/>
      <c r="I19" s="39"/>
      <c r="J19" s="39"/>
    </row>
    <row r="20" spans="1:11" ht="20.100000000000001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</row>
    <row r="21" spans="1:11" ht="20.100000000000001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</row>
    <row r="22" spans="1:11" ht="20.100000000000001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</row>
    <row r="23" spans="1:11" ht="20.100000000000001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</row>
    <row r="24" spans="1:11" ht="20.100000000000001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</row>
    <row r="25" spans="1:11" ht="20.100000000000001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</row>
    <row r="26" spans="1:11" ht="20.100000000000001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</row>
    <row r="27" spans="1:11" ht="20.100000000000001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</row>
    <row r="28" spans="1:11" ht="20.100000000000001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</row>
    <row r="29" spans="1:11" ht="20.100000000000001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</row>
    <row r="30" spans="1:11" ht="20.100000000000001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</row>
    <row r="31" spans="1:11" ht="20.100000000000001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</row>
    <row r="32" spans="1:11" ht="20.100000000000001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</row>
    <row r="33" spans="1:11" ht="20.100000000000001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</row>
    <row r="34" spans="1:11" ht="20.100000000000001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20.100000000000001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</row>
    <row r="36" spans="1:11" ht="20.100000000000001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</row>
    <row r="37" spans="1:11" ht="20.100000000000001" customHeight="1"/>
    <row r="38" spans="1:11" ht="20.100000000000001" customHeight="1"/>
    <row r="39" spans="1:11" ht="20.100000000000001" customHeight="1"/>
    <row r="40" spans="1:11" ht="20.100000000000001" customHeight="1"/>
    <row r="41" spans="1:11" ht="20.100000000000001" customHeight="1"/>
    <row r="42" spans="1:11" ht="20.100000000000001" customHeight="1"/>
    <row r="43" spans="1:11" ht="20.100000000000001" customHeight="1"/>
    <row r="44" spans="1:11" ht="20.100000000000001" customHeight="1"/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</sheetData>
  <mergeCells count="10">
    <mergeCell ref="B13:C13"/>
    <mergeCell ref="D13:E13"/>
    <mergeCell ref="H13:H14"/>
    <mergeCell ref="F13:G13"/>
    <mergeCell ref="A13:A14"/>
    <mergeCell ref="A3:A4"/>
    <mergeCell ref="B3:C3"/>
    <mergeCell ref="D3:E3"/>
    <mergeCell ref="F3:G3"/>
    <mergeCell ref="H3:H4"/>
  </mergeCells>
  <phoneticPr fontId="4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7378-BB6D-43BD-AFDB-1A3F54D029EE}">
  <dimension ref="F7:S39"/>
  <sheetViews>
    <sheetView workbookViewId="0">
      <selection activeCell="P25" sqref="P25:S32"/>
    </sheetView>
  </sheetViews>
  <sheetFormatPr defaultRowHeight="16.5"/>
  <cols>
    <col min="6" max="6" width="4.75" customWidth="1"/>
    <col min="7" max="14" width="7.625" customWidth="1"/>
    <col min="17" max="17" width="18.625" bestFit="1" customWidth="1"/>
  </cols>
  <sheetData>
    <row r="7" spans="6:19" ht="17.25" thickBot="1"/>
    <row r="8" spans="6:19" ht="24.75" customHeight="1">
      <c r="F8" s="295" t="s">
        <v>28</v>
      </c>
      <c r="G8" s="305" t="s">
        <v>284</v>
      </c>
      <c r="H8" s="306"/>
      <c r="I8" s="307" t="s">
        <v>285</v>
      </c>
      <c r="J8" s="306"/>
      <c r="K8" s="298" t="s">
        <v>286</v>
      </c>
      <c r="L8" s="298"/>
      <c r="M8" s="298" t="s">
        <v>287</v>
      </c>
      <c r="N8" s="299"/>
    </row>
    <row r="9" spans="6:19">
      <c r="F9" s="296"/>
      <c r="G9" s="300" t="s">
        <v>288</v>
      </c>
      <c r="H9" s="300"/>
      <c r="I9" s="301"/>
      <c r="J9" s="301"/>
      <c r="K9" s="301"/>
      <c r="L9" s="301"/>
      <c r="M9" s="301"/>
      <c r="N9" s="302"/>
    </row>
    <row r="10" spans="6:19">
      <c r="F10" s="296"/>
      <c r="G10" s="300"/>
      <c r="H10" s="300"/>
      <c r="I10" s="301"/>
      <c r="J10" s="301"/>
      <c r="K10" s="301"/>
      <c r="L10" s="301"/>
      <c r="M10" s="301"/>
      <c r="N10" s="302"/>
    </row>
    <row r="11" spans="6:19">
      <c r="F11" s="296"/>
      <c r="G11" s="300"/>
      <c r="H11" s="300"/>
      <c r="I11" s="301"/>
      <c r="J11" s="301"/>
      <c r="K11" s="301"/>
      <c r="L11" s="301"/>
      <c r="M11" s="301"/>
      <c r="N11" s="302"/>
    </row>
    <row r="12" spans="6:19">
      <c r="F12" s="296"/>
      <c r="G12" s="300"/>
      <c r="H12" s="300"/>
      <c r="I12" s="301"/>
      <c r="J12" s="301"/>
      <c r="K12" s="301"/>
      <c r="L12" s="301"/>
      <c r="M12" s="301"/>
      <c r="N12" s="302"/>
    </row>
    <row r="13" spans="6:19" ht="3.75" customHeight="1">
      <c r="F13" s="296"/>
      <c r="G13" s="300"/>
      <c r="H13" s="300"/>
      <c r="I13" s="301"/>
      <c r="J13" s="301"/>
      <c r="K13" s="301"/>
      <c r="L13" s="301"/>
      <c r="M13" s="301"/>
      <c r="N13" s="302"/>
    </row>
    <row r="14" spans="6:19" ht="27" customHeight="1" thickBot="1">
      <c r="F14" s="297"/>
      <c r="G14" s="303">
        <f ca="1">TODAY()</f>
        <v>46189</v>
      </c>
      <c r="H14" s="303"/>
      <c r="I14" s="303"/>
      <c r="J14" s="303"/>
      <c r="K14" s="303"/>
      <c r="L14" s="303"/>
      <c r="M14" s="303"/>
      <c r="N14" s="304"/>
    </row>
    <row r="16" spans="6:19">
      <c r="P16" s="311" t="s">
        <v>29</v>
      </c>
      <c r="Q16" s="311"/>
      <c r="R16" s="311"/>
      <c r="S16" s="311"/>
    </row>
    <row r="17" spans="16:19">
      <c r="P17" s="85"/>
      <c r="Q17" s="86"/>
      <c r="R17" s="126" t="s">
        <v>88</v>
      </c>
      <c r="S17" s="87" t="s">
        <v>89</v>
      </c>
    </row>
    <row r="18" spans="16:19" ht="50.1" customHeight="1">
      <c r="P18" s="308" t="s">
        <v>8</v>
      </c>
      <c r="Q18" s="27" t="s">
        <v>30</v>
      </c>
      <c r="R18" s="1">
        <f>COUNTIF('26년 LIST (산학연)'!$N:$N,"일제")</f>
        <v>0</v>
      </c>
      <c r="S18" s="1">
        <f>COUNTIF('26년 LIST (산학연)'!$N:$N,"일제")</f>
        <v>0</v>
      </c>
    </row>
    <row r="19" spans="16:19" ht="50.1" customHeight="1">
      <c r="P19" s="308"/>
      <c r="Q19" s="27" t="s">
        <v>31</v>
      </c>
      <c r="R19" s="1">
        <f>COUNTIF('26년 LIST (산학연)'!$N:$N,"일구")</f>
        <v>0</v>
      </c>
      <c r="S19" s="1">
        <f>COUNTIF('26년 LIST (산학연)'!$N:$N,"일구")</f>
        <v>0</v>
      </c>
    </row>
    <row r="20" spans="16:19" ht="20.100000000000001" customHeight="1">
      <c r="P20" s="309" t="s">
        <v>32</v>
      </c>
      <c r="Q20" s="310"/>
      <c r="R20" s="127">
        <f>SUM(R18:R19)</f>
        <v>0</v>
      </c>
      <c r="S20" s="127">
        <f>SUM(S18:S19)</f>
        <v>0</v>
      </c>
    </row>
    <row r="21" spans="16:19" ht="50.1" customHeight="1">
      <c r="P21" s="308" t="s">
        <v>9</v>
      </c>
      <c r="Q21" s="27" t="s">
        <v>33</v>
      </c>
      <c r="R21" s="1">
        <f>COUNTIF('26년 LIST (산학연)'!$N:$N,"탄제")</f>
        <v>0</v>
      </c>
      <c r="S21" s="1">
        <f>COUNTIF('26년 LIST (산학연)'!$N:$N,"탄제")</f>
        <v>0</v>
      </c>
    </row>
    <row r="22" spans="16:19" ht="50.1" customHeight="1">
      <c r="P22" s="308"/>
      <c r="Q22" s="27" t="s">
        <v>34</v>
      </c>
      <c r="R22" s="1">
        <f>COUNTIF('26년 LIST (산학연)'!$N:$N,"탄구")</f>
        <v>0</v>
      </c>
      <c r="S22" s="1">
        <f>COUNTIF('26년 LIST (산학연)'!$N:$N,"탄구")</f>
        <v>0</v>
      </c>
    </row>
    <row r="23" spans="16:19" ht="20.100000000000001" customHeight="1">
      <c r="P23" s="309" t="s">
        <v>35</v>
      </c>
      <c r="Q23" s="310"/>
      <c r="R23" s="127">
        <f>SUM(R21:R22)</f>
        <v>0</v>
      </c>
      <c r="S23" s="127">
        <f>SUM(S21:S22)</f>
        <v>0</v>
      </c>
    </row>
    <row r="24" spans="16:19" ht="20.100000000000001" customHeight="1">
      <c r="P24" s="309" t="s">
        <v>21</v>
      </c>
      <c r="Q24" s="310"/>
      <c r="R24" s="127">
        <f>R20+R23</f>
        <v>0</v>
      </c>
      <c r="S24" s="127">
        <f>S20+S23</f>
        <v>0</v>
      </c>
    </row>
    <row r="25" spans="16:19" ht="14.1" customHeight="1">
      <c r="P25" s="312" t="s">
        <v>298</v>
      </c>
      <c r="Q25" s="312"/>
      <c r="R25" s="312"/>
      <c r="S25" s="312"/>
    </row>
    <row r="26" spans="16:19" ht="14.1" customHeight="1">
      <c r="P26" s="312"/>
      <c r="Q26" s="312"/>
      <c r="R26" s="312"/>
      <c r="S26" s="312"/>
    </row>
    <row r="27" spans="16:19" ht="14.1" customHeight="1">
      <c r="P27" s="312"/>
      <c r="Q27" s="312"/>
      <c r="R27" s="312"/>
      <c r="S27" s="312"/>
    </row>
    <row r="28" spans="16:19" ht="14.1" customHeight="1">
      <c r="P28" s="312"/>
      <c r="Q28" s="312"/>
      <c r="R28" s="312"/>
      <c r="S28" s="312"/>
    </row>
    <row r="29" spans="16:19" ht="14.1" customHeight="1">
      <c r="P29" s="312"/>
      <c r="Q29" s="312"/>
      <c r="R29" s="312"/>
      <c r="S29" s="312"/>
    </row>
    <row r="30" spans="16:19" ht="14.1" customHeight="1">
      <c r="P30" s="312"/>
      <c r="Q30" s="312"/>
      <c r="R30" s="312"/>
      <c r="S30" s="312"/>
    </row>
    <row r="31" spans="16:19" ht="14.1" customHeight="1">
      <c r="P31" s="312"/>
      <c r="Q31" s="312"/>
      <c r="R31" s="312"/>
      <c r="S31" s="312"/>
    </row>
    <row r="32" spans="16:19" ht="14.1" customHeight="1">
      <c r="P32" s="312"/>
      <c r="Q32" s="312"/>
      <c r="R32" s="312"/>
      <c r="S32" s="312"/>
    </row>
    <row r="33" spans="16:18">
      <c r="P33" s="28"/>
      <c r="Q33" s="28"/>
      <c r="R33" s="28"/>
    </row>
    <row r="34" spans="16:18">
      <c r="P34" s="28"/>
      <c r="Q34" s="28"/>
      <c r="R34" s="28"/>
    </row>
    <row r="35" spans="16:18">
      <c r="P35" s="28"/>
      <c r="Q35" s="28"/>
      <c r="R35" s="28"/>
    </row>
    <row r="36" spans="16:18">
      <c r="P36" s="28"/>
      <c r="Q36" s="28"/>
      <c r="R36" s="28"/>
    </row>
    <row r="37" spans="16:18">
      <c r="P37" s="28"/>
      <c r="Q37" s="28"/>
      <c r="R37" s="28"/>
    </row>
    <row r="38" spans="16:18">
      <c r="P38" s="28"/>
      <c r="Q38" s="28"/>
      <c r="R38" s="28"/>
    </row>
    <row r="39" spans="16:18">
      <c r="P39" s="28"/>
      <c r="Q39" s="28"/>
      <c r="R39" s="28"/>
    </row>
  </sheetData>
  <mergeCells count="20">
    <mergeCell ref="P18:P19"/>
    <mergeCell ref="P20:Q20"/>
    <mergeCell ref="P16:S16"/>
    <mergeCell ref="P25:S32"/>
    <mergeCell ref="P21:P22"/>
    <mergeCell ref="P23:Q23"/>
    <mergeCell ref="P24:Q24"/>
    <mergeCell ref="F8:F14"/>
    <mergeCell ref="K8:L8"/>
    <mergeCell ref="M8:N8"/>
    <mergeCell ref="G9:H13"/>
    <mergeCell ref="I9:J13"/>
    <mergeCell ref="K9:L13"/>
    <mergeCell ref="M9:N13"/>
    <mergeCell ref="G14:H14"/>
    <mergeCell ref="I14:J14"/>
    <mergeCell ref="K14:L14"/>
    <mergeCell ref="M14:N14"/>
    <mergeCell ref="G8:H8"/>
    <mergeCell ref="I8:J8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9791-3196-4006-9E17-306DFF5A8827}">
  <sheetPr>
    <pageSetUpPr fitToPage="1"/>
  </sheetPr>
  <dimension ref="B2:H6"/>
  <sheetViews>
    <sheetView workbookViewId="0">
      <selection activeCell="I9" sqref="I9"/>
    </sheetView>
  </sheetViews>
  <sheetFormatPr defaultRowHeight="16.5"/>
  <cols>
    <col min="6" max="6" width="13.375" bestFit="1" customWidth="1"/>
    <col min="7" max="7" width="23.125" bestFit="1" customWidth="1"/>
    <col min="8" max="8" width="28.75" bestFit="1" customWidth="1"/>
  </cols>
  <sheetData>
    <row r="2" spans="2:8" ht="20.100000000000001" customHeight="1">
      <c r="B2" s="313" t="s">
        <v>59</v>
      </c>
      <c r="C2" s="313"/>
      <c r="D2" s="148" t="s">
        <v>94</v>
      </c>
      <c r="E2" s="148" t="s">
        <v>95</v>
      </c>
      <c r="F2" s="148" t="s">
        <v>96</v>
      </c>
      <c r="G2" s="148" t="s">
        <v>97</v>
      </c>
      <c r="H2" s="148" t="s">
        <v>98</v>
      </c>
    </row>
    <row r="3" spans="2:8" ht="80.099999999999994" customHeight="1">
      <c r="B3" s="88" t="s">
        <v>84</v>
      </c>
      <c r="C3" s="88" t="s">
        <v>88</v>
      </c>
      <c r="D3" s="88" t="s">
        <v>108</v>
      </c>
      <c r="E3" s="88" t="s">
        <v>100</v>
      </c>
      <c r="F3" s="88" t="s">
        <v>120</v>
      </c>
      <c r="G3" s="149" t="s">
        <v>109</v>
      </c>
      <c r="H3" s="88" t="s">
        <v>99</v>
      </c>
    </row>
    <row r="4" spans="2:8" ht="80.099999999999994" customHeight="1">
      <c r="B4" s="88" t="s">
        <v>84</v>
      </c>
      <c r="C4" s="88" t="s">
        <v>89</v>
      </c>
      <c r="D4" s="88" t="s">
        <v>101</v>
      </c>
      <c r="E4" s="88" t="s">
        <v>102</v>
      </c>
      <c r="F4" s="27" t="s">
        <v>127</v>
      </c>
      <c r="G4" s="165" t="s">
        <v>128</v>
      </c>
      <c r="H4" s="88" t="s">
        <v>99</v>
      </c>
    </row>
    <row r="5" spans="2:8" ht="80.099999999999994" customHeight="1">
      <c r="B5" s="88" t="s">
        <v>93</v>
      </c>
      <c r="C5" s="88" t="s">
        <v>103</v>
      </c>
      <c r="D5" s="88" t="s">
        <v>104</v>
      </c>
      <c r="E5" s="88" t="s">
        <v>100</v>
      </c>
      <c r="F5" s="88" t="s">
        <v>105</v>
      </c>
      <c r="G5" s="149" t="s">
        <v>106</v>
      </c>
      <c r="H5" s="150" t="s">
        <v>107</v>
      </c>
    </row>
    <row r="6" spans="2:8">
      <c r="B6" s="88" t="s">
        <v>93</v>
      </c>
      <c r="C6" s="88" t="s">
        <v>103</v>
      </c>
      <c r="D6" s="88"/>
      <c r="E6" s="88" t="s">
        <v>142</v>
      </c>
      <c r="F6" t="s">
        <v>141</v>
      </c>
      <c r="G6" s="189" t="s">
        <v>143</v>
      </c>
    </row>
  </sheetData>
  <mergeCells count="1">
    <mergeCell ref="B2:C2"/>
  </mergeCells>
  <phoneticPr fontId="4" type="noConversion"/>
  <hyperlinks>
    <hyperlink ref="G4" r:id="rId1" display="mun@auri.go.kr" xr:uid="{BE50147C-94F4-4545-8D3C-FC17BB190270}"/>
    <hyperlink ref="G5" r:id="rId2" xr:uid="{5AF6A010-0581-4BFF-AC04-4D9396A7A12E}"/>
    <hyperlink ref="G3" r:id="rId3" xr:uid="{40DBBE64-921E-45F0-9F15-1D2576B7EDAD}"/>
  </hyperlinks>
  <pageMargins left="0.7" right="0.7" top="0.75" bottom="0.75" header="0.3" footer="0.3"/>
  <pageSetup paperSize="9" scale="73" fitToHeight="0"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3829-7589-4DBB-A051-5FFB2CFB14F7}">
  <sheetPr>
    <tabColor rgb="FF00B050"/>
  </sheetPr>
  <dimension ref="A1:AB1683"/>
  <sheetViews>
    <sheetView view="pageBreakPreview" topLeftCell="B1" zoomScaleNormal="100" zoomScaleSheetLayoutView="100" workbookViewId="0">
      <selection activeCell="V18" sqref="V18"/>
    </sheetView>
  </sheetViews>
  <sheetFormatPr defaultColWidth="10.125" defaultRowHeight="16.5"/>
  <cols>
    <col min="1" max="1" width="5.375" style="56" hidden="1" customWidth="1"/>
    <col min="2" max="2" width="5.625" style="56" customWidth="1"/>
    <col min="3" max="3" width="5.625" style="58" customWidth="1"/>
    <col min="4" max="5" width="14.375" style="56" customWidth="1"/>
    <col min="6" max="7" width="9.625" style="56" customWidth="1"/>
    <col min="8" max="8" width="56" style="69" customWidth="1"/>
    <col min="9" max="9" width="6.625" style="56" customWidth="1"/>
    <col min="10" max="10" width="6.625" style="78" customWidth="1"/>
    <col min="11" max="11" width="6.625" style="79" customWidth="1"/>
    <col min="12" max="16" width="5.625" style="56" customWidth="1"/>
    <col min="17" max="19" width="6.5" style="56" customWidth="1"/>
    <col min="20" max="20" width="8.125" style="56" customWidth="1"/>
    <col min="21" max="21" width="4.25" style="61" customWidth="1"/>
    <col min="22" max="26" width="6.5" style="61" customWidth="1"/>
    <col min="27" max="27" width="23" style="61" customWidth="1"/>
    <col min="28" max="28" width="6.5" style="61" customWidth="1"/>
    <col min="29" max="29" width="11.875" style="61" bestFit="1" customWidth="1"/>
    <col min="30" max="16384" width="10.125" style="61"/>
  </cols>
  <sheetData>
    <row r="1" spans="1:28" ht="21.95" customHeight="1">
      <c r="B1" s="57" t="s">
        <v>90</v>
      </c>
      <c r="H1" s="59"/>
      <c r="I1" s="60"/>
      <c r="J1" s="317"/>
      <c r="K1" s="317"/>
      <c r="L1" s="317"/>
      <c r="M1" s="317"/>
      <c r="N1" s="317"/>
      <c r="O1" s="317"/>
      <c r="P1" s="317"/>
      <c r="Q1" s="317"/>
      <c r="R1" s="158"/>
      <c r="S1" s="158"/>
      <c r="T1" s="158"/>
      <c r="V1" s="62" t="s">
        <v>36</v>
      </c>
      <c r="W1" s="62" t="s">
        <v>37</v>
      </c>
      <c r="X1" s="62" t="s">
        <v>38</v>
      </c>
      <c r="Y1" s="62" t="s">
        <v>85</v>
      </c>
    </row>
    <row r="2" spans="1:28" ht="15" customHeight="1">
      <c r="B2" s="57"/>
      <c r="H2" s="59"/>
      <c r="J2" s="56"/>
      <c r="K2" s="56"/>
      <c r="N2" s="318" t="s">
        <v>39</v>
      </c>
      <c r="O2" s="318"/>
      <c r="P2" s="318"/>
      <c r="Q2" s="63">
        <v>0.1</v>
      </c>
      <c r="R2" s="159"/>
      <c r="S2" s="159"/>
      <c r="T2" s="159"/>
      <c r="V2" s="62" t="s">
        <v>40</v>
      </c>
      <c r="W2" s="64">
        <f t="shared" ref="W2:Y3" si="0">COUNTIFS($B:$B,$V2,$Q:$Q,W$1)</f>
        <v>0</v>
      </c>
      <c r="X2" s="64">
        <f t="shared" si="0"/>
        <v>6</v>
      </c>
      <c r="Y2" s="64">
        <f t="shared" si="0"/>
        <v>0</v>
      </c>
      <c r="AA2" s="65"/>
      <c r="AB2" s="66"/>
    </row>
    <row r="3" spans="1:28" ht="15" customHeight="1">
      <c r="B3" s="57"/>
      <c r="H3" s="59"/>
      <c r="J3" s="56"/>
      <c r="K3" s="56"/>
      <c r="N3" s="318" t="s">
        <v>77</v>
      </c>
      <c r="O3" s="318"/>
      <c r="P3" s="318"/>
      <c r="Q3" s="63">
        <v>0.4</v>
      </c>
      <c r="R3" s="159"/>
      <c r="S3" s="159"/>
      <c r="T3" s="159"/>
      <c r="V3" s="62" t="s">
        <v>41</v>
      </c>
      <c r="W3" s="64">
        <f t="shared" si="0"/>
        <v>0</v>
      </c>
      <c r="X3" s="64">
        <f t="shared" si="0"/>
        <v>1</v>
      </c>
      <c r="Y3" s="64">
        <f t="shared" si="0"/>
        <v>0</v>
      </c>
      <c r="AA3" s="65"/>
      <c r="AB3" s="66"/>
    </row>
    <row r="4" spans="1:28" ht="15" customHeight="1">
      <c r="B4" s="57"/>
      <c r="H4" s="59"/>
      <c r="J4" s="56"/>
      <c r="K4" s="56"/>
      <c r="N4" s="318" t="s">
        <v>42</v>
      </c>
      <c r="O4" s="318"/>
      <c r="P4" s="318"/>
      <c r="Q4" s="63">
        <v>0.6</v>
      </c>
      <c r="R4" s="159"/>
      <c r="S4" s="159"/>
      <c r="T4" s="159"/>
      <c r="V4" s="62"/>
      <c r="W4" s="62"/>
      <c r="X4" s="62"/>
      <c r="Y4" s="62"/>
      <c r="AA4" s="65"/>
      <c r="AB4" s="66"/>
    </row>
    <row r="5" spans="1:28" ht="15" customHeight="1">
      <c r="B5" s="57"/>
      <c r="H5" s="59"/>
      <c r="J5" s="56"/>
      <c r="K5" s="56"/>
      <c r="N5" s="318" t="s">
        <v>44</v>
      </c>
      <c r="O5" s="318"/>
      <c r="P5" s="318"/>
      <c r="Q5" s="63">
        <v>0.8</v>
      </c>
      <c r="R5" s="159"/>
      <c r="S5" s="159"/>
      <c r="T5" s="159"/>
      <c r="V5" s="62"/>
      <c r="W5" s="62"/>
      <c r="X5" s="62"/>
      <c r="Y5" s="62"/>
      <c r="AA5" s="65"/>
      <c r="AB5" s="66"/>
    </row>
    <row r="6" spans="1:28" ht="15" customHeight="1">
      <c r="A6" s="57"/>
      <c r="B6" s="57"/>
      <c r="H6" s="59"/>
      <c r="J6" s="56"/>
      <c r="K6" s="56"/>
      <c r="N6" s="318" t="s">
        <v>55</v>
      </c>
      <c r="O6" s="318"/>
      <c r="P6" s="318"/>
      <c r="Q6" s="63">
        <v>0.95</v>
      </c>
      <c r="R6" s="159"/>
      <c r="S6" s="159"/>
      <c r="T6" s="159"/>
    </row>
    <row r="7" spans="1:28" ht="15" customHeight="1">
      <c r="A7" s="57"/>
      <c r="B7" s="128" t="s">
        <v>91</v>
      </c>
      <c r="E7" s="67"/>
      <c r="H7" s="59"/>
      <c r="I7" s="60"/>
      <c r="J7" s="60"/>
      <c r="K7" s="60"/>
      <c r="L7" s="60"/>
      <c r="M7" s="60"/>
      <c r="N7" s="60"/>
      <c r="O7" s="60"/>
      <c r="P7" s="60"/>
      <c r="Q7" s="59"/>
      <c r="R7" s="59"/>
      <c r="S7" s="59"/>
      <c r="T7" s="59"/>
    </row>
    <row r="8" spans="1:28" ht="20.100000000000001" customHeight="1">
      <c r="B8" s="68" t="str">
        <f>"○ 완료 : "&amp;COUNTIF($B11:$B28,"완료")&amp;"건, 진행중: "&amp;COUNTIF($B11:$B28,"진행중")&amp;"건"</f>
        <v>○ 완료 : 1건, 진행중: 17건</v>
      </c>
      <c r="J8" s="316">
        <f ca="1">TODAY()</f>
        <v>46189</v>
      </c>
      <c r="K8" s="316"/>
      <c r="L8" s="316"/>
      <c r="M8" s="316"/>
      <c r="N8" s="316"/>
      <c r="O8" s="316"/>
      <c r="P8" s="316"/>
      <c r="Q8" s="316"/>
      <c r="R8" s="157"/>
      <c r="S8" s="157"/>
      <c r="T8" s="157"/>
      <c r="V8" s="68" t="s">
        <v>43</v>
      </c>
    </row>
    <row r="9" spans="1:28" ht="33" customHeight="1">
      <c r="A9" s="62" t="s">
        <v>45</v>
      </c>
      <c r="B9" s="129" t="s">
        <v>36</v>
      </c>
      <c r="C9" s="130" t="s">
        <v>46</v>
      </c>
      <c r="D9" s="129" t="s">
        <v>47</v>
      </c>
      <c r="E9" s="129" t="s">
        <v>48</v>
      </c>
      <c r="F9" s="129" t="s">
        <v>49</v>
      </c>
      <c r="G9" s="130" t="s">
        <v>50</v>
      </c>
      <c r="H9" s="129" t="s">
        <v>51</v>
      </c>
      <c r="I9" s="130" t="s">
        <v>52</v>
      </c>
      <c r="J9" s="130" t="s">
        <v>53</v>
      </c>
      <c r="K9" s="131" t="s">
        <v>64</v>
      </c>
      <c r="L9" s="132" t="s">
        <v>65</v>
      </c>
      <c r="M9" s="133"/>
      <c r="N9" s="133"/>
      <c r="O9" s="133"/>
      <c r="P9" s="134"/>
      <c r="Q9" s="135" t="s">
        <v>54</v>
      </c>
      <c r="R9" s="135" t="s">
        <v>121</v>
      </c>
      <c r="S9" s="135" t="s">
        <v>124</v>
      </c>
      <c r="T9" s="314" t="s">
        <v>122</v>
      </c>
      <c r="V9" s="61">
        <v>60</v>
      </c>
    </row>
    <row r="10" spans="1:28" ht="15" customHeight="1">
      <c r="A10" s="71"/>
      <c r="B10" s="151" t="s">
        <v>110</v>
      </c>
      <c r="C10" s="152" t="s">
        <v>111</v>
      </c>
      <c r="D10" s="151" t="s">
        <v>112</v>
      </c>
      <c r="E10" s="151" t="s">
        <v>113</v>
      </c>
      <c r="F10" s="151" t="s">
        <v>114</v>
      </c>
      <c r="G10" s="152" t="s">
        <v>115</v>
      </c>
      <c r="H10" s="151" t="s">
        <v>116</v>
      </c>
      <c r="I10" s="152" t="s">
        <v>117</v>
      </c>
      <c r="J10" s="152" t="s">
        <v>118</v>
      </c>
      <c r="K10" s="153" t="s">
        <v>119</v>
      </c>
      <c r="L10" s="139">
        <v>0.1</v>
      </c>
      <c r="M10" s="140">
        <v>0.4</v>
      </c>
      <c r="N10" s="140">
        <v>0.6</v>
      </c>
      <c r="O10" s="140">
        <v>0.8</v>
      </c>
      <c r="P10" s="140">
        <v>0.95</v>
      </c>
      <c r="Q10" s="141"/>
      <c r="R10" s="141" t="s">
        <v>123</v>
      </c>
      <c r="S10" s="141" t="s">
        <v>123</v>
      </c>
      <c r="T10" s="315"/>
    </row>
    <row r="11" spans="1:28" ht="15" customHeight="1">
      <c r="B11" s="62" t="s">
        <v>80</v>
      </c>
      <c r="C11" s="62">
        <v>67</v>
      </c>
      <c r="D11" s="80" t="e">
        <f>VLOOKUP($C11,#REF!,2,FALSE)</f>
        <v>#REF!</v>
      </c>
      <c r="E11" s="80" t="e">
        <f>VLOOKUP($C11,#REF!,3,FALSE)</f>
        <v>#REF!</v>
      </c>
      <c r="F11" s="81" t="e">
        <f>VLOOKUP(C11,#REF!,7,FALSE)</f>
        <v>#REF!</v>
      </c>
      <c r="G11" s="72">
        <v>45762</v>
      </c>
      <c r="H11" s="154" t="s">
        <v>125</v>
      </c>
      <c r="I11" s="62"/>
      <c r="J11" s="62">
        <f t="shared" ref="J11:J28" si="1">I11+T11</f>
        <v>0.8</v>
      </c>
      <c r="K11" s="55">
        <v>0.6</v>
      </c>
      <c r="L11" s="74"/>
      <c r="M11" s="161"/>
      <c r="N11" s="62">
        <v>4.1500000000000004</v>
      </c>
      <c r="O11" s="62"/>
      <c r="P11" s="62"/>
      <c r="Q11" s="62" t="s">
        <v>57</v>
      </c>
      <c r="R11" s="62"/>
      <c r="S11" s="62"/>
      <c r="T11" s="62">
        <v>0.8</v>
      </c>
      <c r="U11" s="68" t="e">
        <f>VLOOKUP(C11,#REF!, 12, FALSE)</f>
        <v>#REF!</v>
      </c>
    </row>
    <row r="12" spans="1:28" ht="15" customHeight="1">
      <c r="B12" s="62" t="s">
        <v>80</v>
      </c>
      <c r="C12" s="62">
        <v>68</v>
      </c>
      <c r="D12" s="80" t="e">
        <f>VLOOKUP($C12,#REF!,2,FALSE)</f>
        <v>#REF!</v>
      </c>
      <c r="E12" s="80" t="e">
        <f>VLOOKUP($C12,#REF!,3,FALSE)</f>
        <v>#REF!</v>
      </c>
      <c r="F12" s="81" t="e">
        <f>VLOOKUP(C12,#REF!,7,FALSE)</f>
        <v>#REF!</v>
      </c>
      <c r="G12" s="72">
        <v>45762</v>
      </c>
      <c r="H12" s="154" t="s">
        <v>125</v>
      </c>
      <c r="I12" s="62"/>
      <c r="J12" s="62">
        <f t="shared" si="1"/>
        <v>0.9</v>
      </c>
      <c r="K12" s="55">
        <v>0.6</v>
      </c>
      <c r="L12" s="74"/>
      <c r="M12" s="161"/>
      <c r="N12" s="62">
        <v>4.1500000000000004</v>
      </c>
      <c r="O12" s="62"/>
      <c r="P12" s="62"/>
      <c r="Q12" s="62" t="s">
        <v>57</v>
      </c>
      <c r="R12" s="62"/>
      <c r="S12" s="62"/>
      <c r="T12" s="62">
        <v>0.9</v>
      </c>
      <c r="U12" s="68" t="e">
        <f>VLOOKUP(C12,#REF!, 12, FALSE)</f>
        <v>#REF!</v>
      </c>
    </row>
    <row r="13" spans="1:28" ht="15" customHeight="1">
      <c r="B13" s="62" t="s">
        <v>80</v>
      </c>
      <c r="C13" s="62">
        <v>69</v>
      </c>
      <c r="D13" s="80" t="e">
        <f>VLOOKUP($C13,#REF!,2,FALSE)</f>
        <v>#REF!</v>
      </c>
      <c r="E13" s="80" t="e">
        <f>VLOOKUP($C13,#REF!,3,FALSE)</f>
        <v>#REF!</v>
      </c>
      <c r="F13" s="81" t="e">
        <f>VLOOKUP(C13,#REF!,7,FALSE)</f>
        <v>#REF!</v>
      </c>
      <c r="G13" s="72">
        <v>45762</v>
      </c>
      <c r="H13" s="154" t="s">
        <v>125</v>
      </c>
      <c r="I13" s="62"/>
      <c r="J13" s="62">
        <f t="shared" si="1"/>
        <v>0.7</v>
      </c>
      <c r="K13" s="55">
        <v>0.6</v>
      </c>
      <c r="L13" s="74"/>
      <c r="M13" s="161"/>
      <c r="N13" s="62">
        <v>4.1500000000000004</v>
      </c>
      <c r="O13" s="62"/>
      <c r="P13" s="62"/>
      <c r="Q13" s="62" t="s">
        <v>57</v>
      </c>
      <c r="R13" s="62"/>
      <c r="S13" s="62"/>
      <c r="T13" s="62">
        <v>0.7</v>
      </c>
      <c r="U13" s="68" t="e">
        <f>VLOOKUP(C13,#REF!, 12, FALSE)</f>
        <v>#REF!</v>
      </c>
    </row>
    <row r="14" spans="1:28" ht="15" customHeight="1">
      <c r="B14" s="62" t="s">
        <v>80</v>
      </c>
      <c r="C14" s="62">
        <v>70</v>
      </c>
      <c r="D14" s="80" t="e">
        <f>VLOOKUP($C14,#REF!,2,FALSE)</f>
        <v>#REF!</v>
      </c>
      <c r="E14" s="80" t="e">
        <f>VLOOKUP($C14,#REF!,3,FALSE)</f>
        <v>#REF!</v>
      </c>
      <c r="F14" s="81" t="e">
        <f>VLOOKUP(C14,#REF!,7,FALSE)</f>
        <v>#REF!</v>
      </c>
      <c r="G14" s="72">
        <v>45762</v>
      </c>
      <c r="H14" s="154" t="s">
        <v>125</v>
      </c>
      <c r="I14" s="62"/>
      <c r="J14" s="62">
        <f t="shared" si="1"/>
        <v>1</v>
      </c>
      <c r="K14" s="55">
        <v>0.4</v>
      </c>
      <c r="L14" s="161">
        <v>4.1500000000000004</v>
      </c>
      <c r="M14" s="161">
        <v>4.1500000000000004</v>
      </c>
      <c r="N14" s="62"/>
      <c r="O14" s="62"/>
      <c r="P14" s="62"/>
      <c r="Q14" s="62" t="s">
        <v>57</v>
      </c>
      <c r="R14" s="62"/>
      <c r="S14" s="62"/>
      <c r="T14" s="62">
        <v>1</v>
      </c>
      <c r="U14" s="68" t="e">
        <f>VLOOKUP(C14,#REF!, 12, FALSE)</f>
        <v>#REF!</v>
      </c>
    </row>
    <row r="15" spans="1:28" ht="15" customHeight="1">
      <c r="B15" s="62" t="s">
        <v>15</v>
      </c>
      <c r="C15" s="62">
        <v>72</v>
      </c>
      <c r="D15" s="80" t="e">
        <f>VLOOKUP($C15,#REF!,2,FALSE)</f>
        <v>#REF!</v>
      </c>
      <c r="E15" s="80" t="e">
        <f>VLOOKUP($C15,#REF!,3,FALSE)</f>
        <v>#REF!</v>
      </c>
      <c r="F15" s="81" t="e">
        <f>VLOOKUP(C15,#REF!,7,FALSE)</f>
        <v>#REF!</v>
      </c>
      <c r="G15" s="72">
        <v>45762</v>
      </c>
      <c r="H15" s="154" t="s">
        <v>125</v>
      </c>
      <c r="I15" s="62"/>
      <c r="J15" s="62">
        <f t="shared" si="1"/>
        <v>2</v>
      </c>
      <c r="K15" s="55">
        <v>0.95</v>
      </c>
      <c r="L15" s="161">
        <v>4.1500000000000004</v>
      </c>
      <c r="M15" s="161">
        <v>4.1500000000000004</v>
      </c>
      <c r="N15" s="62"/>
      <c r="O15" s="62"/>
      <c r="P15" s="62"/>
      <c r="Q15" s="62" t="s">
        <v>57</v>
      </c>
      <c r="R15" s="62"/>
      <c r="S15" s="62"/>
      <c r="T15" s="62">
        <v>2</v>
      </c>
      <c r="U15" s="68" t="e">
        <f>VLOOKUP(C15,#REF!, 12, FALSE)</f>
        <v>#REF!</v>
      </c>
    </row>
    <row r="16" spans="1:28" ht="15" customHeight="1">
      <c r="B16" s="62" t="s">
        <v>80</v>
      </c>
      <c r="C16" s="62">
        <v>78</v>
      </c>
      <c r="D16" s="80" t="e">
        <f>VLOOKUP($C16,#REF!,2,FALSE)</f>
        <v>#REF!</v>
      </c>
      <c r="E16" s="80" t="e">
        <f>VLOOKUP($C16,#REF!,3,FALSE)</f>
        <v>#REF!</v>
      </c>
      <c r="F16" s="81" t="e">
        <f>VLOOKUP(C16,#REF!,7,FALSE)</f>
        <v>#REF!</v>
      </c>
      <c r="G16" s="72">
        <v>45762</v>
      </c>
      <c r="H16" s="154" t="s">
        <v>125</v>
      </c>
      <c r="I16" s="62"/>
      <c r="J16" s="62">
        <f t="shared" si="1"/>
        <v>0</v>
      </c>
      <c r="K16" s="55">
        <v>0.4</v>
      </c>
      <c r="L16" s="161"/>
      <c r="M16" s="161"/>
      <c r="N16" s="62"/>
      <c r="O16" s="62"/>
      <c r="P16" s="62"/>
      <c r="Q16" s="62"/>
      <c r="R16" s="62"/>
      <c r="S16" s="62"/>
      <c r="T16" s="62">
        <v>0</v>
      </c>
      <c r="U16" s="68" t="e">
        <f>VLOOKUP(C16,#REF!, 12, FALSE)</f>
        <v>#REF!</v>
      </c>
    </row>
    <row r="17" spans="2:21" ht="15" customHeight="1">
      <c r="B17" s="62" t="s">
        <v>80</v>
      </c>
      <c r="C17" s="62">
        <v>79</v>
      </c>
      <c r="D17" s="80" t="e">
        <f>VLOOKUP($C17,#REF!,2,FALSE)</f>
        <v>#REF!</v>
      </c>
      <c r="E17" s="80" t="e">
        <f>VLOOKUP($C17,#REF!,3,FALSE)</f>
        <v>#REF!</v>
      </c>
      <c r="F17" s="81" t="e">
        <f>VLOOKUP(C17,#REF!,7,FALSE)</f>
        <v>#REF!</v>
      </c>
      <c r="G17" s="72">
        <v>45772</v>
      </c>
      <c r="H17" s="154" t="s">
        <v>125</v>
      </c>
      <c r="I17" s="62"/>
      <c r="J17" s="62">
        <f t="shared" si="1"/>
        <v>0</v>
      </c>
      <c r="K17" s="55"/>
      <c r="L17" s="161"/>
      <c r="M17" s="161"/>
      <c r="N17" s="62"/>
      <c r="O17" s="62"/>
      <c r="P17" s="62"/>
      <c r="Q17" s="62"/>
      <c r="R17" s="62"/>
      <c r="S17" s="62"/>
      <c r="T17" s="62">
        <v>0</v>
      </c>
      <c r="U17" s="68" t="e">
        <f>VLOOKUP(C17,#REF!, 12, FALSE)</f>
        <v>#REF!</v>
      </c>
    </row>
    <row r="18" spans="2:21" ht="15" customHeight="1">
      <c r="B18" s="62" t="s">
        <v>80</v>
      </c>
      <c r="C18" s="62">
        <v>80</v>
      </c>
      <c r="D18" s="80" t="e">
        <f>VLOOKUP($C18,#REF!,2,FALSE)</f>
        <v>#REF!</v>
      </c>
      <c r="E18" s="80" t="e">
        <f>VLOOKUP($C18,#REF!,3,FALSE)</f>
        <v>#REF!</v>
      </c>
      <c r="F18" s="81" t="e">
        <f>VLOOKUP(C18,#REF!,7,FALSE)</f>
        <v>#REF!</v>
      </c>
      <c r="G18" s="72">
        <v>45772</v>
      </c>
      <c r="H18" s="154" t="s">
        <v>125</v>
      </c>
      <c r="I18" s="62"/>
      <c r="J18" s="62">
        <f t="shared" si="1"/>
        <v>0</v>
      </c>
      <c r="K18" s="55"/>
      <c r="L18" s="161"/>
      <c r="M18" s="161"/>
      <c r="N18" s="62"/>
      <c r="O18" s="62"/>
      <c r="P18" s="62"/>
      <c r="Q18" s="62"/>
      <c r="R18" s="62"/>
      <c r="S18" s="62"/>
      <c r="T18" s="62">
        <v>0</v>
      </c>
      <c r="U18" s="68" t="e">
        <f>VLOOKUP(C18,#REF!, 12, FALSE)</f>
        <v>#REF!</v>
      </c>
    </row>
    <row r="19" spans="2:21" ht="15" customHeight="1">
      <c r="B19" s="62" t="s">
        <v>80</v>
      </c>
      <c r="C19" s="62">
        <v>81</v>
      </c>
      <c r="D19" s="80" t="e">
        <f>VLOOKUP($C19,#REF!,2,FALSE)</f>
        <v>#REF!</v>
      </c>
      <c r="E19" s="80" t="e">
        <f>VLOOKUP($C19,#REF!,3,FALSE)</f>
        <v>#REF!</v>
      </c>
      <c r="F19" s="81" t="e">
        <f>VLOOKUP(C19,#REF!,7,FALSE)</f>
        <v>#REF!</v>
      </c>
      <c r="G19" s="72">
        <v>45772</v>
      </c>
      <c r="H19" s="154" t="s">
        <v>125</v>
      </c>
      <c r="I19" s="62"/>
      <c r="J19" s="62">
        <f t="shared" si="1"/>
        <v>0</v>
      </c>
      <c r="K19" s="55"/>
      <c r="L19" s="161"/>
      <c r="M19" s="161"/>
      <c r="N19" s="62"/>
      <c r="O19" s="62"/>
      <c r="P19" s="62"/>
      <c r="Q19" s="62"/>
      <c r="R19" s="62"/>
      <c r="S19" s="62"/>
      <c r="T19" s="62">
        <v>0</v>
      </c>
      <c r="U19" s="68" t="e">
        <f>VLOOKUP(C19,#REF!, 12, FALSE)</f>
        <v>#REF!</v>
      </c>
    </row>
    <row r="20" spans="2:21" ht="15" customHeight="1">
      <c r="B20" s="62" t="s">
        <v>80</v>
      </c>
      <c r="C20" s="62">
        <v>82</v>
      </c>
      <c r="D20" s="80" t="e">
        <f>VLOOKUP($C20,#REF!,2,FALSE)</f>
        <v>#REF!</v>
      </c>
      <c r="E20" s="80" t="e">
        <f>VLOOKUP($C20,#REF!,3,FALSE)</f>
        <v>#REF!</v>
      </c>
      <c r="F20" s="81" t="e">
        <f>VLOOKUP(C20,#REF!,7,FALSE)</f>
        <v>#REF!</v>
      </c>
      <c r="G20" s="72">
        <v>45772</v>
      </c>
      <c r="H20" s="154" t="s">
        <v>125</v>
      </c>
      <c r="I20" s="62"/>
      <c r="J20" s="62">
        <f t="shared" si="1"/>
        <v>0</v>
      </c>
      <c r="K20" s="55"/>
      <c r="L20" s="161"/>
      <c r="M20" s="161"/>
      <c r="N20" s="62"/>
      <c r="O20" s="62"/>
      <c r="P20" s="62"/>
      <c r="Q20" s="62"/>
      <c r="R20" s="62"/>
      <c r="S20" s="62"/>
      <c r="T20" s="62">
        <v>0</v>
      </c>
      <c r="U20" s="68" t="e">
        <f>VLOOKUP(C20,#REF!, 12, FALSE)</f>
        <v>#REF!</v>
      </c>
    </row>
    <row r="21" spans="2:21" ht="15" customHeight="1">
      <c r="B21" s="62" t="s">
        <v>80</v>
      </c>
      <c r="C21" s="62">
        <v>83</v>
      </c>
      <c r="D21" s="80" t="e">
        <f>VLOOKUP($C21,#REF!,2,FALSE)</f>
        <v>#REF!</v>
      </c>
      <c r="E21" s="80" t="e">
        <f>VLOOKUP($C21,#REF!,3,FALSE)</f>
        <v>#REF!</v>
      </c>
      <c r="F21" s="81" t="e">
        <f>VLOOKUP(C21,#REF!,7,FALSE)</f>
        <v>#REF!</v>
      </c>
      <c r="G21" s="72">
        <v>45772</v>
      </c>
      <c r="H21" s="154" t="s">
        <v>125</v>
      </c>
      <c r="I21" s="62"/>
      <c r="J21" s="62">
        <f t="shared" si="1"/>
        <v>0</v>
      </c>
      <c r="K21" s="55"/>
      <c r="L21" s="161"/>
      <c r="M21" s="161"/>
      <c r="N21" s="62"/>
      <c r="O21" s="62"/>
      <c r="P21" s="62"/>
      <c r="Q21" s="62"/>
      <c r="R21" s="62"/>
      <c r="S21" s="62"/>
      <c r="T21" s="62">
        <v>0</v>
      </c>
      <c r="U21" s="68" t="e">
        <f>VLOOKUP(C21,#REF!, 12, FALSE)</f>
        <v>#REF!</v>
      </c>
    </row>
    <row r="22" spans="2:21" ht="15" customHeight="1">
      <c r="B22" s="62" t="s">
        <v>80</v>
      </c>
      <c r="C22" s="62">
        <v>84</v>
      </c>
      <c r="D22" s="80" t="e">
        <f>VLOOKUP($C22,#REF!,2,FALSE)</f>
        <v>#REF!</v>
      </c>
      <c r="E22" s="80" t="e">
        <f>VLOOKUP($C22,#REF!,3,FALSE)</f>
        <v>#REF!</v>
      </c>
      <c r="F22" s="81" t="e">
        <f>VLOOKUP(C22,#REF!,7,FALSE)</f>
        <v>#REF!</v>
      </c>
      <c r="G22" s="72">
        <v>45772</v>
      </c>
      <c r="H22" s="154" t="s">
        <v>125</v>
      </c>
      <c r="I22" s="62"/>
      <c r="J22" s="62">
        <f t="shared" si="1"/>
        <v>0</v>
      </c>
      <c r="K22" s="55"/>
      <c r="L22" s="161"/>
      <c r="M22" s="161"/>
      <c r="N22" s="62"/>
      <c r="O22" s="62"/>
      <c r="P22" s="62"/>
      <c r="Q22" s="62"/>
      <c r="R22" s="62"/>
      <c r="S22" s="62"/>
      <c r="T22" s="62">
        <v>0</v>
      </c>
      <c r="U22" s="68" t="e">
        <f>VLOOKUP(C22,#REF!, 12, FALSE)</f>
        <v>#REF!</v>
      </c>
    </row>
    <row r="23" spans="2:21" ht="15" customHeight="1">
      <c r="B23" s="62" t="s">
        <v>80</v>
      </c>
      <c r="C23" s="62">
        <v>85</v>
      </c>
      <c r="D23" s="80" t="e">
        <f>VLOOKUP($C23,#REF!,2,FALSE)</f>
        <v>#REF!</v>
      </c>
      <c r="E23" s="80" t="e">
        <f>VLOOKUP($C23,#REF!,3,FALSE)</f>
        <v>#REF!</v>
      </c>
      <c r="F23" s="81" t="e">
        <f>VLOOKUP(C23,#REF!,7,FALSE)</f>
        <v>#REF!</v>
      </c>
      <c r="G23" s="72">
        <v>45772</v>
      </c>
      <c r="H23" s="154" t="s">
        <v>125</v>
      </c>
      <c r="I23" s="62"/>
      <c r="J23" s="62">
        <f t="shared" si="1"/>
        <v>0</v>
      </c>
      <c r="K23" s="55"/>
      <c r="L23" s="161"/>
      <c r="M23" s="161"/>
      <c r="N23" s="62"/>
      <c r="O23" s="62"/>
      <c r="P23" s="62"/>
      <c r="Q23" s="62"/>
      <c r="R23" s="62"/>
      <c r="S23" s="62"/>
      <c r="T23" s="62">
        <v>0</v>
      </c>
      <c r="U23" s="68" t="e">
        <f>VLOOKUP(C23,#REF!, 12, FALSE)</f>
        <v>#REF!</v>
      </c>
    </row>
    <row r="24" spans="2:21" ht="15" customHeight="1">
      <c r="B24" s="62" t="s">
        <v>80</v>
      </c>
      <c r="C24" s="62">
        <v>86</v>
      </c>
      <c r="D24" s="80" t="e">
        <f>VLOOKUP($C24,#REF!,2,FALSE)</f>
        <v>#REF!</v>
      </c>
      <c r="E24" s="80" t="e">
        <f>VLOOKUP($C24,#REF!,3,FALSE)</f>
        <v>#REF!</v>
      </c>
      <c r="F24" s="81" t="e">
        <f>VLOOKUP(C24,#REF!,7,FALSE)</f>
        <v>#REF!</v>
      </c>
      <c r="G24" s="72">
        <v>45772</v>
      </c>
      <c r="H24" s="154" t="s">
        <v>125</v>
      </c>
      <c r="I24" s="62"/>
      <c r="J24" s="62">
        <f t="shared" si="1"/>
        <v>0</v>
      </c>
      <c r="K24" s="55"/>
      <c r="L24" s="161"/>
      <c r="M24" s="161"/>
      <c r="N24" s="62"/>
      <c r="O24" s="62"/>
      <c r="P24" s="62"/>
      <c r="Q24" s="62"/>
      <c r="R24" s="62"/>
      <c r="S24" s="62"/>
      <c r="T24" s="62">
        <v>0</v>
      </c>
      <c r="U24" s="68" t="e">
        <f>VLOOKUP(C24,#REF!, 12, FALSE)</f>
        <v>#REF!</v>
      </c>
    </row>
    <row r="25" spans="2:21" ht="15" customHeight="1">
      <c r="B25" s="62" t="s">
        <v>80</v>
      </c>
      <c r="C25" s="62">
        <v>87</v>
      </c>
      <c r="D25" s="80" t="e">
        <f>VLOOKUP($C25,#REF!,2,FALSE)</f>
        <v>#REF!</v>
      </c>
      <c r="E25" s="80" t="e">
        <f>VLOOKUP($C25,#REF!,3,FALSE)</f>
        <v>#REF!</v>
      </c>
      <c r="F25" s="81" t="e">
        <f>VLOOKUP(C25,#REF!,7,FALSE)</f>
        <v>#REF!</v>
      </c>
      <c r="G25" s="72">
        <v>45772</v>
      </c>
      <c r="H25" s="154" t="s">
        <v>126</v>
      </c>
      <c r="I25" s="62"/>
      <c r="J25" s="62">
        <f t="shared" si="1"/>
        <v>0</v>
      </c>
      <c r="K25" s="55"/>
      <c r="L25" s="161"/>
      <c r="M25" s="161"/>
      <c r="N25" s="62"/>
      <c r="O25" s="62"/>
      <c r="P25" s="62"/>
      <c r="Q25" s="62"/>
      <c r="R25" s="62"/>
      <c r="S25" s="62"/>
      <c r="T25" s="62">
        <v>0</v>
      </c>
      <c r="U25" s="68" t="e">
        <f>VLOOKUP(C25,#REF!, 12, FALSE)</f>
        <v>#REF!</v>
      </c>
    </row>
    <row r="26" spans="2:21" ht="15" customHeight="1">
      <c r="B26" s="62" t="s">
        <v>80</v>
      </c>
      <c r="C26" s="62">
        <v>88</v>
      </c>
      <c r="D26" s="80" t="e">
        <f>VLOOKUP($C26,#REF!,2,FALSE)</f>
        <v>#REF!</v>
      </c>
      <c r="E26" s="80" t="e">
        <f>VLOOKUP($C26,#REF!,3,FALSE)</f>
        <v>#REF!</v>
      </c>
      <c r="F26" s="81" t="e">
        <f>VLOOKUP(C26,#REF!,7,FALSE)</f>
        <v>#REF!</v>
      </c>
      <c r="G26" s="72">
        <v>45772</v>
      </c>
      <c r="H26" s="154" t="s">
        <v>126</v>
      </c>
      <c r="I26" s="62"/>
      <c r="J26" s="62">
        <f t="shared" si="1"/>
        <v>0</v>
      </c>
      <c r="K26" s="55"/>
      <c r="L26" s="161"/>
      <c r="M26" s="161"/>
      <c r="N26" s="62"/>
      <c r="O26" s="62"/>
      <c r="P26" s="62"/>
      <c r="Q26" s="62"/>
      <c r="R26" s="62"/>
      <c r="S26" s="62"/>
      <c r="T26" s="62">
        <v>0</v>
      </c>
      <c r="U26" s="68" t="e">
        <f>VLOOKUP(C26,#REF!, 12, FALSE)</f>
        <v>#REF!</v>
      </c>
    </row>
    <row r="27" spans="2:21" ht="15" customHeight="1">
      <c r="B27" s="62" t="s">
        <v>80</v>
      </c>
      <c r="C27" s="62">
        <v>89</v>
      </c>
      <c r="D27" s="80" t="e">
        <f>VLOOKUP($C27,#REF!,2,FALSE)</f>
        <v>#REF!</v>
      </c>
      <c r="E27" s="80" t="e">
        <f>VLOOKUP($C27,#REF!,3,FALSE)</f>
        <v>#REF!</v>
      </c>
      <c r="F27" s="81" t="e">
        <f>VLOOKUP(C27,#REF!,7,FALSE)</f>
        <v>#REF!</v>
      </c>
      <c r="G27" s="72">
        <v>45772</v>
      </c>
      <c r="H27" s="154" t="s">
        <v>126</v>
      </c>
      <c r="I27" s="62"/>
      <c r="J27" s="62">
        <f t="shared" si="1"/>
        <v>0</v>
      </c>
      <c r="K27" s="55"/>
      <c r="L27" s="161"/>
      <c r="M27" s="161"/>
      <c r="N27" s="62"/>
      <c r="O27" s="62"/>
      <c r="P27" s="62"/>
      <c r="Q27" s="62"/>
      <c r="R27" s="62"/>
      <c r="S27" s="62"/>
      <c r="T27" s="62">
        <v>0</v>
      </c>
      <c r="U27" s="68" t="e">
        <f>VLOOKUP(C27,#REF!, 12, FALSE)</f>
        <v>#REF!</v>
      </c>
    </row>
    <row r="28" spans="2:21" ht="15" customHeight="1">
      <c r="B28" s="62" t="s">
        <v>80</v>
      </c>
      <c r="C28" s="62">
        <v>90</v>
      </c>
      <c r="D28" s="80" t="e">
        <f>VLOOKUP($C28,#REF!,2,FALSE)</f>
        <v>#REF!</v>
      </c>
      <c r="E28" s="80" t="e">
        <f>VLOOKUP($C28,#REF!,3,FALSE)</f>
        <v>#REF!</v>
      </c>
      <c r="F28" s="81" t="e">
        <f>VLOOKUP(C28,#REF!,7,FALSE)</f>
        <v>#REF!</v>
      </c>
      <c r="G28" s="72">
        <v>45772</v>
      </c>
      <c r="H28" s="154" t="s">
        <v>126</v>
      </c>
      <c r="I28" s="62"/>
      <c r="J28" s="62">
        <f t="shared" si="1"/>
        <v>0</v>
      </c>
      <c r="K28" s="55"/>
      <c r="L28" s="161"/>
      <c r="M28" s="161"/>
      <c r="N28" s="62"/>
      <c r="O28" s="62"/>
      <c r="P28" s="62"/>
      <c r="Q28" s="62"/>
      <c r="R28" s="62"/>
      <c r="S28" s="62"/>
      <c r="T28" s="62">
        <v>0</v>
      </c>
      <c r="U28" s="68" t="e">
        <f>VLOOKUP(C28,#REF!, 12, FALSE)</f>
        <v>#REF!</v>
      </c>
    </row>
    <row r="29" spans="2:21" ht="12.95" customHeight="1">
      <c r="B29" s="71"/>
      <c r="C29" s="71"/>
      <c r="D29" s="142"/>
      <c r="E29" s="142"/>
      <c r="F29" s="143"/>
      <c r="G29" s="144"/>
      <c r="H29" s="145"/>
      <c r="I29" s="71"/>
      <c r="J29" s="71"/>
      <c r="K29" s="146"/>
      <c r="L29" s="71"/>
      <c r="M29" s="71"/>
      <c r="N29" s="71"/>
      <c r="O29" s="71"/>
      <c r="P29" s="147"/>
      <c r="Q29" s="71"/>
      <c r="R29" s="71"/>
      <c r="S29" s="71" t="e">
        <f>SUM(#REF!)</f>
        <v>#REF!</v>
      </c>
      <c r="T29" s="71"/>
      <c r="U29" s="155" t="e">
        <f>SUM(#REF!)</f>
        <v>#REF!</v>
      </c>
    </row>
    <row r="30" spans="2:21">
      <c r="B30" s="128" t="s">
        <v>92</v>
      </c>
      <c r="E30" s="67"/>
      <c r="H30" s="59"/>
      <c r="I30" s="60"/>
      <c r="J30" s="60"/>
      <c r="K30" s="60"/>
      <c r="L30" s="60"/>
      <c r="M30" s="60"/>
      <c r="N30" s="60"/>
      <c r="O30" s="60"/>
      <c r="P30" s="60"/>
      <c r="Q30" s="59"/>
      <c r="R30" s="59"/>
      <c r="S30" s="59"/>
      <c r="T30" s="59"/>
      <c r="U30" s="68"/>
    </row>
    <row r="31" spans="2:21">
      <c r="B31" s="68" t="str">
        <f>"○ 완료 : "&amp;COUNTIF($B34:$B930,"완료")&amp;"건, 진행중: "&amp;COUNTIF($B34:$B930,"진행중")&amp;"건"</f>
        <v>○ 완료 : 1건, 진행중: 19건</v>
      </c>
      <c r="J31" s="316">
        <f ca="1">TODAY()</f>
        <v>46189</v>
      </c>
      <c r="K31" s="316"/>
      <c r="L31" s="316"/>
      <c r="M31" s="316"/>
      <c r="N31" s="316"/>
      <c r="O31" s="316"/>
      <c r="P31" s="316"/>
      <c r="Q31" s="316"/>
      <c r="R31" s="157"/>
      <c r="S31" s="157"/>
      <c r="T31" s="157"/>
      <c r="U31" s="68"/>
    </row>
    <row r="32" spans="2:21" ht="33" customHeight="1">
      <c r="B32" s="129" t="s">
        <v>36</v>
      </c>
      <c r="C32" s="130" t="s">
        <v>46</v>
      </c>
      <c r="D32" s="129" t="s">
        <v>47</v>
      </c>
      <c r="E32" s="129" t="s">
        <v>48</v>
      </c>
      <c r="F32" s="129" t="s">
        <v>49</v>
      </c>
      <c r="G32" s="130" t="s">
        <v>50</v>
      </c>
      <c r="H32" s="129" t="s">
        <v>51</v>
      </c>
      <c r="I32" s="130" t="s">
        <v>52</v>
      </c>
      <c r="J32" s="130" t="s">
        <v>53</v>
      </c>
      <c r="K32" s="131" t="s">
        <v>64</v>
      </c>
      <c r="L32" s="132" t="s">
        <v>65</v>
      </c>
      <c r="M32" s="133"/>
      <c r="N32" s="133"/>
      <c r="O32" s="133"/>
      <c r="P32" s="134"/>
      <c r="Q32" s="135" t="s">
        <v>54</v>
      </c>
      <c r="R32" s="135" t="s">
        <v>121</v>
      </c>
      <c r="S32" s="135" t="s">
        <v>124</v>
      </c>
      <c r="T32" s="314" t="s">
        <v>122</v>
      </c>
      <c r="U32" s="68"/>
    </row>
    <row r="33" spans="2:21">
      <c r="B33" s="136"/>
      <c r="C33" s="137"/>
      <c r="D33" s="136"/>
      <c r="E33" s="136"/>
      <c r="F33" s="136"/>
      <c r="G33" s="137"/>
      <c r="H33" s="136"/>
      <c r="I33" s="137"/>
      <c r="J33" s="137"/>
      <c r="K33" s="138"/>
      <c r="L33" s="139">
        <v>0.1</v>
      </c>
      <c r="M33" s="140">
        <v>0.4</v>
      </c>
      <c r="N33" s="140">
        <v>0.6</v>
      </c>
      <c r="O33" s="140">
        <v>0.8</v>
      </c>
      <c r="P33" s="140">
        <v>0.95</v>
      </c>
      <c r="Q33" s="141"/>
      <c r="R33" s="141" t="s">
        <v>123</v>
      </c>
      <c r="S33" s="141" t="s">
        <v>123</v>
      </c>
      <c r="T33" s="315"/>
      <c r="U33" s="68"/>
    </row>
    <row r="34" spans="2:21">
      <c r="B34" s="62" t="s">
        <v>80</v>
      </c>
      <c r="C34" s="62">
        <v>33</v>
      </c>
      <c r="D34" s="80" t="str">
        <f>VLOOKUP($C34,'26년 LIST (산학연)'!$B:$H,2,FALSE)</f>
        <v>주식회사 시어니스트</v>
      </c>
      <c r="E34" s="80" t="str">
        <f>VLOOKUP($C34,'26년 LIST (산학연)'!$B:$H,3,FALSE)</f>
        <v>㈜아주화장품</v>
      </c>
      <c r="F34" s="81">
        <f>VLOOKUP(C34,'26년 LIST (산학연)'!$B:$H,7,FALSE)</f>
        <v>0</v>
      </c>
      <c r="G34" s="72">
        <v>45762</v>
      </c>
      <c r="H34" s="154" t="s">
        <v>125</v>
      </c>
      <c r="I34" s="62"/>
      <c r="J34" s="62">
        <f>I34+T34</f>
        <v>1</v>
      </c>
      <c r="K34" s="55">
        <v>0.6</v>
      </c>
      <c r="L34" s="74"/>
      <c r="M34" s="62"/>
      <c r="N34" s="62">
        <v>4.1500000000000004</v>
      </c>
      <c r="O34" s="62"/>
      <c r="P34" s="77"/>
      <c r="Q34" s="62" t="s">
        <v>57</v>
      </c>
      <c r="R34" s="62"/>
      <c r="S34" s="162"/>
      <c r="T34" s="162">
        <v>1</v>
      </c>
      <c r="U34" s="68">
        <f>VLOOKUP(C34,'26년 LIST (산학연)'!$B:$N, 12, FALSE)</f>
        <v>0</v>
      </c>
    </row>
    <row r="35" spans="2:21">
      <c r="B35" s="62" t="s">
        <v>15</v>
      </c>
      <c r="C35" s="62">
        <v>55</v>
      </c>
      <c r="D35" s="80" t="str">
        <f>VLOOKUP($C35,'26년 LIST (산학연)'!$B:$H,2,FALSE)</f>
        <v>에이치에스테크㈜</v>
      </c>
      <c r="E35" s="80" t="str">
        <f>VLOOKUP($C35,'26년 LIST (산학연)'!$B:$H,3,FALSE)</f>
        <v>㈜케이엠씨(KMC)</v>
      </c>
      <c r="F35" s="81">
        <f>VLOOKUP(C35,'26년 LIST (산학연)'!$B:$H,7,FALSE)</f>
        <v>0</v>
      </c>
      <c r="G35" s="72">
        <v>45762</v>
      </c>
      <c r="H35" s="154" t="s">
        <v>125</v>
      </c>
      <c r="I35" s="62">
        <v>0.5</v>
      </c>
      <c r="J35" s="62">
        <f>I35+T35</f>
        <v>0.5</v>
      </c>
      <c r="K35" s="55">
        <v>0.95</v>
      </c>
      <c r="L35" s="74"/>
      <c r="M35" s="62"/>
      <c r="N35" s="62"/>
      <c r="O35" s="62"/>
      <c r="P35" s="77"/>
      <c r="Q35" s="62"/>
      <c r="R35" s="62"/>
      <c r="S35" s="162"/>
      <c r="T35" s="162">
        <v>0</v>
      </c>
      <c r="U35" s="68">
        <f>VLOOKUP(C35,'26년 LIST (산학연)'!$B:$N, 12, FALSE)</f>
        <v>0</v>
      </c>
    </row>
    <row r="36" spans="2:21">
      <c r="B36" s="62" t="s">
        <v>80</v>
      </c>
      <c r="C36" s="62">
        <v>36</v>
      </c>
      <c r="D36" s="80" t="str">
        <f>VLOOKUP($C36,'26년 LIST (산학연)'!$B:$H,2,FALSE)</f>
        <v>㈜대광에프앤지</v>
      </c>
      <c r="E36" s="80" t="str">
        <f>VLOOKUP($C36,'26년 LIST (산학연)'!$B:$H,3,FALSE)</f>
        <v>씨에프티 유한책임회사</v>
      </c>
      <c r="F36" s="81">
        <f>VLOOKUP(C36,'26년 LIST (산학연)'!$B:$H,7,FALSE)</f>
        <v>0</v>
      </c>
      <c r="G36" s="72">
        <v>45762</v>
      </c>
      <c r="H36" s="154" t="s">
        <v>125</v>
      </c>
      <c r="I36" s="62"/>
      <c r="J36" s="62">
        <f>I36+T36</f>
        <v>0.5</v>
      </c>
      <c r="K36" s="55">
        <v>0.4</v>
      </c>
      <c r="L36" s="62">
        <v>4.1500000000000004</v>
      </c>
      <c r="M36" s="62"/>
      <c r="N36" s="62"/>
      <c r="O36" s="62"/>
      <c r="P36" s="77"/>
      <c r="Q36" s="62" t="s">
        <v>57</v>
      </c>
      <c r="R36" s="62"/>
      <c r="S36" s="162"/>
      <c r="T36" s="162">
        <v>0.5</v>
      </c>
      <c r="U36" s="68">
        <f>VLOOKUP(C36,'26년 LIST (산학연)'!$B:$N, 12, FALSE)</f>
        <v>0</v>
      </c>
    </row>
    <row r="37" spans="2:21">
      <c r="B37" s="62" t="s">
        <v>80</v>
      </c>
      <c r="C37" s="62">
        <v>40</v>
      </c>
      <c r="D37" s="80" t="str">
        <f>VLOOKUP($C37,'26년 LIST (산학연)'!$B:$H,2,FALSE)</f>
        <v>㈜클린존</v>
      </c>
      <c r="E37" s="80" t="str">
        <f>VLOOKUP($C37,'26년 LIST (산학연)'!$B:$H,3,FALSE)</f>
        <v>㈜씨넷</v>
      </c>
      <c r="F37" s="81">
        <f>VLOOKUP(C37,'26년 LIST (산학연)'!$B:$H,7,FALSE)</f>
        <v>0</v>
      </c>
      <c r="G37" s="72">
        <v>45762</v>
      </c>
      <c r="H37" s="154" t="s">
        <v>125</v>
      </c>
      <c r="I37" s="62"/>
      <c r="J37" s="62">
        <f t="shared" ref="J37:J57" si="2">I37+T37</f>
        <v>1</v>
      </c>
      <c r="K37" s="55"/>
      <c r="L37" s="74"/>
      <c r="M37" s="62"/>
      <c r="N37" s="62"/>
      <c r="O37" s="62"/>
      <c r="P37" s="77"/>
      <c r="Q37" s="62"/>
      <c r="R37" s="62"/>
      <c r="S37" s="162"/>
      <c r="T37" s="162">
        <v>1</v>
      </c>
      <c r="U37" s="68">
        <f>VLOOKUP(C37,'26년 LIST (산학연)'!$B:$N, 12, FALSE)</f>
        <v>0</v>
      </c>
    </row>
    <row r="38" spans="2:21">
      <c r="B38" s="62" t="s">
        <v>80</v>
      </c>
      <c r="C38" s="62">
        <v>41</v>
      </c>
      <c r="D38" s="80" t="str">
        <f>VLOOKUP($C38,'26년 LIST (산학연)'!$B:$H,2,FALSE)</f>
        <v>주식회사 티나</v>
      </c>
      <c r="E38" s="80" t="str">
        <f>VLOOKUP($C38,'26년 LIST (산학연)'!$B:$H,3,FALSE)</f>
        <v>주식회사 제이솔루션</v>
      </c>
      <c r="F38" s="81">
        <f>VLOOKUP(C38,'26년 LIST (산학연)'!$B:$H,7,FALSE)</f>
        <v>0</v>
      </c>
      <c r="G38" s="72">
        <v>45762</v>
      </c>
      <c r="H38" s="154" t="s">
        <v>125</v>
      </c>
      <c r="I38" s="62"/>
      <c r="J38" s="62">
        <f t="shared" si="2"/>
        <v>1.5</v>
      </c>
      <c r="K38" s="55"/>
      <c r="L38" s="74"/>
      <c r="M38" s="62"/>
      <c r="N38" s="62"/>
      <c r="O38" s="62"/>
      <c r="P38" s="77"/>
      <c r="Q38" s="62"/>
      <c r="R38" s="62"/>
      <c r="S38" s="162"/>
      <c r="T38" s="162">
        <v>1.5</v>
      </c>
      <c r="U38" s="68">
        <f>VLOOKUP(C38,'26년 LIST (산학연)'!$B:$N, 12, FALSE)</f>
        <v>0</v>
      </c>
    </row>
    <row r="39" spans="2:21">
      <c r="B39" s="62" t="s">
        <v>80</v>
      </c>
      <c r="C39" s="62">
        <v>45</v>
      </c>
      <c r="D39" s="80" t="str">
        <f>VLOOKUP($C39,'26년 LIST (산학연)'!$B:$H,2,FALSE)</f>
        <v>재융공업</v>
      </c>
      <c r="E39" s="80" t="str">
        <f>VLOOKUP($C39,'26년 LIST (산학연)'!$B:$H,3,FALSE)</f>
        <v>㈜엠아이씨유</v>
      </c>
      <c r="F39" s="81">
        <f>VLOOKUP(C39,'26년 LIST (산학연)'!$B:$H,7,FALSE)</f>
        <v>0</v>
      </c>
      <c r="G39" s="72">
        <v>45762</v>
      </c>
      <c r="H39" s="154" t="s">
        <v>125</v>
      </c>
      <c r="I39" s="62"/>
      <c r="J39" s="62">
        <f t="shared" si="2"/>
        <v>0.5</v>
      </c>
      <c r="K39" s="55"/>
      <c r="L39" s="74"/>
      <c r="M39" s="62"/>
      <c r="N39" s="62"/>
      <c r="O39" s="62"/>
      <c r="P39" s="77"/>
      <c r="Q39" s="62"/>
      <c r="R39" s="62"/>
      <c r="S39" s="162"/>
      <c r="T39" s="162">
        <v>0.5</v>
      </c>
      <c r="U39" s="68">
        <f>VLOOKUP(C39,'26년 LIST (산학연)'!$B:$N, 12, FALSE)</f>
        <v>0</v>
      </c>
    </row>
    <row r="40" spans="2:21">
      <c r="B40" s="62" t="s">
        <v>80</v>
      </c>
      <c r="C40" s="62">
        <v>46</v>
      </c>
      <c r="D40" s="80" t="str">
        <f>VLOOKUP($C40,'26년 LIST (산학연)'!$B:$H,2,FALSE)</f>
        <v>㈜멀티밸런스(사업비: 30,000,000원)</v>
      </c>
      <c r="E40" s="80" t="str">
        <f>VLOOKUP($C40,'26년 LIST (산학연)'!$B:$H,3,FALSE)</f>
        <v>㈜아이토프</v>
      </c>
      <c r="F40" s="81">
        <f>VLOOKUP(C40,'26년 LIST (산학연)'!$B:$H,7,FALSE)</f>
        <v>0</v>
      </c>
      <c r="G40" s="72">
        <v>45762</v>
      </c>
      <c r="H40" s="154" t="s">
        <v>125</v>
      </c>
      <c r="I40" s="62"/>
      <c r="J40" s="62">
        <f t="shared" si="2"/>
        <v>0</v>
      </c>
      <c r="K40" s="55"/>
      <c r="L40" s="74"/>
      <c r="M40" s="62"/>
      <c r="N40" s="62"/>
      <c r="O40" s="62"/>
      <c r="P40" s="77"/>
      <c r="Q40" s="62"/>
      <c r="R40" s="62"/>
      <c r="S40" s="162"/>
      <c r="T40" s="162">
        <v>0</v>
      </c>
      <c r="U40" s="68">
        <f>VLOOKUP(C40,'26년 LIST (산학연)'!$B:$N, 12, FALSE)</f>
        <v>0</v>
      </c>
    </row>
    <row r="41" spans="2:21">
      <c r="B41" s="62" t="s">
        <v>80</v>
      </c>
      <c r="C41" s="62">
        <v>47</v>
      </c>
      <c r="D41" s="80" t="str">
        <f>VLOOKUP($C41,'26년 LIST (산학연)'!$B:$H,2,FALSE)</f>
        <v>㈜팜에이스</v>
      </c>
      <c r="E41" s="80" t="str">
        <f>VLOOKUP($C41,'26년 LIST (산학연)'!$B:$H,3,FALSE)</f>
        <v>멀티펑션</v>
      </c>
      <c r="F41" s="81">
        <f>VLOOKUP(C41,'26년 LIST (산학연)'!$B:$H,7,FALSE)</f>
        <v>0</v>
      </c>
      <c r="G41" s="72">
        <v>45762</v>
      </c>
      <c r="H41" s="154" t="s">
        <v>125</v>
      </c>
      <c r="I41" s="62"/>
      <c r="J41" s="62">
        <f t="shared" si="2"/>
        <v>0</v>
      </c>
      <c r="K41" s="55"/>
      <c r="L41" s="74"/>
      <c r="M41" s="62"/>
      <c r="N41" s="62"/>
      <c r="O41" s="62"/>
      <c r="P41" s="77"/>
      <c r="Q41" s="62"/>
      <c r="R41" s="62"/>
      <c r="S41" s="162"/>
      <c r="T41" s="162">
        <v>0</v>
      </c>
      <c r="U41" s="68">
        <f>VLOOKUP(C41,'26년 LIST (산학연)'!$B:$N, 12, FALSE)</f>
        <v>0</v>
      </c>
    </row>
    <row r="42" spans="2:21">
      <c r="B42" s="62" t="s">
        <v>80</v>
      </c>
      <c r="C42" s="62">
        <v>48</v>
      </c>
      <c r="D42" s="80" t="str">
        <f>VLOOKUP($C42,'26년 LIST (산학연)'!$B:$H,2,FALSE)</f>
        <v>㈜마마포레스트</v>
      </c>
      <c r="E42" s="80" t="str">
        <f>VLOOKUP($C42,'26년 LIST (산학연)'!$B:$H,3,FALSE)</f>
        <v>㈜세컨드홀리데이</v>
      </c>
      <c r="F42" s="81">
        <f>VLOOKUP(C42,'26년 LIST (산학연)'!$B:$H,7,FALSE)</f>
        <v>0</v>
      </c>
      <c r="G42" s="72">
        <v>45762</v>
      </c>
      <c r="H42" s="154" t="s">
        <v>125</v>
      </c>
      <c r="I42" s="62"/>
      <c r="J42" s="62">
        <f t="shared" si="2"/>
        <v>0</v>
      </c>
      <c r="K42" s="55"/>
      <c r="L42" s="74"/>
      <c r="M42" s="62"/>
      <c r="N42" s="62"/>
      <c r="O42" s="62"/>
      <c r="P42" s="77"/>
      <c r="Q42" s="62"/>
      <c r="R42" s="62"/>
      <c r="S42" s="162"/>
      <c r="T42" s="162">
        <v>0</v>
      </c>
      <c r="U42" s="68">
        <f>VLOOKUP(C42,'26년 LIST (산학연)'!$B:$N, 12, FALSE)</f>
        <v>0</v>
      </c>
    </row>
    <row r="43" spans="2:21">
      <c r="B43" s="62" t="s">
        <v>80</v>
      </c>
      <c r="C43" s="62">
        <v>49</v>
      </c>
      <c r="D43" s="80" t="str">
        <f>VLOOKUP($C43,'26년 LIST (산학연)'!$B:$H,2,FALSE)</f>
        <v>㈜에이치앤엠바이오</v>
      </c>
      <c r="E43" s="80" t="str">
        <f>VLOOKUP($C43,'26년 LIST (산학연)'!$B:$H,3,FALSE)</f>
        <v>㈜엠아이씨유</v>
      </c>
      <c r="F43" s="81">
        <f>VLOOKUP(C43,'26년 LIST (산학연)'!$B:$H,7,FALSE)</f>
        <v>0</v>
      </c>
      <c r="G43" s="72">
        <v>45762</v>
      </c>
      <c r="H43" s="154" t="s">
        <v>125</v>
      </c>
      <c r="I43" s="62"/>
      <c r="J43" s="62">
        <f t="shared" si="2"/>
        <v>0</v>
      </c>
      <c r="K43" s="55"/>
      <c r="L43" s="74"/>
      <c r="M43" s="62"/>
      <c r="N43" s="62"/>
      <c r="O43" s="62"/>
      <c r="P43" s="77"/>
      <c r="Q43" s="62"/>
      <c r="R43" s="62"/>
      <c r="S43" s="162"/>
      <c r="T43" s="162">
        <v>0</v>
      </c>
      <c r="U43" s="68">
        <f>VLOOKUP(C43,'26년 LIST (산학연)'!$B:$N, 12, FALSE)</f>
        <v>0</v>
      </c>
    </row>
    <row r="44" spans="2:21">
      <c r="B44" s="62" t="s">
        <v>80</v>
      </c>
      <c r="C44" s="62">
        <v>50</v>
      </c>
      <c r="D44" s="80" t="str">
        <f>VLOOKUP($C44,'26년 LIST (산학연)'!$B:$H,2,FALSE)</f>
        <v>에이치비테크㈜</v>
      </c>
      <c r="E44" s="80" t="str">
        <f>VLOOKUP($C44,'26년 LIST (산학연)'!$B:$H,3,FALSE)</f>
        <v>㈜씨넷</v>
      </c>
      <c r="F44" s="81">
        <f>VLOOKUP(C44,'26년 LIST (산학연)'!$B:$H,7,FALSE)</f>
        <v>0</v>
      </c>
      <c r="G44" s="72">
        <v>45762</v>
      </c>
      <c r="H44" s="154" t="s">
        <v>125</v>
      </c>
      <c r="I44" s="62"/>
      <c r="J44" s="62">
        <f t="shared" si="2"/>
        <v>0</v>
      </c>
      <c r="K44" s="55"/>
      <c r="L44" s="74"/>
      <c r="M44" s="62"/>
      <c r="N44" s="62"/>
      <c r="O44" s="62"/>
      <c r="P44" s="77"/>
      <c r="Q44" s="62"/>
      <c r="R44" s="62"/>
      <c r="S44" s="162"/>
      <c r="T44" s="162">
        <v>0</v>
      </c>
      <c r="U44" s="68">
        <f>VLOOKUP(C44,'26년 LIST (산학연)'!$B:$N, 12, FALSE)</f>
        <v>0</v>
      </c>
    </row>
    <row r="45" spans="2:21">
      <c r="B45" s="62" t="s">
        <v>80</v>
      </c>
      <c r="C45" s="62">
        <v>51</v>
      </c>
      <c r="D45" s="80" t="str">
        <f>VLOOKUP($C45,'26년 LIST (산학연)'!$B:$H,2,FALSE)</f>
        <v>㈜엘에스금속</v>
      </c>
      <c r="E45" s="80" t="str">
        <f>VLOOKUP($C45,'26년 LIST (산학연)'!$B:$H,3,FALSE)</f>
        <v>㈜게이트웨이즈</v>
      </c>
      <c r="F45" s="81">
        <f>VLOOKUP(C45,'26년 LIST (산학연)'!$B:$H,7,FALSE)</f>
        <v>0</v>
      </c>
      <c r="G45" s="72">
        <v>45762</v>
      </c>
      <c r="H45" s="154" t="s">
        <v>125</v>
      </c>
      <c r="I45" s="62"/>
      <c r="J45" s="62">
        <f t="shared" si="2"/>
        <v>0</v>
      </c>
      <c r="K45" s="55"/>
      <c r="L45" s="74"/>
      <c r="M45" s="62"/>
      <c r="N45" s="62"/>
      <c r="O45" s="62"/>
      <c r="P45" s="77"/>
      <c r="Q45" s="62"/>
      <c r="R45" s="62"/>
      <c r="S45" s="162"/>
      <c r="T45" s="162">
        <v>0</v>
      </c>
      <c r="U45" s="68">
        <f>VLOOKUP(C45,'26년 LIST (산학연)'!$B:$N, 12, FALSE)</f>
        <v>0</v>
      </c>
    </row>
    <row r="46" spans="2:21">
      <c r="B46" s="62" t="s">
        <v>80</v>
      </c>
      <c r="C46" s="62">
        <v>52</v>
      </c>
      <c r="D46" s="80" t="str">
        <f>VLOOKUP($C46,'26년 LIST (산학연)'!$B:$H,2,FALSE)</f>
        <v>㈜에너드림</v>
      </c>
      <c r="E46" s="80" t="str">
        <f>VLOOKUP($C46,'26년 LIST (산학연)'!$B:$H,3,FALSE)</f>
        <v>㈜코드</v>
      </c>
      <c r="F46" s="81">
        <f>VLOOKUP(C46,'26년 LIST (산학연)'!$B:$H,7,FALSE)</f>
        <v>0</v>
      </c>
      <c r="G46" s="72">
        <v>45762</v>
      </c>
      <c r="H46" s="154" t="s">
        <v>125</v>
      </c>
      <c r="I46" s="62"/>
      <c r="J46" s="62">
        <f t="shared" si="2"/>
        <v>0</v>
      </c>
      <c r="K46" s="55"/>
      <c r="L46" s="74"/>
      <c r="M46" s="62"/>
      <c r="N46" s="62"/>
      <c r="O46" s="62"/>
      <c r="P46" s="77"/>
      <c r="Q46" s="62"/>
      <c r="R46" s="62"/>
      <c r="S46" s="162"/>
      <c r="T46" s="162">
        <v>0</v>
      </c>
      <c r="U46" s="68">
        <f>VLOOKUP(C46,'26년 LIST (산학연)'!$B:$N, 12, FALSE)</f>
        <v>0</v>
      </c>
    </row>
    <row r="47" spans="2:21">
      <c r="B47" s="62" t="s">
        <v>80</v>
      </c>
      <c r="C47" s="62">
        <v>54</v>
      </c>
      <c r="D47" s="80" t="str">
        <f>VLOOKUP($C47,'26년 LIST (산학연)'!$B:$H,2,FALSE)</f>
        <v>㈜세인블루텍</v>
      </c>
      <c r="E47" s="80" t="str">
        <f>VLOOKUP($C47,'26년 LIST (산학연)'!$B:$H,3,FALSE)</f>
        <v>주식회사 로맨</v>
      </c>
      <c r="F47" s="81">
        <f>VLOOKUP(C47,'26년 LIST (산학연)'!$B:$H,7,FALSE)</f>
        <v>0</v>
      </c>
      <c r="G47" s="72">
        <v>45762</v>
      </c>
      <c r="H47" s="154" t="s">
        <v>125</v>
      </c>
      <c r="I47" s="62"/>
      <c r="J47" s="62">
        <f t="shared" si="2"/>
        <v>0</v>
      </c>
      <c r="K47" s="55"/>
      <c r="L47" s="74"/>
      <c r="M47" s="62"/>
      <c r="N47" s="62"/>
      <c r="O47" s="62"/>
      <c r="P47" s="77"/>
      <c r="Q47" s="62"/>
      <c r="R47" s="62"/>
      <c r="S47" s="162"/>
      <c r="T47" s="162">
        <v>0</v>
      </c>
      <c r="U47" s="68">
        <f>VLOOKUP(C47,'26년 LIST (산학연)'!$B:$N, 12, FALSE)</f>
        <v>0</v>
      </c>
    </row>
    <row r="48" spans="2:21">
      <c r="B48" s="62" t="s">
        <v>80</v>
      </c>
      <c r="C48" s="62">
        <v>56</v>
      </c>
      <c r="D48" s="80" t="str">
        <f>VLOOKUP($C48,'26년 LIST (산학연)'!$B:$H,2,FALSE)</f>
        <v>㈜동광</v>
      </c>
      <c r="E48" s="80" t="str">
        <f>VLOOKUP($C48,'26년 LIST (산학연)'!$B:$H,3,FALSE)</f>
        <v>㈜씨넷</v>
      </c>
      <c r="F48" s="81">
        <f>VLOOKUP(C48,'26년 LIST (산학연)'!$B:$H,7,FALSE)</f>
        <v>0</v>
      </c>
      <c r="G48" s="72">
        <v>45762</v>
      </c>
      <c r="H48" s="154" t="s">
        <v>125</v>
      </c>
      <c r="I48" s="62"/>
      <c r="J48" s="62">
        <f t="shared" si="2"/>
        <v>0</v>
      </c>
      <c r="K48" s="55"/>
      <c r="L48" s="74"/>
      <c r="M48" s="62"/>
      <c r="N48" s="62"/>
      <c r="O48" s="62"/>
      <c r="P48" s="77"/>
      <c r="Q48" s="62"/>
      <c r="R48" s="62"/>
      <c r="S48" s="162"/>
      <c r="T48" s="162">
        <v>0</v>
      </c>
      <c r="U48" s="68">
        <f>VLOOKUP(C48,'26년 LIST (산학연)'!$B:$N, 12, FALSE)</f>
        <v>0</v>
      </c>
    </row>
    <row r="49" spans="2:21">
      <c r="B49" s="62" t="s">
        <v>80</v>
      </c>
      <c r="C49" s="62">
        <v>57</v>
      </c>
      <c r="D49" s="80" t="str">
        <f>VLOOKUP($C49,'26년 LIST (산학연)'!$B:$H,2,FALSE)</f>
        <v>주식회사 골드테크</v>
      </c>
      <c r="E49" s="80" t="str">
        <f>VLOOKUP($C49,'26년 LIST (산학연)'!$B:$H,3,FALSE)</f>
        <v>온플러스</v>
      </c>
      <c r="F49" s="81">
        <f>VLOOKUP(C49,'26년 LIST (산학연)'!$B:$H,7,FALSE)</f>
        <v>0</v>
      </c>
      <c r="G49" s="72">
        <v>45762</v>
      </c>
      <c r="H49" s="154" t="s">
        <v>125</v>
      </c>
      <c r="I49" s="62"/>
      <c r="J49" s="62">
        <f t="shared" si="2"/>
        <v>0</v>
      </c>
      <c r="K49" s="55"/>
      <c r="L49" s="74"/>
      <c r="M49" s="62"/>
      <c r="N49" s="62"/>
      <c r="O49" s="62"/>
      <c r="P49" s="77"/>
      <c r="Q49" s="62"/>
      <c r="R49" s="62"/>
      <c r="S49" s="162"/>
      <c r="T49" s="162">
        <v>0</v>
      </c>
      <c r="U49" s="68">
        <f>VLOOKUP(C49,'26년 LIST (산학연)'!$B:$N, 12, FALSE)</f>
        <v>0</v>
      </c>
    </row>
    <row r="50" spans="2:21">
      <c r="B50" s="62" t="s">
        <v>80</v>
      </c>
      <c r="C50" s="62">
        <v>58</v>
      </c>
      <c r="D50" s="80" t="str">
        <f>VLOOKUP($C50,'26년 LIST (산학연)'!$B:$H,2,FALSE)</f>
        <v>㈜리즈코스</v>
      </c>
      <c r="E50" s="80" t="str">
        <f>VLOOKUP($C50,'26년 LIST (산학연)'!$B:$H,3,FALSE)</f>
        <v>㈜드림이앤씨</v>
      </c>
      <c r="F50" s="81">
        <f>VLOOKUP(C50,'26년 LIST (산학연)'!$B:$H,7,FALSE)</f>
        <v>0</v>
      </c>
      <c r="G50" s="72">
        <v>45762</v>
      </c>
      <c r="H50" s="154" t="s">
        <v>125</v>
      </c>
      <c r="I50" s="62"/>
      <c r="J50" s="62">
        <f t="shared" si="2"/>
        <v>0</v>
      </c>
      <c r="K50" s="55"/>
      <c r="L50" s="74"/>
      <c r="M50" s="62"/>
      <c r="N50" s="62"/>
      <c r="O50" s="62"/>
      <c r="P50" s="77"/>
      <c r="Q50" s="62"/>
      <c r="R50" s="62"/>
      <c r="S50" s="162"/>
      <c r="T50" s="162">
        <v>0</v>
      </c>
      <c r="U50" s="68">
        <f>VLOOKUP(C50,'26년 LIST (산학연)'!$B:$N, 12, FALSE)</f>
        <v>0</v>
      </c>
    </row>
    <row r="51" spans="2:21">
      <c r="B51" s="62" t="s">
        <v>80</v>
      </c>
      <c r="C51" s="62">
        <v>59</v>
      </c>
      <c r="D51" s="80" t="str">
        <f>VLOOKUP($C51,'26년 LIST (산학연)'!$B:$H,2,FALSE)</f>
        <v>주식회사 대림산업</v>
      </c>
      <c r="E51" s="80" t="str">
        <f>VLOOKUP($C51,'26년 LIST (산학연)'!$B:$H,3,FALSE)</f>
        <v>㈜포어스딜라이트</v>
      </c>
      <c r="F51" s="81">
        <f>VLOOKUP(C51,'26년 LIST (산학연)'!$B:$H,7,FALSE)</f>
        <v>0</v>
      </c>
      <c r="G51" s="72">
        <v>45762</v>
      </c>
      <c r="H51" s="154" t="s">
        <v>126</v>
      </c>
      <c r="I51" s="62"/>
      <c r="J51" s="62">
        <f t="shared" si="2"/>
        <v>0</v>
      </c>
      <c r="K51" s="55"/>
      <c r="L51" s="74"/>
      <c r="M51" s="62"/>
      <c r="N51" s="62"/>
      <c r="O51" s="62"/>
      <c r="P51" s="77"/>
      <c r="Q51" s="62"/>
      <c r="R51" s="62"/>
      <c r="S51" s="162"/>
      <c r="T51" s="162">
        <v>0</v>
      </c>
      <c r="U51" s="68">
        <f>VLOOKUP(C51,'26년 LIST (산학연)'!$B:$N, 12, FALSE)</f>
        <v>0</v>
      </c>
    </row>
    <row r="52" spans="2:21">
      <c r="B52" s="62" t="s">
        <v>80</v>
      </c>
      <c r="C52" s="62">
        <v>60</v>
      </c>
      <c r="D52" s="80" t="str">
        <f>VLOOKUP($C52,'26년 LIST (산학연)'!$B:$H,2,FALSE)</f>
        <v>㈜센서테크</v>
      </c>
      <c r="E52" s="80" t="str">
        <f>VLOOKUP($C52,'26년 LIST (산학연)'!$B:$H,3,FALSE)</f>
        <v>㈜강동테크</v>
      </c>
      <c r="F52" s="81">
        <f>VLOOKUP(C52,'26년 LIST (산학연)'!$B:$H,7,FALSE)</f>
        <v>0</v>
      </c>
      <c r="G52" s="72">
        <v>45762</v>
      </c>
      <c r="H52" s="154" t="s">
        <v>126</v>
      </c>
      <c r="I52" s="62"/>
      <c r="J52" s="62">
        <f t="shared" si="2"/>
        <v>0</v>
      </c>
      <c r="K52" s="55"/>
      <c r="L52" s="74"/>
      <c r="M52" s="62"/>
      <c r="N52" s="62"/>
      <c r="O52" s="62"/>
      <c r="P52" s="77"/>
      <c r="Q52" s="62"/>
      <c r="R52" s="62"/>
      <c r="S52" s="162"/>
      <c r="T52" s="162">
        <v>0</v>
      </c>
      <c r="U52" s="68">
        <f>VLOOKUP(C52,'26년 LIST (산학연)'!$B:$N, 12, FALSE)</f>
        <v>0</v>
      </c>
    </row>
    <row r="53" spans="2:21">
      <c r="B53" s="62" t="s">
        <v>80</v>
      </c>
      <c r="C53" s="62">
        <v>61</v>
      </c>
      <c r="D53" s="80" t="str">
        <f>VLOOKUP($C53,'26년 LIST (산학연)'!$B:$H,2,FALSE)</f>
        <v>드론테크</v>
      </c>
      <c r="E53" s="80" t="str">
        <f>VLOOKUP($C53,'26년 LIST (산학연)'!$B:$H,3,FALSE)</f>
        <v>㈜엠아이씨유</v>
      </c>
      <c r="F53" s="81">
        <f>VLOOKUP(C53,'26년 LIST (산학연)'!$B:$H,7,FALSE)</f>
        <v>0</v>
      </c>
      <c r="G53" s="72">
        <v>45762</v>
      </c>
      <c r="H53" s="154" t="s">
        <v>126</v>
      </c>
      <c r="I53" s="62"/>
      <c r="J53" s="62">
        <f t="shared" si="2"/>
        <v>0</v>
      </c>
      <c r="K53" s="55"/>
      <c r="L53" s="74"/>
      <c r="M53" s="62"/>
      <c r="N53" s="62"/>
      <c r="O53" s="62"/>
      <c r="P53" s="77"/>
      <c r="Q53" s="62"/>
      <c r="R53" s="62"/>
      <c r="S53" s="162"/>
      <c r="T53" s="162">
        <v>0</v>
      </c>
      <c r="U53" s="68">
        <f>VLOOKUP(C53,'26년 LIST (산학연)'!$B:$N, 12, FALSE)</f>
        <v>0</v>
      </c>
    </row>
    <row r="54" spans="2:21">
      <c r="B54" s="62"/>
      <c r="C54" s="62"/>
      <c r="D54" s="80" t="e">
        <f>VLOOKUP($C54,'26년 LIST (산학연)'!$B:$H,2,FALSE)</f>
        <v>#N/A</v>
      </c>
      <c r="E54" s="80" t="e">
        <f>VLOOKUP($C54,'26년 LIST (산학연)'!$B:$H,3,FALSE)</f>
        <v>#N/A</v>
      </c>
      <c r="F54" s="81" t="e">
        <f>VLOOKUP(C54,'26년 LIST (산학연)'!$B:$H,7,FALSE)</f>
        <v>#N/A</v>
      </c>
      <c r="G54" s="72">
        <v>45762</v>
      </c>
      <c r="H54" s="154" t="s">
        <v>125</v>
      </c>
      <c r="I54" s="62"/>
      <c r="J54" s="62">
        <f t="shared" si="2"/>
        <v>0</v>
      </c>
      <c r="K54" s="55"/>
      <c r="L54" s="74"/>
      <c r="M54" s="62"/>
      <c r="N54" s="62"/>
      <c r="O54" s="62"/>
      <c r="P54" s="77"/>
      <c r="Q54" s="62"/>
      <c r="R54" s="62"/>
      <c r="S54" s="162"/>
      <c r="T54" s="162">
        <v>0</v>
      </c>
      <c r="U54" s="68" t="e">
        <f>VLOOKUP(C54,'26년 LIST (산학연)'!$B:$N, 12, FALSE)</f>
        <v>#N/A</v>
      </c>
    </row>
    <row r="55" spans="2:21">
      <c r="B55" s="62"/>
      <c r="C55" s="62"/>
      <c r="D55" s="80" t="e">
        <f>VLOOKUP($C55,'26년 LIST (산학연)'!$B:$H,2,FALSE)</f>
        <v>#N/A</v>
      </c>
      <c r="E55" s="80" t="e">
        <f>VLOOKUP($C55,'26년 LIST (산학연)'!$B:$H,3,FALSE)</f>
        <v>#N/A</v>
      </c>
      <c r="F55" s="81" t="e">
        <f>VLOOKUP(C55,'26년 LIST (산학연)'!$B:$H,7,FALSE)</f>
        <v>#N/A</v>
      </c>
      <c r="G55" s="72">
        <v>45762</v>
      </c>
      <c r="H55" s="154" t="s">
        <v>125</v>
      </c>
      <c r="I55" s="62"/>
      <c r="J55" s="62">
        <f t="shared" si="2"/>
        <v>0</v>
      </c>
      <c r="K55" s="55"/>
      <c r="L55" s="74"/>
      <c r="M55" s="62"/>
      <c r="N55" s="62"/>
      <c r="O55" s="62"/>
      <c r="P55" s="77"/>
      <c r="Q55" s="62"/>
      <c r="R55" s="62"/>
      <c r="S55" s="162"/>
      <c r="T55" s="162">
        <v>0</v>
      </c>
      <c r="U55" s="68" t="e">
        <f>VLOOKUP(C55,'26년 LIST (산학연)'!$B:$N, 12, FALSE)</f>
        <v>#N/A</v>
      </c>
    </row>
    <row r="56" spans="2:21">
      <c r="B56" s="62"/>
      <c r="C56" s="62"/>
      <c r="D56" s="80" t="e">
        <f>VLOOKUP($C56,'26년 LIST (산학연)'!$B:$H,2,FALSE)</f>
        <v>#N/A</v>
      </c>
      <c r="E56" s="80" t="e">
        <f>VLOOKUP($C56,'26년 LIST (산학연)'!$B:$H,3,FALSE)</f>
        <v>#N/A</v>
      </c>
      <c r="F56" s="81" t="e">
        <f>VLOOKUP(C56,'26년 LIST (산학연)'!$B:$H,7,FALSE)</f>
        <v>#N/A</v>
      </c>
      <c r="G56" s="72">
        <v>45762</v>
      </c>
      <c r="H56" s="154" t="s">
        <v>125</v>
      </c>
      <c r="I56" s="62"/>
      <c r="J56" s="62">
        <f t="shared" si="2"/>
        <v>0</v>
      </c>
      <c r="K56" s="55"/>
      <c r="L56" s="74"/>
      <c r="M56" s="62"/>
      <c r="N56" s="62"/>
      <c r="O56" s="62"/>
      <c r="P56" s="77"/>
      <c r="Q56" s="62"/>
      <c r="R56" s="62"/>
      <c r="S56" s="162"/>
      <c r="T56" s="162">
        <v>0</v>
      </c>
      <c r="U56" s="68" t="e">
        <f>VLOOKUP(C56,'26년 LIST (산학연)'!$B:$N, 12, FALSE)</f>
        <v>#N/A</v>
      </c>
    </row>
    <row r="57" spans="2:21">
      <c r="B57" s="62"/>
      <c r="C57" s="62"/>
      <c r="D57" s="80" t="e">
        <f>VLOOKUP($C57,'26년 LIST (산학연)'!$B:$H,2,FALSE)</f>
        <v>#N/A</v>
      </c>
      <c r="E57" s="80" t="e">
        <f>VLOOKUP($C57,'26년 LIST (산학연)'!$B:$H,3,FALSE)</f>
        <v>#N/A</v>
      </c>
      <c r="F57" s="81" t="e">
        <f>VLOOKUP(C57,'26년 LIST (산학연)'!$B:$H,7,FALSE)</f>
        <v>#N/A</v>
      </c>
      <c r="G57" s="72">
        <v>45762</v>
      </c>
      <c r="H57" s="154" t="s">
        <v>125</v>
      </c>
      <c r="I57" s="62"/>
      <c r="J57" s="62">
        <f t="shared" si="2"/>
        <v>0</v>
      </c>
      <c r="K57" s="55"/>
      <c r="L57" s="74"/>
      <c r="M57" s="62"/>
      <c r="N57" s="62"/>
      <c r="O57" s="62"/>
      <c r="P57" s="77"/>
      <c r="Q57" s="62"/>
      <c r="R57" s="62"/>
      <c r="S57" s="162"/>
      <c r="T57" s="162">
        <v>0</v>
      </c>
      <c r="U57" s="68" t="e">
        <f>VLOOKUP(C57,'26년 LIST (산학연)'!$B:$N, 12, FALSE)</f>
        <v>#N/A</v>
      </c>
    </row>
    <row r="58" spans="2:21">
      <c r="B58" s="62"/>
      <c r="C58" s="62"/>
      <c r="D58" s="80"/>
      <c r="E58" s="80"/>
      <c r="F58" s="81"/>
      <c r="G58" s="72"/>
      <c r="H58" s="76"/>
      <c r="I58" s="62"/>
      <c r="J58" s="62"/>
      <c r="K58" s="54"/>
      <c r="L58" s="74"/>
      <c r="M58" s="62"/>
      <c r="N58" s="62"/>
      <c r="O58" s="62"/>
      <c r="P58" s="77"/>
      <c r="Q58" s="62"/>
      <c r="R58" s="71"/>
      <c r="S58" s="71"/>
      <c r="T58" s="71"/>
      <c r="U58" s="68"/>
    </row>
    <row r="59" spans="2:21">
      <c r="B59" s="62"/>
      <c r="C59" s="62"/>
      <c r="D59" s="80"/>
      <c r="E59" s="80"/>
      <c r="F59" s="81"/>
      <c r="G59" s="72"/>
      <c r="H59" s="76"/>
      <c r="I59" s="62"/>
      <c r="J59" s="62"/>
      <c r="K59" s="54"/>
      <c r="L59" s="74"/>
      <c r="M59" s="62"/>
      <c r="N59" s="62"/>
      <c r="O59" s="62"/>
      <c r="P59" s="77"/>
      <c r="Q59" s="62"/>
      <c r="R59" s="71"/>
      <c r="S59" s="71"/>
      <c r="T59" s="71"/>
      <c r="U59" s="68"/>
    </row>
    <row r="60" spans="2:21">
      <c r="B60" s="62"/>
      <c r="C60" s="62"/>
      <c r="D60" s="80"/>
      <c r="E60" s="80"/>
      <c r="F60" s="81"/>
      <c r="G60" s="72"/>
      <c r="H60" s="76"/>
      <c r="I60" s="62"/>
      <c r="J60" s="62"/>
      <c r="K60" s="54"/>
      <c r="L60" s="74"/>
      <c r="M60" s="62"/>
      <c r="N60" s="62"/>
      <c r="O60" s="62"/>
      <c r="P60" s="77"/>
      <c r="Q60" s="62"/>
      <c r="R60" s="71"/>
      <c r="S60" s="71"/>
      <c r="T60" s="71"/>
      <c r="U60" s="68"/>
    </row>
    <row r="61" spans="2:21">
      <c r="B61" s="62"/>
      <c r="C61" s="62"/>
      <c r="D61" s="80"/>
      <c r="E61" s="80"/>
      <c r="F61" s="81"/>
      <c r="G61" s="72"/>
      <c r="H61" s="76"/>
      <c r="I61" s="62"/>
      <c r="J61" s="62"/>
      <c r="K61" s="54"/>
      <c r="L61" s="74"/>
      <c r="M61" s="62"/>
      <c r="N61" s="62"/>
      <c r="O61" s="62"/>
      <c r="P61" s="77"/>
      <c r="Q61" s="62"/>
      <c r="R61" s="71"/>
      <c r="S61" s="71"/>
      <c r="T61" s="71"/>
      <c r="U61" s="68"/>
    </row>
    <row r="62" spans="2:21">
      <c r="B62" s="62"/>
      <c r="C62" s="62"/>
      <c r="D62" s="80"/>
      <c r="E62" s="80"/>
      <c r="F62" s="81"/>
      <c r="G62" s="72"/>
      <c r="H62" s="76"/>
      <c r="I62" s="62"/>
      <c r="J62" s="62"/>
      <c r="K62" s="54"/>
      <c r="L62" s="74"/>
      <c r="M62" s="62"/>
      <c r="N62" s="62"/>
      <c r="O62" s="62"/>
      <c r="P62" s="77"/>
      <c r="Q62" s="62"/>
      <c r="R62" s="71"/>
      <c r="S62" s="71"/>
      <c r="T62" s="71"/>
      <c r="U62" s="68"/>
    </row>
    <row r="63" spans="2:21">
      <c r="B63" s="62"/>
      <c r="C63" s="62"/>
      <c r="D63" s="80"/>
      <c r="E63" s="80"/>
      <c r="F63" s="81"/>
      <c r="G63" s="72"/>
      <c r="H63" s="76"/>
      <c r="I63" s="62"/>
      <c r="J63" s="62"/>
      <c r="K63" s="54"/>
      <c r="L63" s="74"/>
      <c r="M63" s="62"/>
      <c r="N63" s="62"/>
      <c r="O63" s="62"/>
      <c r="P63" s="77"/>
      <c r="Q63" s="62"/>
      <c r="R63" s="71"/>
      <c r="S63" s="71"/>
      <c r="T63" s="71"/>
      <c r="U63" s="68"/>
    </row>
    <row r="64" spans="2:21">
      <c r="B64" s="62"/>
      <c r="C64" s="62"/>
      <c r="D64" s="80"/>
      <c r="E64" s="80"/>
      <c r="F64" s="81"/>
      <c r="G64" s="72"/>
      <c r="H64" s="76"/>
      <c r="I64" s="62"/>
      <c r="J64" s="62"/>
      <c r="K64" s="54"/>
      <c r="L64" s="74"/>
      <c r="M64" s="62"/>
      <c r="N64" s="62"/>
      <c r="O64" s="62"/>
      <c r="P64" s="77"/>
      <c r="Q64" s="62"/>
      <c r="R64" s="71"/>
      <c r="S64" s="71"/>
      <c r="T64" s="71"/>
      <c r="U64" s="68"/>
    </row>
    <row r="65" spans="2:21">
      <c r="B65" s="62"/>
      <c r="C65" s="62"/>
      <c r="D65" s="80"/>
      <c r="E65" s="80"/>
      <c r="F65" s="81"/>
      <c r="G65" s="72"/>
      <c r="H65" s="76"/>
      <c r="I65" s="62"/>
      <c r="J65" s="62"/>
      <c r="K65" s="54"/>
      <c r="L65" s="74"/>
      <c r="M65" s="62"/>
      <c r="N65" s="62"/>
      <c r="O65" s="62"/>
      <c r="P65" s="77"/>
      <c r="Q65" s="62"/>
      <c r="R65" s="71"/>
      <c r="S65" s="71"/>
      <c r="T65" s="71"/>
      <c r="U65" s="68"/>
    </row>
    <row r="66" spans="2:21">
      <c r="B66" s="62"/>
      <c r="C66" s="62"/>
      <c r="D66" s="80"/>
      <c r="E66" s="80"/>
      <c r="F66" s="81"/>
      <c r="G66" s="72"/>
      <c r="H66" s="76"/>
      <c r="I66" s="62"/>
      <c r="J66" s="62"/>
      <c r="K66" s="54"/>
      <c r="L66" s="74"/>
      <c r="M66" s="62"/>
      <c r="N66" s="62"/>
      <c r="O66" s="62"/>
      <c r="P66" s="77"/>
      <c r="Q66" s="62"/>
      <c r="R66" s="71"/>
      <c r="S66" s="71"/>
      <c r="T66" s="71"/>
      <c r="U66" s="68"/>
    </row>
    <row r="67" spans="2:21">
      <c r="B67" s="62"/>
      <c r="C67" s="62"/>
      <c r="D67" s="80"/>
      <c r="E67" s="80"/>
      <c r="F67" s="81"/>
      <c r="G67" s="72"/>
      <c r="H67" s="76"/>
      <c r="I67" s="62"/>
      <c r="J67" s="62"/>
      <c r="K67" s="54"/>
      <c r="L67" s="74"/>
      <c r="M67" s="62"/>
      <c r="N67" s="62"/>
      <c r="O67" s="62"/>
      <c r="P67" s="77"/>
      <c r="Q67" s="62"/>
      <c r="R67" s="71"/>
      <c r="S67" s="71"/>
      <c r="T67" s="71"/>
      <c r="U67" s="68"/>
    </row>
    <row r="68" spans="2:21">
      <c r="B68" s="62"/>
      <c r="C68" s="62"/>
      <c r="D68" s="80"/>
      <c r="E68" s="80"/>
      <c r="F68" s="81"/>
      <c r="G68" s="72"/>
      <c r="H68" s="76"/>
      <c r="I68" s="62"/>
      <c r="J68" s="62"/>
      <c r="K68" s="54"/>
      <c r="L68" s="74"/>
      <c r="M68" s="62"/>
      <c r="N68" s="62"/>
      <c r="O68" s="62"/>
      <c r="P68" s="77"/>
      <c r="Q68" s="62"/>
      <c r="R68" s="71"/>
      <c r="S68" s="71"/>
      <c r="T68" s="71"/>
      <c r="U68" s="68"/>
    </row>
    <row r="69" spans="2:21">
      <c r="B69" s="62"/>
      <c r="C69" s="62"/>
      <c r="D69" s="80"/>
      <c r="E69" s="80"/>
      <c r="F69" s="81"/>
      <c r="G69" s="72"/>
      <c r="H69" s="76"/>
      <c r="I69" s="62"/>
      <c r="J69" s="62"/>
      <c r="K69" s="54"/>
      <c r="L69" s="74"/>
      <c r="M69" s="62"/>
      <c r="N69" s="62"/>
      <c r="O69" s="62"/>
      <c r="P69" s="77"/>
      <c r="Q69" s="62"/>
      <c r="R69" s="71"/>
      <c r="S69" s="71"/>
      <c r="T69" s="71"/>
      <c r="U69" s="68"/>
    </row>
    <row r="70" spans="2:21">
      <c r="B70" s="62"/>
      <c r="C70" s="62"/>
      <c r="D70" s="80"/>
      <c r="E70" s="80"/>
      <c r="F70" s="81"/>
      <c r="G70" s="72"/>
      <c r="H70" s="76"/>
      <c r="I70" s="62"/>
      <c r="J70" s="62"/>
      <c r="K70" s="54"/>
      <c r="L70" s="74"/>
      <c r="M70" s="62"/>
      <c r="N70" s="62"/>
      <c r="O70" s="62"/>
      <c r="P70" s="77"/>
      <c r="Q70" s="62"/>
      <c r="R70" s="71"/>
      <c r="S70" s="71"/>
      <c r="T70" s="71"/>
      <c r="U70" s="68"/>
    </row>
    <row r="71" spans="2:21">
      <c r="B71" s="62"/>
      <c r="C71" s="62"/>
      <c r="D71" s="80"/>
      <c r="E71" s="80"/>
      <c r="F71" s="81"/>
      <c r="G71" s="72"/>
      <c r="H71" s="76"/>
      <c r="I71" s="62"/>
      <c r="J71" s="62"/>
      <c r="K71" s="54"/>
      <c r="L71" s="74"/>
      <c r="M71" s="62"/>
      <c r="N71" s="62"/>
      <c r="O71" s="62"/>
      <c r="P71" s="77"/>
      <c r="Q71" s="62"/>
      <c r="R71" s="71"/>
      <c r="S71" s="71"/>
      <c r="T71" s="71"/>
      <c r="U71" s="68"/>
    </row>
    <row r="72" spans="2:21">
      <c r="B72" s="62"/>
      <c r="C72" s="62"/>
      <c r="D72" s="80"/>
      <c r="E72" s="80"/>
      <c r="F72" s="81"/>
      <c r="G72" s="72"/>
      <c r="H72" s="76"/>
      <c r="I72" s="62"/>
      <c r="J72" s="62"/>
      <c r="K72" s="54"/>
      <c r="L72" s="74"/>
      <c r="M72" s="62"/>
      <c r="N72" s="62"/>
      <c r="O72" s="62"/>
      <c r="P72" s="77"/>
      <c r="Q72" s="62"/>
      <c r="R72" s="71"/>
      <c r="S72" s="71"/>
      <c r="T72" s="71"/>
      <c r="U72" s="68"/>
    </row>
    <row r="73" spans="2:21">
      <c r="B73" s="62"/>
      <c r="C73" s="62"/>
      <c r="D73" s="80"/>
      <c r="E73" s="80"/>
      <c r="F73" s="81"/>
      <c r="G73" s="72"/>
      <c r="H73" s="76"/>
      <c r="I73" s="62"/>
      <c r="J73" s="62"/>
      <c r="K73" s="54"/>
      <c r="L73" s="74"/>
      <c r="M73" s="62"/>
      <c r="N73" s="62"/>
      <c r="O73" s="62"/>
      <c r="P73" s="77"/>
      <c r="Q73" s="62"/>
      <c r="R73" s="71"/>
      <c r="S73" s="71"/>
      <c r="T73" s="71"/>
      <c r="U73" s="68"/>
    </row>
    <row r="74" spans="2:21">
      <c r="B74" s="62"/>
      <c r="C74" s="62"/>
      <c r="D74" s="80"/>
      <c r="E74" s="80"/>
      <c r="F74" s="81"/>
      <c r="G74" s="72"/>
      <c r="H74" s="76"/>
      <c r="I74" s="62"/>
      <c r="J74" s="62"/>
      <c r="K74" s="54"/>
      <c r="L74" s="74"/>
      <c r="M74" s="62"/>
      <c r="N74" s="62"/>
      <c r="O74" s="62"/>
      <c r="P74" s="77"/>
      <c r="Q74" s="62"/>
      <c r="R74" s="71"/>
      <c r="S74" s="71"/>
      <c r="T74" s="71"/>
      <c r="U74" s="68"/>
    </row>
    <row r="75" spans="2:21">
      <c r="B75" s="62"/>
      <c r="C75" s="62"/>
      <c r="D75" s="80"/>
      <c r="E75" s="80"/>
      <c r="F75" s="81"/>
      <c r="G75" s="72"/>
      <c r="H75" s="76"/>
      <c r="I75" s="62"/>
      <c r="J75" s="62"/>
      <c r="K75" s="54"/>
      <c r="L75" s="74"/>
      <c r="M75" s="62"/>
      <c r="N75" s="62"/>
      <c r="O75" s="62"/>
      <c r="P75" s="77"/>
      <c r="Q75" s="62"/>
      <c r="R75" s="71"/>
      <c r="S75" s="71"/>
      <c r="T75" s="71"/>
      <c r="U75" s="68"/>
    </row>
    <row r="76" spans="2:21">
      <c r="B76" s="62"/>
      <c r="C76" s="62"/>
      <c r="D76" s="80"/>
      <c r="E76" s="80"/>
      <c r="F76" s="81"/>
      <c r="G76" s="72"/>
      <c r="H76" s="76"/>
      <c r="I76" s="62"/>
      <c r="J76" s="62"/>
      <c r="K76" s="54"/>
      <c r="L76" s="74"/>
      <c r="M76" s="62"/>
      <c r="N76" s="62"/>
      <c r="O76" s="62"/>
      <c r="P76" s="77"/>
      <c r="Q76" s="62"/>
      <c r="R76" s="71"/>
      <c r="S76" s="71"/>
      <c r="T76" s="71"/>
      <c r="U76" s="68"/>
    </row>
    <row r="77" spans="2:21">
      <c r="B77" s="62"/>
      <c r="C77" s="62"/>
      <c r="D77" s="80"/>
      <c r="E77" s="80"/>
      <c r="F77" s="81"/>
      <c r="G77" s="72"/>
      <c r="H77" s="76"/>
      <c r="I77" s="62"/>
      <c r="J77" s="62"/>
      <c r="K77" s="54"/>
      <c r="L77" s="74"/>
      <c r="M77" s="62"/>
      <c r="N77" s="62"/>
      <c r="O77" s="62"/>
      <c r="P77" s="77"/>
      <c r="Q77" s="62"/>
      <c r="R77" s="71"/>
      <c r="S77" s="71"/>
      <c r="T77" s="71"/>
      <c r="U77" s="68"/>
    </row>
    <row r="78" spans="2:21">
      <c r="B78" s="62"/>
      <c r="C78" s="62"/>
      <c r="D78" s="80"/>
      <c r="E78" s="80"/>
      <c r="F78" s="81"/>
      <c r="G78" s="72"/>
      <c r="H78" s="76"/>
      <c r="I78" s="62"/>
      <c r="J78" s="62"/>
      <c r="K78" s="54"/>
      <c r="L78" s="74"/>
      <c r="M78" s="62"/>
      <c r="N78" s="62"/>
      <c r="O78" s="62"/>
      <c r="P78" s="77"/>
      <c r="Q78" s="62"/>
      <c r="R78" s="71"/>
      <c r="S78" s="71"/>
      <c r="T78" s="71"/>
      <c r="U78" s="68"/>
    </row>
    <row r="79" spans="2:21">
      <c r="B79" s="62"/>
      <c r="C79" s="62"/>
      <c r="D79" s="80"/>
      <c r="E79" s="80"/>
      <c r="F79" s="81"/>
      <c r="G79" s="72"/>
      <c r="H79" s="76"/>
      <c r="I79" s="62"/>
      <c r="J79" s="62"/>
      <c r="K79" s="54"/>
      <c r="L79" s="74"/>
      <c r="M79" s="62"/>
      <c r="N79" s="62"/>
      <c r="O79" s="62"/>
      <c r="P79" s="77"/>
      <c r="Q79" s="62"/>
      <c r="R79" s="71"/>
      <c r="S79" s="71"/>
      <c r="T79" s="71"/>
      <c r="U79" s="68"/>
    </row>
    <row r="80" spans="2:21">
      <c r="B80" s="62"/>
      <c r="C80" s="62"/>
      <c r="D80" s="80"/>
      <c r="E80" s="80"/>
      <c r="F80" s="81"/>
      <c r="G80" s="72"/>
      <c r="H80" s="76"/>
      <c r="I80" s="62"/>
      <c r="J80" s="62"/>
      <c r="K80" s="54"/>
      <c r="L80" s="74"/>
      <c r="M80" s="62"/>
      <c r="N80" s="62"/>
      <c r="O80" s="62"/>
      <c r="P80" s="77"/>
      <c r="Q80" s="62"/>
      <c r="R80" s="71"/>
      <c r="S80" s="71"/>
      <c r="T80" s="71"/>
      <c r="U80" s="68"/>
    </row>
    <row r="81" spans="2:21">
      <c r="B81" s="62"/>
      <c r="C81" s="62"/>
      <c r="D81" s="80"/>
      <c r="E81" s="80"/>
      <c r="F81" s="81"/>
      <c r="G81" s="72"/>
      <c r="H81" s="76"/>
      <c r="I81" s="62"/>
      <c r="J81" s="62"/>
      <c r="K81" s="54"/>
      <c r="L81" s="74"/>
      <c r="M81" s="62"/>
      <c r="N81" s="62"/>
      <c r="O81" s="62"/>
      <c r="P81" s="77"/>
      <c r="Q81" s="62"/>
      <c r="R81" s="71"/>
      <c r="S81" s="71"/>
      <c r="T81" s="71"/>
      <c r="U81" s="68"/>
    </row>
    <row r="82" spans="2:21">
      <c r="B82" s="62"/>
      <c r="C82" s="62"/>
      <c r="D82" s="80"/>
      <c r="E82" s="80"/>
      <c r="F82" s="81"/>
      <c r="G82" s="72"/>
      <c r="H82" s="76"/>
      <c r="I82" s="62"/>
      <c r="J82" s="62"/>
      <c r="K82" s="54"/>
      <c r="L82" s="74"/>
      <c r="M82" s="62"/>
      <c r="N82" s="62"/>
      <c r="O82" s="62"/>
      <c r="P82" s="77"/>
      <c r="Q82" s="62"/>
      <c r="R82" s="71"/>
      <c r="S82" s="71"/>
      <c r="T82" s="71"/>
      <c r="U82" s="68"/>
    </row>
    <row r="83" spans="2:21">
      <c r="B83" s="62"/>
      <c r="C83" s="62"/>
      <c r="D83" s="80"/>
      <c r="E83" s="80"/>
      <c r="F83" s="81"/>
      <c r="G83" s="72"/>
      <c r="H83" s="76"/>
      <c r="I83" s="62"/>
      <c r="J83" s="62"/>
      <c r="K83" s="54"/>
      <c r="L83" s="74"/>
      <c r="M83" s="62"/>
      <c r="N83" s="62"/>
      <c r="O83" s="62"/>
      <c r="P83" s="77"/>
      <c r="Q83" s="62"/>
      <c r="R83" s="71"/>
      <c r="S83" s="71"/>
      <c r="T83" s="71"/>
      <c r="U83" s="68"/>
    </row>
    <row r="84" spans="2:21">
      <c r="B84" s="62"/>
      <c r="C84" s="62"/>
      <c r="D84" s="80"/>
      <c r="E84" s="80"/>
      <c r="F84" s="81"/>
      <c r="G84" s="72"/>
      <c r="H84" s="76"/>
      <c r="I84" s="62"/>
      <c r="J84" s="62"/>
      <c r="K84" s="54"/>
      <c r="L84" s="74"/>
      <c r="M84" s="62"/>
      <c r="N84" s="62"/>
      <c r="O84" s="62"/>
      <c r="P84" s="77"/>
      <c r="Q84" s="62"/>
      <c r="R84" s="71"/>
      <c r="S84" s="71"/>
      <c r="T84" s="71"/>
      <c r="U84" s="68"/>
    </row>
    <row r="85" spans="2:21">
      <c r="B85" s="62"/>
      <c r="C85" s="62"/>
      <c r="D85" s="80"/>
      <c r="E85" s="80"/>
      <c r="F85" s="81"/>
      <c r="G85" s="72"/>
      <c r="H85" s="76"/>
      <c r="I85" s="62"/>
      <c r="J85" s="62"/>
      <c r="K85" s="54"/>
      <c r="L85" s="74"/>
      <c r="M85" s="62"/>
      <c r="N85" s="62"/>
      <c r="O85" s="62"/>
      <c r="P85" s="77"/>
      <c r="Q85" s="62"/>
      <c r="R85" s="71"/>
      <c r="S85" s="71"/>
      <c r="T85" s="71"/>
      <c r="U85" s="68"/>
    </row>
    <row r="86" spans="2:21">
      <c r="B86" s="62"/>
      <c r="C86" s="62"/>
      <c r="D86" s="80"/>
      <c r="E86" s="80"/>
      <c r="F86" s="81"/>
      <c r="G86" s="72"/>
      <c r="H86" s="76"/>
      <c r="I86" s="62"/>
      <c r="J86" s="62"/>
      <c r="K86" s="54"/>
      <c r="L86" s="74"/>
      <c r="M86" s="62"/>
      <c r="N86" s="62"/>
      <c r="O86" s="62"/>
      <c r="P86" s="77"/>
      <c r="Q86" s="62"/>
      <c r="R86" s="71"/>
      <c r="S86" s="71"/>
      <c r="T86" s="71"/>
      <c r="U86" s="68"/>
    </row>
    <row r="87" spans="2:21">
      <c r="B87" s="62"/>
      <c r="C87" s="62"/>
      <c r="D87" s="80"/>
      <c r="E87" s="80"/>
      <c r="F87" s="81"/>
      <c r="G87" s="72"/>
      <c r="H87" s="76"/>
      <c r="I87" s="62"/>
      <c r="J87" s="62"/>
      <c r="K87" s="54"/>
      <c r="L87" s="74"/>
      <c r="M87" s="62"/>
      <c r="N87" s="62"/>
      <c r="O87" s="62"/>
      <c r="P87" s="77"/>
      <c r="Q87" s="62"/>
      <c r="R87" s="71"/>
      <c r="S87" s="71"/>
      <c r="T87" s="71"/>
      <c r="U87" s="68"/>
    </row>
    <row r="88" spans="2:21">
      <c r="B88" s="62"/>
      <c r="C88" s="62"/>
      <c r="D88" s="80"/>
      <c r="E88" s="80"/>
      <c r="F88" s="81"/>
      <c r="G88" s="72"/>
      <c r="H88" s="76"/>
      <c r="I88" s="62"/>
      <c r="J88" s="62"/>
      <c r="K88" s="54"/>
      <c r="L88" s="74"/>
      <c r="M88" s="62"/>
      <c r="N88" s="62"/>
      <c r="O88" s="62"/>
      <c r="P88" s="77"/>
      <c r="Q88" s="62"/>
      <c r="R88" s="71"/>
      <c r="S88" s="71"/>
      <c r="T88" s="71"/>
      <c r="U88" s="68"/>
    </row>
    <row r="89" spans="2:21">
      <c r="B89" s="62"/>
      <c r="C89" s="62"/>
      <c r="D89" s="80"/>
      <c r="E89" s="80"/>
      <c r="F89" s="81"/>
      <c r="G89" s="72"/>
      <c r="H89" s="76"/>
      <c r="I89" s="62"/>
      <c r="J89" s="62"/>
      <c r="K89" s="54"/>
      <c r="L89" s="74"/>
      <c r="M89" s="62"/>
      <c r="N89" s="62"/>
      <c r="O89" s="62"/>
      <c r="P89" s="77"/>
      <c r="Q89" s="62"/>
      <c r="R89" s="71"/>
      <c r="S89" s="71"/>
      <c r="T89" s="71"/>
      <c r="U89" s="68"/>
    </row>
    <row r="90" spans="2:21">
      <c r="B90" s="62"/>
      <c r="C90" s="62"/>
      <c r="D90" s="80"/>
      <c r="E90" s="80"/>
      <c r="F90" s="81"/>
      <c r="G90" s="72"/>
      <c r="H90" s="76"/>
      <c r="I90" s="62"/>
      <c r="J90" s="62"/>
      <c r="K90" s="54"/>
      <c r="L90" s="74"/>
      <c r="M90" s="62"/>
      <c r="N90" s="62"/>
      <c r="O90" s="62"/>
      <c r="P90" s="77"/>
      <c r="Q90" s="62"/>
      <c r="R90" s="71"/>
      <c r="S90" s="71"/>
      <c r="T90" s="71"/>
      <c r="U90" s="68"/>
    </row>
    <row r="91" spans="2:21">
      <c r="B91" s="62"/>
      <c r="C91" s="62"/>
      <c r="D91" s="80"/>
      <c r="E91" s="80"/>
      <c r="F91" s="81"/>
      <c r="G91" s="72"/>
      <c r="H91" s="76"/>
      <c r="I91" s="62"/>
      <c r="J91" s="62"/>
      <c r="K91" s="54"/>
      <c r="L91" s="74"/>
      <c r="M91" s="62"/>
      <c r="N91" s="62"/>
      <c r="O91" s="62"/>
      <c r="P91" s="77"/>
      <c r="Q91" s="62"/>
      <c r="R91" s="71"/>
      <c r="S91" s="71"/>
      <c r="T91" s="71"/>
      <c r="U91" s="68"/>
    </row>
    <row r="92" spans="2:21">
      <c r="B92" s="62"/>
      <c r="C92" s="62"/>
      <c r="D92" s="80"/>
      <c r="E92" s="80"/>
      <c r="F92" s="81"/>
      <c r="G92" s="72"/>
      <c r="H92" s="76"/>
      <c r="I92" s="62"/>
      <c r="J92" s="62"/>
      <c r="K92" s="54"/>
      <c r="L92" s="74"/>
      <c r="M92" s="62"/>
      <c r="N92" s="62"/>
      <c r="O92" s="62"/>
      <c r="P92" s="77"/>
      <c r="Q92" s="62"/>
      <c r="R92" s="71"/>
      <c r="S92" s="71"/>
      <c r="T92" s="71"/>
      <c r="U92" s="68"/>
    </row>
    <row r="93" spans="2:21">
      <c r="B93" s="62"/>
      <c r="C93" s="62"/>
      <c r="D93" s="80"/>
      <c r="E93" s="80"/>
      <c r="F93" s="81"/>
      <c r="G93" s="72"/>
      <c r="H93" s="76"/>
      <c r="I93" s="62"/>
      <c r="J93" s="62"/>
      <c r="K93" s="54"/>
      <c r="L93" s="74"/>
      <c r="M93" s="62"/>
      <c r="N93" s="62"/>
      <c r="O93" s="62"/>
      <c r="P93" s="77"/>
      <c r="Q93" s="62"/>
      <c r="R93" s="71"/>
      <c r="S93" s="71"/>
      <c r="T93" s="71"/>
      <c r="U93" s="68"/>
    </row>
    <row r="94" spans="2:21">
      <c r="B94" s="62"/>
      <c r="C94" s="62"/>
      <c r="D94" s="80"/>
      <c r="E94" s="80"/>
      <c r="F94" s="81"/>
      <c r="G94" s="72"/>
      <c r="H94" s="76"/>
      <c r="I94" s="62"/>
      <c r="J94" s="62"/>
      <c r="K94" s="54"/>
      <c r="L94" s="74"/>
      <c r="M94" s="62"/>
      <c r="N94" s="62"/>
      <c r="O94" s="62"/>
      <c r="P94" s="77"/>
      <c r="Q94" s="62"/>
      <c r="R94" s="71"/>
      <c r="S94" s="71"/>
      <c r="T94" s="71"/>
      <c r="U94" s="68"/>
    </row>
    <row r="95" spans="2:21">
      <c r="B95" s="62"/>
      <c r="C95" s="62"/>
      <c r="D95" s="80"/>
      <c r="E95" s="80"/>
      <c r="F95" s="81"/>
      <c r="G95" s="72"/>
      <c r="H95" s="76"/>
      <c r="I95" s="62"/>
      <c r="J95" s="62"/>
      <c r="K95" s="54"/>
      <c r="L95" s="74"/>
      <c r="M95" s="62"/>
      <c r="N95" s="62"/>
      <c r="O95" s="62"/>
      <c r="P95" s="77"/>
      <c r="Q95" s="62"/>
      <c r="R95" s="71"/>
      <c r="S95" s="71"/>
      <c r="T95" s="71"/>
      <c r="U95" s="68"/>
    </row>
    <row r="96" spans="2:21">
      <c r="B96" s="62"/>
      <c r="C96" s="62"/>
      <c r="D96" s="80"/>
      <c r="E96" s="80"/>
      <c r="F96" s="81"/>
      <c r="G96" s="72"/>
      <c r="H96" s="76"/>
      <c r="I96" s="62"/>
      <c r="J96" s="62"/>
      <c r="K96" s="54"/>
      <c r="L96" s="74"/>
      <c r="M96" s="62"/>
      <c r="N96" s="62"/>
      <c r="O96" s="62"/>
      <c r="P96" s="77"/>
      <c r="Q96" s="62"/>
      <c r="R96" s="71"/>
      <c r="S96" s="71"/>
      <c r="T96" s="71"/>
      <c r="U96" s="68"/>
    </row>
    <row r="97" spans="2:21">
      <c r="B97" s="62"/>
      <c r="C97" s="62"/>
      <c r="D97" s="80"/>
      <c r="E97" s="80"/>
      <c r="F97" s="81"/>
      <c r="G97" s="72"/>
      <c r="H97" s="76"/>
      <c r="I97" s="62"/>
      <c r="J97" s="62"/>
      <c r="K97" s="54"/>
      <c r="L97" s="74"/>
      <c r="M97" s="62"/>
      <c r="N97" s="62"/>
      <c r="O97" s="62"/>
      <c r="P97" s="77"/>
      <c r="Q97" s="62"/>
      <c r="R97" s="71"/>
      <c r="S97" s="71"/>
      <c r="T97" s="71"/>
      <c r="U97" s="68"/>
    </row>
    <row r="98" spans="2:21">
      <c r="B98" s="62"/>
      <c r="C98" s="62"/>
      <c r="D98" s="80"/>
      <c r="E98" s="80"/>
      <c r="F98" s="81"/>
      <c r="G98" s="72"/>
      <c r="H98" s="76"/>
      <c r="I98" s="62"/>
      <c r="J98" s="62"/>
      <c r="K98" s="54"/>
      <c r="L98" s="74"/>
      <c r="M98" s="62"/>
      <c r="N98" s="62"/>
      <c r="O98" s="62"/>
      <c r="P98" s="77"/>
      <c r="Q98" s="62"/>
      <c r="R98" s="71"/>
      <c r="S98" s="71"/>
      <c r="T98" s="71"/>
      <c r="U98" s="68"/>
    </row>
    <row r="99" spans="2:21">
      <c r="B99" s="62"/>
      <c r="C99" s="62"/>
      <c r="D99" s="80"/>
      <c r="E99" s="80"/>
      <c r="F99" s="81"/>
      <c r="G99" s="72"/>
      <c r="H99" s="76"/>
      <c r="I99" s="62"/>
      <c r="J99" s="62"/>
      <c r="K99" s="54"/>
      <c r="L99" s="74"/>
      <c r="M99" s="62"/>
      <c r="N99" s="62"/>
      <c r="O99" s="62"/>
      <c r="P99" s="77"/>
      <c r="Q99" s="62"/>
      <c r="R99" s="71"/>
      <c r="S99" s="71"/>
      <c r="T99" s="71"/>
      <c r="U99" s="68"/>
    </row>
    <row r="100" spans="2:21">
      <c r="B100" s="62"/>
      <c r="C100" s="62"/>
      <c r="D100" s="80"/>
      <c r="E100" s="80"/>
      <c r="F100" s="81"/>
      <c r="G100" s="72"/>
      <c r="H100" s="76"/>
      <c r="I100" s="62"/>
      <c r="J100" s="62"/>
      <c r="K100" s="54"/>
      <c r="L100" s="74"/>
      <c r="M100" s="62"/>
      <c r="N100" s="62"/>
      <c r="O100" s="62"/>
      <c r="P100" s="77"/>
      <c r="Q100" s="62"/>
      <c r="R100" s="71"/>
      <c r="S100" s="71"/>
      <c r="T100" s="71"/>
      <c r="U100" s="68"/>
    </row>
    <row r="101" spans="2:21">
      <c r="B101" s="62"/>
      <c r="C101" s="62"/>
      <c r="D101" s="80"/>
      <c r="E101" s="80"/>
      <c r="F101" s="81"/>
      <c r="G101" s="72"/>
      <c r="H101" s="76"/>
      <c r="I101" s="62"/>
      <c r="J101" s="62"/>
      <c r="K101" s="54"/>
      <c r="L101" s="74"/>
      <c r="M101" s="62"/>
      <c r="N101" s="62"/>
      <c r="O101" s="62"/>
      <c r="P101" s="77"/>
      <c r="Q101" s="62"/>
      <c r="R101" s="71"/>
      <c r="S101" s="71"/>
      <c r="T101" s="71"/>
      <c r="U101" s="68"/>
    </row>
    <row r="102" spans="2:21">
      <c r="B102" s="62"/>
      <c r="C102" s="62"/>
      <c r="D102" s="80"/>
      <c r="E102" s="80"/>
      <c r="F102" s="81"/>
      <c r="G102" s="72"/>
      <c r="H102" s="76"/>
      <c r="I102" s="62"/>
      <c r="J102" s="62"/>
      <c r="K102" s="54"/>
      <c r="L102" s="74"/>
      <c r="M102" s="62"/>
      <c r="N102" s="62"/>
      <c r="O102" s="62"/>
      <c r="P102" s="77"/>
      <c r="Q102" s="62"/>
      <c r="R102" s="71"/>
      <c r="S102" s="71"/>
      <c r="T102" s="71"/>
      <c r="U102" s="68"/>
    </row>
    <row r="103" spans="2:21">
      <c r="B103" s="62"/>
      <c r="C103" s="62"/>
      <c r="D103" s="80"/>
      <c r="E103" s="80"/>
      <c r="F103" s="81"/>
      <c r="G103" s="72"/>
      <c r="H103" s="76"/>
      <c r="I103" s="62"/>
      <c r="J103" s="62"/>
      <c r="K103" s="54"/>
      <c r="L103" s="74"/>
      <c r="M103" s="62"/>
      <c r="N103" s="62"/>
      <c r="O103" s="62"/>
      <c r="P103" s="77"/>
      <c r="Q103" s="62"/>
      <c r="R103" s="71"/>
      <c r="S103" s="71"/>
      <c r="T103" s="71"/>
      <c r="U103" s="68"/>
    </row>
    <row r="104" spans="2:21">
      <c r="B104" s="62"/>
      <c r="C104" s="62"/>
      <c r="D104" s="80"/>
      <c r="E104" s="80"/>
      <c r="F104" s="81"/>
      <c r="G104" s="72"/>
      <c r="H104" s="76"/>
      <c r="I104" s="62"/>
      <c r="J104" s="62"/>
      <c r="K104" s="54"/>
      <c r="L104" s="74"/>
      <c r="M104" s="62"/>
      <c r="N104" s="62"/>
      <c r="O104" s="62"/>
      <c r="P104" s="77"/>
      <c r="Q104" s="62"/>
      <c r="R104" s="71"/>
      <c r="S104" s="71"/>
      <c r="T104" s="71"/>
      <c r="U104" s="68"/>
    </row>
    <row r="105" spans="2:21">
      <c r="B105" s="62"/>
      <c r="C105" s="62"/>
      <c r="D105" s="80"/>
      <c r="E105" s="80"/>
      <c r="F105" s="81"/>
      <c r="G105" s="72"/>
      <c r="H105" s="76"/>
      <c r="I105" s="62"/>
      <c r="J105" s="62"/>
      <c r="K105" s="54"/>
      <c r="L105" s="74"/>
      <c r="M105" s="62"/>
      <c r="N105" s="62"/>
      <c r="O105" s="62"/>
      <c r="P105" s="77"/>
      <c r="Q105" s="62"/>
      <c r="R105" s="71"/>
      <c r="S105" s="71"/>
      <c r="T105" s="71"/>
      <c r="U105" s="68"/>
    </row>
    <row r="106" spans="2:21">
      <c r="B106" s="62"/>
      <c r="C106" s="62"/>
      <c r="D106" s="80"/>
      <c r="E106" s="80"/>
      <c r="F106" s="81"/>
      <c r="G106" s="72"/>
      <c r="H106" s="76"/>
      <c r="I106" s="62"/>
      <c r="J106" s="62"/>
      <c r="K106" s="54"/>
      <c r="L106" s="74"/>
      <c r="M106" s="62"/>
      <c r="N106" s="62"/>
      <c r="O106" s="62"/>
      <c r="P106" s="77"/>
      <c r="Q106" s="62"/>
      <c r="R106" s="71"/>
      <c r="S106" s="71"/>
      <c r="T106" s="71"/>
      <c r="U106" s="68"/>
    </row>
    <row r="107" spans="2:21">
      <c r="B107" s="62"/>
      <c r="C107" s="62"/>
      <c r="D107" s="80"/>
      <c r="E107" s="80"/>
      <c r="F107" s="81"/>
      <c r="G107" s="72"/>
      <c r="H107" s="76"/>
      <c r="I107" s="62"/>
      <c r="J107" s="62"/>
      <c r="K107" s="54"/>
      <c r="L107" s="74"/>
      <c r="M107" s="62"/>
      <c r="N107" s="62"/>
      <c r="O107" s="62"/>
      <c r="P107" s="77"/>
      <c r="Q107" s="62"/>
      <c r="R107" s="71"/>
      <c r="S107" s="71"/>
      <c r="T107" s="71"/>
      <c r="U107" s="68"/>
    </row>
    <row r="108" spans="2:21">
      <c r="B108" s="62"/>
      <c r="C108" s="62"/>
      <c r="D108" s="80"/>
      <c r="E108" s="80"/>
      <c r="F108" s="81"/>
      <c r="G108" s="72"/>
      <c r="H108" s="76"/>
      <c r="I108" s="62"/>
      <c r="J108" s="62"/>
      <c r="K108" s="54"/>
      <c r="L108" s="74"/>
      <c r="M108" s="62"/>
      <c r="N108" s="62"/>
      <c r="O108" s="62"/>
      <c r="P108" s="77"/>
      <c r="Q108" s="62"/>
      <c r="R108" s="71"/>
      <c r="S108" s="71"/>
      <c r="T108" s="71"/>
      <c r="U108" s="68"/>
    </row>
    <row r="109" spans="2:21">
      <c r="B109" s="62"/>
      <c r="C109" s="62"/>
      <c r="D109" s="80"/>
      <c r="E109" s="80"/>
      <c r="F109" s="81"/>
      <c r="G109" s="72"/>
      <c r="H109" s="76"/>
      <c r="I109" s="62"/>
      <c r="J109" s="62"/>
      <c r="K109" s="54"/>
      <c r="L109" s="74"/>
      <c r="M109" s="62"/>
      <c r="N109" s="62"/>
      <c r="O109" s="62"/>
      <c r="P109" s="77"/>
      <c r="Q109" s="62"/>
      <c r="R109" s="71"/>
      <c r="S109" s="71"/>
      <c r="T109" s="71"/>
      <c r="U109" s="68"/>
    </row>
    <row r="110" spans="2:21">
      <c r="B110" s="62"/>
      <c r="C110" s="62"/>
      <c r="D110" s="80"/>
      <c r="E110" s="80"/>
      <c r="F110" s="81"/>
      <c r="G110" s="72"/>
      <c r="H110" s="76"/>
      <c r="I110" s="62"/>
      <c r="J110" s="62"/>
      <c r="K110" s="54"/>
      <c r="L110" s="74"/>
      <c r="M110" s="62"/>
      <c r="N110" s="62"/>
      <c r="O110" s="62"/>
      <c r="P110" s="77"/>
      <c r="Q110" s="62"/>
      <c r="R110" s="71"/>
      <c r="S110" s="71"/>
      <c r="T110" s="71"/>
      <c r="U110" s="68"/>
    </row>
    <row r="111" spans="2:21">
      <c r="B111" s="62"/>
      <c r="C111" s="62"/>
      <c r="D111" s="80"/>
      <c r="E111" s="80"/>
      <c r="F111" s="81"/>
      <c r="G111" s="72"/>
      <c r="H111" s="76"/>
      <c r="I111" s="62"/>
      <c r="J111" s="62"/>
      <c r="K111" s="54"/>
      <c r="L111" s="74"/>
      <c r="M111" s="62"/>
      <c r="N111" s="62"/>
      <c r="O111" s="62"/>
      <c r="P111" s="77"/>
      <c r="Q111" s="62"/>
      <c r="R111" s="71"/>
      <c r="S111" s="71"/>
      <c r="T111" s="71"/>
      <c r="U111" s="68"/>
    </row>
    <row r="112" spans="2:21">
      <c r="B112" s="62"/>
      <c r="C112" s="62"/>
      <c r="D112" s="80"/>
      <c r="E112" s="80"/>
      <c r="F112" s="81"/>
      <c r="G112" s="72"/>
      <c r="H112" s="76"/>
      <c r="I112" s="62"/>
      <c r="J112" s="62"/>
      <c r="K112" s="54"/>
      <c r="L112" s="74"/>
      <c r="M112" s="62"/>
      <c r="N112" s="62"/>
      <c r="O112" s="62"/>
      <c r="P112" s="77"/>
      <c r="Q112" s="62"/>
      <c r="R112" s="71"/>
      <c r="S112" s="71"/>
      <c r="T112" s="71"/>
      <c r="U112" s="68"/>
    </row>
    <row r="113" spans="2:21">
      <c r="B113" s="62"/>
      <c r="C113" s="62"/>
      <c r="D113" s="80"/>
      <c r="E113" s="80"/>
      <c r="F113" s="81"/>
      <c r="G113" s="72"/>
      <c r="H113" s="76"/>
      <c r="I113" s="62"/>
      <c r="J113" s="62"/>
      <c r="K113" s="54"/>
      <c r="L113" s="74"/>
      <c r="M113" s="62"/>
      <c r="N113" s="62"/>
      <c r="O113" s="62"/>
      <c r="P113" s="77"/>
      <c r="Q113" s="62"/>
      <c r="R113" s="71"/>
      <c r="S113" s="71"/>
      <c r="T113" s="71"/>
      <c r="U113" s="68"/>
    </row>
    <row r="114" spans="2:21">
      <c r="B114" s="62"/>
      <c r="C114" s="62"/>
      <c r="D114" s="80"/>
      <c r="E114" s="80"/>
      <c r="F114" s="81"/>
      <c r="G114" s="72"/>
      <c r="H114" s="76"/>
      <c r="I114" s="62"/>
      <c r="J114" s="62"/>
      <c r="K114" s="54"/>
      <c r="L114" s="74"/>
      <c r="M114" s="62"/>
      <c r="N114" s="62"/>
      <c r="O114" s="62"/>
      <c r="P114" s="77"/>
      <c r="Q114" s="62"/>
      <c r="R114" s="71"/>
      <c r="S114" s="71"/>
      <c r="T114" s="71"/>
      <c r="U114" s="68"/>
    </row>
    <row r="115" spans="2:21">
      <c r="B115" s="62"/>
      <c r="C115" s="62"/>
      <c r="D115" s="80"/>
      <c r="E115" s="80"/>
      <c r="F115" s="81"/>
      <c r="G115" s="72"/>
      <c r="H115" s="76"/>
      <c r="I115" s="62"/>
      <c r="J115" s="62"/>
      <c r="K115" s="54"/>
      <c r="L115" s="74"/>
      <c r="M115" s="62"/>
      <c r="N115" s="62"/>
      <c r="O115" s="62"/>
      <c r="P115" s="77"/>
      <c r="Q115" s="62"/>
      <c r="R115" s="71"/>
      <c r="S115" s="71"/>
      <c r="T115" s="71"/>
      <c r="U115" s="68"/>
    </row>
    <row r="116" spans="2:21">
      <c r="B116" s="62"/>
      <c r="C116" s="62"/>
      <c r="D116" s="80"/>
      <c r="E116" s="80"/>
      <c r="F116" s="81"/>
      <c r="G116" s="72"/>
      <c r="H116" s="76"/>
      <c r="I116" s="62"/>
      <c r="J116" s="62"/>
      <c r="K116" s="54"/>
      <c r="L116" s="74"/>
      <c r="M116" s="62"/>
      <c r="N116" s="62"/>
      <c r="O116" s="62"/>
      <c r="P116" s="77"/>
      <c r="Q116" s="62"/>
      <c r="R116" s="71"/>
      <c r="S116" s="71"/>
      <c r="T116" s="71"/>
      <c r="U116" s="68"/>
    </row>
    <row r="117" spans="2:21">
      <c r="B117" s="62"/>
      <c r="C117" s="62"/>
      <c r="D117" s="80"/>
      <c r="E117" s="80"/>
      <c r="F117" s="81"/>
      <c r="G117" s="72"/>
      <c r="H117" s="76"/>
      <c r="I117" s="62"/>
      <c r="J117" s="62"/>
      <c r="K117" s="54"/>
      <c r="L117" s="74"/>
      <c r="M117" s="62"/>
      <c r="N117" s="62"/>
      <c r="O117" s="62"/>
      <c r="P117" s="77"/>
      <c r="Q117" s="62"/>
      <c r="R117" s="71"/>
      <c r="S117" s="71"/>
      <c r="T117" s="71"/>
      <c r="U117" s="68"/>
    </row>
    <row r="118" spans="2:21">
      <c r="B118" s="62"/>
      <c r="C118" s="62"/>
      <c r="D118" s="80"/>
      <c r="E118" s="80"/>
      <c r="F118" s="81"/>
      <c r="G118" s="72"/>
      <c r="H118" s="76"/>
      <c r="I118" s="62"/>
      <c r="J118" s="62"/>
      <c r="K118" s="54"/>
      <c r="L118" s="74"/>
      <c r="M118" s="62"/>
      <c r="N118" s="62"/>
      <c r="O118" s="62"/>
      <c r="P118" s="77"/>
      <c r="Q118" s="62"/>
      <c r="R118" s="71"/>
      <c r="S118" s="71"/>
      <c r="T118" s="71"/>
      <c r="U118" s="68"/>
    </row>
    <row r="119" spans="2:21">
      <c r="B119" s="62"/>
      <c r="C119" s="62"/>
      <c r="D119" s="80"/>
      <c r="E119" s="80"/>
      <c r="F119" s="81"/>
      <c r="G119" s="72"/>
      <c r="H119" s="76"/>
      <c r="I119" s="62"/>
      <c r="J119" s="62"/>
      <c r="K119" s="54"/>
      <c r="L119" s="74"/>
      <c r="M119" s="62"/>
      <c r="N119" s="62"/>
      <c r="O119" s="62"/>
      <c r="P119" s="77"/>
      <c r="Q119" s="62"/>
      <c r="R119" s="71"/>
      <c r="S119" s="71"/>
      <c r="T119" s="71"/>
      <c r="U119" s="68"/>
    </row>
    <row r="120" spans="2:21">
      <c r="B120" s="62"/>
      <c r="C120" s="62"/>
      <c r="D120" s="80"/>
      <c r="E120" s="80"/>
      <c r="F120" s="81"/>
      <c r="G120" s="72"/>
      <c r="H120" s="76"/>
      <c r="I120" s="62"/>
      <c r="J120" s="62"/>
      <c r="K120" s="54"/>
      <c r="L120" s="74"/>
      <c r="M120" s="62"/>
      <c r="N120" s="62"/>
      <c r="O120" s="62"/>
      <c r="P120" s="77"/>
      <c r="Q120" s="62"/>
      <c r="R120" s="71"/>
      <c r="S120" s="71"/>
      <c r="T120" s="71"/>
      <c r="U120" s="68"/>
    </row>
    <row r="121" spans="2:21">
      <c r="B121" s="62"/>
      <c r="C121" s="62"/>
      <c r="D121" s="80"/>
      <c r="E121" s="80"/>
      <c r="F121" s="81"/>
      <c r="G121" s="72"/>
      <c r="H121" s="76"/>
      <c r="I121" s="62"/>
      <c r="J121" s="62"/>
      <c r="K121" s="54"/>
      <c r="L121" s="74"/>
      <c r="M121" s="62"/>
      <c r="N121" s="62"/>
      <c r="O121" s="62"/>
      <c r="P121" s="77"/>
      <c r="Q121" s="62"/>
      <c r="R121" s="71"/>
      <c r="S121" s="71"/>
      <c r="T121" s="71"/>
      <c r="U121" s="68"/>
    </row>
    <row r="122" spans="2:21">
      <c r="B122" s="62"/>
      <c r="C122" s="62"/>
      <c r="D122" s="80"/>
      <c r="E122" s="80"/>
      <c r="F122" s="81"/>
      <c r="G122" s="72"/>
      <c r="H122" s="76"/>
      <c r="I122" s="62"/>
      <c r="J122" s="62"/>
      <c r="K122" s="54"/>
      <c r="L122" s="74"/>
      <c r="M122" s="62"/>
      <c r="N122" s="62"/>
      <c r="O122" s="62"/>
      <c r="P122" s="77"/>
      <c r="Q122" s="62"/>
      <c r="R122" s="71"/>
      <c r="S122" s="71"/>
      <c r="T122" s="71"/>
      <c r="U122" s="68"/>
    </row>
    <row r="123" spans="2:21">
      <c r="B123" s="62"/>
      <c r="C123" s="62"/>
      <c r="D123" s="80"/>
      <c r="E123" s="80"/>
      <c r="F123" s="81"/>
      <c r="G123" s="72"/>
      <c r="H123" s="76"/>
      <c r="I123" s="62"/>
      <c r="J123" s="62"/>
      <c r="K123" s="54"/>
      <c r="L123" s="74"/>
      <c r="M123" s="62"/>
      <c r="N123" s="62"/>
      <c r="O123" s="62"/>
      <c r="P123" s="77"/>
      <c r="Q123" s="62"/>
      <c r="R123" s="71"/>
      <c r="S123" s="71"/>
      <c r="T123" s="71"/>
      <c r="U123" s="68"/>
    </row>
    <row r="124" spans="2:21">
      <c r="B124" s="62"/>
      <c r="C124" s="62"/>
      <c r="D124" s="80"/>
      <c r="E124" s="80"/>
      <c r="F124" s="81"/>
      <c r="G124" s="72"/>
      <c r="H124" s="76"/>
      <c r="I124" s="62"/>
      <c r="J124" s="62"/>
      <c r="K124" s="54"/>
      <c r="L124" s="74"/>
      <c r="M124" s="62"/>
      <c r="N124" s="62"/>
      <c r="O124" s="62"/>
      <c r="P124" s="77"/>
      <c r="Q124" s="62"/>
      <c r="R124" s="71"/>
      <c r="S124" s="71"/>
      <c r="T124" s="71"/>
      <c r="U124" s="68"/>
    </row>
    <row r="125" spans="2:21">
      <c r="B125" s="62"/>
      <c r="C125" s="62"/>
      <c r="D125" s="80"/>
      <c r="E125" s="80"/>
      <c r="F125" s="81"/>
      <c r="G125" s="72"/>
      <c r="H125" s="76"/>
      <c r="I125" s="62"/>
      <c r="J125" s="62"/>
      <c r="K125" s="54"/>
      <c r="L125" s="74"/>
      <c r="M125" s="62"/>
      <c r="N125" s="62"/>
      <c r="O125" s="62"/>
      <c r="P125" s="77"/>
      <c r="Q125" s="62"/>
      <c r="R125" s="71"/>
      <c r="S125" s="71"/>
      <c r="T125" s="71"/>
      <c r="U125" s="68"/>
    </row>
    <row r="126" spans="2:21">
      <c r="B126" s="62"/>
      <c r="C126" s="62"/>
      <c r="D126" s="80"/>
      <c r="E126" s="80"/>
      <c r="F126" s="81"/>
      <c r="G126" s="72"/>
      <c r="H126" s="76"/>
      <c r="I126" s="62"/>
      <c r="J126" s="62"/>
      <c r="K126" s="54"/>
      <c r="L126" s="74"/>
      <c r="M126" s="62"/>
      <c r="N126" s="62"/>
      <c r="O126" s="62"/>
      <c r="P126" s="77"/>
      <c r="Q126" s="62"/>
      <c r="R126" s="71"/>
      <c r="S126" s="71"/>
      <c r="T126" s="71"/>
      <c r="U126" s="68"/>
    </row>
    <row r="127" spans="2:21">
      <c r="B127" s="62"/>
      <c r="C127" s="62"/>
      <c r="D127" s="80"/>
      <c r="E127" s="80"/>
      <c r="F127" s="81"/>
      <c r="G127" s="72"/>
      <c r="H127" s="76"/>
      <c r="I127" s="62"/>
      <c r="J127" s="62"/>
      <c r="K127" s="54"/>
      <c r="L127" s="74"/>
      <c r="M127" s="62"/>
      <c r="N127" s="62"/>
      <c r="O127" s="62"/>
      <c r="P127" s="77"/>
      <c r="Q127" s="62"/>
      <c r="R127" s="71"/>
      <c r="S127" s="71"/>
      <c r="T127" s="71"/>
      <c r="U127" s="68"/>
    </row>
    <row r="128" spans="2:21">
      <c r="B128" s="62"/>
      <c r="C128" s="62"/>
      <c r="D128" s="80"/>
      <c r="E128" s="80"/>
      <c r="F128" s="81"/>
      <c r="G128" s="72"/>
      <c r="H128" s="76"/>
      <c r="I128" s="62"/>
      <c r="J128" s="62"/>
      <c r="K128" s="54"/>
      <c r="L128" s="74"/>
      <c r="M128" s="62"/>
      <c r="N128" s="62"/>
      <c r="O128" s="62"/>
      <c r="P128" s="77"/>
      <c r="Q128" s="62"/>
      <c r="R128" s="71"/>
      <c r="S128" s="71"/>
      <c r="T128" s="71"/>
      <c r="U128" s="68"/>
    </row>
    <row r="129" spans="2:21">
      <c r="B129" s="62"/>
      <c r="C129" s="62"/>
      <c r="D129" s="80"/>
      <c r="E129" s="80"/>
      <c r="F129" s="81"/>
      <c r="G129" s="72"/>
      <c r="H129" s="76"/>
      <c r="I129" s="62"/>
      <c r="J129" s="62"/>
      <c r="K129" s="54"/>
      <c r="L129" s="74"/>
      <c r="M129" s="62"/>
      <c r="N129" s="62"/>
      <c r="O129" s="62"/>
      <c r="P129" s="77"/>
      <c r="Q129" s="62"/>
      <c r="R129" s="71"/>
      <c r="S129" s="71"/>
      <c r="T129" s="71"/>
      <c r="U129" s="68"/>
    </row>
    <row r="130" spans="2:21">
      <c r="B130" s="62"/>
      <c r="C130" s="62"/>
      <c r="D130" s="80"/>
      <c r="E130" s="80"/>
      <c r="F130" s="81"/>
      <c r="G130" s="72"/>
      <c r="H130" s="76"/>
      <c r="I130" s="62"/>
      <c r="J130" s="62"/>
      <c r="K130" s="54"/>
      <c r="L130" s="74"/>
      <c r="M130" s="62"/>
      <c r="N130" s="62"/>
      <c r="O130" s="62"/>
      <c r="P130" s="77"/>
      <c r="Q130" s="62"/>
      <c r="R130" s="71"/>
      <c r="S130" s="71"/>
      <c r="T130" s="71"/>
      <c r="U130" s="68"/>
    </row>
    <row r="131" spans="2:21">
      <c r="B131" s="62"/>
      <c r="C131" s="62"/>
      <c r="D131" s="80"/>
      <c r="E131" s="80"/>
      <c r="F131" s="81"/>
      <c r="G131" s="72"/>
      <c r="H131" s="76"/>
      <c r="I131" s="62"/>
      <c r="J131" s="62"/>
      <c r="K131" s="54"/>
      <c r="L131" s="74"/>
      <c r="M131" s="62"/>
      <c r="N131" s="62"/>
      <c r="O131" s="62"/>
      <c r="P131" s="77"/>
      <c r="Q131" s="62"/>
      <c r="R131" s="71"/>
      <c r="S131" s="71"/>
      <c r="T131" s="71"/>
      <c r="U131" s="68"/>
    </row>
    <row r="132" spans="2:21">
      <c r="B132" s="62"/>
      <c r="C132" s="62"/>
      <c r="D132" s="80"/>
      <c r="E132" s="80"/>
      <c r="F132" s="81"/>
      <c r="G132" s="72"/>
      <c r="H132" s="76"/>
      <c r="I132" s="62"/>
      <c r="J132" s="62"/>
      <c r="K132" s="54"/>
      <c r="L132" s="74"/>
      <c r="M132" s="62"/>
      <c r="N132" s="62"/>
      <c r="O132" s="62"/>
      <c r="P132" s="77"/>
      <c r="Q132" s="62"/>
      <c r="R132" s="71"/>
      <c r="S132" s="71"/>
      <c r="T132" s="71"/>
      <c r="U132" s="68"/>
    </row>
    <row r="133" spans="2:21">
      <c r="B133" s="62"/>
      <c r="C133" s="62"/>
      <c r="D133" s="80"/>
      <c r="E133" s="80"/>
      <c r="F133" s="81"/>
      <c r="G133" s="72"/>
      <c r="H133" s="76"/>
      <c r="I133" s="62"/>
      <c r="J133" s="62"/>
      <c r="K133" s="54"/>
      <c r="L133" s="74"/>
      <c r="M133" s="62"/>
      <c r="N133" s="62"/>
      <c r="O133" s="62"/>
      <c r="P133" s="77"/>
      <c r="Q133" s="62"/>
      <c r="R133" s="71"/>
      <c r="S133" s="71"/>
      <c r="T133" s="71"/>
      <c r="U133" s="68"/>
    </row>
    <row r="134" spans="2:21">
      <c r="B134" s="62"/>
      <c r="C134" s="62"/>
      <c r="D134" s="80"/>
      <c r="E134" s="80"/>
      <c r="F134" s="81"/>
      <c r="G134" s="72"/>
      <c r="H134" s="76"/>
      <c r="I134" s="62"/>
      <c r="J134" s="62"/>
      <c r="K134" s="54"/>
      <c r="L134" s="74"/>
      <c r="M134" s="62"/>
      <c r="N134" s="62"/>
      <c r="O134" s="62"/>
      <c r="P134" s="77"/>
      <c r="Q134" s="62"/>
      <c r="R134" s="71"/>
      <c r="S134" s="71"/>
      <c r="T134" s="71"/>
      <c r="U134" s="68"/>
    </row>
    <row r="135" spans="2:21">
      <c r="B135" s="62"/>
      <c r="C135" s="62"/>
      <c r="D135" s="80"/>
      <c r="E135" s="80"/>
      <c r="F135" s="81"/>
      <c r="G135" s="72"/>
      <c r="H135" s="76"/>
      <c r="I135" s="62"/>
      <c r="J135" s="62"/>
      <c r="K135" s="54"/>
      <c r="L135" s="74"/>
      <c r="M135" s="62"/>
      <c r="N135" s="62"/>
      <c r="O135" s="62"/>
      <c r="P135" s="77"/>
      <c r="Q135" s="62"/>
      <c r="R135" s="71"/>
      <c r="S135" s="71"/>
      <c r="T135" s="71"/>
      <c r="U135" s="68"/>
    </row>
    <row r="136" spans="2:21">
      <c r="B136" s="62"/>
      <c r="C136" s="62"/>
      <c r="D136" s="80"/>
      <c r="E136" s="80"/>
      <c r="F136" s="81"/>
      <c r="G136" s="72"/>
      <c r="H136" s="76"/>
      <c r="I136" s="62"/>
      <c r="J136" s="62"/>
      <c r="K136" s="54"/>
      <c r="L136" s="74"/>
      <c r="M136" s="62"/>
      <c r="N136" s="62"/>
      <c r="O136" s="62"/>
      <c r="P136" s="77"/>
      <c r="Q136" s="62"/>
      <c r="R136" s="71"/>
      <c r="S136" s="71"/>
      <c r="T136" s="71"/>
      <c r="U136" s="68"/>
    </row>
    <row r="137" spans="2:21">
      <c r="B137" s="62"/>
      <c r="C137" s="62"/>
      <c r="D137" s="80"/>
      <c r="E137" s="80"/>
      <c r="F137" s="81"/>
      <c r="G137" s="72"/>
      <c r="H137" s="76"/>
      <c r="I137" s="62"/>
      <c r="J137" s="62"/>
      <c r="K137" s="54"/>
      <c r="L137" s="74"/>
      <c r="M137" s="62"/>
      <c r="N137" s="62"/>
      <c r="O137" s="62"/>
      <c r="P137" s="77"/>
      <c r="Q137" s="62"/>
      <c r="R137" s="71"/>
      <c r="S137" s="71"/>
      <c r="T137" s="71"/>
      <c r="U137" s="68"/>
    </row>
    <row r="138" spans="2:21">
      <c r="B138" s="62"/>
      <c r="C138" s="62"/>
      <c r="D138" s="80"/>
      <c r="E138" s="80"/>
      <c r="F138" s="81"/>
      <c r="G138" s="72"/>
      <c r="H138" s="76"/>
      <c r="I138" s="62"/>
      <c r="J138" s="62"/>
      <c r="K138" s="54"/>
      <c r="L138" s="74"/>
      <c r="M138" s="62"/>
      <c r="N138" s="62"/>
      <c r="O138" s="62"/>
      <c r="P138" s="77"/>
      <c r="Q138" s="62"/>
      <c r="R138" s="71"/>
      <c r="S138" s="71"/>
      <c r="T138" s="71"/>
      <c r="U138" s="68"/>
    </row>
    <row r="139" spans="2:21">
      <c r="B139" s="62"/>
      <c r="C139" s="62"/>
      <c r="D139" s="80"/>
      <c r="E139" s="80"/>
      <c r="F139" s="81"/>
      <c r="G139" s="72"/>
      <c r="H139" s="76"/>
      <c r="I139" s="62"/>
      <c r="J139" s="62"/>
      <c r="K139" s="54"/>
      <c r="L139" s="74"/>
      <c r="M139" s="62"/>
      <c r="N139" s="62"/>
      <c r="O139" s="62"/>
      <c r="P139" s="77"/>
      <c r="Q139" s="62"/>
      <c r="R139" s="71"/>
      <c r="S139" s="71"/>
      <c r="T139" s="71"/>
      <c r="U139" s="68"/>
    </row>
    <row r="140" spans="2:21">
      <c r="B140" s="62"/>
      <c r="C140" s="62"/>
      <c r="D140" s="80"/>
      <c r="E140" s="80"/>
      <c r="F140" s="81"/>
      <c r="G140" s="72"/>
      <c r="H140" s="76"/>
      <c r="I140" s="62"/>
      <c r="J140" s="62"/>
      <c r="K140" s="54"/>
      <c r="L140" s="74"/>
      <c r="M140" s="62"/>
      <c r="N140" s="62"/>
      <c r="O140" s="62"/>
      <c r="P140" s="77"/>
      <c r="Q140" s="62"/>
      <c r="R140" s="71"/>
      <c r="S140" s="71"/>
      <c r="T140" s="71"/>
      <c r="U140" s="68"/>
    </row>
    <row r="141" spans="2:21">
      <c r="B141" s="62"/>
      <c r="C141" s="62"/>
      <c r="D141" s="80"/>
      <c r="E141" s="80"/>
      <c r="F141" s="81"/>
      <c r="G141" s="72"/>
      <c r="H141" s="76"/>
      <c r="I141" s="62"/>
      <c r="J141" s="62"/>
      <c r="K141" s="54"/>
      <c r="L141" s="74"/>
      <c r="M141" s="62"/>
      <c r="N141" s="62"/>
      <c r="O141" s="62"/>
      <c r="P141" s="77"/>
      <c r="Q141" s="62"/>
      <c r="R141" s="71"/>
      <c r="S141" s="71"/>
      <c r="T141" s="71"/>
      <c r="U141" s="68"/>
    </row>
    <row r="142" spans="2:21">
      <c r="B142" s="62"/>
      <c r="C142" s="62"/>
      <c r="D142" s="80"/>
      <c r="E142" s="80"/>
      <c r="F142" s="81"/>
      <c r="G142" s="72"/>
      <c r="H142" s="76"/>
      <c r="I142" s="62"/>
      <c r="J142" s="62"/>
      <c r="K142" s="54"/>
      <c r="L142" s="74"/>
      <c r="M142" s="62"/>
      <c r="N142" s="62"/>
      <c r="O142" s="62"/>
      <c r="P142" s="77"/>
      <c r="Q142" s="62"/>
      <c r="R142" s="71"/>
      <c r="S142" s="71"/>
      <c r="T142" s="71"/>
      <c r="U142" s="68"/>
    </row>
    <row r="143" spans="2:21">
      <c r="B143" s="62"/>
      <c r="C143" s="62"/>
      <c r="D143" s="80"/>
      <c r="E143" s="80"/>
      <c r="F143" s="81"/>
      <c r="G143" s="72"/>
      <c r="H143" s="76"/>
      <c r="I143" s="62"/>
      <c r="J143" s="62"/>
      <c r="K143" s="54"/>
      <c r="L143" s="74"/>
      <c r="M143" s="62"/>
      <c r="N143" s="62"/>
      <c r="O143" s="62"/>
      <c r="P143" s="77"/>
      <c r="Q143" s="62"/>
      <c r="R143" s="71"/>
      <c r="S143" s="71"/>
      <c r="T143" s="71"/>
      <c r="U143" s="68"/>
    </row>
    <row r="144" spans="2:21">
      <c r="B144" s="62"/>
      <c r="C144" s="62"/>
      <c r="D144" s="80"/>
      <c r="E144" s="80"/>
      <c r="F144" s="81"/>
      <c r="G144" s="72"/>
      <c r="H144" s="76"/>
      <c r="I144" s="62"/>
      <c r="J144" s="62"/>
      <c r="K144" s="54"/>
      <c r="L144" s="74"/>
      <c r="M144" s="62"/>
      <c r="N144" s="62"/>
      <c r="O144" s="62"/>
      <c r="P144" s="77"/>
      <c r="Q144" s="62"/>
      <c r="R144" s="71"/>
      <c r="S144" s="71"/>
      <c r="T144" s="71"/>
      <c r="U144" s="68"/>
    </row>
    <row r="145" spans="2:21">
      <c r="B145" s="62"/>
      <c r="C145" s="62"/>
      <c r="D145" s="80"/>
      <c r="E145" s="80"/>
      <c r="F145" s="81"/>
      <c r="G145" s="72"/>
      <c r="H145" s="76"/>
      <c r="I145" s="62"/>
      <c r="J145" s="62"/>
      <c r="K145" s="54"/>
      <c r="L145" s="74"/>
      <c r="M145" s="62"/>
      <c r="N145" s="62"/>
      <c r="O145" s="62"/>
      <c r="P145" s="77"/>
      <c r="Q145" s="62"/>
      <c r="R145" s="71"/>
      <c r="S145" s="71"/>
      <c r="T145" s="71"/>
      <c r="U145" s="68"/>
    </row>
    <row r="146" spans="2:21">
      <c r="B146" s="62"/>
      <c r="C146" s="62"/>
      <c r="D146" s="80"/>
      <c r="E146" s="80"/>
      <c r="F146" s="81"/>
      <c r="G146" s="72"/>
      <c r="H146" s="76"/>
      <c r="I146" s="62"/>
      <c r="J146" s="62"/>
      <c r="K146" s="54"/>
      <c r="L146" s="74"/>
      <c r="M146" s="62"/>
      <c r="N146" s="62"/>
      <c r="O146" s="62"/>
      <c r="P146" s="77"/>
      <c r="Q146" s="62"/>
      <c r="R146" s="71"/>
      <c r="S146" s="71"/>
      <c r="T146" s="71"/>
      <c r="U146" s="68"/>
    </row>
    <row r="147" spans="2:21">
      <c r="B147" s="62"/>
      <c r="C147" s="62"/>
      <c r="D147" s="80"/>
      <c r="E147" s="80"/>
      <c r="F147" s="81"/>
      <c r="G147" s="72"/>
      <c r="H147" s="76"/>
      <c r="I147" s="62"/>
      <c r="J147" s="62"/>
      <c r="K147" s="54"/>
      <c r="L147" s="74"/>
      <c r="M147" s="62"/>
      <c r="N147" s="62"/>
      <c r="O147" s="62"/>
      <c r="P147" s="77"/>
      <c r="Q147" s="62"/>
      <c r="R147" s="71"/>
      <c r="S147" s="71"/>
      <c r="T147" s="71"/>
      <c r="U147" s="68"/>
    </row>
    <row r="148" spans="2:21">
      <c r="B148" s="62"/>
      <c r="C148" s="62"/>
      <c r="D148" s="80"/>
      <c r="E148" s="80"/>
      <c r="F148" s="81"/>
      <c r="G148" s="72"/>
      <c r="H148" s="76"/>
      <c r="I148" s="62"/>
      <c r="J148" s="62"/>
      <c r="K148" s="54"/>
      <c r="L148" s="74"/>
      <c r="M148" s="62"/>
      <c r="N148" s="62"/>
      <c r="O148" s="62"/>
      <c r="P148" s="77"/>
      <c r="Q148" s="62"/>
      <c r="R148" s="71"/>
      <c r="S148" s="71"/>
      <c r="T148" s="71"/>
      <c r="U148" s="68"/>
    </row>
    <row r="149" spans="2:21">
      <c r="B149" s="62"/>
      <c r="C149" s="62"/>
      <c r="D149" s="80"/>
      <c r="E149" s="80"/>
      <c r="F149" s="81"/>
      <c r="G149" s="72"/>
      <c r="H149" s="76"/>
      <c r="I149" s="62"/>
      <c r="J149" s="62"/>
      <c r="K149" s="54"/>
      <c r="L149" s="74"/>
      <c r="M149" s="62"/>
      <c r="N149" s="62"/>
      <c r="O149" s="62"/>
      <c r="P149" s="77"/>
      <c r="Q149" s="62"/>
      <c r="R149" s="71"/>
      <c r="S149" s="71"/>
      <c r="T149" s="71"/>
      <c r="U149" s="68"/>
    </row>
    <row r="150" spans="2:21">
      <c r="B150" s="62"/>
      <c r="C150" s="62"/>
      <c r="D150" s="80"/>
      <c r="E150" s="80"/>
      <c r="F150" s="81"/>
      <c r="G150" s="72"/>
      <c r="H150" s="76"/>
      <c r="I150" s="62"/>
      <c r="J150" s="62"/>
      <c r="K150" s="54"/>
      <c r="L150" s="74"/>
      <c r="M150" s="62"/>
      <c r="N150" s="62"/>
      <c r="O150" s="62"/>
      <c r="P150" s="77"/>
      <c r="Q150" s="62"/>
      <c r="R150" s="71"/>
      <c r="S150" s="71"/>
      <c r="T150" s="71"/>
      <c r="U150" s="68"/>
    </row>
    <row r="151" spans="2:21">
      <c r="B151" s="62"/>
      <c r="C151" s="62"/>
      <c r="D151" s="80"/>
      <c r="E151" s="80"/>
      <c r="F151" s="81"/>
      <c r="G151" s="72"/>
      <c r="H151" s="76"/>
      <c r="I151" s="62"/>
      <c r="J151" s="62"/>
      <c r="K151" s="54"/>
      <c r="L151" s="74"/>
      <c r="M151" s="62"/>
      <c r="N151" s="62"/>
      <c r="O151" s="62"/>
      <c r="P151" s="77"/>
      <c r="Q151" s="62"/>
      <c r="R151" s="71"/>
      <c r="S151" s="71"/>
      <c r="T151" s="71"/>
      <c r="U151" s="68"/>
    </row>
    <row r="152" spans="2:21">
      <c r="B152" s="62"/>
      <c r="C152" s="62"/>
      <c r="D152" s="80"/>
      <c r="E152" s="80"/>
      <c r="F152" s="81"/>
      <c r="G152" s="72"/>
      <c r="H152" s="76"/>
      <c r="I152" s="62"/>
      <c r="J152" s="62"/>
      <c r="K152" s="54"/>
      <c r="L152" s="74"/>
      <c r="M152" s="62"/>
      <c r="N152" s="62"/>
      <c r="O152" s="62"/>
      <c r="P152" s="77"/>
      <c r="Q152" s="62"/>
      <c r="R152" s="71"/>
      <c r="S152" s="71"/>
      <c r="T152" s="71"/>
      <c r="U152" s="68"/>
    </row>
    <row r="153" spans="2:21">
      <c r="B153" s="62"/>
      <c r="C153" s="62"/>
      <c r="D153" s="80"/>
      <c r="E153" s="80"/>
      <c r="F153" s="81"/>
      <c r="G153" s="72"/>
      <c r="H153" s="76"/>
      <c r="I153" s="62"/>
      <c r="J153" s="62"/>
      <c r="K153" s="54"/>
      <c r="L153" s="74"/>
      <c r="M153" s="62"/>
      <c r="N153" s="62"/>
      <c r="O153" s="62"/>
      <c r="P153" s="77"/>
      <c r="Q153" s="62"/>
      <c r="R153" s="71"/>
      <c r="S153" s="71"/>
      <c r="T153" s="71"/>
      <c r="U153" s="68"/>
    </row>
    <row r="154" spans="2:21">
      <c r="B154" s="62"/>
      <c r="C154" s="62"/>
      <c r="D154" s="80"/>
      <c r="E154" s="80"/>
      <c r="F154" s="81"/>
      <c r="G154" s="72"/>
      <c r="H154" s="76"/>
      <c r="I154" s="62"/>
      <c r="J154" s="62"/>
      <c r="K154" s="54"/>
      <c r="L154" s="74"/>
      <c r="M154" s="62"/>
      <c r="N154" s="62"/>
      <c r="O154" s="62"/>
      <c r="P154" s="77"/>
      <c r="Q154" s="62"/>
      <c r="R154" s="71"/>
      <c r="S154" s="71"/>
      <c r="T154" s="71"/>
      <c r="U154" s="68"/>
    </row>
    <row r="155" spans="2:21">
      <c r="B155" s="62"/>
      <c r="C155" s="62"/>
      <c r="D155" s="80"/>
      <c r="E155" s="80"/>
      <c r="F155" s="81"/>
      <c r="G155" s="72"/>
      <c r="H155" s="76"/>
      <c r="I155" s="62"/>
      <c r="J155" s="62"/>
      <c r="K155" s="54"/>
      <c r="L155" s="74"/>
      <c r="M155" s="62"/>
      <c r="N155" s="62"/>
      <c r="O155" s="62"/>
      <c r="P155" s="77"/>
      <c r="Q155" s="62"/>
      <c r="R155" s="71"/>
      <c r="S155" s="71"/>
      <c r="T155" s="71"/>
      <c r="U155" s="68"/>
    </row>
    <row r="156" spans="2:21">
      <c r="B156" s="62"/>
      <c r="C156" s="62"/>
      <c r="D156" s="80"/>
      <c r="E156" s="80"/>
      <c r="F156" s="81"/>
      <c r="G156" s="72"/>
      <c r="H156" s="76"/>
      <c r="I156" s="62"/>
      <c r="J156" s="62"/>
      <c r="K156" s="54"/>
      <c r="L156" s="74"/>
      <c r="M156" s="62"/>
      <c r="N156" s="62"/>
      <c r="O156" s="62"/>
      <c r="P156" s="77"/>
      <c r="Q156" s="62"/>
      <c r="R156" s="71"/>
      <c r="S156" s="71"/>
      <c r="T156" s="71"/>
      <c r="U156" s="68"/>
    </row>
    <row r="157" spans="2:21">
      <c r="B157" s="62"/>
      <c r="C157" s="62"/>
      <c r="D157" s="80"/>
      <c r="E157" s="80"/>
      <c r="F157" s="81"/>
      <c r="G157" s="72"/>
      <c r="H157" s="76"/>
      <c r="I157" s="62"/>
      <c r="J157" s="62"/>
      <c r="K157" s="54"/>
      <c r="L157" s="74"/>
      <c r="M157" s="62"/>
      <c r="N157" s="62"/>
      <c r="O157" s="62"/>
      <c r="P157" s="77"/>
      <c r="Q157" s="62"/>
      <c r="R157" s="71"/>
      <c r="S157" s="71"/>
      <c r="T157" s="71"/>
      <c r="U157" s="68"/>
    </row>
    <row r="158" spans="2:21">
      <c r="B158" s="62"/>
      <c r="C158" s="62"/>
      <c r="D158" s="80"/>
      <c r="E158" s="80"/>
      <c r="F158" s="81"/>
      <c r="G158" s="72"/>
      <c r="H158" s="76"/>
      <c r="I158" s="62"/>
      <c r="J158" s="62"/>
      <c r="K158" s="54"/>
      <c r="L158" s="74"/>
      <c r="M158" s="62"/>
      <c r="N158" s="62"/>
      <c r="O158" s="62"/>
      <c r="P158" s="77"/>
      <c r="Q158" s="62"/>
      <c r="R158" s="71"/>
      <c r="S158" s="71"/>
      <c r="T158" s="71"/>
      <c r="U158" s="68"/>
    </row>
    <row r="159" spans="2:21">
      <c r="B159" s="62"/>
      <c r="C159" s="62"/>
      <c r="D159" s="80"/>
      <c r="E159" s="80"/>
      <c r="F159" s="81"/>
      <c r="G159" s="72"/>
      <c r="H159" s="76"/>
      <c r="I159" s="62"/>
      <c r="J159" s="62"/>
      <c r="K159" s="54"/>
      <c r="L159" s="74"/>
      <c r="M159" s="62"/>
      <c r="N159" s="62"/>
      <c r="O159" s="62"/>
      <c r="P159" s="77"/>
      <c r="Q159" s="62"/>
      <c r="R159" s="71"/>
      <c r="S159" s="71"/>
      <c r="T159" s="71"/>
      <c r="U159" s="68"/>
    </row>
    <row r="160" spans="2:21">
      <c r="B160" s="62"/>
      <c r="C160" s="62"/>
      <c r="D160" s="80"/>
      <c r="E160" s="80"/>
      <c r="F160" s="81"/>
      <c r="G160" s="72"/>
      <c r="H160" s="76"/>
      <c r="I160" s="62"/>
      <c r="J160" s="62"/>
      <c r="K160" s="54"/>
      <c r="L160" s="74"/>
      <c r="M160" s="62"/>
      <c r="N160" s="62"/>
      <c r="O160" s="62"/>
      <c r="P160" s="77"/>
      <c r="Q160" s="62"/>
      <c r="R160" s="71"/>
      <c r="S160" s="71"/>
      <c r="T160" s="71"/>
      <c r="U160" s="68"/>
    </row>
    <row r="161" spans="2:21">
      <c r="B161" s="62"/>
      <c r="C161" s="62"/>
      <c r="D161" s="80"/>
      <c r="E161" s="80"/>
      <c r="F161" s="81"/>
      <c r="G161" s="72"/>
      <c r="H161" s="76"/>
      <c r="I161" s="62"/>
      <c r="J161" s="62"/>
      <c r="K161" s="54"/>
      <c r="L161" s="74"/>
      <c r="M161" s="62"/>
      <c r="N161" s="62"/>
      <c r="O161" s="62"/>
      <c r="P161" s="77"/>
      <c r="Q161" s="62"/>
      <c r="R161" s="71"/>
      <c r="S161" s="71"/>
      <c r="T161" s="71"/>
      <c r="U161" s="68"/>
    </row>
    <row r="162" spans="2:21">
      <c r="B162" s="62"/>
      <c r="C162" s="62"/>
      <c r="D162" s="80"/>
      <c r="E162" s="80"/>
      <c r="F162" s="81"/>
      <c r="G162" s="72"/>
      <c r="H162" s="76"/>
      <c r="I162" s="62"/>
      <c r="J162" s="62"/>
      <c r="K162" s="54"/>
      <c r="L162" s="74"/>
      <c r="M162" s="62"/>
      <c r="N162" s="62"/>
      <c r="O162" s="62"/>
      <c r="P162" s="77"/>
      <c r="Q162" s="62"/>
      <c r="R162" s="71"/>
      <c r="S162" s="71"/>
      <c r="T162" s="71"/>
      <c r="U162" s="68"/>
    </row>
    <row r="163" spans="2:21">
      <c r="B163" s="62"/>
      <c r="C163" s="62"/>
      <c r="D163" s="80"/>
      <c r="E163" s="80"/>
      <c r="F163" s="81"/>
      <c r="G163" s="72"/>
      <c r="H163" s="76"/>
      <c r="I163" s="62"/>
      <c r="J163" s="62"/>
      <c r="K163" s="54"/>
      <c r="L163" s="74"/>
      <c r="M163" s="62"/>
      <c r="N163" s="62"/>
      <c r="O163" s="62"/>
      <c r="P163" s="77"/>
      <c r="Q163" s="62"/>
      <c r="R163" s="71"/>
      <c r="S163" s="71"/>
      <c r="T163" s="71"/>
      <c r="U163" s="68"/>
    </row>
    <row r="164" spans="2:21">
      <c r="B164" s="62"/>
      <c r="C164" s="62"/>
      <c r="D164" s="80"/>
      <c r="E164" s="80"/>
      <c r="F164" s="81"/>
      <c r="G164" s="72"/>
      <c r="H164" s="76"/>
      <c r="I164" s="62"/>
      <c r="J164" s="62"/>
      <c r="K164" s="54"/>
      <c r="L164" s="74"/>
      <c r="M164" s="62"/>
      <c r="N164" s="62"/>
      <c r="O164" s="62"/>
      <c r="P164" s="77"/>
      <c r="Q164" s="62"/>
      <c r="R164" s="71"/>
      <c r="S164" s="71"/>
      <c r="T164" s="71"/>
      <c r="U164" s="68"/>
    </row>
    <row r="165" spans="2:21">
      <c r="B165" s="62"/>
      <c r="C165" s="62"/>
      <c r="D165" s="80"/>
      <c r="E165" s="80"/>
      <c r="F165" s="81"/>
      <c r="G165" s="72"/>
      <c r="H165" s="76"/>
      <c r="I165" s="62"/>
      <c r="J165" s="62"/>
      <c r="K165" s="54"/>
      <c r="L165" s="74"/>
      <c r="M165" s="62"/>
      <c r="N165" s="62"/>
      <c r="O165" s="62"/>
      <c r="P165" s="77"/>
      <c r="Q165" s="62"/>
      <c r="R165" s="71"/>
      <c r="S165" s="71"/>
      <c r="T165" s="71"/>
      <c r="U165" s="68"/>
    </row>
    <row r="166" spans="2:21">
      <c r="B166" s="62"/>
      <c r="C166" s="62"/>
      <c r="D166" s="80"/>
      <c r="E166" s="80"/>
      <c r="F166" s="81"/>
      <c r="G166" s="72"/>
      <c r="H166" s="76"/>
      <c r="I166" s="62"/>
      <c r="J166" s="62"/>
      <c r="K166" s="54"/>
      <c r="L166" s="74"/>
      <c r="M166" s="62"/>
      <c r="N166" s="62"/>
      <c r="O166" s="62"/>
      <c r="P166" s="77"/>
      <c r="Q166" s="62"/>
      <c r="R166" s="71"/>
      <c r="S166" s="71"/>
      <c r="T166" s="71"/>
      <c r="U166" s="68"/>
    </row>
    <row r="167" spans="2:21">
      <c r="B167" s="62"/>
      <c r="C167" s="62"/>
      <c r="D167" s="80"/>
      <c r="E167" s="80"/>
      <c r="F167" s="81"/>
      <c r="G167" s="72"/>
      <c r="H167" s="76"/>
      <c r="I167" s="62"/>
      <c r="J167" s="62"/>
      <c r="K167" s="54"/>
      <c r="L167" s="74"/>
      <c r="M167" s="62"/>
      <c r="N167" s="62"/>
      <c r="O167" s="62"/>
      <c r="P167" s="77"/>
      <c r="Q167" s="62"/>
      <c r="R167" s="71"/>
      <c r="S167" s="71"/>
      <c r="T167" s="71"/>
      <c r="U167" s="68"/>
    </row>
    <row r="168" spans="2:21">
      <c r="B168" s="62"/>
      <c r="C168" s="62"/>
      <c r="D168" s="80"/>
      <c r="E168" s="80"/>
      <c r="F168" s="81"/>
      <c r="G168" s="72"/>
      <c r="H168" s="76"/>
      <c r="I168" s="62"/>
      <c r="J168" s="62"/>
      <c r="K168" s="54"/>
      <c r="L168" s="74"/>
      <c r="M168" s="62"/>
      <c r="N168" s="62"/>
      <c r="O168" s="62"/>
      <c r="P168" s="77"/>
      <c r="Q168" s="62"/>
      <c r="R168" s="71"/>
      <c r="S168" s="71"/>
      <c r="T168" s="71"/>
      <c r="U168" s="68"/>
    </row>
    <row r="169" spans="2:21">
      <c r="B169" s="62"/>
      <c r="C169" s="62"/>
      <c r="D169" s="80"/>
      <c r="E169" s="80"/>
      <c r="F169" s="81"/>
      <c r="G169" s="72"/>
      <c r="H169" s="76"/>
      <c r="I169" s="62"/>
      <c r="J169" s="62"/>
      <c r="K169" s="54"/>
      <c r="L169" s="74"/>
      <c r="M169" s="62"/>
      <c r="N169" s="62"/>
      <c r="O169" s="62"/>
      <c r="P169" s="77"/>
      <c r="Q169" s="62"/>
      <c r="R169" s="71"/>
      <c r="S169" s="71"/>
      <c r="T169" s="71"/>
      <c r="U169" s="68"/>
    </row>
    <row r="170" spans="2:21">
      <c r="B170" s="62"/>
      <c r="C170" s="62"/>
      <c r="D170" s="80"/>
      <c r="E170" s="80"/>
      <c r="F170" s="81"/>
      <c r="G170" s="72"/>
      <c r="H170" s="76"/>
      <c r="I170" s="62"/>
      <c r="J170" s="62"/>
      <c r="K170" s="54"/>
      <c r="L170" s="74"/>
      <c r="M170" s="62"/>
      <c r="N170" s="62"/>
      <c r="O170" s="62"/>
      <c r="P170" s="77"/>
      <c r="Q170" s="62"/>
      <c r="R170" s="71"/>
      <c r="S170" s="71"/>
      <c r="T170" s="71"/>
      <c r="U170" s="68"/>
    </row>
    <row r="171" spans="2:21">
      <c r="B171" s="62"/>
      <c r="C171" s="62"/>
      <c r="D171" s="80"/>
      <c r="E171" s="80"/>
      <c r="F171" s="81"/>
      <c r="G171" s="72"/>
      <c r="H171" s="76"/>
      <c r="I171" s="62"/>
      <c r="J171" s="62"/>
      <c r="K171" s="54"/>
      <c r="L171" s="74"/>
      <c r="M171" s="62"/>
      <c r="N171" s="62"/>
      <c r="O171" s="62"/>
      <c r="P171" s="77"/>
      <c r="Q171" s="62"/>
      <c r="R171" s="71"/>
      <c r="S171" s="71"/>
      <c r="T171" s="71"/>
      <c r="U171" s="68"/>
    </row>
    <row r="172" spans="2:21">
      <c r="B172" s="62"/>
      <c r="C172" s="62"/>
      <c r="D172" s="80"/>
      <c r="E172" s="80"/>
      <c r="F172" s="81"/>
      <c r="G172" s="72"/>
      <c r="H172" s="76"/>
      <c r="I172" s="62"/>
      <c r="J172" s="62"/>
      <c r="K172" s="54"/>
      <c r="L172" s="74"/>
      <c r="M172" s="62"/>
      <c r="N172" s="62"/>
      <c r="O172" s="62"/>
      <c r="P172" s="77"/>
      <c r="Q172" s="62"/>
      <c r="R172" s="71"/>
      <c r="S172" s="71"/>
      <c r="T172" s="71"/>
      <c r="U172" s="68"/>
    </row>
    <row r="173" spans="2:21">
      <c r="B173" s="62"/>
      <c r="C173" s="62"/>
      <c r="D173" s="80"/>
      <c r="E173" s="80"/>
      <c r="F173" s="81"/>
      <c r="G173" s="72"/>
      <c r="H173" s="76"/>
      <c r="I173" s="62"/>
      <c r="J173" s="62"/>
      <c r="K173" s="54"/>
      <c r="L173" s="74"/>
      <c r="M173" s="62"/>
      <c r="N173" s="62"/>
      <c r="O173" s="62"/>
      <c r="P173" s="77"/>
      <c r="Q173" s="62"/>
      <c r="R173" s="71"/>
      <c r="S173" s="71"/>
      <c r="T173" s="71"/>
      <c r="U173" s="68"/>
    </row>
    <row r="174" spans="2:21">
      <c r="B174" s="62"/>
      <c r="C174" s="62"/>
      <c r="D174" s="80"/>
      <c r="E174" s="80"/>
      <c r="F174" s="81"/>
      <c r="G174" s="72"/>
      <c r="H174" s="76"/>
      <c r="I174" s="62"/>
      <c r="J174" s="62"/>
      <c r="K174" s="54"/>
      <c r="L174" s="74"/>
      <c r="M174" s="62"/>
      <c r="N174" s="62"/>
      <c r="O174" s="62"/>
      <c r="P174" s="77"/>
      <c r="Q174" s="62"/>
      <c r="R174" s="71"/>
      <c r="S174" s="71"/>
      <c r="T174" s="71"/>
      <c r="U174" s="68"/>
    </row>
    <row r="175" spans="2:21">
      <c r="B175" s="62"/>
      <c r="C175" s="62"/>
      <c r="D175" s="80"/>
      <c r="E175" s="80"/>
      <c r="F175" s="81"/>
      <c r="G175" s="72"/>
      <c r="H175" s="76"/>
      <c r="I175" s="62"/>
      <c r="J175" s="62"/>
      <c r="K175" s="54"/>
      <c r="L175" s="74"/>
      <c r="M175" s="62"/>
      <c r="N175" s="62"/>
      <c r="O175" s="62"/>
      <c r="P175" s="77"/>
      <c r="Q175" s="62"/>
      <c r="R175" s="71"/>
      <c r="S175" s="71"/>
      <c r="T175" s="71"/>
      <c r="U175" s="68"/>
    </row>
    <row r="176" spans="2:21">
      <c r="B176" s="62"/>
      <c r="C176" s="62"/>
      <c r="D176" s="80"/>
      <c r="E176" s="80"/>
      <c r="F176" s="81"/>
      <c r="G176" s="72"/>
      <c r="H176" s="76"/>
      <c r="I176" s="62"/>
      <c r="J176" s="62"/>
      <c r="K176" s="54"/>
      <c r="L176" s="74"/>
      <c r="M176" s="62"/>
      <c r="N176" s="62"/>
      <c r="O176" s="62"/>
      <c r="P176" s="77"/>
      <c r="Q176" s="62"/>
      <c r="R176" s="71"/>
      <c r="S176" s="71"/>
      <c r="T176" s="71"/>
      <c r="U176" s="68"/>
    </row>
    <row r="177" spans="2:21">
      <c r="B177" s="62"/>
      <c r="C177" s="62"/>
      <c r="D177" s="80"/>
      <c r="E177" s="80"/>
      <c r="F177" s="81"/>
      <c r="G177" s="72"/>
      <c r="H177" s="76"/>
      <c r="I177" s="62"/>
      <c r="J177" s="62"/>
      <c r="K177" s="54"/>
      <c r="L177" s="74"/>
      <c r="M177" s="62"/>
      <c r="N177" s="62"/>
      <c r="O177" s="62"/>
      <c r="P177" s="77"/>
      <c r="Q177" s="62"/>
      <c r="R177" s="71"/>
      <c r="S177" s="71"/>
      <c r="T177" s="71"/>
      <c r="U177" s="68"/>
    </row>
    <row r="178" spans="2:21">
      <c r="B178" s="62"/>
      <c r="C178" s="62"/>
      <c r="D178" s="80"/>
      <c r="E178" s="80"/>
      <c r="F178" s="81"/>
      <c r="G178" s="72"/>
      <c r="H178" s="76"/>
      <c r="I178" s="62"/>
      <c r="J178" s="62"/>
      <c r="K178" s="54"/>
      <c r="L178" s="74"/>
      <c r="M178" s="62"/>
      <c r="N178" s="62"/>
      <c r="O178" s="62"/>
      <c r="P178" s="77"/>
      <c r="Q178" s="62"/>
      <c r="R178" s="71"/>
      <c r="S178" s="71"/>
      <c r="T178" s="71"/>
      <c r="U178" s="68"/>
    </row>
    <row r="179" spans="2:21">
      <c r="B179" s="62"/>
      <c r="C179" s="62"/>
      <c r="D179" s="80"/>
      <c r="E179" s="80"/>
      <c r="F179" s="81"/>
      <c r="G179" s="72"/>
      <c r="H179" s="76"/>
      <c r="I179" s="62"/>
      <c r="J179" s="62"/>
      <c r="K179" s="54"/>
      <c r="L179" s="74"/>
      <c r="M179" s="62"/>
      <c r="N179" s="62"/>
      <c r="O179" s="62"/>
      <c r="P179" s="77"/>
      <c r="Q179" s="62"/>
      <c r="R179" s="71"/>
      <c r="S179" s="71"/>
      <c r="T179" s="71"/>
      <c r="U179" s="68"/>
    </row>
    <row r="180" spans="2:21">
      <c r="B180" s="62"/>
      <c r="C180" s="62"/>
      <c r="D180" s="80"/>
      <c r="E180" s="80"/>
      <c r="F180" s="81"/>
      <c r="G180" s="72"/>
      <c r="H180" s="76"/>
      <c r="I180" s="62"/>
      <c r="J180" s="62"/>
      <c r="K180" s="54"/>
      <c r="L180" s="74"/>
      <c r="M180" s="62"/>
      <c r="N180" s="62"/>
      <c r="O180" s="62"/>
      <c r="P180" s="77"/>
      <c r="Q180" s="62"/>
      <c r="R180" s="71"/>
      <c r="S180" s="71"/>
      <c r="T180" s="71"/>
      <c r="U180" s="68"/>
    </row>
    <row r="181" spans="2:21">
      <c r="B181" s="62"/>
      <c r="C181" s="62"/>
      <c r="D181" s="80"/>
      <c r="E181" s="80"/>
      <c r="F181" s="81"/>
      <c r="G181" s="72"/>
      <c r="H181" s="76"/>
      <c r="I181" s="62"/>
      <c r="J181" s="62"/>
      <c r="K181" s="54"/>
      <c r="L181" s="74"/>
      <c r="M181" s="62"/>
      <c r="N181" s="62"/>
      <c r="O181" s="62"/>
      <c r="P181" s="77"/>
      <c r="Q181" s="62"/>
      <c r="R181" s="71"/>
      <c r="S181" s="71"/>
      <c r="T181" s="71"/>
      <c r="U181" s="68"/>
    </row>
    <row r="182" spans="2:21">
      <c r="B182" s="62"/>
      <c r="C182" s="62"/>
      <c r="D182" s="80"/>
      <c r="E182" s="80"/>
      <c r="F182" s="81"/>
      <c r="G182" s="72"/>
      <c r="H182" s="76"/>
      <c r="I182" s="62"/>
      <c r="J182" s="62"/>
      <c r="K182" s="54"/>
      <c r="L182" s="74"/>
      <c r="M182" s="62"/>
      <c r="N182" s="62"/>
      <c r="O182" s="62"/>
      <c r="P182" s="77"/>
      <c r="Q182" s="62"/>
      <c r="R182" s="71"/>
      <c r="S182" s="71"/>
      <c r="T182" s="71"/>
      <c r="U182" s="68"/>
    </row>
    <row r="183" spans="2:21">
      <c r="B183" s="62"/>
      <c r="C183" s="62"/>
      <c r="D183" s="80"/>
      <c r="E183" s="80"/>
      <c r="F183" s="81"/>
      <c r="G183" s="72"/>
      <c r="H183" s="76"/>
      <c r="I183" s="62"/>
      <c r="J183" s="62"/>
      <c r="K183" s="54"/>
      <c r="L183" s="74"/>
      <c r="M183" s="62"/>
      <c r="N183" s="62"/>
      <c r="O183" s="62"/>
      <c r="P183" s="77"/>
      <c r="Q183" s="62"/>
      <c r="R183" s="71"/>
      <c r="S183" s="71"/>
      <c r="T183" s="71"/>
      <c r="U183" s="68"/>
    </row>
    <row r="184" spans="2:21">
      <c r="B184" s="62"/>
      <c r="C184" s="62"/>
      <c r="D184" s="80"/>
      <c r="E184" s="80"/>
      <c r="F184" s="81"/>
      <c r="G184" s="72"/>
      <c r="H184" s="76"/>
      <c r="I184" s="62"/>
      <c r="J184" s="62"/>
      <c r="K184" s="54"/>
      <c r="L184" s="74"/>
      <c r="M184" s="62"/>
      <c r="N184" s="62"/>
      <c r="O184" s="62"/>
      <c r="P184" s="77"/>
      <c r="Q184" s="62"/>
      <c r="R184" s="71"/>
      <c r="S184" s="71"/>
      <c r="T184" s="71"/>
      <c r="U184" s="68"/>
    </row>
    <row r="185" spans="2:21">
      <c r="B185" s="62"/>
      <c r="C185" s="62"/>
      <c r="D185" s="80"/>
      <c r="E185" s="80"/>
      <c r="F185" s="81"/>
      <c r="G185" s="72"/>
      <c r="H185" s="76"/>
      <c r="I185" s="62"/>
      <c r="J185" s="62"/>
      <c r="K185" s="54"/>
      <c r="L185" s="74"/>
      <c r="M185" s="62"/>
      <c r="N185" s="62"/>
      <c r="O185" s="62"/>
      <c r="P185" s="77"/>
      <c r="Q185" s="62"/>
      <c r="R185" s="71"/>
      <c r="S185" s="71"/>
      <c r="T185" s="71"/>
      <c r="U185" s="68"/>
    </row>
    <row r="186" spans="2:21">
      <c r="B186" s="62"/>
      <c r="C186" s="62"/>
      <c r="D186" s="80"/>
      <c r="E186" s="80"/>
      <c r="F186" s="81"/>
      <c r="G186" s="72"/>
      <c r="H186" s="76"/>
      <c r="I186" s="62"/>
      <c r="J186" s="62"/>
      <c r="K186" s="54"/>
      <c r="L186" s="74"/>
      <c r="M186" s="62"/>
      <c r="N186" s="62"/>
      <c r="O186" s="62"/>
      <c r="P186" s="77"/>
      <c r="Q186" s="62"/>
      <c r="R186" s="71"/>
      <c r="S186" s="71"/>
      <c r="T186" s="71"/>
      <c r="U186" s="68"/>
    </row>
    <row r="187" spans="2:21">
      <c r="B187" s="62"/>
      <c r="C187" s="62"/>
      <c r="D187" s="80"/>
      <c r="E187" s="80"/>
      <c r="F187" s="81"/>
      <c r="G187" s="72"/>
      <c r="H187" s="76"/>
      <c r="I187" s="62"/>
      <c r="J187" s="62"/>
      <c r="K187" s="54"/>
      <c r="L187" s="74"/>
      <c r="M187" s="62"/>
      <c r="N187" s="62"/>
      <c r="O187" s="62"/>
      <c r="P187" s="77"/>
      <c r="Q187" s="62"/>
      <c r="R187" s="71"/>
      <c r="S187" s="71"/>
      <c r="T187" s="71"/>
      <c r="U187" s="68"/>
    </row>
    <row r="188" spans="2:21">
      <c r="B188" s="62"/>
      <c r="C188" s="62"/>
      <c r="D188" s="80"/>
      <c r="E188" s="80"/>
      <c r="F188" s="81"/>
      <c r="G188" s="72"/>
      <c r="H188" s="76"/>
      <c r="I188" s="62"/>
      <c r="J188" s="62"/>
      <c r="K188" s="54"/>
      <c r="L188" s="74"/>
      <c r="M188" s="62"/>
      <c r="N188" s="62"/>
      <c r="O188" s="62"/>
      <c r="P188" s="77"/>
      <c r="Q188" s="62"/>
      <c r="R188" s="71"/>
      <c r="S188" s="71"/>
      <c r="T188" s="71"/>
      <c r="U188" s="68"/>
    </row>
    <row r="189" spans="2:21">
      <c r="B189" s="62"/>
      <c r="C189" s="62"/>
      <c r="D189" s="80"/>
      <c r="E189" s="80"/>
      <c r="F189" s="81"/>
      <c r="G189" s="72"/>
      <c r="H189" s="76"/>
      <c r="I189" s="62"/>
      <c r="J189" s="62"/>
      <c r="K189" s="54"/>
      <c r="L189" s="74"/>
      <c r="M189" s="62"/>
      <c r="N189" s="62"/>
      <c r="O189" s="62"/>
      <c r="P189" s="77"/>
      <c r="Q189" s="62"/>
      <c r="R189" s="71"/>
      <c r="S189" s="71"/>
      <c r="T189" s="71"/>
      <c r="U189" s="68"/>
    </row>
    <row r="190" spans="2:21">
      <c r="B190" s="62"/>
      <c r="C190" s="62"/>
      <c r="D190" s="80"/>
      <c r="E190" s="80"/>
      <c r="F190" s="81"/>
      <c r="G190" s="72"/>
      <c r="H190" s="76"/>
      <c r="I190" s="62"/>
      <c r="J190" s="62"/>
      <c r="K190" s="54"/>
      <c r="L190" s="74"/>
      <c r="M190" s="62"/>
      <c r="N190" s="62"/>
      <c r="O190" s="62"/>
      <c r="P190" s="77"/>
      <c r="Q190" s="62"/>
      <c r="R190" s="71"/>
      <c r="S190" s="71"/>
      <c r="T190" s="71"/>
      <c r="U190" s="68"/>
    </row>
    <row r="191" spans="2:21">
      <c r="B191" s="62"/>
      <c r="C191" s="62"/>
      <c r="D191" s="80"/>
      <c r="E191" s="80"/>
      <c r="F191" s="81"/>
      <c r="G191" s="72"/>
      <c r="H191" s="76"/>
      <c r="I191" s="62"/>
      <c r="J191" s="62"/>
      <c r="K191" s="54"/>
      <c r="L191" s="74"/>
      <c r="M191" s="62"/>
      <c r="N191" s="62"/>
      <c r="O191" s="62"/>
      <c r="P191" s="77"/>
      <c r="Q191" s="62"/>
      <c r="R191" s="71"/>
      <c r="S191" s="71"/>
      <c r="T191" s="71"/>
      <c r="U191" s="68"/>
    </row>
    <row r="192" spans="2:21">
      <c r="B192" s="62"/>
      <c r="C192" s="62"/>
      <c r="D192" s="80"/>
      <c r="E192" s="80"/>
      <c r="F192" s="81"/>
      <c r="G192" s="72"/>
      <c r="H192" s="76"/>
      <c r="I192" s="62"/>
      <c r="J192" s="62"/>
      <c r="K192" s="54"/>
      <c r="L192" s="74"/>
      <c r="M192" s="62"/>
      <c r="N192" s="62"/>
      <c r="O192" s="62"/>
      <c r="P192" s="77"/>
      <c r="Q192" s="62"/>
      <c r="R192" s="71"/>
      <c r="S192" s="71"/>
      <c r="T192" s="71"/>
      <c r="U192" s="68"/>
    </row>
    <row r="193" spans="2:21">
      <c r="B193" s="62"/>
      <c r="C193" s="62"/>
      <c r="D193" s="80"/>
      <c r="E193" s="80"/>
      <c r="F193" s="81"/>
      <c r="G193" s="72"/>
      <c r="H193" s="76"/>
      <c r="I193" s="62"/>
      <c r="J193" s="62"/>
      <c r="K193" s="54"/>
      <c r="L193" s="74"/>
      <c r="M193" s="62"/>
      <c r="N193" s="62"/>
      <c r="O193" s="62"/>
      <c r="P193" s="77"/>
      <c r="Q193" s="62"/>
      <c r="R193" s="71"/>
      <c r="S193" s="71"/>
      <c r="T193" s="71"/>
      <c r="U193" s="68"/>
    </row>
    <row r="194" spans="2:21">
      <c r="B194" s="62"/>
      <c r="C194" s="62"/>
      <c r="D194" s="80"/>
      <c r="E194" s="80"/>
      <c r="F194" s="81"/>
      <c r="G194" s="72"/>
      <c r="H194" s="76"/>
      <c r="I194" s="62"/>
      <c r="J194" s="62"/>
      <c r="K194" s="54"/>
      <c r="L194" s="74"/>
      <c r="M194" s="62"/>
      <c r="N194" s="62"/>
      <c r="O194" s="62"/>
      <c r="P194" s="77"/>
      <c r="Q194" s="62"/>
      <c r="R194" s="71"/>
      <c r="S194" s="71"/>
      <c r="T194" s="71"/>
      <c r="U194" s="68"/>
    </row>
    <row r="195" spans="2:21">
      <c r="B195" s="62"/>
      <c r="C195" s="62"/>
      <c r="D195" s="80"/>
      <c r="E195" s="80"/>
      <c r="F195" s="81"/>
      <c r="G195" s="72"/>
      <c r="H195" s="76"/>
      <c r="I195" s="62"/>
      <c r="J195" s="62"/>
      <c r="K195" s="54"/>
      <c r="L195" s="74"/>
      <c r="M195" s="62"/>
      <c r="N195" s="62"/>
      <c r="O195" s="62"/>
      <c r="P195" s="77"/>
      <c r="Q195" s="62"/>
      <c r="R195" s="71"/>
      <c r="S195" s="71"/>
      <c r="T195" s="71"/>
      <c r="U195" s="68"/>
    </row>
    <row r="196" spans="2:21">
      <c r="B196" s="62"/>
      <c r="C196" s="62"/>
      <c r="D196" s="80"/>
      <c r="E196" s="80"/>
      <c r="F196" s="81"/>
      <c r="G196" s="72"/>
      <c r="H196" s="76"/>
      <c r="I196" s="62"/>
      <c r="J196" s="62"/>
      <c r="K196" s="54"/>
      <c r="L196" s="74"/>
      <c r="M196" s="62"/>
      <c r="N196" s="62"/>
      <c r="O196" s="62"/>
      <c r="P196" s="77"/>
      <c r="Q196" s="62"/>
      <c r="R196" s="71"/>
      <c r="S196" s="71"/>
      <c r="T196" s="71"/>
      <c r="U196" s="68"/>
    </row>
    <row r="197" spans="2:21">
      <c r="B197" s="62"/>
      <c r="C197" s="62"/>
      <c r="D197" s="80"/>
      <c r="E197" s="80"/>
      <c r="F197" s="81"/>
      <c r="G197" s="72"/>
      <c r="H197" s="76"/>
      <c r="I197" s="62"/>
      <c r="J197" s="62"/>
      <c r="K197" s="54"/>
      <c r="L197" s="74"/>
      <c r="M197" s="62"/>
      <c r="N197" s="62"/>
      <c r="O197" s="62"/>
      <c r="P197" s="77"/>
      <c r="Q197" s="62"/>
      <c r="R197" s="71"/>
      <c r="S197" s="71"/>
      <c r="T197" s="71"/>
      <c r="U197" s="68"/>
    </row>
    <row r="198" spans="2:21">
      <c r="B198" s="62"/>
      <c r="C198" s="62"/>
      <c r="D198" s="80"/>
      <c r="E198" s="80"/>
      <c r="F198" s="81"/>
      <c r="G198" s="72"/>
      <c r="H198" s="76"/>
      <c r="I198" s="62"/>
      <c r="J198" s="62"/>
      <c r="K198" s="54"/>
      <c r="L198" s="74"/>
      <c r="M198" s="62"/>
      <c r="N198" s="62"/>
      <c r="O198" s="62"/>
      <c r="P198" s="77"/>
      <c r="Q198" s="62"/>
      <c r="R198" s="71"/>
      <c r="S198" s="71"/>
      <c r="T198" s="71"/>
      <c r="U198" s="68"/>
    </row>
    <row r="199" spans="2:21">
      <c r="B199" s="62"/>
      <c r="C199" s="62"/>
      <c r="D199" s="80"/>
      <c r="E199" s="80"/>
      <c r="F199" s="81"/>
      <c r="G199" s="72"/>
      <c r="H199" s="76"/>
      <c r="I199" s="62"/>
      <c r="J199" s="62"/>
      <c r="K199" s="54"/>
      <c r="L199" s="74"/>
      <c r="M199" s="62"/>
      <c r="N199" s="62"/>
      <c r="O199" s="62"/>
      <c r="P199" s="77"/>
      <c r="Q199" s="62"/>
      <c r="R199" s="71"/>
      <c r="S199" s="71"/>
      <c r="T199" s="71"/>
      <c r="U199" s="68"/>
    </row>
    <row r="200" spans="2:21">
      <c r="B200" s="62"/>
      <c r="C200" s="62"/>
      <c r="D200" s="80"/>
      <c r="E200" s="80"/>
      <c r="F200" s="81"/>
      <c r="G200" s="72"/>
      <c r="H200" s="76"/>
      <c r="I200" s="62"/>
      <c r="J200" s="62"/>
      <c r="K200" s="54"/>
      <c r="L200" s="74"/>
      <c r="M200" s="62"/>
      <c r="N200" s="62"/>
      <c r="O200" s="62"/>
      <c r="P200" s="77"/>
      <c r="Q200" s="62"/>
      <c r="R200" s="71"/>
      <c r="S200" s="71"/>
      <c r="T200" s="71"/>
      <c r="U200" s="68"/>
    </row>
    <row r="201" spans="2:21">
      <c r="B201" s="62"/>
      <c r="C201" s="62"/>
      <c r="D201" s="80"/>
      <c r="E201" s="80"/>
      <c r="F201" s="81"/>
      <c r="G201" s="72"/>
      <c r="H201" s="76"/>
      <c r="I201" s="62"/>
      <c r="J201" s="62"/>
      <c r="K201" s="54"/>
      <c r="L201" s="74"/>
      <c r="M201" s="62"/>
      <c r="N201" s="62"/>
      <c r="O201" s="62"/>
      <c r="P201" s="77"/>
      <c r="Q201" s="62"/>
      <c r="R201" s="71"/>
      <c r="S201" s="71"/>
      <c r="T201" s="71"/>
      <c r="U201" s="68"/>
    </row>
    <row r="202" spans="2:21">
      <c r="B202" s="62"/>
      <c r="C202" s="62"/>
      <c r="D202" s="80"/>
      <c r="E202" s="80"/>
      <c r="F202" s="81"/>
      <c r="G202" s="72"/>
      <c r="H202" s="76"/>
      <c r="I202" s="62"/>
      <c r="J202" s="62"/>
      <c r="K202" s="54"/>
      <c r="L202" s="74"/>
      <c r="M202" s="62"/>
      <c r="N202" s="62"/>
      <c r="O202" s="62"/>
      <c r="P202" s="77"/>
      <c r="Q202" s="62"/>
      <c r="R202" s="71"/>
      <c r="S202" s="71"/>
      <c r="T202" s="71"/>
      <c r="U202" s="68"/>
    </row>
    <row r="203" spans="2:21">
      <c r="B203" s="62"/>
      <c r="C203" s="62"/>
      <c r="D203" s="80"/>
      <c r="E203" s="80"/>
      <c r="F203" s="81"/>
      <c r="G203" s="72"/>
      <c r="H203" s="76"/>
      <c r="I203" s="62"/>
      <c r="J203" s="62"/>
      <c r="K203" s="54"/>
      <c r="L203" s="74"/>
      <c r="M203" s="62"/>
      <c r="N203" s="62"/>
      <c r="O203" s="62"/>
      <c r="P203" s="77"/>
      <c r="Q203" s="62"/>
      <c r="R203" s="71"/>
      <c r="S203" s="71"/>
      <c r="T203" s="71"/>
      <c r="U203" s="68"/>
    </row>
    <row r="204" spans="2:21">
      <c r="B204" s="62"/>
      <c r="C204" s="62"/>
      <c r="D204" s="80"/>
      <c r="E204" s="80"/>
      <c r="F204" s="81"/>
      <c r="G204" s="72"/>
      <c r="H204" s="76"/>
      <c r="I204" s="62"/>
      <c r="J204" s="62"/>
      <c r="K204" s="54"/>
      <c r="L204" s="74"/>
      <c r="M204" s="62"/>
      <c r="N204" s="62"/>
      <c r="O204" s="62"/>
      <c r="P204" s="77"/>
      <c r="Q204" s="62"/>
      <c r="R204" s="71"/>
      <c r="S204" s="71"/>
      <c r="T204" s="71"/>
      <c r="U204" s="68"/>
    </row>
    <row r="205" spans="2:21">
      <c r="B205" s="62"/>
      <c r="C205" s="62"/>
      <c r="D205" s="80"/>
      <c r="E205" s="80"/>
      <c r="F205" s="81"/>
      <c r="G205" s="72"/>
      <c r="H205" s="76"/>
      <c r="I205" s="62"/>
      <c r="J205" s="62"/>
      <c r="K205" s="54"/>
      <c r="L205" s="74"/>
      <c r="M205" s="62"/>
      <c r="N205" s="62"/>
      <c r="O205" s="62"/>
      <c r="P205" s="77"/>
      <c r="Q205" s="62"/>
      <c r="R205" s="71"/>
      <c r="S205" s="71"/>
      <c r="T205" s="71"/>
      <c r="U205" s="68"/>
    </row>
    <row r="206" spans="2:21">
      <c r="B206" s="62"/>
      <c r="C206" s="62"/>
      <c r="D206" s="80"/>
      <c r="E206" s="80"/>
      <c r="F206" s="81"/>
      <c r="G206" s="72"/>
      <c r="H206" s="76"/>
      <c r="I206" s="62"/>
      <c r="J206" s="62"/>
      <c r="K206" s="54"/>
      <c r="L206" s="74"/>
      <c r="M206" s="62"/>
      <c r="N206" s="62"/>
      <c r="O206" s="62"/>
      <c r="P206" s="77"/>
      <c r="Q206" s="62"/>
      <c r="R206" s="71"/>
      <c r="S206" s="71"/>
      <c r="T206" s="71"/>
      <c r="U206" s="68"/>
    </row>
    <row r="207" spans="2:21">
      <c r="B207" s="62"/>
      <c r="C207" s="62"/>
      <c r="D207" s="80"/>
      <c r="E207" s="80"/>
      <c r="F207" s="81"/>
      <c r="G207" s="72"/>
      <c r="H207" s="76"/>
      <c r="I207" s="62"/>
      <c r="J207" s="62"/>
      <c r="K207" s="54"/>
      <c r="L207" s="74"/>
      <c r="M207" s="62"/>
      <c r="N207" s="62"/>
      <c r="O207" s="62"/>
      <c r="P207" s="77"/>
      <c r="Q207" s="62"/>
      <c r="R207" s="71"/>
      <c r="S207" s="71"/>
      <c r="T207" s="71"/>
      <c r="U207" s="68"/>
    </row>
    <row r="208" spans="2:21">
      <c r="B208" s="62"/>
      <c r="C208" s="62"/>
      <c r="D208" s="80"/>
      <c r="E208" s="80"/>
      <c r="F208" s="81"/>
      <c r="G208" s="72"/>
      <c r="H208" s="76"/>
      <c r="I208" s="62"/>
      <c r="J208" s="62"/>
      <c r="K208" s="54"/>
      <c r="L208" s="74"/>
      <c r="M208" s="62"/>
      <c r="N208" s="62"/>
      <c r="O208" s="62"/>
      <c r="P208" s="77"/>
      <c r="Q208" s="62"/>
      <c r="R208" s="71"/>
      <c r="S208" s="71"/>
      <c r="T208" s="71"/>
      <c r="U208" s="68"/>
    </row>
    <row r="209" spans="2:21">
      <c r="B209" s="62"/>
      <c r="C209" s="62"/>
      <c r="D209" s="80"/>
      <c r="E209" s="80"/>
      <c r="F209" s="81"/>
      <c r="G209" s="72"/>
      <c r="H209" s="76"/>
      <c r="I209" s="62"/>
      <c r="J209" s="62"/>
      <c r="K209" s="54"/>
      <c r="L209" s="74"/>
      <c r="M209" s="62"/>
      <c r="N209" s="62"/>
      <c r="O209" s="62"/>
      <c r="P209" s="77"/>
      <c r="Q209" s="62"/>
      <c r="R209" s="71"/>
      <c r="S209" s="71"/>
      <c r="T209" s="71"/>
      <c r="U209" s="68"/>
    </row>
    <row r="210" spans="2:21">
      <c r="B210" s="62"/>
      <c r="C210" s="62"/>
      <c r="D210" s="80"/>
      <c r="E210" s="80"/>
      <c r="F210" s="81"/>
      <c r="G210" s="72"/>
      <c r="H210" s="76"/>
      <c r="I210" s="62"/>
      <c r="J210" s="62"/>
      <c r="K210" s="54"/>
      <c r="L210" s="74"/>
      <c r="M210" s="62"/>
      <c r="N210" s="62"/>
      <c r="O210" s="62"/>
      <c r="P210" s="77"/>
      <c r="Q210" s="62"/>
      <c r="R210" s="71"/>
      <c r="S210" s="71"/>
      <c r="T210" s="71"/>
      <c r="U210" s="68"/>
    </row>
    <row r="211" spans="2:21">
      <c r="B211" s="62"/>
      <c r="C211" s="62"/>
      <c r="D211" s="80"/>
      <c r="E211" s="80"/>
      <c r="F211" s="81"/>
      <c r="G211" s="72"/>
      <c r="H211" s="76"/>
      <c r="I211" s="62"/>
      <c r="J211" s="62"/>
      <c r="K211" s="54"/>
      <c r="L211" s="74"/>
      <c r="M211" s="62"/>
      <c r="N211" s="62"/>
      <c r="O211" s="62"/>
      <c r="P211" s="77"/>
      <c r="Q211" s="62"/>
      <c r="R211" s="71"/>
      <c r="S211" s="71"/>
      <c r="T211" s="71"/>
      <c r="U211" s="68"/>
    </row>
    <row r="212" spans="2:21">
      <c r="B212" s="62"/>
      <c r="C212" s="62"/>
      <c r="D212" s="80"/>
      <c r="E212" s="80"/>
      <c r="F212" s="81"/>
      <c r="G212" s="72"/>
      <c r="H212" s="76"/>
      <c r="I212" s="62"/>
      <c r="J212" s="62"/>
      <c r="K212" s="54"/>
      <c r="L212" s="74"/>
      <c r="M212" s="62"/>
      <c r="N212" s="62"/>
      <c r="O212" s="62"/>
      <c r="P212" s="77"/>
      <c r="Q212" s="62"/>
      <c r="R212" s="71"/>
      <c r="S212" s="71"/>
      <c r="T212" s="71"/>
      <c r="U212" s="68"/>
    </row>
    <row r="213" spans="2:21">
      <c r="B213" s="62"/>
      <c r="C213" s="62"/>
      <c r="D213" s="80"/>
      <c r="E213" s="80"/>
      <c r="F213" s="81"/>
      <c r="G213" s="72"/>
      <c r="H213" s="76"/>
      <c r="I213" s="62"/>
      <c r="J213" s="62"/>
      <c r="K213" s="54"/>
      <c r="L213" s="74"/>
      <c r="M213" s="62"/>
      <c r="N213" s="62"/>
      <c r="O213" s="62"/>
      <c r="P213" s="77"/>
      <c r="Q213" s="62"/>
      <c r="R213" s="71"/>
      <c r="S213" s="71"/>
      <c r="T213" s="71"/>
      <c r="U213" s="68"/>
    </row>
    <row r="214" spans="2:21">
      <c r="B214" s="62"/>
      <c r="C214" s="62"/>
      <c r="D214" s="80"/>
      <c r="E214" s="80"/>
      <c r="F214" s="81"/>
      <c r="G214" s="72"/>
      <c r="H214" s="76"/>
      <c r="I214" s="62"/>
      <c r="J214" s="62"/>
      <c r="K214" s="54"/>
      <c r="L214" s="74"/>
      <c r="M214" s="62"/>
      <c r="N214" s="62"/>
      <c r="O214" s="62"/>
      <c r="P214" s="77"/>
      <c r="Q214" s="62"/>
      <c r="R214" s="71"/>
      <c r="S214" s="71"/>
      <c r="T214" s="71"/>
      <c r="U214" s="68"/>
    </row>
    <row r="215" spans="2:21">
      <c r="B215" s="62"/>
      <c r="C215" s="62"/>
      <c r="D215" s="80"/>
      <c r="E215" s="80"/>
      <c r="F215" s="81"/>
      <c r="G215" s="72"/>
      <c r="H215" s="76"/>
      <c r="I215" s="62"/>
      <c r="J215" s="62"/>
      <c r="K215" s="54"/>
      <c r="L215" s="74"/>
      <c r="M215" s="62"/>
      <c r="N215" s="62"/>
      <c r="O215" s="62"/>
      <c r="P215" s="77"/>
      <c r="Q215" s="62"/>
      <c r="R215" s="71"/>
      <c r="S215" s="71"/>
      <c r="T215" s="71"/>
      <c r="U215" s="68"/>
    </row>
    <row r="216" spans="2:21">
      <c r="B216" s="62"/>
      <c r="C216" s="62"/>
      <c r="D216" s="80"/>
      <c r="E216" s="80"/>
      <c r="F216" s="81"/>
      <c r="G216" s="72"/>
      <c r="H216" s="76"/>
      <c r="I216" s="62"/>
      <c r="J216" s="62"/>
      <c r="K216" s="54"/>
      <c r="L216" s="74"/>
      <c r="M216" s="62"/>
      <c r="N216" s="62"/>
      <c r="O216" s="62"/>
      <c r="P216" s="77"/>
      <c r="Q216" s="62"/>
      <c r="R216" s="71"/>
      <c r="S216" s="71"/>
      <c r="T216" s="71"/>
      <c r="U216" s="68"/>
    </row>
    <row r="217" spans="2:21">
      <c r="B217" s="62"/>
      <c r="C217" s="62"/>
      <c r="D217" s="80"/>
      <c r="E217" s="80"/>
      <c r="F217" s="81"/>
      <c r="G217" s="72"/>
      <c r="H217" s="76"/>
      <c r="I217" s="62"/>
      <c r="J217" s="62"/>
      <c r="K217" s="54"/>
      <c r="L217" s="74"/>
      <c r="M217" s="62"/>
      <c r="N217" s="62"/>
      <c r="O217" s="62"/>
      <c r="P217" s="77"/>
      <c r="Q217" s="62"/>
      <c r="R217" s="71"/>
      <c r="S217" s="71"/>
      <c r="T217" s="71"/>
      <c r="U217" s="68"/>
    </row>
    <row r="218" spans="2:21">
      <c r="B218" s="62"/>
      <c r="C218" s="62"/>
      <c r="D218" s="80"/>
      <c r="E218" s="80"/>
      <c r="F218" s="81"/>
      <c r="G218" s="72"/>
      <c r="H218" s="76"/>
      <c r="I218" s="62"/>
      <c r="J218" s="62"/>
      <c r="K218" s="54"/>
      <c r="L218" s="74"/>
      <c r="M218" s="62"/>
      <c r="N218" s="62"/>
      <c r="O218" s="62"/>
      <c r="P218" s="77"/>
      <c r="Q218" s="62"/>
      <c r="R218" s="71"/>
      <c r="S218" s="71"/>
      <c r="T218" s="71"/>
      <c r="U218" s="68"/>
    </row>
    <row r="219" spans="2:21">
      <c r="B219" s="62"/>
      <c r="C219" s="62"/>
      <c r="D219" s="80"/>
      <c r="E219" s="80"/>
      <c r="F219" s="81"/>
      <c r="G219" s="72"/>
      <c r="H219" s="76"/>
      <c r="I219" s="62"/>
      <c r="J219" s="62"/>
      <c r="K219" s="54"/>
      <c r="L219" s="74"/>
      <c r="M219" s="62"/>
      <c r="N219" s="62"/>
      <c r="O219" s="62"/>
      <c r="P219" s="77"/>
      <c r="Q219" s="62"/>
      <c r="R219" s="71"/>
      <c r="S219" s="71"/>
      <c r="T219" s="71"/>
      <c r="U219" s="68"/>
    </row>
    <row r="220" spans="2:21">
      <c r="B220" s="62"/>
      <c r="C220" s="62"/>
      <c r="D220" s="80"/>
      <c r="E220" s="80"/>
      <c r="F220" s="81"/>
      <c r="G220" s="72"/>
      <c r="H220" s="76"/>
      <c r="I220" s="62"/>
      <c r="J220" s="62"/>
      <c r="K220" s="54"/>
      <c r="L220" s="74"/>
      <c r="M220" s="62"/>
      <c r="N220" s="62"/>
      <c r="O220" s="62"/>
      <c r="P220" s="77"/>
      <c r="Q220" s="62"/>
      <c r="R220" s="71"/>
      <c r="S220" s="71"/>
      <c r="T220" s="71"/>
      <c r="U220" s="68"/>
    </row>
    <row r="221" spans="2:21">
      <c r="B221" s="62"/>
      <c r="C221" s="62"/>
      <c r="D221" s="80"/>
      <c r="E221" s="80"/>
      <c r="F221" s="81"/>
      <c r="G221" s="72"/>
      <c r="H221" s="76"/>
      <c r="I221" s="62"/>
      <c r="J221" s="62"/>
      <c r="K221" s="54"/>
      <c r="L221" s="74"/>
      <c r="M221" s="62"/>
      <c r="N221" s="62"/>
      <c r="O221" s="62"/>
      <c r="P221" s="77"/>
      <c r="Q221" s="62"/>
      <c r="R221" s="71"/>
      <c r="S221" s="71"/>
      <c r="T221" s="71"/>
      <c r="U221" s="68"/>
    </row>
    <row r="222" spans="2:21">
      <c r="B222" s="62"/>
      <c r="C222" s="62"/>
      <c r="D222" s="80"/>
      <c r="E222" s="80"/>
      <c r="F222" s="81"/>
      <c r="G222" s="72"/>
      <c r="H222" s="76"/>
      <c r="I222" s="62"/>
      <c r="J222" s="62"/>
      <c r="K222" s="54"/>
      <c r="L222" s="74"/>
      <c r="M222" s="62"/>
      <c r="N222" s="62"/>
      <c r="O222" s="62"/>
      <c r="P222" s="77"/>
      <c r="Q222" s="62"/>
      <c r="R222" s="71"/>
      <c r="S222" s="71"/>
      <c r="T222" s="71"/>
      <c r="U222" s="68"/>
    </row>
    <row r="223" spans="2:21">
      <c r="B223" s="62"/>
      <c r="C223" s="62"/>
      <c r="D223" s="80"/>
      <c r="E223" s="80"/>
      <c r="F223" s="81"/>
      <c r="G223" s="72"/>
      <c r="H223" s="76"/>
      <c r="I223" s="62"/>
      <c r="J223" s="62"/>
      <c r="K223" s="54"/>
      <c r="L223" s="74"/>
      <c r="M223" s="62"/>
      <c r="N223" s="62"/>
      <c r="O223" s="62"/>
      <c r="P223" s="77"/>
      <c r="Q223" s="62"/>
      <c r="R223" s="71"/>
      <c r="S223" s="71"/>
      <c r="T223" s="71"/>
      <c r="U223" s="68"/>
    </row>
    <row r="224" spans="2:21">
      <c r="B224" s="62"/>
      <c r="C224" s="62"/>
      <c r="D224" s="80"/>
      <c r="E224" s="80"/>
      <c r="F224" s="81"/>
      <c r="G224" s="72"/>
      <c r="H224" s="76"/>
      <c r="I224" s="62"/>
      <c r="J224" s="62"/>
      <c r="K224" s="54"/>
      <c r="L224" s="74"/>
      <c r="M224" s="62"/>
      <c r="N224" s="62"/>
      <c r="O224" s="62"/>
      <c r="P224" s="77"/>
      <c r="Q224" s="62"/>
      <c r="R224" s="71"/>
      <c r="S224" s="71"/>
      <c r="T224" s="71"/>
      <c r="U224" s="68"/>
    </row>
    <row r="225" spans="2:21">
      <c r="B225" s="62"/>
      <c r="C225" s="62"/>
      <c r="D225" s="80"/>
      <c r="E225" s="80"/>
      <c r="F225" s="81"/>
      <c r="G225" s="72"/>
      <c r="H225" s="76"/>
      <c r="I225" s="62"/>
      <c r="J225" s="62"/>
      <c r="K225" s="54"/>
      <c r="L225" s="74"/>
      <c r="M225" s="62"/>
      <c r="N225" s="62"/>
      <c r="O225" s="62"/>
      <c r="P225" s="77"/>
      <c r="Q225" s="62"/>
      <c r="R225" s="71"/>
      <c r="S225" s="71"/>
      <c r="T225" s="71"/>
      <c r="U225" s="68"/>
    </row>
    <row r="226" spans="2:21">
      <c r="B226" s="62"/>
      <c r="C226" s="62"/>
      <c r="D226" s="80"/>
      <c r="E226" s="80"/>
      <c r="F226" s="81"/>
      <c r="G226" s="72"/>
      <c r="H226" s="76"/>
      <c r="I226" s="62"/>
      <c r="J226" s="62"/>
      <c r="K226" s="54"/>
      <c r="L226" s="74"/>
      <c r="M226" s="62"/>
      <c r="N226" s="62"/>
      <c r="O226" s="62"/>
      <c r="P226" s="77"/>
      <c r="Q226" s="62"/>
      <c r="R226" s="71"/>
      <c r="S226" s="71"/>
      <c r="T226" s="71"/>
      <c r="U226" s="68"/>
    </row>
    <row r="227" spans="2:21">
      <c r="B227" s="62"/>
      <c r="C227" s="62"/>
      <c r="D227" s="80"/>
      <c r="E227" s="80"/>
      <c r="F227" s="81"/>
      <c r="G227" s="72"/>
      <c r="H227" s="76"/>
      <c r="I227" s="62"/>
      <c r="J227" s="62"/>
      <c r="K227" s="54"/>
      <c r="L227" s="74"/>
      <c r="M227" s="62"/>
      <c r="N227" s="62"/>
      <c r="O227" s="62"/>
      <c r="P227" s="77"/>
      <c r="Q227" s="62"/>
      <c r="R227" s="71"/>
      <c r="S227" s="71"/>
      <c r="T227" s="71"/>
      <c r="U227" s="68"/>
    </row>
    <row r="228" spans="2:21">
      <c r="B228" s="62"/>
      <c r="C228" s="62"/>
      <c r="D228" s="80"/>
      <c r="E228" s="80"/>
      <c r="F228" s="81"/>
      <c r="G228" s="72"/>
      <c r="H228" s="76"/>
      <c r="I228" s="62"/>
      <c r="J228" s="62"/>
      <c r="K228" s="54"/>
      <c r="L228" s="74"/>
      <c r="M228" s="62"/>
      <c r="N228" s="62"/>
      <c r="O228" s="62"/>
      <c r="P228" s="77"/>
      <c r="Q228" s="62"/>
      <c r="R228" s="71"/>
      <c r="S228" s="71"/>
      <c r="T228" s="71"/>
      <c r="U228" s="68"/>
    </row>
    <row r="229" spans="2:21">
      <c r="B229" s="62"/>
      <c r="C229" s="62"/>
      <c r="D229" s="80"/>
      <c r="E229" s="80"/>
      <c r="F229" s="81"/>
      <c r="G229" s="72"/>
      <c r="H229" s="76"/>
      <c r="I229" s="62"/>
      <c r="J229" s="62"/>
      <c r="K229" s="54"/>
      <c r="L229" s="74"/>
      <c r="M229" s="62"/>
      <c r="N229" s="62"/>
      <c r="O229" s="62"/>
      <c r="P229" s="77"/>
      <c r="Q229" s="62"/>
      <c r="R229" s="71"/>
      <c r="S229" s="71"/>
      <c r="T229" s="71"/>
      <c r="U229" s="68"/>
    </row>
    <row r="230" spans="2:21">
      <c r="B230" s="62"/>
      <c r="C230" s="62"/>
      <c r="D230" s="80"/>
      <c r="E230" s="80"/>
      <c r="F230" s="81"/>
      <c r="G230" s="72"/>
      <c r="H230" s="76"/>
      <c r="I230" s="62"/>
      <c r="J230" s="62"/>
      <c r="K230" s="54"/>
      <c r="L230" s="74"/>
      <c r="M230" s="62"/>
      <c r="N230" s="62"/>
      <c r="O230" s="62"/>
      <c r="P230" s="77"/>
      <c r="Q230" s="62"/>
      <c r="R230" s="71"/>
      <c r="S230" s="71"/>
      <c r="T230" s="71"/>
      <c r="U230" s="68"/>
    </row>
    <row r="231" spans="2:21">
      <c r="B231" s="62"/>
      <c r="C231" s="62"/>
      <c r="D231" s="80"/>
      <c r="E231" s="80"/>
      <c r="F231" s="81"/>
      <c r="G231" s="72"/>
      <c r="H231" s="76"/>
      <c r="I231" s="62"/>
      <c r="J231" s="62"/>
      <c r="K231" s="54"/>
      <c r="L231" s="74"/>
      <c r="M231" s="62"/>
      <c r="N231" s="62"/>
      <c r="O231" s="62"/>
      <c r="P231" s="77"/>
      <c r="Q231" s="62"/>
      <c r="R231" s="71"/>
      <c r="S231" s="71"/>
      <c r="T231" s="71"/>
      <c r="U231" s="68"/>
    </row>
    <row r="232" spans="2:21">
      <c r="B232" s="62"/>
      <c r="C232" s="62"/>
      <c r="D232" s="80"/>
      <c r="E232" s="80"/>
      <c r="F232" s="81"/>
      <c r="G232" s="72"/>
      <c r="H232" s="76"/>
      <c r="I232" s="62"/>
      <c r="J232" s="62"/>
      <c r="K232" s="54"/>
      <c r="L232" s="74"/>
      <c r="M232" s="62"/>
      <c r="N232" s="62"/>
      <c r="O232" s="62"/>
      <c r="P232" s="77"/>
      <c r="Q232" s="62"/>
      <c r="R232" s="71"/>
      <c r="S232" s="71"/>
      <c r="T232" s="71"/>
      <c r="U232" s="68"/>
    </row>
    <row r="233" spans="2:21">
      <c r="B233" s="62"/>
      <c r="C233" s="62"/>
      <c r="D233" s="80"/>
      <c r="E233" s="80"/>
      <c r="F233" s="81"/>
      <c r="G233" s="72"/>
      <c r="H233" s="76"/>
      <c r="I233" s="62"/>
      <c r="J233" s="62"/>
      <c r="K233" s="54"/>
      <c r="L233" s="74"/>
      <c r="M233" s="62"/>
      <c r="N233" s="62"/>
      <c r="O233" s="62"/>
      <c r="P233" s="77"/>
      <c r="Q233" s="62"/>
      <c r="R233" s="71"/>
      <c r="S233" s="71"/>
      <c r="T233" s="71"/>
      <c r="U233" s="68"/>
    </row>
    <row r="234" spans="2:21">
      <c r="B234" s="62"/>
      <c r="C234" s="62"/>
      <c r="D234" s="80"/>
      <c r="E234" s="80"/>
      <c r="F234" s="81"/>
      <c r="G234" s="72"/>
      <c r="H234" s="76"/>
      <c r="I234" s="62"/>
      <c r="J234" s="62"/>
      <c r="K234" s="54"/>
      <c r="L234" s="74"/>
      <c r="M234" s="62"/>
      <c r="N234" s="62"/>
      <c r="O234" s="62"/>
      <c r="P234" s="77"/>
      <c r="Q234" s="62"/>
      <c r="R234" s="71"/>
      <c r="S234" s="71"/>
      <c r="T234" s="71"/>
      <c r="U234" s="68"/>
    </row>
    <row r="235" spans="2:21">
      <c r="B235" s="62"/>
      <c r="C235" s="62"/>
      <c r="D235" s="80"/>
      <c r="E235" s="80"/>
      <c r="F235" s="81"/>
      <c r="G235" s="72"/>
      <c r="H235" s="76"/>
      <c r="I235" s="62"/>
      <c r="J235" s="62"/>
      <c r="K235" s="54"/>
      <c r="L235" s="74"/>
      <c r="M235" s="62"/>
      <c r="N235" s="62"/>
      <c r="O235" s="62"/>
      <c r="P235" s="77"/>
      <c r="Q235" s="62"/>
      <c r="R235" s="71"/>
      <c r="S235" s="71"/>
      <c r="T235" s="71"/>
      <c r="U235" s="68"/>
    </row>
    <row r="236" spans="2:21">
      <c r="B236" s="62"/>
      <c r="C236" s="62"/>
      <c r="D236" s="80"/>
      <c r="E236" s="80"/>
      <c r="F236" s="81"/>
      <c r="G236" s="72"/>
      <c r="H236" s="76"/>
      <c r="I236" s="62"/>
      <c r="J236" s="62"/>
      <c r="K236" s="54"/>
      <c r="L236" s="74"/>
      <c r="M236" s="62"/>
      <c r="N236" s="62"/>
      <c r="O236" s="62"/>
      <c r="P236" s="77"/>
      <c r="Q236" s="62"/>
      <c r="R236" s="71"/>
      <c r="S236" s="71"/>
      <c r="T236" s="71"/>
      <c r="U236" s="68"/>
    </row>
    <row r="237" spans="2:21">
      <c r="B237" s="62"/>
      <c r="C237" s="62"/>
      <c r="D237" s="80"/>
      <c r="E237" s="80"/>
      <c r="F237" s="81"/>
      <c r="G237" s="72"/>
      <c r="H237" s="76"/>
      <c r="I237" s="62"/>
      <c r="J237" s="62"/>
      <c r="K237" s="54"/>
      <c r="L237" s="74"/>
      <c r="M237" s="62"/>
      <c r="N237" s="62"/>
      <c r="O237" s="62"/>
      <c r="P237" s="77"/>
      <c r="Q237" s="62"/>
      <c r="R237" s="71"/>
      <c r="S237" s="71"/>
      <c r="T237" s="71"/>
      <c r="U237" s="68"/>
    </row>
    <row r="238" spans="2:21">
      <c r="B238" s="62"/>
      <c r="C238" s="62"/>
      <c r="D238" s="80"/>
      <c r="E238" s="80"/>
      <c r="F238" s="81"/>
      <c r="G238" s="72"/>
      <c r="H238" s="76"/>
      <c r="I238" s="62"/>
      <c r="J238" s="62"/>
      <c r="K238" s="54"/>
      <c r="L238" s="74"/>
      <c r="M238" s="62"/>
      <c r="N238" s="62"/>
      <c r="O238" s="62"/>
      <c r="P238" s="77"/>
      <c r="Q238" s="62"/>
      <c r="R238" s="71"/>
      <c r="S238" s="71"/>
      <c r="T238" s="71"/>
      <c r="U238" s="68"/>
    </row>
    <row r="239" spans="2:21">
      <c r="B239" s="62"/>
      <c r="C239" s="62"/>
      <c r="D239" s="80"/>
      <c r="E239" s="80"/>
      <c r="F239" s="81"/>
      <c r="G239" s="72"/>
      <c r="H239" s="76"/>
      <c r="I239" s="62"/>
      <c r="J239" s="62"/>
      <c r="K239" s="54"/>
      <c r="L239" s="74"/>
      <c r="M239" s="62"/>
      <c r="N239" s="62"/>
      <c r="O239" s="62"/>
      <c r="P239" s="77"/>
      <c r="Q239" s="62"/>
      <c r="R239" s="71"/>
      <c r="S239" s="71"/>
      <c r="T239" s="71"/>
      <c r="U239" s="68"/>
    </row>
    <row r="240" spans="2:21">
      <c r="B240" s="62"/>
      <c r="C240" s="62"/>
      <c r="D240" s="80"/>
      <c r="E240" s="80"/>
      <c r="F240" s="81"/>
      <c r="G240" s="72"/>
      <c r="H240" s="76"/>
      <c r="I240" s="62"/>
      <c r="J240" s="62"/>
      <c r="K240" s="54"/>
      <c r="L240" s="74"/>
      <c r="M240" s="62"/>
      <c r="N240" s="62"/>
      <c r="O240" s="62"/>
      <c r="P240" s="77"/>
      <c r="Q240" s="62"/>
      <c r="R240" s="71"/>
      <c r="S240" s="71"/>
      <c r="T240" s="71"/>
      <c r="U240" s="68"/>
    </row>
    <row r="241" spans="2:21">
      <c r="B241" s="62"/>
      <c r="C241" s="62"/>
      <c r="D241" s="80"/>
      <c r="E241" s="80"/>
      <c r="F241" s="81"/>
      <c r="G241" s="72"/>
      <c r="H241" s="76"/>
      <c r="I241" s="62"/>
      <c r="J241" s="62"/>
      <c r="K241" s="54"/>
      <c r="L241" s="74"/>
      <c r="M241" s="62"/>
      <c r="N241" s="62"/>
      <c r="O241" s="62"/>
      <c r="P241" s="77"/>
      <c r="Q241" s="62"/>
      <c r="R241" s="71"/>
      <c r="S241" s="71"/>
      <c r="T241" s="71"/>
      <c r="U241" s="68"/>
    </row>
    <row r="242" spans="2:21">
      <c r="B242" s="62"/>
      <c r="C242" s="62"/>
      <c r="D242" s="80"/>
      <c r="E242" s="80"/>
      <c r="F242" s="81"/>
      <c r="G242" s="72"/>
      <c r="H242" s="76"/>
      <c r="I242" s="62"/>
      <c r="J242" s="62"/>
      <c r="K242" s="54"/>
      <c r="L242" s="74"/>
      <c r="M242" s="62"/>
      <c r="N242" s="62"/>
      <c r="O242" s="62"/>
      <c r="P242" s="77"/>
      <c r="Q242" s="62"/>
      <c r="R242" s="71"/>
      <c r="S242" s="71"/>
      <c r="T242" s="71"/>
      <c r="U242" s="68"/>
    </row>
    <row r="243" spans="2:21">
      <c r="B243" s="62"/>
      <c r="C243" s="62"/>
      <c r="D243" s="80"/>
      <c r="E243" s="80"/>
      <c r="F243" s="81"/>
      <c r="G243" s="72"/>
      <c r="H243" s="76"/>
      <c r="I243" s="62"/>
      <c r="J243" s="62"/>
      <c r="K243" s="54"/>
      <c r="L243" s="74"/>
      <c r="M243" s="62"/>
      <c r="N243" s="62"/>
      <c r="O243" s="62"/>
      <c r="P243" s="77"/>
      <c r="Q243" s="62"/>
      <c r="R243" s="71"/>
      <c r="S243" s="71"/>
      <c r="T243" s="71"/>
      <c r="U243" s="68"/>
    </row>
    <row r="244" spans="2:21">
      <c r="B244" s="62"/>
      <c r="C244" s="62"/>
      <c r="D244" s="80"/>
      <c r="E244" s="80"/>
      <c r="F244" s="81"/>
      <c r="G244" s="72"/>
      <c r="H244" s="76"/>
      <c r="I244" s="62"/>
      <c r="J244" s="62"/>
      <c r="K244" s="54"/>
      <c r="L244" s="74"/>
      <c r="M244" s="62"/>
      <c r="N244" s="62"/>
      <c r="O244" s="62"/>
      <c r="P244" s="77"/>
      <c r="Q244" s="62"/>
      <c r="R244" s="71"/>
      <c r="S244" s="71"/>
      <c r="T244" s="71"/>
      <c r="U244" s="68"/>
    </row>
    <row r="245" spans="2:21">
      <c r="B245" s="62"/>
      <c r="C245" s="62"/>
      <c r="D245" s="80"/>
      <c r="E245" s="80"/>
      <c r="F245" s="81"/>
      <c r="G245" s="72"/>
      <c r="H245" s="76"/>
      <c r="I245" s="62"/>
      <c r="J245" s="62"/>
      <c r="K245" s="54"/>
      <c r="L245" s="74"/>
      <c r="M245" s="62"/>
      <c r="N245" s="62"/>
      <c r="O245" s="62"/>
      <c r="P245" s="77"/>
      <c r="Q245" s="62"/>
      <c r="R245" s="71"/>
      <c r="S245" s="71"/>
      <c r="T245" s="71"/>
      <c r="U245" s="68"/>
    </row>
    <row r="246" spans="2:21">
      <c r="B246" s="62"/>
      <c r="C246" s="62"/>
      <c r="D246" s="80"/>
      <c r="E246" s="80"/>
      <c r="F246" s="81"/>
      <c r="G246" s="72"/>
      <c r="H246" s="76"/>
      <c r="I246" s="62"/>
      <c r="J246" s="62"/>
      <c r="K246" s="54"/>
      <c r="L246" s="74"/>
      <c r="M246" s="62"/>
      <c r="N246" s="62"/>
      <c r="O246" s="62"/>
      <c r="P246" s="77"/>
      <c r="Q246" s="62"/>
      <c r="R246" s="71"/>
      <c r="S246" s="71"/>
      <c r="T246" s="71"/>
      <c r="U246" s="68"/>
    </row>
    <row r="247" spans="2:21">
      <c r="B247" s="62"/>
      <c r="C247" s="62"/>
      <c r="D247" s="80"/>
      <c r="E247" s="80"/>
      <c r="F247" s="81"/>
      <c r="G247" s="72"/>
      <c r="H247" s="76"/>
      <c r="I247" s="62"/>
      <c r="J247" s="62"/>
      <c r="K247" s="54"/>
      <c r="L247" s="74"/>
      <c r="M247" s="62"/>
      <c r="N247" s="62"/>
      <c r="O247" s="62"/>
      <c r="P247" s="77"/>
      <c r="Q247" s="62"/>
      <c r="R247" s="71"/>
      <c r="S247" s="71"/>
      <c r="T247" s="71"/>
      <c r="U247" s="68"/>
    </row>
    <row r="248" spans="2:21">
      <c r="B248" s="62"/>
      <c r="C248" s="62"/>
      <c r="D248" s="80"/>
      <c r="E248" s="80"/>
      <c r="F248" s="81"/>
      <c r="G248" s="72"/>
      <c r="H248" s="76"/>
      <c r="I248" s="62"/>
      <c r="J248" s="62"/>
      <c r="K248" s="54"/>
      <c r="L248" s="74"/>
      <c r="M248" s="62"/>
      <c r="N248" s="62"/>
      <c r="O248" s="62"/>
      <c r="P248" s="77"/>
      <c r="Q248" s="62"/>
      <c r="R248" s="71"/>
      <c r="S248" s="71"/>
      <c r="T248" s="71"/>
      <c r="U248" s="68"/>
    </row>
    <row r="249" spans="2:21">
      <c r="B249" s="62"/>
      <c r="C249" s="62"/>
      <c r="D249" s="80"/>
      <c r="E249" s="80"/>
      <c r="F249" s="81"/>
      <c r="G249" s="72"/>
      <c r="H249" s="76"/>
      <c r="I249" s="62"/>
      <c r="J249" s="62"/>
      <c r="K249" s="54"/>
      <c r="L249" s="74"/>
      <c r="M249" s="62"/>
      <c r="N249" s="62"/>
      <c r="O249" s="62"/>
      <c r="P249" s="77"/>
      <c r="Q249" s="62"/>
      <c r="R249" s="71"/>
      <c r="S249" s="71"/>
      <c r="T249" s="71"/>
      <c r="U249" s="68"/>
    </row>
    <row r="250" spans="2:21">
      <c r="B250" s="62"/>
      <c r="C250" s="62"/>
      <c r="D250" s="80"/>
      <c r="E250" s="80"/>
      <c r="F250" s="81"/>
      <c r="G250" s="72"/>
      <c r="H250" s="76"/>
      <c r="I250" s="62"/>
      <c r="J250" s="62"/>
      <c r="K250" s="54"/>
      <c r="L250" s="74"/>
      <c r="M250" s="62"/>
      <c r="N250" s="62"/>
      <c r="O250" s="62"/>
      <c r="P250" s="77"/>
      <c r="Q250" s="62"/>
      <c r="R250" s="71"/>
      <c r="S250" s="71"/>
      <c r="T250" s="71"/>
      <c r="U250" s="68"/>
    </row>
    <row r="251" spans="2:21">
      <c r="B251" s="62"/>
      <c r="C251" s="62"/>
      <c r="D251" s="80"/>
      <c r="E251" s="80"/>
      <c r="F251" s="81"/>
      <c r="G251" s="72"/>
      <c r="H251" s="76"/>
      <c r="I251" s="62"/>
      <c r="J251" s="62"/>
      <c r="K251" s="54"/>
      <c r="L251" s="74"/>
      <c r="M251" s="62"/>
      <c r="N251" s="62"/>
      <c r="O251" s="62"/>
      <c r="P251" s="77"/>
      <c r="Q251" s="62"/>
      <c r="R251" s="71"/>
      <c r="S251" s="71"/>
      <c r="T251" s="71"/>
      <c r="U251" s="68"/>
    </row>
    <row r="252" spans="2:21">
      <c r="B252" s="62"/>
      <c r="C252" s="62"/>
      <c r="D252" s="80"/>
      <c r="E252" s="80"/>
      <c r="F252" s="81"/>
      <c r="G252" s="72"/>
      <c r="H252" s="76"/>
      <c r="I252" s="62"/>
      <c r="J252" s="62"/>
      <c r="K252" s="54"/>
      <c r="L252" s="74"/>
      <c r="M252" s="62"/>
      <c r="N252" s="62"/>
      <c r="O252" s="62"/>
      <c r="P252" s="77"/>
      <c r="Q252" s="62"/>
      <c r="R252" s="71"/>
      <c r="S252" s="71"/>
      <c r="T252" s="71"/>
      <c r="U252" s="68"/>
    </row>
    <row r="253" spans="2:21">
      <c r="B253" s="62"/>
      <c r="C253" s="62"/>
      <c r="D253" s="80"/>
      <c r="E253" s="80"/>
      <c r="F253" s="81"/>
      <c r="G253" s="72"/>
      <c r="H253" s="76"/>
      <c r="I253" s="62"/>
      <c r="J253" s="62"/>
      <c r="K253" s="54"/>
      <c r="L253" s="74"/>
      <c r="M253" s="62"/>
      <c r="N253" s="62"/>
      <c r="O253" s="62"/>
      <c r="P253" s="77"/>
      <c r="Q253" s="62"/>
      <c r="R253" s="71"/>
      <c r="S253" s="71"/>
      <c r="T253" s="71"/>
      <c r="U253" s="68"/>
    </row>
    <row r="254" spans="2:21">
      <c r="B254" s="62"/>
      <c r="C254" s="62"/>
      <c r="D254" s="80"/>
      <c r="E254" s="80"/>
      <c r="F254" s="81"/>
      <c r="G254" s="72"/>
      <c r="H254" s="76"/>
      <c r="I254" s="62"/>
      <c r="J254" s="62"/>
      <c r="K254" s="54"/>
      <c r="L254" s="74"/>
      <c r="M254" s="62"/>
      <c r="N254" s="62"/>
      <c r="O254" s="62"/>
      <c r="P254" s="77"/>
      <c r="Q254" s="62"/>
      <c r="R254" s="71"/>
      <c r="S254" s="71"/>
      <c r="T254" s="71"/>
      <c r="U254" s="68"/>
    </row>
    <row r="255" spans="2:21">
      <c r="B255" s="62"/>
      <c r="C255" s="62"/>
      <c r="D255" s="80"/>
      <c r="E255" s="80"/>
      <c r="F255" s="81"/>
      <c r="G255" s="72"/>
      <c r="H255" s="76"/>
      <c r="I255" s="62"/>
      <c r="J255" s="62"/>
      <c r="K255" s="54"/>
      <c r="L255" s="74"/>
      <c r="M255" s="62"/>
      <c r="N255" s="62"/>
      <c r="O255" s="62"/>
      <c r="P255" s="77"/>
      <c r="Q255" s="62"/>
      <c r="R255" s="71"/>
      <c r="S255" s="71"/>
      <c r="T255" s="71"/>
      <c r="U255" s="68"/>
    </row>
    <row r="256" spans="2:21">
      <c r="B256" s="62"/>
      <c r="C256" s="62"/>
      <c r="D256" s="80"/>
      <c r="E256" s="80"/>
      <c r="F256" s="81"/>
      <c r="G256" s="72"/>
      <c r="H256" s="76"/>
      <c r="I256" s="62"/>
      <c r="J256" s="62"/>
      <c r="K256" s="54"/>
      <c r="L256" s="74"/>
      <c r="M256" s="62"/>
      <c r="N256" s="62"/>
      <c r="O256" s="62"/>
      <c r="P256" s="77"/>
      <c r="Q256" s="62"/>
      <c r="R256" s="71"/>
      <c r="S256" s="71"/>
      <c r="T256" s="71"/>
      <c r="U256" s="68"/>
    </row>
    <row r="257" spans="2:21">
      <c r="B257" s="62"/>
      <c r="C257" s="62"/>
      <c r="D257" s="80"/>
      <c r="E257" s="80"/>
      <c r="F257" s="81"/>
      <c r="G257" s="72"/>
      <c r="H257" s="76"/>
      <c r="I257" s="62"/>
      <c r="J257" s="62"/>
      <c r="K257" s="54"/>
      <c r="L257" s="74"/>
      <c r="M257" s="62"/>
      <c r="N257" s="62"/>
      <c r="O257" s="62"/>
      <c r="P257" s="77"/>
      <c r="Q257" s="62"/>
      <c r="R257" s="71"/>
      <c r="S257" s="71"/>
      <c r="T257" s="71"/>
      <c r="U257" s="68"/>
    </row>
    <row r="258" spans="2:21">
      <c r="B258" s="62"/>
      <c r="C258" s="62"/>
      <c r="D258" s="80"/>
      <c r="E258" s="80"/>
      <c r="F258" s="81"/>
      <c r="G258" s="72"/>
      <c r="H258" s="76"/>
      <c r="I258" s="62"/>
      <c r="J258" s="62"/>
      <c r="K258" s="54"/>
      <c r="L258" s="74"/>
      <c r="M258" s="62"/>
      <c r="N258" s="62"/>
      <c r="O258" s="62"/>
      <c r="P258" s="77"/>
      <c r="Q258" s="62"/>
      <c r="R258" s="71"/>
      <c r="S258" s="71"/>
      <c r="T258" s="71"/>
      <c r="U258" s="68"/>
    </row>
    <row r="259" spans="2:21">
      <c r="B259" s="62"/>
      <c r="C259" s="62"/>
      <c r="D259" s="80"/>
      <c r="E259" s="80"/>
      <c r="F259" s="81"/>
      <c r="G259" s="72"/>
      <c r="H259" s="76"/>
      <c r="I259" s="62"/>
      <c r="J259" s="62"/>
      <c r="K259" s="54"/>
      <c r="L259" s="74"/>
      <c r="M259" s="62"/>
      <c r="N259" s="62"/>
      <c r="O259" s="62"/>
      <c r="P259" s="77"/>
      <c r="Q259" s="62"/>
      <c r="R259" s="71"/>
      <c r="S259" s="71"/>
      <c r="T259" s="71"/>
      <c r="U259" s="68"/>
    </row>
    <row r="260" spans="2:21">
      <c r="B260" s="62"/>
      <c r="C260" s="62"/>
      <c r="D260" s="80"/>
      <c r="E260" s="80"/>
      <c r="F260" s="81"/>
      <c r="G260" s="72"/>
      <c r="H260" s="76"/>
      <c r="I260" s="62"/>
      <c r="J260" s="62"/>
      <c r="K260" s="54"/>
      <c r="L260" s="74"/>
      <c r="M260" s="62"/>
      <c r="N260" s="62"/>
      <c r="O260" s="62"/>
      <c r="P260" s="77"/>
      <c r="Q260" s="62"/>
      <c r="R260" s="71"/>
      <c r="S260" s="71"/>
      <c r="T260" s="71"/>
      <c r="U260" s="68"/>
    </row>
    <row r="261" spans="2:21">
      <c r="B261" s="62"/>
      <c r="C261" s="62"/>
      <c r="D261" s="80"/>
      <c r="E261" s="80"/>
      <c r="F261" s="81"/>
      <c r="G261" s="72"/>
      <c r="H261" s="76"/>
      <c r="I261" s="62"/>
      <c r="J261" s="62"/>
      <c r="K261" s="54"/>
      <c r="L261" s="74"/>
      <c r="M261" s="62"/>
      <c r="N261" s="62"/>
      <c r="O261" s="62"/>
      <c r="P261" s="77"/>
      <c r="Q261" s="62"/>
      <c r="R261" s="71"/>
      <c r="S261" s="71"/>
      <c r="T261" s="71"/>
      <c r="U261" s="68"/>
    </row>
    <row r="262" spans="2:21">
      <c r="B262" s="62"/>
      <c r="C262" s="62"/>
      <c r="D262" s="80"/>
      <c r="E262" s="80"/>
      <c r="F262" s="81"/>
      <c r="G262" s="72"/>
      <c r="H262" s="76"/>
      <c r="I262" s="62"/>
      <c r="J262" s="62"/>
      <c r="K262" s="54"/>
      <c r="L262" s="74"/>
      <c r="M262" s="62"/>
      <c r="N262" s="62"/>
      <c r="O262" s="62"/>
      <c r="P262" s="77"/>
      <c r="Q262" s="62"/>
      <c r="R262" s="71"/>
      <c r="S262" s="71"/>
      <c r="T262" s="71"/>
      <c r="U262" s="68"/>
    </row>
    <row r="263" spans="2:21">
      <c r="B263" s="62"/>
      <c r="C263" s="62"/>
      <c r="D263" s="80"/>
      <c r="E263" s="80"/>
      <c r="F263" s="81"/>
      <c r="G263" s="72"/>
      <c r="H263" s="76"/>
      <c r="I263" s="62"/>
      <c r="J263" s="62"/>
      <c r="K263" s="54"/>
      <c r="L263" s="74"/>
      <c r="M263" s="62"/>
      <c r="N263" s="62"/>
      <c r="O263" s="62"/>
      <c r="P263" s="77"/>
      <c r="Q263" s="62"/>
      <c r="R263" s="71"/>
      <c r="S263" s="71"/>
      <c r="T263" s="71"/>
      <c r="U263" s="68"/>
    </row>
    <row r="264" spans="2:21">
      <c r="B264" s="62"/>
      <c r="C264" s="62"/>
      <c r="D264" s="80"/>
      <c r="E264" s="80"/>
      <c r="F264" s="81"/>
      <c r="G264" s="72"/>
      <c r="H264" s="76"/>
      <c r="I264" s="62"/>
      <c r="J264" s="62"/>
      <c r="K264" s="54"/>
      <c r="L264" s="74"/>
      <c r="M264" s="62"/>
      <c r="N264" s="62"/>
      <c r="O264" s="62"/>
      <c r="P264" s="77"/>
      <c r="Q264" s="62"/>
      <c r="R264" s="71"/>
      <c r="S264" s="71"/>
      <c r="T264" s="71"/>
      <c r="U264" s="68"/>
    </row>
    <row r="265" spans="2:21">
      <c r="B265" s="62"/>
      <c r="C265" s="62"/>
      <c r="D265" s="80"/>
      <c r="E265" s="80"/>
      <c r="F265" s="81"/>
      <c r="G265" s="72"/>
      <c r="H265" s="76"/>
      <c r="I265" s="62"/>
      <c r="J265" s="62"/>
      <c r="K265" s="54"/>
      <c r="L265" s="74"/>
      <c r="M265" s="62"/>
      <c r="N265" s="62"/>
      <c r="O265" s="62"/>
      <c r="P265" s="77"/>
      <c r="Q265" s="62"/>
      <c r="R265" s="71"/>
      <c r="S265" s="71"/>
      <c r="T265" s="71"/>
      <c r="U265" s="68"/>
    </row>
    <row r="266" spans="2:21">
      <c r="B266" s="62"/>
      <c r="C266" s="62"/>
      <c r="D266" s="80"/>
      <c r="E266" s="80"/>
      <c r="F266" s="81"/>
      <c r="G266" s="72"/>
      <c r="H266" s="76"/>
      <c r="I266" s="62"/>
      <c r="J266" s="62"/>
      <c r="K266" s="54"/>
      <c r="L266" s="74"/>
      <c r="M266" s="62"/>
      <c r="N266" s="62"/>
      <c r="O266" s="62"/>
      <c r="P266" s="77"/>
      <c r="Q266" s="62"/>
      <c r="R266" s="71"/>
      <c r="S266" s="71"/>
      <c r="T266" s="71"/>
      <c r="U266" s="68"/>
    </row>
    <row r="267" spans="2:21">
      <c r="B267" s="62"/>
      <c r="C267" s="62"/>
      <c r="D267" s="80"/>
      <c r="E267" s="80"/>
      <c r="F267" s="81"/>
      <c r="G267" s="72"/>
      <c r="H267" s="76"/>
      <c r="I267" s="62"/>
      <c r="J267" s="62"/>
      <c r="K267" s="54"/>
      <c r="L267" s="74"/>
      <c r="M267" s="62"/>
      <c r="N267" s="62"/>
      <c r="O267" s="62"/>
      <c r="P267" s="77"/>
      <c r="Q267" s="62"/>
      <c r="R267" s="71"/>
      <c r="S267" s="71"/>
      <c r="T267" s="71"/>
      <c r="U267" s="68"/>
    </row>
    <row r="268" spans="2:21">
      <c r="B268" s="62"/>
      <c r="C268" s="62"/>
      <c r="D268" s="80"/>
      <c r="E268" s="80"/>
      <c r="F268" s="81"/>
      <c r="G268" s="72"/>
      <c r="H268" s="76"/>
      <c r="I268" s="62"/>
      <c r="J268" s="62"/>
      <c r="K268" s="54"/>
      <c r="L268" s="74"/>
      <c r="M268" s="62"/>
      <c r="N268" s="62"/>
      <c r="O268" s="62"/>
      <c r="P268" s="77"/>
      <c r="Q268" s="62"/>
      <c r="R268" s="71"/>
      <c r="S268" s="71"/>
      <c r="T268" s="71"/>
      <c r="U268" s="68"/>
    </row>
    <row r="269" spans="2:21">
      <c r="B269" s="62"/>
      <c r="C269" s="62"/>
      <c r="D269" s="80"/>
      <c r="E269" s="80"/>
      <c r="F269" s="81"/>
      <c r="G269" s="72"/>
      <c r="H269" s="76"/>
      <c r="I269" s="62"/>
      <c r="J269" s="62"/>
      <c r="K269" s="54"/>
      <c r="L269" s="74"/>
      <c r="M269" s="62"/>
      <c r="N269" s="62"/>
      <c r="O269" s="62"/>
      <c r="P269" s="77"/>
      <c r="Q269" s="62"/>
      <c r="R269" s="71"/>
      <c r="S269" s="71"/>
      <c r="T269" s="71"/>
      <c r="U269" s="68"/>
    </row>
    <row r="270" spans="2:21">
      <c r="B270" s="62"/>
      <c r="C270" s="62"/>
      <c r="D270" s="80"/>
      <c r="E270" s="80"/>
      <c r="F270" s="81"/>
      <c r="G270" s="72"/>
      <c r="H270" s="76"/>
      <c r="I270" s="62"/>
      <c r="J270" s="62"/>
      <c r="K270" s="54"/>
      <c r="L270" s="74"/>
      <c r="M270" s="62"/>
      <c r="N270" s="62"/>
      <c r="O270" s="62"/>
      <c r="P270" s="77"/>
      <c r="Q270" s="62"/>
      <c r="R270" s="71"/>
      <c r="S270" s="71"/>
      <c r="T270" s="71"/>
      <c r="U270" s="68"/>
    </row>
    <row r="271" spans="2:21">
      <c r="B271" s="62"/>
      <c r="C271" s="62"/>
      <c r="D271" s="80"/>
      <c r="E271" s="80"/>
      <c r="F271" s="81"/>
      <c r="G271" s="72"/>
      <c r="H271" s="76"/>
      <c r="I271" s="62"/>
      <c r="J271" s="62"/>
      <c r="K271" s="54"/>
      <c r="L271" s="74"/>
      <c r="M271" s="62"/>
      <c r="N271" s="62"/>
      <c r="O271" s="62"/>
      <c r="P271" s="77"/>
      <c r="Q271" s="62"/>
      <c r="R271" s="71"/>
      <c r="S271" s="71"/>
      <c r="T271" s="71"/>
      <c r="U271" s="68"/>
    </row>
    <row r="272" spans="2:21">
      <c r="B272" s="62"/>
      <c r="C272" s="62"/>
      <c r="D272" s="80"/>
      <c r="E272" s="80"/>
      <c r="F272" s="81"/>
      <c r="G272" s="72"/>
      <c r="H272" s="76"/>
      <c r="I272" s="62"/>
      <c r="J272" s="62"/>
      <c r="K272" s="54"/>
      <c r="L272" s="74"/>
      <c r="M272" s="62"/>
      <c r="N272" s="62"/>
      <c r="O272" s="62"/>
      <c r="P272" s="77"/>
      <c r="Q272" s="62"/>
      <c r="R272" s="71"/>
      <c r="S272" s="71"/>
      <c r="T272" s="71"/>
      <c r="U272" s="68"/>
    </row>
    <row r="273" spans="2:21">
      <c r="B273" s="62"/>
      <c r="C273" s="62"/>
      <c r="D273" s="80"/>
      <c r="E273" s="80"/>
      <c r="F273" s="81"/>
      <c r="G273" s="72"/>
      <c r="H273" s="76"/>
      <c r="I273" s="62"/>
      <c r="J273" s="62"/>
      <c r="K273" s="54"/>
      <c r="L273" s="74"/>
      <c r="M273" s="62"/>
      <c r="N273" s="62"/>
      <c r="O273" s="62"/>
      <c r="P273" s="77"/>
      <c r="Q273" s="62"/>
      <c r="R273" s="71"/>
      <c r="S273" s="71"/>
      <c r="T273" s="71"/>
      <c r="U273" s="68"/>
    </row>
    <row r="274" spans="2:21">
      <c r="B274" s="62"/>
      <c r="C274" s="62"/>
      <c r="D274" s="80"/>
      <c r="E274" s="80"/>
      <c r="F274" s="81"/>
      <c r="G274" s="72"/>
      <c r="H274" s="76"/>
      <c r="I274" s="62"/>
      <c r="J274" s="62"/>
      <c r="K274" s="54"/>
      <c r="L274" s="74"/>
      <c r="M274" s="62"/>
      <c r="N274" s="62"/>
      <c r="O274" s="62"/>
      <c r="P274" s="77"/>
      <c r="Q274" s="62"/>
      <c r="R274" s="71"/>
      <c r="S274" s="71"/>
      <c r="T274" s="71"/>
      <c r="U274" s="68"/>
    </row>
    <row r="275" spans="2:21">
      <c r="B275" s="62"/>
      <c r="C275" s="62"/>
      <c r="D275" s="80"/>
      <c r="E275" s="80"/>
      <c r="F275" s="81"/>
      <c r="G275" s="72"/>
      <c r="H275" s="76"/>
      <c r="I275" s="62"/>
      <c r="J275" s="62"/>
      <c r="K275" s="54"/>
      <c r="L275" s="74"/>
      <c r="M275" s="62"/>
      <c r="N275" s="62"/>
      <c r="O275" s="62"/>
      <c r="P275" s="77"/>
      <c r="Q275" s="62"/>
      <c r="R275" s="71"/>
      <c r="S275" s="71"/>
      <c r="T275" s="71"/>
      <c r="U275" s="68"/>
    </row>
    <row r="276" spans="2:21">
      <c r="B276" s="62"/>
      <c r="C276" s="62"/>
      <c r="D276" s="80"/>
      <c r="E276" s="80"/>
      <c r="F276" s="81"/>
      <c r="G276" s="72"/>
      <c r="H276" s="76"/>
      <c r="I276" s="62"/>
      <c r="J276" s="62"/>
      <c r="K276" s="54"/>
      <c r="L276" s="74"/>
      <c r="M276" s="62"/>
      <c r="N276" s="62"/>
      <c r="O276" s="62"/>
      <c r="P276" s="77"/>
      <c r="Q276" s="62"/>
      <c r="R276" s="71"/>
      <c r="S276" s="71"/>
      <c r="T276" s="71"/>
      <c r="U276" s="68"/>
    </row>
    <row r="277" spans="2:21">
      <c r="B277" s="62"/>
      <c r="C277" s="62"/>
      <c r="D277" s="80"/>
      <c r="E277" s="80"/>
      <c r="F277" s="81"/>
      <c r="G277" s="72"/>
      <c r="H277" s="76"/>
      <c r="I277" s="62"/>
      <c r="J277" s="62"/>
      <c r="K277" s="54"/>
      <c r="L277" s="74"/>
      <c r="M277" s="62"/>
      <c r="N277" s="62"/>
      <c r="O277" s="62"/>
      <c r="P277" s="77"/>
      <c r="Q277" s="62"/>
      <c r="R277" s="71"/>
      <c r="S277" s="71"/>
      <c r="T277" s="71"/>
      <c r="U277" s="68"/>
    </row>
    <row r="278" spans="2:21">
      <c r="B278" s="62"/>
      <c r="C278" s="62"/>
      <c r="D278" s="80"/>
      <c r="E278" s="80"/>
      <c r="F278" s="81"/>
      <c r="G278" s="72"/>
      <c r="H278" s="76"/>
      <c r="I278" s="62"/>
      <c r="J278" s="62"/>
      <c r="K278" s="54"/>
      <c r="L278" s="74"/>
      <c r="M278" s="62"/>
      <c r="N278" s="62"/>
      <c r="O278" s="62"/>
      <c r="P278" s="77"/>
      <c r="Q278" s="62"/>
      <c r="R278" s="71"/>
      <c r="S278" s="71"/>
      <c r="T278" s="71"/>
      <c r="U278" s="68"/>
    </row>
    <row r="279" spans="2:21">
      <c r="B279" s="62"/>
      <c r="C279" s="62"/>
      <c r="D279" s="80"/>
      <c r="E279" s="80"/>
      <c r="F279" s="81"/>
      <c r="G279" s="72"/>
      <c r="H279" s="76"/>
      <c r="I279" s="62"/>
      <c r="J279" s="62"/>
      <c r="K279" s="54"/>
      <c r="L279" s="74"/>
      <c r="M279" s="62"/>
      <c r="N279" s="62"/>
      <c r="O279" s="62"/>
      <c r="P279" s="77"/>
      <c r="Q279" s="62"/>
      <c r="R279" s="71"/>
      <c r="S279" s="71"/>
      <c r="T279" s="71"/>
      <c r="U279" s="68"/>
    </row>
    <row r="280" spans="2:21">
      <c r="B280" s="62"/>
      <c r="C280" s="62"/>
      <c r="D280" s="80"/>
      <c r="E280" s="80"/>
      <c r="F280" s="81"/>
      <c r="G280" s="72"/>
      <c r="H280" s="76"/>
      <c r="I280" s="62"/>
      <c r="J280" s="62"/>
      <c r="K280" s="54"/>
      <c r="L280" s="74"/>
      <c r="M280" s="62"/>
      <c r="N280" s="62"/>
      <c r="O280" s="62"/>
      <c r="P280" s="77"/>
      <c r="Q280" s="62"/>
      <c r="R280" s="71"/>
      <c r="S280" s="71"/>
      <c r="T280" s="71"/>
      <c r="U280" s="68"/>
    </row>
    <row r="281" spans="2:21">
      <c r="B281" s="62"/>
      <c r="C281" s="62"/>
      <c r="D281" s="80"/>
      <c r="E281" s="80"/>
      <c r="F281" s="81"/>
      <c r="G281" s="72"/>
      <c r="H281" s="76"/>
      <c r="I281" s="62"/>
      <c r="J281" s="62"/>
      <c r="K281" s="54"/>
      <c r="L281" s="74"/>
      <c r="M281" s="62"/>
      <c r="N281" s="62"/>
      <c r="O281" s="62"/>
      <c r="P281" s="77"/>
      <c r="Q281" s="62"/>
      <c r="R281" s="71"/>
      <c r="S281" s="71"/>
      <c r="T281" s="71"/>
      <c r="U281" s="68"/>
    </row>
    <row r="282" spans="2:21">
      <c r="B282" s="62"/>
      <c r="C282" s="62"/>
      <c r="D282" s="80"/>
      <c r="E282" s="80"/>
      <c r="F282" s="81"/>
      <c r="G282" s="72"/>
      <c r="H282" s="76"/>
      <c r="I282" s="62"/>
      <c r="J282" s="62"/>
      <c r="K282" s="54"/>
      <c r="L282" s="74"/>
      <c r="M282" s="62"/>
      <c r="N282" s="62"/>
      <c r="O282" s="62"/>
      <c r="P282" s="77"/>
      <c r="Q282" s="62"/>
      <c r="R282" s="71"/>
      <c r="S282" s="71"/>
      <c r="T282" s="71"/>
      <c r="U282" s="68"/>
    </row>
    <row r="283" spans="2:21">
      <c r="B283" s="62"/>
      <c r="C283" s="62"/>
      <c r="D283" s="80"/>
      <c r="E283" s="80"/>
      <c r="F283" s="81"/>
      <c r="G283" s="72"/>
      <c r="H283" s="76"/>
      <c r="I283" s="62"/>
      <c r="J283" s="62"/>
      <c r="K283" s="54"/>
      <c r="L283" s="74"/>
      <c r="M283" s="62"/>
      <c r="N283" s="62"/>
      <c r="O283" s="62"/>
      <c r="P283" s="77"/>
      <c r="Q283" s="62"/>
      <c r="R283" s="71"/>
      <c r="S283" s="71"/>
      <c r="T283" s="71"/>
      <c r="U283" s="68"/>
    </row>
    <row r="284" spans="2:21">
      <c r="B284" s="62"/>
      <c r="C284" s="62"/>
      <c r="D284" s="80"/>
      <c r="E284" s="80"/>
      <c r="F284" s="81"/>
      <c r="G284" s="72"/>
      <c r="H284" s="76"/>
      <c r="I284" s="62"/>
      <c r="J284" s="62"/>
      <c r="K284" s="54"/>
      <c r="L284" s="74"/>
      <c r="M284" s="62"/>
      <c r="N284" s="62"/>
      <c r="O284" s="62"/>
      <c r="P284" s="77"/>
      <c r="Q284" s="62"/>
      <c r="R284" s="71"/>
      <c r="S284" s="71"/>
      <c r="T284" s="71"/>
      <c r="U284" s="68"/>
    </row>
    <row r="285" spans="2:21">
      <c r="B285" s="62"/>
      <c r="C285" s="62"/>
      <c r="D285" s="80"/>
      <c r="E285" s="80"/>
      <c r="F285" s="81"/>
      <c r="G285" s="72"/>
      <c r="H285" s="76"/>
      <c r="I285" s="62"/>
      <c r="J285" s="62"/>
      <c r="K285" s="54"/>
      <c r="L285" s="74"/>
      <c r="M285" s="62"/>
      <c r="N285" s="62"/>
      <c r="O285" s="62"/>
      <c r="P285" s="77"/>
      <c r="Q285" s="62"/>
      <c r="R285" s="71"/>
      <c r="S285" s="71"/>
      <c r="T285" s="71"/>
      <c r="U285" s="68"/>
    </row>
    <row r="286" spans="2:21">
      <c r="B286" s="62"/>
      <c r="C286" s="62"/>
      <c r="D286" s="80"/>
      <c r="E286" s="80"/>
      <c r="F286" s="81"/>
      <c r="G286" s="72"/>
      <c r="H286" s="76"/>
      <c r="I286" s="62"/>
      <c r="J286" s="62"/>
      <c r="K286" s="54"/>
      <c r="L286" s="74"/>
      <c r="M286" s="62"/>
      <c r="N286" s="62"/>
      <c r="O286" s="62"/>
      <c r="P286" s="77"/>
      <c r="Q286" s="62"/>
      <c r="R286" s="71"/>
      <c r="S286" s="71"/>
      <c r="T286" s="71"/>
      <c r="U286" s="68"/>
    </row>
    <row r="287" spans="2:21">
      <c r="B287" s="62"/>
      <c r="C287" s="62"/>
      <c r="D287" s="80"/>
      <c r="E287" s="80"/>
      <c r="F287" s="81"/>
      <c r="G287" s="72"/>
      <c r="H287" s="76"/>
      <c r="I287" s="62"/>
      <c r="J287" s="62"/>
      <c r="K287" s="54"/>
      <c r="L287" s="74"/>
      <c r="M287" s="62"/>
      <c r="N287" s="62"/>
      <c r="O287" s="62"/>
      <c r="P287" s="77"/>
      <c r="Q287" s="62"/>
      <c r="R287" s="71"/>
      <c r="S287" s="71"/>
      <c r="T287" s="71"/>
      <c r="U287" s="68"/>
    </row>
    <row r="288" spans="2:21">
      <c r="B288" s="62"/>
      <c r="C288" s="62"/>
      <c r="D288" s="80"/>
      <c r="E288" s="80"/>
      <c r="F288" s="81"/>
      <c r="G288" s="72"/>
      <c r="H288" s="76"/>
      <c r="I288" s="62"/>
      <c r="J288" s="62"/>
      <c r="K288" s="54"/>
      <c r="L288" s="74"/>
      <c r="M288" s="62"/>
      <c r="N288" s="62"/>
      <c r="O288" s="62"/>
      <c r="P288" s="77"/>
      <c r="Q288" s="62"/>
      <c r="R288" s="71"/>
      <c r="S288" s="71"/>
      <c r="T288" s="71"/>
      <c r="U288" s="68"/>
    </row>
    <row r="289" spans="2:21">
      <c r="B289" s="62"/>
      <c r="C289" s="62"/>
      <c r="D289" s="80"/>
      <c r="E289" s="80"/>
      <c r="F289" s="81"/>
      <c r="G289" s="72"/>
      <c r="H289" s="76"/>
      <c r="I289" s="62"/>
      <c r="J289" s="62"/>
      <c r="K289" s="54"/>
      <c r="L289" s="74"/>
      <c r="M289" s="62"/>
      <c r="N289" s="62"/>
      <c r="O289" s="62"/>
      <c r="P289" s="77"/>
      <c r="Q289" s="62"/>
      <c r="R289" s="71"/>
      <c r="S289" s="71"/>
      <c r="T289" s="71"/>
      <c r="U289" s="68"/>
    </row>
    <row r="290" spans="2:21">
      <c r="B290" s="62"/>
      <c r="C290" s="62"/>
      <c r="D290" s="80"/>
      <c r="E290" s="80"/>
      <c r="F290" s="81"/>
      <c r="G290" s="72"/>
      <c r="H290" s="76"/>
      <c r="I290" s="62"/>
      <c r="J290" s="62"/>
      <c r="K290" s="54"/>
      <c r="L290" s="74"/>
      <c r="M290" s="62"/>
      <c r="N290" s="62"/>
      <c r="O290" s="62"/>
      <c r="P290" s="77"/>
      <c r="Q290" s="62"/>
      <c r="R290" s="71"/>
      <c r="S290" s="71"/>
      <c r="T290" s="71"/>
      <c r="U290" s="68"/>
    </row>
    <row r="291" spans="2:21">
      <c r="B291" s="62"/>
      <c r="C291" s="62"/>
      <c r="D291" s="80"/>
      <c r="E291" s="80"/>
      <c r="F291" s="81"/>
      <c r="G291" s="72"/>
      <c r="H291" s="76"/>
      <c r="I291" s="62"/>
      <c r="J291" s="62"/>
      <c r="K291" s="54"/>
      <c r="L291" s="74"/>
      <c r="M291" s="62"/>
      <c r="N291" s="62"/>
      <c r="O291" s="62"/>
      <c r="P291" s="77"/>
      <c r="Q291" s="62"/>
      <c r="R291" s="71"/>
      <c r="S291" s="71"/>
      <c r="T291" s="71"/>
      <c r="U291" s="68"/>
    </row>
    <row r="292" spans="2:21">
      <c r="B292" s="62"/>
      <c r="C292" s="62"/>
      <c r="D292" s="80"/>
      <c r="E292" s="80"/>
      <c r="F292" s="81"/>
      <c r="G292" s="72"/>
      <c r="H292" s="76"/>
      <c r="I292" s="62"/>
      <c r="J292" s="62"/>
      <c r="K292" s="54"/>
      <c r="L292" s="74"/>
      <c r="M292" s="62"/>
      <c r="N292" s="62"/>
      <c r="O292" s="62"/>
      <c r="P292" s="77"/>
      <c r="Q292" s="62"/>
      <c r="R292" s="71"/>
      <c r="S292" s="71"/>
      <c r="T292" s="71"/>
      <c r="U292" s="68"/>
    </row>
    <row r="293" spans="2:21">
      <c r="B293" s="62"/>
      <c r="C293" s="62"/>
      <c r="D293" s="80"/>
      <c r="E293" s="80"/>
      <c r="F293" s="81"/>
      <c r="G293" s="72"/>
      <c r="H293" s="76"/>
      <c r="I293" s="62"/>
      <c r="J293" s="62"/>
      <c r="K293" s="54"/>
      <c r="L293" s="74"/>
      <c r="M293" s="62"/>
      <c r="N293" s="62"/>
      <c r="O293" s="62"/>
      <c r="P293" s="77"/>
      <c r="Q293" s="62"/>
      <c r="R293" s="71"/>
      <c r="S293" s="71"/>
      <c r="T293" s="71"/>
      <c r="U293" s="68"/>
    </row>
    <row r="294" spans="2:21">
      <c r="B294" s="62"/>
      <c r="C294" s="62"/>
      <c r="D294" s="80"/>
      <c r="E294" s="80"/>
      <c r="F294" s="81"/>
      <c r="G294" s="72"/>
      <c r="H294" s="76"/>
      <c r="I294" s="62"/>
      <c r="J294" s="62"/>
      <c r="K294" s="54"/>
      <c r="L294" s="74"/>
      <c r="M294" s="62"/>
      <c r="N294" s="62"/>
      <c r="O294" s="62"/>
      <c r="P294" s="77"/>
      <c r="Q294" s="62"/>
      <c r="R294" s="71"/>
      <c r="S294" s="71"/>
      <c r="T294" s="71"/>
      <c r="U294" s="68"/>
    </row>
    <row r="295" spans="2:21">
      <c r="B295" s="62"/>
      <c r="C295" s="62"/>
      <c r="D295" s="80"/>
      <c r="E295" s="80"/>
      <c r="F295" s="81"/>
      <c r="G295" s="72"/>
      <c r="H295" s="76"/>
      <c r="I295" s="62"/>
      <c r="J295" s="62"/>
      <c r="K295" s="54"/>
      <c r="L295" s="74"/>
      <c r="M295" s="62"/>
      <c r="N295" s="62"/>
      <c r="O295" s="62"/>
      <c r="P295" s="77"/>
      <c r="Q295" s="62"/>
      <c r="R295" s="71"/>
      <c r="S295" s="71"/>
      <c r="T295" s="71"/>
      <c r="U295" s="68"/>
    </row>
    <row r="296" spans="2:21">
      <c r="B296" s="62"/>
      <c r="C296" s="62"/>
      <c r="D296" s="80"/>
      <c r="E296" s="80"/>
      <c r="F296" s="81"/>
      <c r="G296" s="72"/>
      <c r="H296" s="76"/>
      <c r="I296" s="62"/>
      <c r="J296" s="62"/>
      <c r="K296" s="54"/>
      <c r="L296" s="74"/>
      <c r="M296" s="62"/>
      <c r="N296" s="62"/>
      <c r="O296" s="62"/>
      <c r="P296" s="77"/>
      <c r="Q296" s="62"/>
      <c r="R296" s="71"/>
      <c r="S296" s="71"/>
      <c r="T296" s="71"/>
      <c r="U296" s="68"/>
    </row>
    <row r="297" spans="2:21">
      <c r="B297" s="62"/>
      <c r="C297" s="62"/>
      <c r="D297" s="80"/>
      <c r="E297" s="80"/>
      <c r="F297" s="81"/>
      <c r="G297" s="72"/>
      <c r="H297" s="76"/>
      <c r="I297" s="62"/>
      <c r="J297" s="62"/>
      <c r="K297" s="54"/>
      <c r="L297" s="74"/>
      <c r="M297" s="62"/>
      <c r="N297" s="62"/>
      <c r="O297" s="62"/>
      <c r="P297" s="77"/>
      <c r="Q297" s="62"/>
      <c r="R297" s="71"/>
      <c r="S297" s="71"/>
      <c r="T297" s="71"/>
      <c r="U297" s="68"/>
    </row>
    <row r="298" spans="2:21">
      <c r="B298" s="62"/>
      <c r="C298" s="62"/>
      <c r="D298" s="80"/>
      <c r="E298" s="80"/>
      <c r="F298" s="81"/>
      <c r="G298" s="72"/>
      <c r="H298" s="76"/>
      <c r="I298" s="62"/>
      <c r="J298" s="62"/>
      <c r="K298" s="54"/>
      <c r="L298" s="74"/>
      <c r="M298" s="62"/>
      <c r="N298" s="62"/>
      <c r="O298" s="62"/>
      <c r="P298" s="77"/>
      <c r="Q298" s="62"/>
      <c r="R298" s="71"/>
      <c r="S298" s="71"/>
      <c r="T298" s="71"/>
      <c r="U298" s="68"/>
    </row>
    <row r="299" spans="2:21">
      <c r="B299" s="62"/>
      <c r="C299" s="62"/>
      <c r="D299" s="80"/>
      <c r="E299" s="80"/>
      <c r="F299" s="81"/>
      <c r="G299" s="72"/>
      <c r="H299" s="76"/>
      <c r="I299" s="62"/>
      <c r="J299" s="62"/>
      <c r="K299" s="54"/>
      <c r="L299" s="74"/>
      <c r="M299" s="62"/>
      <c r="N299" s="62"/>
      <c r="O299" s="62"/>
      <c r="P299" s="77"/>
      <c r="Q299" s="62"/>
      <c r="R299" s="71"/>
      <c r="S299" s="71"/>
      <c r="T299" s="71"/>
      <c r="U299" s="68"/>
    </row>
    <row r="300" spans="2:21">
      <c r="B300" s="62"/>
      <c r="C300" s="62"/>
      <c r="D300" s="80"/>
      <c r="E300" s="80"/>
      <c r="F300" s="81"/>
      <c r="G300" s="72"/>
      <c r="H300" s="76"/>
      <c r="I300" s="62"/>
      <c r="J300" s="62"/>
      <c r="K300" s="54"/>
      <c r="L300" s="74"/>
      <c r="M300" s="62"/>
      <c r="N300" s="62"/>
      <c r="O300" s="62"/>
      <c r="P300" s="77"/>
      <c r="Q300" s="62"/>
      <c r="R300" s="71"/>
      <c r="S300" s="71"/>
      <c r="T300" s="71"/>
      <c r="U300" s="68"/>
    </row>
    <row r="301" spans="2:21">
      <c r="B301" s="62"/>
      <c r="C301" s="62"/>
      <c r="D301" s="80"/>
      <c r="E301" s="80"/>
      <c r="F301" s="81"/>
      <c r="G301" s="72"/>
      <c r="H301" s="76"/>
      <c r="I301" s="62"/>
      <c r="J301" s="62"/>
      <c r="K301" s="54"/>
      <c r="L301" s="74"/>
      <c r="M301" s="62"/>
      <c r="N301" s="62"/>
      <c r="O301" s="62"/>
      <c r="P301" s="77"/>
      <c r="Q301" s="62"/>
      <c r="R301" s="71"/>
      <c r="S301" s="71"/>
      <c r="T301" s="71"/>
      <c r="U301" s="68"/>
    </row>
    <row r="302" spans="2:21">
      <c r="B302" s="62"/>
      <c r="C302" s="62"/>
      <c r="D302" s="80"/>
      <c r="E302" s="80"/>
      <c r="F302" s="81"/>
      <c r="G302" s="72"/>
      <c r="H302" s="76"/>
      <c r="I302" s="62"/>
      <c r="J302" s="62"/>
      <c r="K302" s="54"/>
      <c r="L302" s="74"/>
      <c r="M302" s="62"/>
      <c r="N302" s="62"/>
      <c r="O302" s="62"/>
      <c r="P302" s="77"/>
      <c r="Q302" s="62"/>
      <c r="R302" s="71"/>
      <c r="S302" s="71"/>
      <c r="T302" s="71"/>
      <c r="U302" s="68"/>
    </row>
    <row r="303" spans="2:21">
      <c r="B303" s="62"/>
      <c r="C303" s="62"/>
      <c r="D303" s="80"/>
      <c r="E303" s="80"/>
      <c r="F303" s="81"/>
      <c r="G303" s="72"/>
      <c r="H303" s="76"/>
      <c r="I303" s="62"/>
      <c r="J303" s="62"/>
      <c r="K303" s="54"/>
      <c r="L303" s="74"/>
      <c r="M303" s="62"/>
      <c r="N303" s="62"/>
      <c r="O303" s="62"/>
      <c r="P303" s="77"/>
      <c r="Q303" s="62"/>
      <c r="R303" s="71"/>
      <c r="S303" s="71"/>
      <c r="T303" s="71"/>
      <c r="U303" s="68"/>
    </row>
    <row r="304" spans="2:21">
      <c r="B304" s="62"/>
      <c r="C304" s="62"/>
      <c r="D304" s="80"/>
      <c r="E304" s="80"/>
      <c r="F304" s="81"/>
      <c r="G304" s="72"/>
      <c r="H304" s="76"/>
      <c r="I304" s="62"/>
      <c r="J304" s="62"/>
      <c r="K304" s="54"/>
      <c r="L304" s="74"/>
      <c r="M304" s="62"/>
      <c r="N304" s="62"/>
      <c r="O304" s="62"/>
      <c r="P304" s="77"/>
      <c r="Q304" s="62"/>
      <c r="R304" s="71"/>
      <c r="S304" s="71"/>
      <c r="T304" s="71"/>
      <c r="U304" s="68"/>
    </row>
    <row r="305" spans="2:21">
      <c r="B305" s="62"/>
      <c r="C305" s="62"/>
      <c r="D305" s="80"/>
      <c r="E305" s="80"/>
      <c r="F305" s="81"/>
      <c r="G305" s="72"/>
      <c r="H305" s="76"/>
      <c r="I305" s="62"/>
      <c r="J305" s="62"/>
      <c r="K305" s="54"/>
      <c r="L305" s="74"/>
      <c r="M305" s="62"/>
      <c r="N305" s="62"/>
      <c r="O305" s="62"/>
      <c r="P305" s="77"/>
      <c r="Q305" s="62"/>
      <c r="R305" s="71"/>
      <c r="S305" s="71"/>
      <c r="T305" s="71"/>
      <c r="U305" s="68"/>
    </row>
    <row r="306" spans="2:21">
      <c r="B306" s="62"/>
      <c r="C306" s="62"/>
      <c r="D306" s="80"/>
      <c r="E306" s="80"/>
      <c r="F306" s="81"/>
      <c r="G306" s="72"/>
      <c r="H306" s="76"/>
      <c r="I306" s="62"/>
      <c r="J306" s="62"/>
      <c r="K306" s="54"/>
      <c r="L306" s="74"/>
      <c r="M306" s="62"/>
      <c r="N306" s="62"/>
      <c r="O306" s="62"/>
      <c r="P306" s="77"/>
      <c r="Q306" s="62"/>
      <c r="R306" s="71"/>
      <c r="S306" s="71"/>
      <c r="T306" s="71"/>
      <c r="U306" s="68"/>
    </row>
    <row r="307" spans="2:21">
      <c r="B307" s="62"/>
      <c r="C307" s="62"/>
      <c r="D307" s="80"/>
      <c r="E307" s="80"/>
      <c r="F307" s="81"/>
      <c r="G307" s="72"/>
      <c r="H307" s="76"/>
      <c r="I307" s="62"/>
      <c r="J307" s="62"/>
      <c r="K307" s="54"/>
      <c r="L307" s="74"/>
      <c r="M307" s="62"/>
      <c r="N307" s="62"/>
      <c r="O307" s="62"/>
      <c r="P307" s="77"/>
      <c r="Q307" s="62"/>
      <c r="R307" s="71"/>
      <c r="S307" s="71"/>
      <c r="T307" s="71"/>
      <c r="U307" s="68"/>
    </row>
    <row r="308" spans="2:21">
      <c r="B308" s="62"/>
      <c r="C308" s="62"/>
      <c r="D308" s="80"/>
      <c r="E308" s="80"/>
      <c r="F308" s="81"/>
      <c r="G308" s="72"/>
      <c r="H308" s="76"/>
      <c r="I308" s="62"/>
      <c r="J308" s="62"/>
      <c r="K308" s="54"/>
      <c r="L308" s="74"/>
      <c r="M308" s="62"/>
      <c r="N308" s="62"/>
      <c r="O308" s="62"/>
      <c r="P308" s="77"/>
      <c r="Q308" s="62"/>
      <c r="R308" s="71"/>
      <c r="S308" s="71"/>
      <c r="T308" s="71"/>
      <c r="U308" s="68"/>
    </row>
    <row r="309" spans="2:21">
      <c r="B309" s="62"/>
      <c r="C309" s="62"/>
      <c r="D309" s="80"/>
      <c r="E309" s="80"/>
      <c r="F309" s="81"/>
      <c r="G309" s="72"/>
      <c r="H309" s="76"/>
      <c r="I309" s="62"/>
      <c r="J309" s="62"/>
      <c r="K309" s="54"/>
      <c r="L309" s="74"/>
      <c r="M309" s="62"/>
      <c r="N309" s="62"/>
      <c r="O309" s="62"/>
      <c r="P309" s="77"/>
      <c r="Q309" s="62"/>
      <c r="R309" s="71"/>
      <c r="S309" s="71"/>
      <c r="T309" s="71"/>
      <c r="U309" s="68"/>
    </row>
    <row r="310" spans="2:21">
      <c r="B310" s="62"/>
      <c r="C310" s="62"/>
      <c r="D310" s="80"/>
      <c r="E310" s="80"/>
      <c r="F310" s="81"/>
      <c r="G310" s="72"/>
      <c r="H310" s="76"/>
      <c r="I310" s="62"/>
      <c r="J310" s="62"/>
      <c r="K310" s="54"/>
      <c r="L310" s="74"/>
      <c r="M310" s="62"/>
      <c r="N310" s="62"/>
      <c r="O310" s="62"/>
      <c r="P310" s="77"/>
      <c r="Q310" s="62"/>
      <c r="R310" s="71"/>
      <c r="S310" s="71"/>
      <c r="T310" s="71"/>
      <c r="U310" s="68"/>
    </row>
    <row r="311" spans="2:21">
      <c r="B311" s="62"/>
      <c r="C311" s="62"/>
      <c r="D311" s="80"/>
      <c r="E311" s="80"/>
      <c r="F311" s="81"/>
      <c r="G311" s="72"/>
      <c r="H311" s="76"/>
      <c r="I311" s="62"/>
      <c r="J311" s="62"/>
      <c r="K311" s="54"/>
      <c r="L311" s="74"/>
      <c r="M311" s="62"/>
      <c r="N311" s="62"/>
      <c r="O311" s="62"/>
      <c r="P311" s="77"/>
      <c r="Q311" s="62"/>
      <c r="R311" s="71"/>
      <c r="S311" s="71"/>
      <c r="T311" s="71"/>
      <c r="U311" s="68"/>
    </row>
    <row r="312" spans="2:21">
      <c r="B312" s="62"/>
      <c r="C312" s="62"/>
      <c r="D312" s="80"/>
      <c r="E312" s="80"/>
      <c r="F312" s="81"/>
      <c r="G312" s="72"/>
      <c r="H312" s="76"/>
      <c r="I312" s="62"/>
      <c r="J312" s="62"/>
      <c r="K312" s="54"/>
      <c r="L312" s="74"/>
      <c r="M312" s="62"/>
      <c r="N312" s="62"/>
      <c r="O312" s="62"/>
      <c r="P312" s="77"/>
      <c r="Q312" s="62"/>
      <c r="R312" s="71"/>
      <c r="S312" s="71"/>
      <c r="T312" s="71"/>
      <c r="U312" s="68"/>
    </row>
    <row r="313" spans="2:21">
      <c r="B313" s="62"/>
      <c r="C313" s="62"/>
      <c r="D313" s="80"/>
      <c r="E313" s="80"/>
      <c r="F313" s="81"/>
      <c r="G313" s="72"/>
      <c r="H313" s="76"/>
      <c r="I313" s="62"/>
      <c r="J313" s="62"/>
      <c r="K313" s="54"/>
      <c r="L313" s="74"/>
      <c r="M313" s="62"/>
      <c r="N313" s="62"/>
      <c r="O313" s="62"/>
      <c r="P313" s="77"/>
      <c r="Q313" s="62"/>
      <c r="R313" s="71"/>
      <c r="S313" s="71"/>
      <c r="T313" s="71"/>
      <c r="U313" s="68"/>
    </row>
    <row r="314" spans="2:21">
      <c r="B314" s="62"/>
      <c r="C314" s="62"/>
      <c r="D314" s="80"/>
      <c r="E314" s="80"/>
      <c r="F314" s="81"/>
      <c r="G314" s="72"/>
      <c r="H314" s="76"/>
      <c r="I314" s="62"/>
      <c r="J314" s="62"/>
      <c r="K314" s="54"/>
      <c r="L314" s="74"/>
      <c r="M314" s="62"/>
      <c r="N314" s="62"/>
      <c r="O314" s="62"/>
      <c r="P314" s="77"/>
      <c r="Q314" s="62"/>
      <c r="R314" s="71"/>
      <c r="S314" s="71"/>
      <c r="T314" s="71"/>
      <c r="U314" s="68"/>
    </row>
    <row r="315" spans="2:21">
      <c r="B315" s="62"/>
      <c r="C315" s="62"/>
      <c r="D315" s="80"/>
      <c r="E315" s="80"/>
      <c r="F315" s="81"/>
      <c r="G315" s="72"/>
      <c r="H315" s="76"/>
      <c r="I315" s="62"/>
      <c r="J315" s="62"/>
      <c r="K315" s="54"/>
      <c r="L315" s="74"/>
      <c r="M315" s="62"/>
      <c r="N315" s="62"/>
      <c r="O315" s="62"/>
      <c r="P315" s="77"/>
      <c r="Q315" s="62"/>
      <c r="R315" s="71"/>
      <c r="S315" s="71"/>
      <c r="T315" s="71"/>
      <c r="U315" s="68"/>
    </row>
    <row r="316" spans="2:21">
      <c r="B316" s="62"/>
      <c r="C316" s="62"/>
      <c r="D316" s="80"/>
      <c r="E316" s="80"/>
      <c r="F316" s="81"/>
      <c r="G316" s="72"/>
      <c r="H316" s="76"/>
      <c r="I316" s="62"/>
      <c r="J316" s="62"/>
      <c r="K316" s="54"/>
      <c r="L316" s="74"/>
      <c r="M316" s="62"/>
      <c r="N316" s="62"/>
      <c r="O316" s="62"/>
      <c r="P316" s="77"/>
      <c r="Q316" s="62"/>
      <c r="R316" s="71"/>
      <c r="S316" s="71"/>
      <c r="T316" s="71"/>
      <c r="U316" s="68"/>
    </row>
    <row r="317" spans="2:21">
      <c r="B317" s="62"/>
      <c r="C317" s="62"/>
      <c r="D317" s="80"/>
      <c r="E317" s="80"/>
      <c r="F317" s="81"/>
      <c r="G317" s="72"/>
      <c r="H317" s="76"/>
      <c r="I317" s="62"/>
      <c r="J317" s="62"/>
      <c r="K317" s="54"/>
      <c r="L317" s="74"/>
      <c r="M317" s="62"/>
      <c r="N317" s="62"/>
      <c r="O317" s="62"/>
      <c r="P317" s="77"/>
      <c r="Q317" s="62"/>
      <c r="R317" s="71"/>
      <c r="S317" s="71"/>
      <c r="T317" s="71"/>
      <c r="U317" s="68"/>
    </row>
    <row r="318" spans="2:21">
      <c r="B318" s="62"/>
      <c r="C318" s="62"/>
      <c r="D318" s="80"/>
      <c r="E318" s="80"/>
      <c r="F318" s="81"/>
      <c r="G318" s="72"/>
      <c r="H318" s="76"/>
      <c r="I318" s="62"/>
      <c r="J318" s="62"/>
      <c r="K318" s="54"/>
      <c r="L318" s="74"/>
      <c r="M318" s="62"/>
      <c r="N318" s="62"/>
      <c r="O318" s="62"/>
      <c r="P318" s="77"/>
      <c r="Q318" s="62"/>
      <c r="R318" s="71"/>
      <c r="S318" s="71"/>
      <c r="T318" s="71"/>
      <c r="U318" s="68"/>
    </row>
    <row r="319" spans="2:21">
      <c r="B319" s="62"/>
      <c r="C319" s="62"/>
      <c r="D319" s="80"/>
      <c r="E319" s="80"/>
      <c r="F319" s="81"/>
      <c r="G319" s="72"/>
      <c r="H319" s="76"/>
      <c r="I319" s="62"/>
      <c r="J319" s="62"/>
      <c r="K319" s="54"/>
      <c r="L319" s="74"/>
      <c r="M319" s="62"/>
      <c r="N319" s="62"/>
      <c r="O319" s="62"/>
      <c r="P319" s="77"/>
      <c r="Q319" s="62"/>
      <c r="R319" s="71"/>
      <c r="S319" s="71"/>
      <c r="T319" s="71"/>
      <c r="U319" s="68"/>
    </row>
    <row r="320" spans="2:21">
      <c r="B320" s="62"/>
      <c r="C320" s="62"/>
      <c r="D320" s="80"/>
      <c r="E320" s="80"/>
      <c r="F320" s="81"/>
      <c r="G320" s="72"/>
      <c r="H320" s="76"/>
      <c r="I320" s="62"/>
      <c r="J320" s="62"/>
      <c r="K320" s="54"/>
      <c r="L320" s="74"/>
      <c r="M320" s="62"/>
      <c r="N320" s="62"/>
      <c r="O320" s="62"/>
      <c r="P320" s="77"/>
      <c r="Q320" s="62"/>
      <c r="R320" s="71"/>
      <c r="S320" s="71"/>
      <c r="T320" s="71"/>
      <c r="U320" s="68"/>
    </row>
    <row r="321" spans="2:21">
      <c r="B321" s="62"/>
      <c r="C321" s="62"/>
      <c r="D321" s="80"/>
      <c r="E321" s="80"/>
      <c r="F321" s="81"/>
      <c r="G321" s="72"/>
      <c r="H321" s="76"/>
      <c r="I321" s="62"/>
      <c r="J321" s="62"/>
      <c r="K321" s="54"/>
      <c r="L321" s="74"/>
      <c r="M321" s="62"/>
      <c r="N321" s="62"/>
      <c r="O321" s="62"/>
      <c r="P321" s="77"/>
      <c r="Q321" s="62"/>
      <c r="R321" s="71"/>
      <c r="S321" s="71"/>
      <c r="T321" s="71"/>
      <c r="U321" s="68"/>
    </row>
    <row r="322" spans="2:21">
      <c r="B322" s="62"/>
      <c r="C322" s="62"/>
      <c r="D322" s="80"/>
      <c r="E322" s="80"/>
      <c r="F322" s="81"/>
      <c r="G322" s="72"/>
      <c r="H322" s="76"/>
      <c r="I322" s="62"/>
      <c r="J322" s="62"/>
      <c r="K322" s="54"/>
      <c r="L322" s="74"/>
      <c r="M322" s="62"/>
      <c r="N322" s="62"/>
      <c r="O322" s="62"/>
      <c r="P322" s="77"/>
      <c r="Q322" s="62"/>
      <c r="R322" s="71"/>
      <c r="S322" s="71"/>
      <c r="T322" s="71"/>
      <c r="U322" s="68"/>
    </row>
    <row r="323" spans="2:21">
      <c r="B323" s="62"/>
      <c r="C323" s="62"/>
      <c r="D323" s="80"/>
      <c r="E323" s="80"/>
      <c r="F323" s="81"/>
      <c r="G323" s="72"/>
      <c r="H323" s="76"/>
      <c r="I323" s="62"/>
      <c r="J323" s="62"/>
      <c r="K323" s="54"/>
      <c r="L323" s="74"/>
      <c r="M323" s="62"/>
      <c r="N323" s="62"/>
      <c r="O323" s="62"/>
      <c r="P323" s="77"/>
      <c r="Q323" s="62"/>
      <c r="R323" s="71"/>
      <c r="S323" s="71"/>
      <c r="T323" s="71"/>
      <c r="U323" s="68"/>
    </row>
    <row r="324" spans="2:21">
      <c r="B324" s="62"/>
      <c r="C324" s="62"/>
      <c r="D324" s="80"/>
      <c r="E324" s="80"/>
      <c r="F324" s="81"/>
      <c r="G324" s="72"/>
      <c r="H324" s="76"/>
      <c r="I324" s="62"/>
      <c r="J324" s="62"/>
      <c r="K324" s="54"/>
      <c r="L324" s="74"/>
      <c r="M324" s="62"/>
      <c r="N324" s="62"/>
      <c r="O324" s="62"/>
      <c r="P324" s="77"/>
      <c r="Q324" s="62"/>
      <c r="R324" s="71"/>
      <c r="S324" s="71"/>
      <c r="T324" s="71"/>
      <c r="U324" s="68"/>
    </row>
    <row r="325" spans="2:21">
      <c r="B325" s="62"/>
      <c r="C325" s="62"/>
      <c r="D325" s="80"/>
      <c r="E325" s="80"/>
      <c r="F325" s="81"/>
      <c r="G325" s="72"/>
      <c r="H325" s="76"/>
      <c r="I325" s="62"/>
      <c r="J325" s="62"/>
      <c r="K325" s="54"/>
      <c r="L325" s="74"/>
      <c r="M325" s="62"/>
      <c r="N325" s="62"/>
      <c r="O325" s="62"/>
      <c r="P325" s="77"/>
      <c r="Q325" s="62"/>
      <c r="R325" s="71"/>
      <c r="S325" s="71"/>
      <c r="T325" s="71"/>
      <c r="U325" s="68"/>
    </row>
    <row r="326" spans="2:21">
      <c r="B326" s="62"/>
      <c r="C326" s="62"/>
      <c r="D326" s="80"/>
      <c r="E326" s="80"/>
      <c r="F326" s="81"/>
      <c r="G326" s="72"/>
      <c r="H326" s="76"/>
      <c r="I326" s="62"/>
      <c r="J326" s="62"/>
      <c r="K326" s="54"/>
      <c r="L326" s="74"/>
      <c r="M326" s="62"/>
      <c r="N326" s="62"/>
      <c r="O326" s="62"/>
      <c r="P326" s="77"/>
      <c r="Q326" s="62"/>
      <c r="R326" s="71"/>
      <c r="S326" s="71"/>
      <c r="T326" s="71"/>
      <c r="U326" s="68"/>
    </row>
    <row r="327" spans="2:21">
      <c r="B327" s="62"/>
      <c r="C327" s="62"/>
      <c r="D327" s="80"/>
      <c r="E327" s="80"/>
      <c r="F327" s="81"/>
      <c r="G327" s="72"/>
      <c r="H327" s="76"/>
      <c r="I327" s="62"/>
      <c r="J327" s="62"/>
      <c r="K327" s="54"/>
      <c r="L327" s="74"/>
      <c r="M327" s="62"/>
      <c r="N327" s="62"/>
      <c r="O327" s="62"/>
      <c r="P327" s="77"/>
      <c r="Q327" s="62"/>
      <c r="R327" s="71"/>
      <c r="S327" s="71"/>
      <c r="T327" s="71"/>
      <c r="U327" s="68"/>
    </row>
    <row r="328" spans="2:21">
      <c r="B328" s="62"/>
      <c r="C328" s="62"/>
      <c r="D328" s="80"/>
      <c r="E328" s="80"/>
      <c r="F328" s="81"/>
      <c r="G328" s="72"/>
      <c r="H328" s="76"/>
      <c r="I328" s="62"/>
      <c r="J328" s="62"/>
      <c r="K328" s="54"/>
      <c r="L328" s="74"/>
      <c r="M328" s="62"/>
      <c r="N328" s="62"/>
      <c r="O328" s="62"/>
      <c r="P328" s="77"/>
      <c r="Q328" s="62"/>
      <c r="R328" s="71"/>
      <c r="S328" s="71"/>
      <c r="T328" s="71"/>
      <c r="U328" s="68"/>
    </row>
    <row r="329" spans="2:21">
      <c r="B329" s="62"/>
      <c r="C329" s="62"/>
      <c r="D329" s="80"/>
      <c r="E329" s="80"/>
      <c r="F329" s="81"/>
      <c r="G329" s="72"/>
      <c r="H329" s="76"/>
      <c r="I329" s="62"/>
      <c r="J329" s="62"/>
      <c r="K329" s="54"/>
      <c r="L329" s="74"/>
      <c r="M329" s="62"/>
      <c r="N329" s="62"/>
      <c r="O329" s="62"/>
      <c r="P329" s="77"/>
      <c r="Q329" s="62"/>
      <c r="R329" s="71"/>
      <c r="S329" s="71"/>
      <c r="T329" s="71"/>
      <c r="U329" s="68"/>
    </row>
    <row r="330" spans="2:21">
      <c r="B330" s="62"/>
      <c r="C330" s="62"/>
      <c r="D330" s="80"/>
      <c r="E330" s="80"/>
      <c r="F330" s="81"/>
      <c r="G330" s="72"/>
      <c r="H330" s="76"/>
      <c r="I330" s="62"/>
      <c r="J330" s="62"/>
      <c r="K330" s="54"/>
      <c r="L330" s="74"/>
      <c r="M330" s="62"/>
      <c r="N330" s="62"/>
      <c r="O330" s="62"/>
      <c r="P330" s="77"/>
      <c r="Q330" s="62"/>
      <c r="R330" s="71"/>
      <c r="S330" s="71"/>
      <c r="T330" s="71"/>
      <c r="U330" s="68"/>
    </row>
    <row r="331" spans="2:21">
      <c r="B331" s="62"/>
      <c r="C331" s="62"/>
      <c r="D331" s="80"/>
      <c r="E331" s="80"/>
      <c r="F331" s="81"/>
      <c r="G331" s="72"/>
      <c r="H331" s="76"/>
      <c r="I331" s="62"/>
      <c r="J331" s="62"/>
      <c r="K331" s="54"/>
      <c r="L331" s="74"/>
      <c r="M331" s="62"/>
      <c r="N331" s="62"/>
      <c r="O331" s="62"/>
      <c r="P331" s="77"/>
      <c r="Q331" s="62"/>
      <c r="R331" s="71"/>
      <c r="S331" s="71"/>
      <c r="T331" s="71"/>
      <c r="U331" s="68"/>
    </row>
    <row r="332" spans="2:21">
      <c r="B332" s="62"/>
      <c r="C332" s="62"/>
      <c r="D332" s="80"/>
      <c r="E332" s="80"/>
      <c r="F332" s="81"/>
      <c r="G332" s="72"/>
      <c r="H332" s="76"/>
      <c r="I332" s="62"/>
      <c r="J332" s="62"/>
      <c r="K332" s="54"/>
      <c r="L332" s="74"/>
      <c r="M332" s="62"/>
      <c r="N332" s="62"/>
      <c r="O332" s="62"/>
      <c r="P332" s="77"/>
      <c r="Q332" s="62"/>
      <c r="R332" s="71"/>
      <c r="S332" s="71"/>
      <c r="T332" s="71"/>
      <c r="U332" s="68"/>
    </row>
    <row r="333" spans="2:21">
      <c r="B333" s="62"/>
      <c r="C333" s="62"/>
      <c r="D333" s="80"/>
      <c r="E333" s="80"/>
      <c r="F333" s="81"/>
      <c r="G333" s="72"/>
      <c r="H333" s="76"/>
      <c r="I333" s="62"/>
      <c r="J333" s="62"/>
      <c r="K333" s="54"/>
      <c r="L333" s="74"/>
      <c r="M333" s="62"/>
      <c r="N333" s="62"/>
      <c r="O333" s="62"/>
      <c r="P333" s="77"/>
      <c r="Q333" s="62"/>
      <c r="R333" s="71"/>
      <c r="S333" s="71"/>
      <c r="T333" s="71"/>
      <c r="U333" s="68"/>
    </row>
    <row r="334" spans="2:21">
      <c r="B334" s="62"/>
      <c r="C334" s="62"/>
      <c r="D334" s="80"/>
      <c r="E334" s="80"/>
      <c r="F334" s="81"/>
      <c r="G334" s="72"/>
      <c r="H334" s="76"/>
      <c r="I334" s="62"/>
      <c r="J334" s="62"/>
      <c r="K334" s="54"/>
      <c r="L334" s="74"/>
      <c r="M334" s="62"/>
      <c r="N334" s="62"/>
      <c r="O334" s="62"/>
      <c r="P334" s="77"/>
      <c r="Q334" s="62"/>
      <c r="R334" s="71"/>
      <c r="S334" s="71"/>
      <c r="T334" s="71"/>
      <c r="U334" s="68"/>
    </row>
    <row r="335" spans="2:21">
      <c r="B335" s="62"/>
      <c r="C335" s="62"/>
      <c r="D335" s="80"/>
      <c r="E335" s="80"/>
      <c r="F335" s="81"/>
      <c r="G335" s="72"/>
      <c r="H335" s="76"/>
      <c r="I335" s="62"/>
      <c r="J335" s="62"/>
      <c r="K335" s="54"/>
      <c r="L335" s="74"/>
      <c r="M335" s="62"/>
      <c r="N335" s="62"/>
      <c r="O335" s="62"/>
      <c r="P335" s="77"/>
      <c r="Q335" s="62"/>
      <c r="R335" s="71"/>
      <c r="S335" s="71"/>
      <c r="T335" s="71"/>
      <c r="U335" s="68"/>
    </row>
    <row r="336" spans="2:21">
      <c r="B336" s="62"/>
      <c r="C336" s="62"/>
      <c r="D336" s="80"/>
      <c r="E336" s="80"/>
      <c r="F336" s="81"/>
      <c r="G336" s="72"/>
      <c r="H336" s="76"/>
      <c r="I336" s="62"/>
      <c r="J336" s="62"/>
      <c r="K336" s="54"/>
      <c r="L336" s="74"/>
      <c r="M336" s="62"/>
      <c r="N336" s="62"/>
      <c r="O336" s="62"/>
      <c r="P336" s="77"/>
      <c r="Q336" s="62"/>
      <c r="R336" s="71"/>
      <c r="S336" s="71"/>
      <c r="T336" s="71"/>
      <c r="U336" s="68"/>
    </row>
    <row r="337" spans="2:21">
      <c r="B337" s="62"/>
      <c r="C337" s="62"/>
      <c r="D337" s="80"/>
      <c r="E337" s="80"/>
      <c r="F337" s="81"/>
      <c r="G337" s="72"/>
      <c r="H337" s="76"/>
      <c r="I337" s="62"/>
      <c r="J337" s="62"/>
      <c r="K337" s="54"/>
      <c r="L337" s="74"/>
      <c r="M337" s="62"/>
      <c r="N337" s="62"/>
      <c r="O337" s="62"/>
      <c r="P337" s="77"/>
      <c r="Q337" s="62"/>
      <c r="R337" s="71"/>
      <c r="S337" s="71"/>
      <c r="T337" s="71"/>
      <c r="U337" s="68"/>
    </row>
    <row r="338" spans="2:21">
      <c r="B338" s="62"/>
      <c r="C338" s="62"/>
      <c r="D338" s="80"/>
      <c r="E338" s="80"/>
      <c r="F338" s="81"/>
      <c r="G338" s="72"/>
      <c r="H338" s="76"/>
      <c r="I338" s="62"/>
      <c r="J338" s="62"/>
      <c r="K338" s="54"/>
      <c r="L338" s="74"/>
      <c r="M338" s="62"/>
      <c r="N338" s="62"/>
      <c r="O338" s="62"/>
      <c r="P338" s="77"/>
      <c r="Q338" s="62"/>
      <c r="R338" s="71"/>
      <c r="S338" s="71"/>
      <c r="T338" s="71"/>
      <c r="U338" s="68"/>
    </row>
    <row r="339" spans="2:21">
      <c r="B339" s="62"/>
      <c r="C339" s="62"/>
      <c r="D339" s="80"/>
      <c r="E339" s="80"/>
      <c r="F339" s="81"/>
      <c r="G339" s="72"/>
      <c r="H339" s="76"/>
      <c r="I339" s="62"/>
      <c r="J339" s="62"/>
      <c r="K339" s="54"/>
      <c r="L339" s="74"/>
      <c r="M339" s="62"/>
      <c r="N339" s="62"/>
      <c r="O339" s="62"/>
      <c r="P339" s="77"/>
      <c r="Q339" s="62"/>
      <c r="R339" s="71"/>
      <c r="S339" s="71"/>
      <c r="T339" s="71"/>
      <c r="U339" s="68"/>
    </row>
    <row r="340" spans="2:21">
      <c r="B340" s="62"/>
      <c r="C340" s="62"/>
      <c r="D340" s="80"/>
      <c r="E340" s="80"/>
      <c r="F340" s="81"/>
      <c r="G340" s="72"/>
      <c r="H340" s="76"/>
      <c r="I340" s="62"/>
      <c r="J340" s="62"/>
      <c r="K340" s="54"/>
      <c r="L340" s="74"/>
      <c r="M340" s="62"/>
      <c r="N340" s="62"/>
      <c r="O340" s="62"/>
      <c r="P340" s="77"/>
      <c r="Q340" s="62"/>
      <c r="R340" s="71"/>
      <c r="S340" s="71"/>
      <c r="T340" s="71"/>
      <c r="U340" s="68"/>
    </row>
    <row r="341" spans="2:21">
      <c r="B341" s="62"/>
      <c r="C341" s="62"/>
      <c r="D341" s="80"/>
      <c r="E341" s="80"/>
      <c r="F341" s="81"/>
      <c r="G341" s="72"/>
      <c r="H341" s="76"/>
      <c r="I341" s="62"/>
      <c r="J341" s="62"/>
      <c r="K341" s="54"/>
      <c r="L341" s="74"/>
      <c r="M341" s="62"/>
      <c r="N341" s="62"/>
      <c r="O341" s="62"/>
      <c r="P341" s="77"/>
      <c r="Q341" s="62"/>
      <c r="R341" s="71"/>
      <c r="S341" s="71"/>
      <c r="T341" s="71"/>
      <c r="U341" s="68"/>
    </row>
    <row r="342" spans="2:21">
      <c r="B342" s="62"/>
      <c r="C342" s="62"/>
      <c r="D342" s="80"/>
      <c r="E342" s="80"/>
      <c r="F342" s="81"/>
      <c r="G342" s="72"/>
      <c r="H342" s="76"/>
      <c r="I342" s="62"/>
      <c r="J342" s="62"/>
      <c r="K342" s="54"/>
      <c r="L342" s="74"/>
      <c r="M342" s="62"/>
      <c r="N342" s="62"/>
      <c r="O342" s="62"/>
      <c r="P342" s="77"/>
      <c r="Q342" s="62"/>
      <c r="R342" s="71"/>
      <c r="S342" s="71"/>
      <c r="T342" s="71"/>
      <c r="U342" s="68"/>
    </row>
    <row r="343" spans="2:21">
      <c r="B343" s="62"/>
      <c r="C343" s="62"/>
      <c r="D343" s="80"/>
      <c r="E343" s="80"/>
      <c r="F343" s="81"/>
      <c r="G343" s="72"/>
      <c r="H343" s="76"/>
      <c r="I343" s="62"/>
      <c r="J343" s="62"/>
      <c r="K343" s="54"/>
      <c r="L343" s="74"/>
      <c r="M343" s="62"/>
      <c r="N343" s="62"/>
      <c r="O343" s="62"/>
      <c r="P343" s="77"/>
      <c r="Q343" s="62"/>
      <c r="R343" s="71"/>
      <c r="S343" s="71"/>
      <c r="T343" s="71"/>
      <c r="U343" s="68"/>
    </row>
    <row r="344" spans="2:21">
      <c r="B344" s="62"/>
      <c r="C344" s="62"/>
      <c r="D344" s="80"/>
      <c r="E344" s="80"/>
      <c r="F344" s="81"/>
      <c r="G344" s="72"/>
      <c r="H344" s="76"/>
      <c r="I344" s="62"/>
      <c r="J344" s="62"/>
      <c r="K344" s="54"/>
      <c r="L344" s="74"/>
      <c r="M344" s="62"/>
      <c r="N344" s="62"/>
      <c r="O344" s="62"/>
      <c r="P344" s="77"/>
      <c r="Q344" s="62"/>
      <c r="R344" s="71"/>
      <c r="S344" s="71"/>
      <c r="T344" s="71"/>
      <c r="U344" s="68"/>
    </row>
    <row r="345" spans="2:21">
      <c r="B345" s="62"/>
      <c r="C345" s="62"/>
      <c r="D345" s="80"/>
      <c r="E345" s="80"/>
      <c r="F345" s="81"/>
      <c r="G345" s="72"/>
      <c r="H345" s="76"/>
      <c r="I345" s="62"/>
      <c r="J345" s="62"/>
      <c r="K345" s="54"/>
      <c r="L345" s="74"/>
      <c r="M345" s="62"/>
      <c r="N345" s="62"/>
      <c r="O345" s="62"/>
      <c r="P345" s="77"/>
      <c r="Q345" s="62"/>
      <c r="R345" s="71"/>
      <c r="S345" s="71"/>
      <c r="T345" s="71"/>
      <c r="U345" s="68"/>
    </row>
    <row r="346" spans="2:21">
      <c r="B346" s="62"/>
      <c r="C346" s="62"/>
      <c r="D346" s="80"/>
      <c r="E346" s="80"/>
      <c r="F346" s="81"/>
      <c r="G346" s="72"/>
      <c r="H346" s="76"/>
      <c r="I346" s="62"/>
      <c r="J346" s="62"/>
      <c r="K346" s="54"/>
      <c r="L346" s="74"/>
      <c r="M346" s="62"/>
      <c r="N346" s="62"/>
      <c r="O346" s="62"/>
      <c r="P346" s="77"/>
      <c r="Q346" s="62"/>
      <c r="R346" s="71"/>
      <c r="S346" s="71"/>
      <c r="T346" s="71"/>
      <c r="U346" s="68"/>
    </row>
    <row r="347" spans="2:21">
      <c r="B347" s="62"/>
      <c r="C347" s="62"/>
      <c r="D347" s="80"/>
      <c r="E347" s="80"/>
      <c r="F347" s="81"/>
      <c r="G347" s="72"/>
      <c r="H347" s="76"/>
      <c r="I347" s="62"/>
      <c r="J347" s="62"/>
      <c r="K347" s="54"/>
      <c r="L347" s="74"/>
      <c r="M347" s="62"/>
      <c r="N347" s="62"/>
      <c r="O347" s="62"/>
      <c r="P347" s="77"/>
      <c r="Q347" s="62"/>
      <c r="R347" s="71"/>
      <c r="S347" s="71"/>
      <c r="T347" s="71"/>
      <c r="U347" s="68"/>
    </row>
    <row r="348" spans="2:21">
      <c r="B348" s="62"/>
      <c r="C348" s="62"/>
      <c r="D348" s="80"/>
      <c r="E348" s="80"/>
      <c r="F348" s="81"/>
      <c r="G348" s="72"/>
      <c r="H348" s="76"/>
      <c r="I348" s="62"/>
      <c r="J348" s="62"/>
      <c r="K348" s="54"/>
      <c r="L348" s="74"/>
      <c r="M348" s="62"/>
      <c r="N348" s="62"/>
      <c r="O348" s="62"/>
      <c r="P348" s="77"/>
      <c r="Q348" s="62"/>
      <c r="R348" s="71"/>
      <c r="S348" s="71"/>
      <c r="T348" s="71"/>
      <c r="U348" s="68"/>
    </row>
    <row r="349" spans="2:21">
      <c r="B349" s="62"/>
      <c r="C349" s="62"/>
      <c r="D349" s="80"/>
      <c r="E349" s="80"/>
      <c r="F349" s="81"/>
      <c r="G349" s="72"/>
      <c r="H349" s="76"/>
      <c r="I349" s="62"/>
      <c r="J349" s="62"/>
      <c r="K349" s="54"/>
      <c r="L349" s="74"/>
      <c r="M349" s="62"/>
      <c r="N349" s="62"/>
      <c r="O349" s="62"/>
      <c r="P349" s="77"/>
      <c r="Q349" s="62"/>
      <c r="R349" s="71"/>
      <c r="S349" s="71"/>
      <c r="T349" s="71"/>
      <c r="U349" s="68"/>
    </row>
    <row r="350" spans="2:21">
      <c r="B350" s="62"/>
      <c r="C350" s="62"/>
      <c r="D350" s="80"/>
      <c r="E350" s="80"/>
      <c r="F350" s="81"/>
      <c r="G350" s="72"/>
      <c r="H350" s="76"/>
      <c r="I350" s="62"/>
      <c r="J350" s="62"/>
      <c r="K350" s="54"/>
      <c r="L350" s="74"/>
      <c r="M350" s="62"/>
      <c r="N350" s="62"/>
      <c r="O350" s="62"/>
      <c r="P350" s="77"/>
      <c r="Q350" s="62"/>
      <c r="R350" s="71"/>
      <c r="S350" s="71"/>
      <c r="T350" s="71"/>
      <c r="U350" s="68"/>
    </row>
    <row r="351" spans="2:21">
      <c r="B351" s="62"/>
      <c r="C351" s="62"/>
      <c r="D351" s="80"/>
      <c r="E351" s="80"/>
      <c r="F351" s="81"/>
      <c r="G351" s="72"/>
      <c r="H351" s="76"/>
      <c r="I351" s="62"/>
      <c r="J351" s="62"/>
      <c r="K351" s="54"/>
      <c r="L351" s="74"/>
      <c r="M351" s="62"/>
      <c r="N351" s="62"/>
      <c r="O351" s="62"/>
      <c r="P351" s="77"/>
      <c r="Q351" s="62"/>
      <c r="R351" s="71"/>
      <c r="S351" s="71"/>
      <c r="T351" s="71"/>
      <c r="U351" s="68"/>
    </row>
    <row r="352" spans="2:21">
      <c r="B352" s="62"/>
      <c r="C352" s="62"/>
      <c r="D352" s="80"/>
      <c r="E352" s="80"/>
      <c r="F352" s="81"/>
      <c r="G352" s="72"/>
      <c r="H352" s="76"/>
      <c r="I352" s="62"/>
      <c r="J352" s="62"/>
      <c r="K352" s="54"/>
      <c r="L352" s="74"/>
      <c r="M352" s="62"/>
      <c r="N352" s="62"/>
      <c r="O352" s="62"/>
      <c r="P352" s="77"/>
      <c r="Q352" s="62"/>
      <c r="R352" s="71"/>
      <c r="S352" s="71"/>
      <c r="T352" s="71"/>
      <c r="U352" s="68"/>
    </row>
    <row r="353" spans="2:21">
      <c r="B353" s="62"/>
      <c r="C353" s="62"/>
      <c r="D353" s="80"/>
      <c r="E353" s="80"/>
      <c r="F353" s="81"/>
      <c r="G353" s="72"/>
      <c r="H353" s="76"/>
      <c r="I353" s="62"/>
      <c r="J353" s="62"/>
      <c r="K353" s="54"/>
      <c r="L353" s="74"/>
      <c r="M353" s="62"/>
      <c r="N353" s="62"/>
      <c r="O353" s="62"/>
      <c r="P353" s="77"/>
      <c r="Q353" s="62"/>
      <c r="R353" s="71"/>
      <c r="S353" s="71"/>
      <c r="T353" s="71"/>
      <c r="U353" s="68"/>
    </row>
    <row r="354" spans="2:21">
      <c r="B354" s="62"/>
      <c r="C354" s="62"/>
      <c r="D354" s="80"/>
      <c r="E354" s="80"/>
      <c r="F354" s="81"/>
      <c r="G354" s="72"/>
      <c r="H354" s="76"/>
      <c r="I354" s="62"/>
      <c r="J354" s="62"/>
      <c r="K354" s="54"/>
      <c r="L354" s="74"/>
      <c r="M354" s="62"/>
      <c r="N354" s="62"/>
      <c r="O354" s="62"/>
      <c r="P354" s="77"/>
      <c r="Q354" s="62"/>
      <c r="R354" s="71"/>
      <c r="S354" s="71"/>
      <c r="T354" s="71"/>
      <c r="U354" s="68"/>
    </row>
    <row r="355" spans="2:21">
      <c r="B355" s="62"/>
      <c r="C355" s="62"/>
      <c r="D355" s="80"/>
      <c r="E355" s="80"/>
      <c r="F355" s="81"/>
      <c r="G355" s="72"/>
      <c r="H355" s="76"/>
      <c r="I355" s="62"/>
      <c r="J355" s="62"/>
      <c r="K355" s="54"/>
      <c r="L355" s="74"/>
      <c r="M355" s="62"/>
      <c r="N355" s="62"/>
      <c r="O355" s="62"/>
      <c r="P355" s="77"/>
      <c r="Q355" s="62"/>
      <c r="R355" s="71"/>
      <c r="S355" s="71"/>
      <c r="T355" s="71"/>
      <c r="U355" s="68"/>
    </row>
    <row r="356" spans="2:21">
      <c r="B356" s="62"/>
      <c r="C356" s="62"/>
      <c r="D356" s="80"/>
      <c r="E356" s="80"/>
      <c r="F356" s="81"/>
      <c r="G356" s="72"/>
      <c r="H356" s="76"/>
      <c r="I356" s="62"/>
      <c r="J356" s="62"/>
      <c r="K356" s="54"/>
      <c r="L356" s="74"/>
      <c r="M356" s="62"/>
      <c r="N356" s="62"/>
      <c r="O356" s="62"/>
      <c r="P356" s="77"/>
      <c r="Q356" s="62"/>
      <c r="R356" s="71"/>
      <c r="S356" s="71"/>
      <c r="T356" s="71"/>
      <c r="U356" s="68"/>
    </row>
    <row r="357" spans="2:21">
      <c r="B357" s="62"/>
      <c r="C357" s="62"/>
      <c r="D357" s="80"/>
      <c r="E357" s="80"/>
      <c r="F357" s="81"/>
      <c r="G357" s="72"/>
      <c r="H357" s="76"/>
      <c r="I357" s="62"/>
      <c r="J357" s="62"/>
      <c r="K357" s="54"/>
      <c r="L357" s="74"/>
      <c r="M357" s="62"/>
      <c r="N357" s="62"/>
      <c r="O357" s="62"/>
      <c r="P357" s="77"/>
      <c r="Q357" s="62"/>
      <c r="R357" s="71"/>
      <c r="S357" s="71"/>
      <c r="T357" s="71"/>
      <c r="U357" s="68"/>
    </row>
    <row r="358" spans="2:21">
      <c r="B358" s="62"/>
      <c r="C358" s="62"/>
      <c r="D358" s="80"/>
      <c r="E358" s="80"/>
      <c r="F358" s="81"/>
      <c r="G358" s="72"/>
      <c r="H358" s="76"/>
      <c r="I358" s="62"/>
      <c r="J358" s="62"/>
      <c r="K358" s="54"/>
      <c r="L358" s="74"/>
      <c r="M358" s="62"/>
      <c r="N358" s="62"/>
      <c r="O358" s="62"/>
      <c r="P358" s="77"/>
      <c r="Q358" s="62"/>
      <c r="R358" s="71"/>
      <c r="S358" s="71"/>
      <c r="T358" s="71"/>
      <c r="U358" s="68"/>
    </row>
    <row r="359" spans="2:21">
      <c r="B359" s="62"/>
      <c r="C359" s="62"/>
      <c r="D359" s="80"/>
      <c r="E359" s="80"/>
      <c r="F359" s="81"/>
      <c r="G359" s="72"/>
      <c r="H359" s="76"/>
      <c r="I359" s="62"/>
      <c r="J359" s="62"/>
      <c r="K359" s="54"/>
      <c r="L359" s="74"/>
      <c r="M359" s="62"/>
      <c r="N359" s="62"/>
      <c r="O359" s="62"/>
      <c r="P359" s="77"/>
      <c r="Q359" s="62"/>
      <c r="R359" s="71"/>
      <c r="S359" s="71"/>
      <c r="T359" s="71"/>
      <c r="U359" s="68"/>
    </row>
    <row r="360" spans="2:21">
      <c r="B360" s="62"/>
      <c r="C360" s="62"/>
      <c r="D360" s="80"/>
      <c r="E360" s="80"/>
      <c r="F360" s="81"/>
      <c r="G360" s="72"/>
      <c r="H360" s="76"/>
      <c r="I360" s="62"/>
      <c r="J360" s="62"/>
      <c r="K360" s="54"/>
      <c r="L360" s="74"/>
      <c r="M360" s="62"/>
      <c r="N360" s="62"/>
      <c r="O360" s="62"/>
      <c r="P360" s="77"/>
      <c r="Q360" s="62"/>
      <c r="R360" s="71"/>
      <c r="S360" s="71"/>
      <c r="T360" s="71"/>
      <c r="U360" s="68"/>
    </row>
    <row r="361" spans="2:21">
      <c r="B361" s="62"/>
      <c r="C361" s="62"/>
      <c r="D361" s="80"/>
      <c r="E361" s="80"/>
      <c r="F361" s="81"/>
      <c r="G361" s="72"/>
      <c r="H361" s="76"/>
      <c r="I361" s="62"/>
      <c r="J361" s="62"/>
      <c r="K361" s="54"/>
      <c r="L361" s="74"/>
      <c r="M361" s="62"/>
      <c r="N361" s="62"/>
      <c r="O361" s="62"/>
      <c r="P361" s="77"/>
      <c r="Q361" s="62"/>
      <c r="R361" s="71"/>
      <c r="S361" s="71"/>
      <c r="T361" s="71"/>
      <c r="U361" s="68"/>
    </row>
    <row r="362" spans="2:21">
      <c r="B362" s="62"/>
      <c r="C362" s="62"/>
      <c r="D362" s="80"/>
      <c r="E362" s="80"/>
      <c r="F362" s="81"/>
      <c r="G362" s="72"/>
      <c r="H362" s="76"/>
      <c r="I362" s="62"/>
      <c r="J362" s="62"/>
      <c r="K362" s="54"/>
      <c r="L362" s="74"/>
      <c r="M362" s="62"/>
      <c r="N362" s="62"/>
      <c r="O362" s="62"/>
      <c r="P362" s="77"/>
      <c r="Q362" s="62"/>
      <c r="R362" s="71"/>
      <c r="S362" s="71"/>
      <c r="T362" s="71"/>
      <c r="U362" s="68"/>
    </row>
    <row r="363" spans="2:21">
      <c r="B363" s="62"/>
      <c r="C363" s="62"/>
      <c r="D363" s="80"/>
      <c r="E363" s="80"/>
      <c r="F363" s="81"/>
      <c r="G363" s="72"/>
      <c r="H363" s="76"/>
      <c r="I363" s="62"/>
      <c r="J363" s="62"/>
      <c r="K363" s="54"/>
      <c r="L363" s="74"/>
      <c r="M363" s="62"/>
      <c r="N363" s="62"/>
      <c r="O363" s="62"/>
      <c r="P363" s="77"/>
      <c r="Q363" s="62"/>
      <c r="R363" s="71"/>
      <c r="S363" s="71"/>
      <c r="T363" s="71"/>
      <c r="U363" s="68"/>
    </row>
    <row r="364" spans="2:21">
      <c r="B364" s="62"/>
      <c r="C364" s="62"/>
      <c r="D364" s="80"/>
      <c r="E364" s="80"/>
      <c r="F364" s="81"/>
      <c r="G364" s="72"/>
      <c r="H364" s="76"/>
      <c r="I364" s="62"/>
      <c r="J364" s="62"/>
      <c r="K364" s="54"/>
      <c r="L364" s="74"/>
      <c r="M364" s="62"/>
      <c r="N364" s="62"/>
      <c r="O364" s="62"/>
      <c r="P364" s="77"/>
      <c r="Q364" s="62"/>
      <c r="R364" s="71"/>
      <c r="S364" s="71"/>
      <c r="T364" s="71"/>
      <c r="U364" s="68"/>
    </row>
    <row r="365" spans="2:21">
      <c r="B365" s="62"/>
      <c r="C365" s="62"/>
      <c r="D365" s="80"/>
      <c r="E365" s="80"/>
      <c r="F365" s="81"/>
      <c r="G365" s="72"/>
      <c r="H365" s="76"/>
      <c r="I365" s="62"/>
      <c r="J365" s="62"/>
      <c r="K365" s="54"/>
      <c r="L365" s="74"/>
      <c r="M365" s="62"/>
      <c r="N365" s="62"/>
      <c r="O365" s="62"/>
      <c r="P365" s="77"/>
      <c r="Q365" s="62"/>
      <c r="R365" s="71"/>
      <c r="S365" s="71"/>
      <c r="T365" s="71"/>
      <c r="U365" s="68"/>
    </row>
    <row r="366" spans="2:21">
      <c r="B366" s="62"/>
      <c r="C366" s="62"/>
      <c r="D366" s="80"/>
      <c r="E366" s="80"/>
      <c r="F366" s="81"/>
      <c r="G366" s="72"/>
      <c r="H366" s="76"/>
      <c r="I366" s="62"/>
      <c r="J366" s="62"/>
      <c r="K366" s="54"/>
      <c r="L366" s="74"/>
      <c r="M366" s="62"/>
      <c r="N366" s="62"/>
      <c r="O366" s="62"/>
      <c r="P366" s="77"/>
      <c r="Q366" s="62"/>
      <c r="R366" s="71"/>
      <c r="S366" s="71"/>
      <c r="T366" s="71"/>
      <c r="U366" s="68"/>
    </row>
    <row r="367" spans="2:21">
      <c r="B367" s="62"/>
      <c r="C367" s="62"/>
      <c r="D367" s="80"/>
      <c r="E367" s="80"/>
      <c r="F367" s="81"/>
      <c r="G367" s="72"/>
      <c r="H367" s="76"/>
      <c r="I367" s="62"/>
      <c r="J367" s="62"/>
      <c r="K367" s="54"/>
      <c r="L367" s="74"/>
      <c r="M367" s="62"/>
      <c r="N367" s="62"/>
      <c r="O367" s="62"/>
      <c r="P367" s="77"/>
      <c r="Q367" s="62"/>
      <c r="R367" s="71"/>
      <c r="S367" s="71"/>
      <c r="T367" s="71"/>
      <c r="U367" s="68"/>
    </row>
    <row r="368" spans="2:21">
      <c r="B368" s="62"/>
      <c r="C368" s="62"/>
      <c r="D368" s="80"/>
      <c r="E368" s="80"/>
      <c r="F368" s="81"/>
      <c r="G368" s="72"/>
      <c r="H368" s="76"/>
      <c r="I368" s="62"/>
      <c r="J368" s="62"/>
      <c r="K368" s="54"/>
      <c r="L368" s="74"/>
      <c r="M368" s="62"/>
      <c r="N368" s="62"/>
      <c r="O368" s="62"/>
      <c r="P368" s="77"/>
      <c r="Q368" s="62"/>
      <c r="R368" s="71"/>
      <c r="S368" s="71"/>
      <c r="T368" s="71"/>
      <c r="U368" s="68"/>
    </row>
    <row r="369" spans="2:21">
      <c r="B369" s="62"/>
      <c r="C369" s="62"/>
      <c r="D369" s="80"/>
      <c r="E369" s="80"/>
      <c r="F369" s="81"/>
      <c r="G369" s="72"/>
      <c r="H369" s="76"/>
      <c r="I369" s="62"/>
      <c r="J369" s="62"/>
      <c r="K369" s="54"/>
      <c r="L369" s="74"/>
      <c r="M369" s="62"/>
      <c r="N369" s="62"/>
      <c r="O369" s="62"/>
      <c r="P369" s="77"/>
      <c r="Q369" s="62"/>
      <c r="R369" s="71"/>
      <c r="S369" s="71"/>
      <c r="T369" s="71"/>
      <c r="U369" s="68"/>
    </row>
    <row r="370" spans="2:21">
      <c r="B370" s="62"/>
      <c r="C370" s="62"/>
      <c r="D370" s="80"/>
      <c r="E370" s="80"/>
      <c r="F370" s="81"/>
      <c r="G370" s="72"/>
      <c r="H370" s="76"/>
      <c r="I370" s="62"/>
      <c r="J370" s="62"/>
      <c r="K370" s="54"/>
      <c r="L370" s="74"/>
      <c r="M370" s="62"/>
      <c r="N370" s="62"/>
      <c r="O370" s="62"/>
      <c r="P370" s="77"/>
      <c r="Q370" s="62"/>
      <c r="R370" s="71"/>
      <c r="S370" s="71"/>
      <c r="T370" s="71"/>
      <c r="U370" s="68"/>
    </row>
    <row r="371" spans="2:21">
      <c r="B371" s="62"/>
      <c r="C371" s="62"/>
      <c r="D371" s="80"/>
      <c r="E371" s="80"/>
      <c r="F371" s="81"/>
      <c r="G371" s="72"/>
      <c r="H371" s="76"/>
      <c r="I371" s="62"/>
      <c r="J371" s="62"/>
      <c r="K371" s="54"/>
      <c r="L371" s="74"/>
      <c r="M371" s="62"/>
      <c r="N371" s="62"/>
      <c r="O371" s="62"/>
      <c r="P371" s="77"/>
      <c r="Q371" s="62"/>
      <c r="R371" s="71"/>
      <c r="S371" s="71"/>
      <c r="T371" s="71"/>
      <c r="U371" s="68"/>
    </row>
    <row r="372" spans="2:21">
      <c r="B372" s="62"/>
      <c r="C372" s="62"/>
      <c r="D372" s="80"/>
      <c r="E372" s="80"/>
      <c r="F372" s="81"/>
      <c r="G372" s="72"/>
      <c r="H372" s="76"/>
      <c r="I372" s="62"/>
      <c r="J372" s="62"/>
      <c r="K372" s="54"/>
      <c r="L372" s="74"/>
      <c r="M372" s="62"/>
      <c r="N372" s="62"/>
      <c r="O372" s="62"/>
      <c r="P372" s="77"/>
      <c r="Q372" s="62"/>
      <c r="R372" s="71"/>
      <c r="S372" s="71"/>
      <c r="T372" s="71"/>
      <c r="U372" s="68"/>
    </row>
    <row r="373" spans="2:21">
      <c r="B373" s="62"/>
      <c r="C373" s="62"/>
      <c r="D373" s="80"/>
      <c r="E373" s="80"/>
      <c r="F373" s="81"/>
      <c r="G373" s="72"/>
      <c r="H373" s="76"/>
      <c r="I373" s="62"/>
      <c r="J373" s="62"/>
      <c r="K373" s="54"/>
      <c r="L373" s="74"/>
      <c r="M373" s="62"/>
      <c r="N373" s="62"/>
      <c r="O373" s="62"/>
      <c r="P373" s="77"/>
      <c r="Q373" s="62"/>
      <c r="R373" s="71"/>
      <c r="S373" s="71"/>
      <c r="T373" s="71"/>
      <c r="U373" s="68"/>
    </row>
    <row r="374" spans="2:21">
      <c r="B374" s="62"/>
      <c r="C374" s="62"/>
      <c r="D374" s="80"/>
      <c r="E374" s="80"/>
      <c r="F374" s="81"/>
      <c r="G374" s="72"/>
      <c r="H374" s="76"/>
      <c r="I374" s="62"/>
      <c r="J374" s="62"/>
      <c r="K374" s="54"/>
      <c r="L374" s="74"/>
      <c r="M374" s="62"/>
      <c r="N374" s="62"/>
      <c r="O374" s="62"/>
      <c r="P374" s="77"/>
      <c r="Q374" s="62"/>
      <c r="R374" s="71"/>
      <c r="S374" s="71"/>
      <c r="T374" s="71"/>
      <c r="U374" s="68"/>
    </row>
    <row r="375" spans="2:21">
      <c r="B375" s="62"/>
      <c r="C375" s="62"/>
      <c r="D375" s="80"/>
      <c r="E375" s="80"/>
      <c r="F375" s="81"/>
      <c r="G375" s="72"/>
      <c r="H375" s="76"/>
      <c r="I375" s="62"/>
      <c r="J375" s="62"/>
      <c r="K375" s="54"/>
      <c r="L375" s="74"/>
      <c r="M375" s="62"/>
      <c r="N375" s="62"/>
      <c r="O375" s="62"/>
      <c r="P375" s="77"/>
      <c r="Q375" s="62"/>
      <c r="R375" s="71"/>
      <c r="S375" s="71"/>
      <c r="T375" s="71"/>
      <c r="U375" s="68"/>
    </row>
    <row r="376" spans="2:21">
      <c r="B376" s="62"/>
      <c r="C376" s="62"/>
      <c r="D376" s="80"/>
      <c r="E376" s="80"/>
      <c r="F376" s="81"/>
      <c r="G376" s="72"/>
      <c r="H376" s="76"/>
      <c r="I376" s="62"/>
      <c r="J376" s="62"/>
      <c r="K376" s="54"/>
      <c r="L376" s="74"/>
      <c r="M376" s="62"/>
      <c r="N376" s="62"/>
      <c r="O376" s="62"/>
      <c r="P376" s="77"/>
      <c r="Q376" s="62"/>
      <c r="R376" s="71"/>
      <c r="S376" s="71"/>
      <c r="T376" s="71"/>
      <c r="U376" s="68"/>
    </row>
    <row r="377" spans="2:21">
      <c r="B377" s="62"/>
      <c r="C377" s="62"/>
      <c r="D377" s="80"/>
      <c r="E377" s="80"/>
      <c r="F377" s="81"/>
      <c r="G377" s="72"/>
      <c r="H377" s="76"/>
      <c r="I377" s="62"/>
      <c r="J377" s="62"/>
      <c r="K377" s="54"/>
      <c r="L377" s="74"/>
      <c r="M377" s="62"/>
      <c r="N377" s="62"/>
      <c r="O377" s="62"/>
      <c r="P377" s="77"/>
      <c r="Q377" s="62"/>
      <c r="R377" s="71"/>
      <c r="S377" s="71"/>
      <c r="T377" s="71"/>
      <c r="U377" s="68"/>
    </row>
    <row r="378" spans="2:21">
      <c r="B378" s="62"/>
      <c r="C378" s="62"/>
      <c r="D378" s="80"/>
      <c r="E378" s="80"/>
      <c r="F378" s="81"/>
      <c r="G378" s="72"/>
      <c r="H378" s="76"/>
      <c r="I378" s="62"/>
      <c r="J378" s="62"/>
      <c r="K378" s="54"/>
      <c r="L378" s="74"/>
      <c r="M378" s="62"/>
      <c r="N378" s="62"/>
      <c r="O378" s="62"/>
      <c r="P378" s="77"/>
      <c r="Q378" s="62"/>
      <c r="R378" s="71"/>
      <c r="S378" s="71"/>
      <c r="T378" s="71"/>
      <c r="U378" s="68"/>
    </row>
    <row r="379" spans="2:21">
      <c r="B379" s="62"/>
      <c r="C379" s="62"/>
      <c r="D379" s="80"/>
      <c r="E379" s="80"/>
      <c r="F379" s="81"/>
      <c r="G379" s="72"/>
      <c r="H379" s="76"/>
      <c r="I379" s="62"/>
      <c r="J379" s="62"/>
      <c r="K379" s="54"/>
      <c r="L379" s="74"/>
      <c r="M379" s="62"/>
      <c r="N379" s="62"/>
      <c r="O379" s="62"/>
      <c r="P379" s="77"/>
      <c r="Q379" s="62"/>
      <c r="R379" s="71"/>
      <c r="S379" s="71"/>
      <c r="T379" s="71"/>
      <c r="U379" s="68"/>
    </row>
    <row r="380" spans="2:21">
      <c r="B380" s="62"/>
      <c r="C380" s="62"/>
      <c r="D380" s="80"/>
      <c r="E380" s="80"/>
      <c r="F380" s="81"/>
      <c r="G380" s="72"/>
      <c r="H380" s="76"/>
      <c r="I380" s="62"/>
      <c r="J380" s="62"/>
      <c r="K380" s="54"/>
      <c r="L380" s="74"/>
      <c r="M380" s="62"/>
      <c r="N380" s="62"/>
      <c r="O380" s="62"/>
      <c r="P380" s="77"/>
      <c r="Q380" s="62"/>
      <c r="R380" s="71"/>
      <c r="S380" s="71"/>
      <c r="T380" s="71"/>
      <c r="U380" s="68"/>
    </row>
    <row r="381" spans="2:21">
      <c r="B381" s="62"/>
      <c r="C381" s="62"/>
      <c r="D381" s="80"/>
      <c r="E381" s="80"/>
      <c r="F381" s="81"/>
      <c r="G381" s="72"/>
      <c r="H381" s="76"/>
      <c r="I381" s="62"/>
      <c r="J381" s="62"/>
      <c r="K381" s="54"/>
      <c r="L381" s="74"/>
      <c r="M381" s="62"/>
      <c r="N381" s="62"/>
      <c r="O381" s="62"/>
      <c r="P381" s="77"/>
      <c r="Q381" s="62"/>
      <c r="R381" s="71"/>
      <c r="S381" s="71"/>
      <c r="T381" s="71"/>
      <c r="U381" s="68"/>
    </row>
    <row r="382" spans="2:21">
      <c r="B382" s="62"/>
      <c r="C382" s="62"/>
      <c r="D382" s="80"/>
      <c r="E382" s="80"/>
      <c r="F382" s="81"/>
      <c r="G382" s="72"/>
      <c r="H382" s="76"/>
      <c r="I382" s="62"/>
      <c r="J382" s="62"/>
      <c r="K382" s="54"/>
      <c r="L382" s="74"/>
      <c r="M382" s="62"/>
      <c r="N382" s="62"/>
      <c r="O382" s="62"/>
      <c r="P382" s="77"/>
      <c r="Q382" s="62"/>
      <c r="R382" s="71"/>
      <c r="S382" s="71"/>
      <c r="T382" s="71"/>
      <c r="U382" s="68"/>
    </row>
    <row r="383" spans="2:21">
      <c r="B383" s="62"/>
      <c r="C383" s="62"/>
      <c r="D383" s="80"/>
      <c r="E383" s="80"/>
      <c r="F383" s="81"/>
      <c r="G383" s="72"/>
      <c r="H383" s="76"/>
      <c r="I383" s="62"/>
      <c r="J383" s="62"/>
      <c r="K383" s="54"/>
      <c r="L383" s="74"/>
      <c r="M383" s="62"/>
      <c r="N383" s="62"/>
      <c r="O383" s="62"/>
      <c r="P383" s="77"/>
      <c r="Q383" s="62"/>
      <c r="R383" s="71"/>
      <c r="S383" s="71"/>
      <c r="T383" s="71"/>
      <c r="U383" s="68"/>
    </row>
    <row r="384" spans="2:21">
      <c r="B384" s="62"/>
      <c r="C384" s="62"/>
      <c r="D384" s="80"/>
      <c r="E384" s="80"/>
      <c r="F384" s="81"/>
      <c r="G384" s="72"/>
      <c r="H384" s="76"/>
      <c r="I384" s="62"/>
      <c r="J384" s="62"/>
      <c r="K384" s="54"/>
      <c r="L384" s="74"/>
      <c r="M384" s="62"/>
      <c r="N384" s="62"/>
      <c r="O384" s="62"/>
      <c r="P384" s="77"/>
      <c r="Q384" s="62"/>
      <c r="R384" s="71"/>
      <c r="S384" s="71"/>
      <c r="T384" s="71"/>
      <c r="U384" s="68"/>
    </row>
    <row r="385" spans="2:21">
      <c r="B385" s="62"/>
      <c r="C385" s="62"/>
      <c r="D385" s="80"/>
      <c r="E385" s="80"/>
      <c r="F385" s="81"/>
      <c r="G385" s="72"/>
      <c r="H385" s="76"/>
      <c r="I385" s="62"/>
      <c r="J385" s="62"/>
      <c r="K385" s="54"/>
      <c r="L385" s="74"/>
      <c r="M385" s="62"/>
      <c r="N385" s="62"/>
      <c r="O385" s="62"/>
      <c r="P385" s="77"/>
      <c r="Q385" s="62"/>
      <c r="R385" s="71"/>
      <c r="S385" s="71"/>
      <c r="T385" s="71"/>
      <c r="U385" s="68"/>
    </row>
    <row r="386" spans="2:21">
      <c r="B386" s="62"/>
      <c r="C386" s="62"/>
      <c r="D386" s="80"/>
      <c r="E386" s="80"/>
      <c r="F386" s="81"/>
      <c r="G386" s="72"/>
      <c r="H386" s="76"/>
      <c r="I386" s="62"/>
      <c r="J386" s="62"/>
      <c r="K386" s="54"/>
      <c r="L386" s="74"/>
      <c r="M386" s="62"/>
      <c r="N386" s="62"/>
      <c r="O386" s="62"/>
      <c r="P386" s="77"/>
      <c r="Q386" s="62"/>
      <c r="R386" s="71"/>
      <c r="S386" s="71"/>
      <c r="T386" s="71"/>
      <c r="U386" s="68"/>
    </row>
    <row r="387" spans="2:21">
      <c r="B387" s="62"/>
      <c r="C387" s="62"/>
      <c r="D387" s="80"/>
      <c r="E387" s="80"/>
      <c r="F387" s="81"/>
      <c r="G387" s="72"/>
      <c r="H387" s="76"/>
      <c r="I387" s="62"/>
      <c r="J387" s="62"/>
      <c r="K387" s="54"/>
      <c r="L387" s="74"/>
      <c r="M387" s="62"/>
      <c r="N387" s="62"/>
      <c r="O387" s="62"/>
      <c r="P387" s="77"/>
      <c r="Q387" s="62"/>
      <c r="R387" s="71"/>
      <c r="S387" s="71"/>
      <c r="T387" s="71"/>
      <c r="U387" s="68"/>
    </row>
    <row r="388" spans="2:21">
      <c r="B388" s="62"/>
      <c r="C388" s="62"/>
      <c r="D388" s="80"/>
      <c r="E388" s="80"/>
      <c r="F388" s="81"/>
      <c r="G388" s="72"/>
      <c r="H388" s="76"/>
      <c r="I388" s="62"/>
      <c r="J388" s="62"/>
      <c r="K388" s="54"/>
      <c r="L388" s="74"/>
      <c r="M388" s="62"/>
      <c r="N388" s="62"/>
      <c r="O388" s="62"/>
      <c r="P388" s="77"/>
      <c r="Q388" s="62"/>
      <c r="R388" s="71"/>
      <c r="S388" s="71"/>
      <c r="T388" s="71"/>
      <c r="U388" s="68"/>
    </row>
    <row r="389" spans="2:21">
      <c r="B389" s="62"/>
      <c r="C389" s="62"/>
      <c r="D389" s="80"/>
      <c r="E389" s="80"/>
      <c r="F389" s="81"/>
      <c r="G389" s="72"/>
      <c r="H389" s="76"/>
      <c r="I389" s="62"/>
      <c r="J389" s="62"/>
      <c r="K389" s="54"/>
      <c r="L389" s="74"/>
      <c r="M389" s="62"/>
      <c r="N389" s="62"/>
      <c r="O389" s="62"/>
      <c r="P389" s="77"/>
      <c r="Q389" s="62"/>
      <c r="R389" s="71"/>
      <c r="S389" s="71"/>
      <c r="T389" s="71"/>
      <c r="U389" s="68"/>
    </row>
    <row r="390" spans="2:21">
      <c r="B390" s="62"/>
      <c r="C390" s="62"/>
      <c r="D390" s="80"/>
      <c r="E390" s="80"/>
      <c r="F390" s="81"/>
      <c r="G390" s="72"/>
      <c r="H390" s="76"/>
      <c r="I390" s="62"/>
      <c r="J390" s="62"/>
      <c r="K390" s="54"/>
      <c r="L390" s="74"/>
      <c r="M390" s="62"/>
      <c r="N390" s="62"/>
      <c r="O390" s="62"/>
      <c r="P390" s="77"/>
      <c r="Q390" s="62"/>
      <c r="R390" s="71"/>
      <c r="S390" s="71"/>
      <c r="T390" s="71"/>
      <c r="U390" s="68"/>
    </row>
    <row r="391" spans="2:21">
      <c r="B391" s="62"/>
      <c r="C391" s="62"/>
      <c r="D391" s="80"/>
      <c r="E391" s="80"/>
      <c r="F391" s="81"/>
      <c r="G391" s="72"/>
      <c r="H391" s="76"/>
      <c r="I391" s="62"/>
      <c r="J391" s="62"/>
      <c r="K391" s="54"/>
      <c r="L391" s="74"/>
      <c r="M391" s="62"/>
      <c r="N391" s="62"/>
      <c r="O391" s="62"/>
      <c r="P391" s="77"/>
      <c r="Q391" s="62"/>
      <c r="R391" s="71"/>
      <c r="S391" s="71"/>
      <c r="T391" s="71"/>
      <c r="U391" s="68"/>
    </row>
    <row r="392" spans="2:21">
      <c r="B392" s="62"/>
      <c r="C392" s="62"/>
      <c r="D392" s="80"/>
      <c r="E392" s="80"/>
      <c r="F392" s="81"/>
      <c r="G392" s="72"/>
      <c r="H392" s="76"/>
      <c r="I392" s="62"/>
      <c r="J392" s="62"/>
      <c r="K392" s="54"/>
      <c r="L392" s="74"/>
      <c r="M392" s="62"/>
      <c r="N392" s="62"/>
      <c r="O392" s="62"/>
      <c r="P392" s="77"/>
      <c r="Q392" s="62"/>
      <c r="R392" s="71"/>
      <c r="S392" s="71"/>
      <c r="T392" s="71"/>
      <c r="U392" s="68"/>
    </row>
    <row r="393" spans="2:21">
      <c r="B393" s="62"/>
      <c r="C393" s="62"/>
      <c r="D393" s="80"/>
      <c r="E393" s="80"/>
      <c r="F393" s="81"/>
      <c r="G393" s="72"/>
      <c r="H393" s="76"/>
      <c r="I393" s="62"/>
      <c r="J393" s="62"/>
      <c r="K393" s="54"/>
      <c r="L393" s="74"/>
      <c r="M393" s="62"/>
      <c r="N393" s="62"/>
      <c r="O393" s="62"/>
      <c r="P393" s="77"/>
      <c r="Q393" s="62"/>
      <c r="R393" s="71"/>
      <c r="S393" s="71"/>
      <c r="T393" s="71"/>
      <c r="U393" s="68"/>
    </row>
    <row r="394" spans="2:21">
      <c r="B394" s="62"/>
      <c r="C394" s="62"/>
      <c r="D394" s="80"/>
      <c r="E394" s="80"/>
      <c r="F394" s="81"/>
      <c r="G394" s="72"/>
      <c r="H394" s="76"/>
      <c r="I394" s="62"/>
      <c r="J394" s="62"/>
      <c r="K394" s="54"/>
      <c r="L394" s="74"/>
      <c r="M394" s="62"/>
      <c r="N394" s="62"/>
      <c r="O394" s="62"/>
      <c r="P394" s="77"/>
      <c r="Q394" s="62"/>
      <c r="R394" s="71"/>
      <c r="S394" s="71"/>
      <c r="T394" s="71"/>
      <c r="U394" s="68"/>
    </row>
    <row r="395" spans="2:21">
      <c r="B395" s="62"/>
      <c r="C395" s="62"/>
      <c r="D395" s="80"/>
      <c r="E395" s="80"/>
      <c r="F395" s="81"/>
      <c r="G395" s="72"/>
      <c r="H395" s="76"/>
      <c r="I395" s="62"/>
      <c r="J395" s="62"/>
      <c r="K395" s="54"/>
      <c r="L395" s="74"/>
      <c r="M395" s="62"/>
      <c r="N395" s="62"/>
      <c r="O395" s="62"/>
      <c r="P395" s="77"/>
      <c r="Q395" s="62"/>
      <c r="R395" s="71"/>
      <c r="S395" s="71"/>
      <c r="T395" s="71"/>
      <c r="U395" s="68"/>
    </row>
    <row r="396" spans="2:21">
      <c r="B396" s="62"/>
      <c r="C396" s="62"/>
      <c r="D396" s="80"/>
      <c r="E396" s="80"/>
      <c r="F396" s="81"/>
      <c r="G396" s="72"/>
      <c r="H396" s="76"/>
      <c r="I396" s="62"/>
      <c r="J396" s="62"/>
      <c r="K396" s="54"/>
      <c r="L396" s="74"/>
      <c r="M396" s="62"/>
      <c r="N396" s="62"/>
      <c r="O396" s="62"/>
      <c r="P396" s="77"/>
      <c r="Q396" s="62"/>
      <c r="R396" s="71"/>
      <c r="S396" s="71"/>
      <c r="T396" s="71"/>
      <c r="U396" s="68"/>
    </row>
    <row r="397" spans="2:21">
      <c r="B397" s="62"/>
      <c r="C397" s="62"/>
      <c r="D397" s="80"/>
      <c r="E397" s="80"/>
      <c r="F397" s="81"/>
      <c r="G397" s="72"/>
      <c r="H397" s="76"/>
      <c r="I397" s="62"/>
      <c r="J397" s="62"/>
      <c r="K397" s="54"/>
      <c r="L397" s="74"/>
      <c r="M397" s="62"/>
      <c r="N397" s="62"/>
      <c r="O397" s="62"/>
      <c r="P397" s="77"/>
      <c r="Q397" s="62"/>
      <c r="R397" s="71"/>
      <c r="S397" s="71"/>
      <c r="T397" s="71"/>
      <c r="U397" s="68"/>
    </row>
    <row r="398" spans="2:21">
      <c r="B398" s="62"/>
      <c r="C398" s="62"/>
      <c r="D398" s="80"/>
      <c r="E398" s="80"/>
      <c r="F398" s="81"/>
      <c r="G398" s="72"/>
      <c r="H398" s="76"/>
      <c r="I398" s="62"/>
      <c r="J398" s="62"/>
      <c r="K398" s="54"/>
      <c r="L398" s="74"/>
      <c r="M398" s="62"/>
      <c r="N398" s="62"/>
      <c r="O398" s="62"/>
      <c r="P398" s="77"/>
      <c r="Q398" s="62"/>
      <c r="R398" s="71"/>
      <c r="S398" s="71"/>
      <c r="T398" s="71"/>
      <c r="U398" s="68"/>
    </row>
    <row r="399" spans="2:21">
      <c r="B399" s="62"/>
      <c r="C399" s="62"/>
      <c r="D399" s="80"/>
      <c r="E399" s="80"/>
      <c r="F399" s="81"/>
      <c r="G399" s="72"/>
      <c r="H399" s="76"/>
      <c r="I399" s="62"/>
      <c r="J399" s="62"/>
      <c r="K399" s="54"/>
      <c r="L399" s="74"/>
      <c r="M399" s="62"/>
      <c r="N399" s="62"/>
      <c r="O399" s="62"/>
      <c r="P399" s="77"/>
      <c r="Q399" s="62"/>
      <c r="R399" s="71"/>
      <c r="S399" s="71"/>
      <c r="T399" s="71"/>
      <c r="U399" s="68"/>
    </row>
    <row r="400" spans="2:21">
      <c r="B400" s="62"/>
      <c r="C400" s="62"/>
      <c r="D400" s="80"/>
      <c r="E400" s="80"/>
      <c r="F400" s="81"/>
      <c r="G400" s="72"/>
      <c r="H400" s="76"/>
      <c r="I400" s="62"/>
      <c r="J400" s="62"/>
      <c r="K400" s="54"/>
      <c r="L400" s="74"/>
      <c r="M400" s="62"/>
      <c r="N400" s="62"/>
      <c r="O400" s="62"/>
      <c r="P400" s="77"/>
      <c r="Q400" s="62"/>
      <c r="R400" s="71"/>
      <c r="S400" s="71"/>
      <c r="T400" s="71"/>
      <c r="U400" s="68"/>
    </row>
    <row r="401" spans="2:21">
      <c r="B401" s="62"/>
      <c r="C401" s="62"/>
      <c r="D401" s="80"/>
      <c r="E401" s="80"/>
      <c r="F401" s="81"/>
      <c r="G401" s="72"/>
      <c r="H401" s="76"/>
      <c r="I401" s="62"/>
      <c r="J401" s="62"/>
      <c r="K401" s="54"/>
      <c r="L401" s="74"/>
      <c r="M401" s="62"/>
      <c r="N401" s="62"/>
      <c r="O401" s="62"/>
      <c r="P401" s="77"/>
      <c r="Q401" s="62"/>
      <c r="R401" s="71"/>
      <c r="S401" s="71"/>
      <c r="T401" s="71"/>
      <c r="U401" s="68"/>
    </row>
    <row r="402" spans="2:21">
      <c r="B402" s="62"/>
      <c r="C402" s="62"/>
      <c r="D402" s="80"/>
      <c r="E402" s="80"/>
      <c r="F402" s="81"/>
      <c r="G402" s="72"/>
      <c r="H402" s="76"/>
      <c r="I402" s="62"/>
      <c r="J402" s="62"/>
      <c r="K402" s="54"/>
      <c r="L402" s="74"/>
      <c r="M402" s="62"/>
      <c r="N402" s="62"/>
      <c r="O402" s="62"/>
      <c r="P402" s="77"/>
      <c r="Q402" s="62"/>
      <c r="R402" s="71"/>
      <c r="S402" s="71"/>
      <c r="T402" s="71"/>
      <c r="U402" s="68"/>
    </row>
    <row r="403" spans="2:21">
      <c r="B403" s="62"/>
      <c r="C403" s="62"/>
      <c r="D403" s="80"/>
      <c r="E403" s="80"/>
      <c r="F403" s="81"/>
      <c r="G403" s="72"/>
      <c r="H403" s="76"/>
      <c r="I403" s="62"/>
      <c r="J403" s="62"/>
      <c r="K403" s="54"/>
      <c r="L403" s="74"/>
      <c r="M403" s="62"/>
      <c r="N403" s="62"/>
      <c r="O403" s="62"/>
      <c r="P403" s="77"/>
      <c r="Q403" s="62"/>
      <c r="R403" s="71"/>
      <c r="S403" s="71"/>
      <c r="T403" s="71"/>
      <c r="U403" s="68"/>
    </row>
    <row r="404" spans="2:21">
      <c r="B404" s="62"/>
      <c r="C404" s="62"/>
      <c r="D404" s="80"/>
      <c r="E404" s="80"/>
      <c r="F404" s="81"/>
      <c r="G404" s="72"/>
      <c r="H404" s="76"/>
      <c r="I404" s="62"/>
      <c r="J404" s="62"/>
      <c r="K404" s="54"/>
      <c r="L404" s="74"/>
      <c r="M404" s="62"/>
      <c r="N404" s="62"/>
      <c r="O404" s="62"/>
      <c r="P404" s="77"/>
      <c r="Q404" s="62"/>
      <c r="R404" s="71"/>
      <c r="S404" s="71"/>
      <c r="T404" s="71"/>
      <c r="U404" s="68"/>
    </row>
    <row r="405" spans="2:21">
      <c r="B405" s="62"/>
      <c r="C405" s="62"/>
      <c r="D405" s="80"/>
      <c r="E405" s="80"/>
      <c r="F405" s="81"/>
      <c r="G405" s="72"/>
      <c r="H405" s="76"/>
      <c r="I405" s="62"/>
      <c r="J405" s="62"/>
      <c r="K405" s="54"/>
      <c r="L405" s="74"/>
      <c r="M405" s="62"/>
      <c r="N405" s="62"/>
      <c r="O405" s="62"/>
      <c r="P405" s="77"/>
      <c r="Q405" s="62"/>
      <c r="R405" s="71"/>
      <c r="S405" s="71"/>
      <c r="T405" s="71"/>
      <c r="U405" s="68"/>
    </row>
    <row r="406" spans="2:21">
      <c r="B406" s="62"/>
      <c r="C406" s="62"/>
      <c r="D406" s="80"/>
      <c r="E406" s="80"/>
      <c r="F406" s="81"/>
      <c r="G406" s="72"/>
      <c r="H406" s="76"/>
      <c r="I406" s="62"/>
      <c r="J406" s="62"/>
      <c r="K406" s="54"/>
      <c r="L406" s="74"/>
      <c r="M406" s="62"/>
      <c r="N406" s="62"/>
      <c r="O406" s="62"/>
      <c r="P406" s="77"/>
      <c r="Q406" s="62"/>
      <c r="R406" s="71"/>
      <c r="S406" s="71"/>
      <c r="T406" s="71"/>
      <c r="U406" s="68"/>
    </row>
    <row r="407" spans="2:21">
      <c r="B407" s="62"/>
      <c r="C407" s="62"/>
      <c r="D407" s="80"/>
      <c r="E407" s="80"/>
      <c r="F407" s="81"/>
      <c r="G407" s="72"/>
      <c r="H407" s="76"/>
      <c r="I407" s="62"/>
      <c r="J407" s="62"/>
      <c r="K407" s="54"/>
      <c r="L407" s="74"/>
      <c r="M407" s="62"/>
      <c r="N407" s="62"/>
      <c r="O407" s="62"/>
      <c r="P407" s="77"/>
      <c r="Q407" s="62"/>
      <c r="R407" s="71"/>
      <c r="S407" s="71"/>
      <c r="T407" s="71"/>
      <c r="U407" s="68"/>
    </row>
    <row r="408" spans="2:21">
      <c r="B408" s="62"/>
      <c r="C408" s="62"/>
      <c r="D408" s="80"/>
      <c r="E408" s="80"/>
      <c r="F408" s="81"/>
      <c r="G408" s="72"/>
      <c r="H408" s="76"/>
      <c r="I408" s="62"/>
      <c r="J408" s="62"/>
      <c r="K408" s="54"/>
      <c r="L408" s="74"/>
      <c r="M408" s="62"/>
      <c r="N408" s="62"/>
      <c r="O408" s="62"/>
      <c r="P408" s="77"/>
      <c r="Q408" s="62"/>
      <c r="R408" s="71"/>
      <c r="S408" s="71"/>
      <c r="T408" s="71"/>
      <c r="U408" s="68"/>
    </row>
    <row r="409" spans="2:21">
      <c r="B409" s="62"/>
      <c r="C409" s="62"/>
      <c r="D409" s="80"/>
      <c r="E409" s="80"/>
      <c r="F409" s="81"/>
      <c r="G409" s="72"/>
      <c r="H409" s="76"/>
      <c r="I409" s="62"/>
      <c r="J409" s="62"/>
      <c r="K409" s="54"/>
      <c r="L409" s="74"/>
      <c r="M409" s="62"/>
      <c r="N409" s="62"/>
      <c r="O409" s="62"/>
      <c r="P409" s="77"/>
      <c r="Q409" s="62"/>
      <c r="R409" s="71"/>
      <c r="S409" s="71"/>
      <c r="T409" s="71"/>
      <c r="U409" s="68"/>
    </row>
    <row r="410" spans="2:21">
      <c r="B410" s="62"/>
      <c r="C410" s="62"/>
      <c r="D410" s="80"/>
      <c r="E410" s="80"/>
      <c r="F410" s="81"/>
      <c r="G410" s="72"/>
      <c r="H410" s="76"/>
      <c r="I410" s="62"/>
      <c r="J410" s="62"/>
      <c r="K410" s="54"/>
      <c r="L410" s="74"/>
      <c r="M410" s="62"/>
      <c r="N410" s="62"/>
      <c r="O410" s="62"/>
      <c r="P410" s="77"/>
      <c r="Q410" s="62"/>
      <c r="R410" s="71"/>
      <c r="S410" s="71"/>
      <c r="T410" s="71"/>
      <c r="U410" s="68"/>
    </row>
    <row r="411" spans="2:21">
      <c r="B411" s="62"/>
      <c r="C411" s="62"/>
      <c r="D411" s="80"/>
      <c r="E411" s="80"/>
      <c r="F411" s="81"/>
      <c r="G411" s="72"/>
      <c r="H411" s="76"/>
      <c r="I411" s="62"/>
      <c r="J411" s="62"/>
      <c r="K411" s="54"/>
      <c r="L411" s="74"/>
      <c r="M411" s="62"/>
      <c r="N411" s="62"/>
      <c r="O411" s="62"/>
      <c r="P411" s="77"/>
      <c r="Q411" s="62"/>
      <c r="R411" s="71"/>
      <c r="S411" s="71"/>
      <c r="T411" s="71"/>
      <c r="U411" s="68"/>
    </row>
    <row r="412" spans="2:21">
      <c r="B412" s="62"/>
      <c r="C412" s="62"/>
      <c r="D412" s="80"/>
      <c r="E412" s="80"/>
      <c r="F412" s="81"/>
      <c r="G412" s="72"/>
      <c r="H412" s="76"/>
      <c r="I412" s="62"/>
      <c r="J412" s="62"/>
      <c r="K412" s="54"/>
      <c r="L412" s="74"/>
      <c r="M412" s="62"/>
      <c r="N412" s="62"/>
      <c r="O412" s="62"/>
      <c r="P412" s="77"/>
      <c r="Q412" s="62"/>
      <c r="R412" s="71"/>
      <c r="S412" s="71"/>
      <c r="T412" s="71"/>
      <c r="U412" s="68"/>
    </row>
    <row r="413" spans="2:21">
      <c r="B413" s="62"/>
      <c r="C413" s="62"/>
      <c r="D413" s="80"/>
      <c r="E413" s="80"/>
      <c r="F413" s="81"/>
      <c r="G413" s="72"/>
      <c r="H413" s="76"/>
      <c r="I413" s="62"/>
      <c r="J413" s="62"/>
      <c r="K413" s="54"/>
      <c r="L413" s="74"/>
      <c r="M413" s="62"/>
      <c r="N413" s="62"/>
      <c r="O413" s="62"/>
      <c r="P413" s="77"/>
      <c r="Q413" s="62"/>
      <c r="R413" s="71"/>
      <c r="S413" s="71"/>
      <c r="T413" s="71"/>
      <c r="U413" s="68"/>
    </row>
    <row r="414" spans="2:21">
      <c r="B414" s="62"/>
      <c r="C414" s="62"/>
      <c r="D414" s="80"/>
      <c r="E414" s="80"/>
      <c r="F414" s="81"/>
      <c r="G414" s="72"/>
      <c r="H414" s="76"/>
      <c r="I414" s="62"/>
      <c r="J414" s="62"/>
      <c r="K414" s="54"/>
      <c r="L414" s="74"/>
      <c r="M414" s="62"/>
      <c r="N414" s="62"/>
      <c r="O414" s="62"/>
      <c r="P414" s="77"/>
      <c r="Q414" s="62"/>
      <c r="R414" s="71"/>
      <c r="S414" s="71"/>
      <c r="T414" s="71"/>
      <c r="U414" s="68"/>
    </row>
    <row r="415" spans="2:21">
      <c r="B415" s="62"/>
      <c r="C415" s="62"/>
      <c r="D415" s="80"/>
      <c r="E415" s="80"/>
      <c r="F415" s="81"/>
      <c r="G415" s="72"/>
      <c r="H415" s="76"/>
      <c r="I415" s="62"/>
      <c r="J415" s="62"/>
      <c r="K415" s="54"/>
      <c r="L415" s="74"/>
      <c r="M415" s="62"/>
      <c r="N415" s="62"/>
      <c r="O415" s="62"/>
      <c r="P415" s="77"/>
      <c r="Q415" s="62"/>
      <c r="R415" s="71"/>
      <c r="S415" s="71"/>
      <c r="T415" s="71"/>
      <c r="U415" s="68"/>
    </row>
    <row r="416" spans="2:21">
      <c r="B416" s="62"/>
      <c r="C416" s="62"/>
      <c r="D416" s="80"/>
      <c r="E416" s="80"/>
      <c r="F416" s="81"/>
      <c r="G416" s="72"/>
      <c r="H416" s="76"/>
      <c r="I416" s="62"/>
      <c r="J416" s="62"/>
      <c r="K416" s="54"/>
      <c r="L416" s="74"/>
      <c r="M416" s="62"/>
      <c r="N416" s="62"/>
      <c r="O416" s="62"/>
      <c r="P416" s="77"/>
      <c r="Q416" s="62"/>
      <c r="R416" s="71"/>
      <c r="S416" s="71"/>
      <c r="T416" s="71"/>
      <c r="U416" s="68"/>
    </row>
    <row r="417" spans="2:21">
      <c r="B417" s="62"/>
      <c r="C417" s="62"/>
      <c r="D417" s="80"/>
      <c r="E417" s="80"/>
      <c r="F417" s="81"/>
      <c r="G417" s="72"/>
      <c r="H417" s="76"/>
      <c r="I417" s="62"/>
      <c r="J417" s="62"/>
      <c r="K417" s="54"/>
      <c r="L417" s="74"/>
      <c r="M417" s="62"/>
      <c r="N417" s="62"/>
      <c r="O417" s="62"/>
      <c r="P417" s="77"/>
      <c r="Q417" s="62"/>
      <c r="R417" s="71"/>
      <c r="S417" s="71"/>
      <c r="T417" s="71"/>
      <c r="U417" s="68"/>
    </row>
    <row r="418" spans="2:21">
      <c r="B418" s="62"/>
      <c r="C418" s="62"/>
      <c r="D418" s="80"/>
      <c r="E418" s="80"/>
      <c r="F418" s="81"/>
      <c r="G418" s="72"/>
      <c r="H418" s="76"/>
      <c r="I418" s="62"/>
      <c r="J418" s="62"/>
      <c r="K418" s="54"/>
      <c r="L418" s="74"/>
      <c r="M418" s="62"/>
      <c r="N418" s="62"/>
      <c r="O418" s="62"/>
      <c r="P418" s="77"/>
      <c r="Q418" s="62"/>
      <c r="R418" s="71"/>
      <c r="S418" s="71"/>
      <c r="T418" s="71"/>
      <c r="U418" s="68"/>
    </row>
    <row r="419" spans="2:21">
      <c r="B419" s="62"/>
      <c r="C419" s="62"/>
      <c r="D419" s="80"/>
      <c r="E419" s="80"/>
      <c r="F419" s="81"/>
      <c r="G419" s="72"/>
      <c r="H419" s="76"/>
      <c r="I419" s="62"/>
      <c r="J419" s="62"/>
      <c r="K419" s="54"/>
      <c r="L419" s="74"/>
      <c r="M419" s="62"/>
      <c r="N419" s="62"/>
      <c r="O419" s="62"/>
      <c r="P419" s="77"/>
      <c r="Q419" s="62"/>
      <c r="R419" s="71"/>
      <c r="S419" s="71"/>
      <c r="T419" s="71"/>
      <c r="U419" s="68"/>
    </row>
    <row r="420" spans="2:21">
      <c r="B420" s="62"/>
      <c r="C420" s="62"/>
      <c r="D420" s="80"/>
      <c r="E420" s="80"/>
      <c r="F420" s="81"/>
      <c r="G420" s="72"/>
      <c r="H420" s="76"/>
      <c r="I420" s="62"/>
      <c r="J420" s="62"/>
      <c r="K420" s="54"/>
      <c r="L420" s="74"/>
      <c r="M420" s="62"/>
      <c r="N420" s="62"/>
      <c r="O420" s="62"/>
      <c r="P420" s="77"/>
      <c r="Q420" s="62"/>
      <c r="R420" s="71"/>
      <c r="S420" s="71"/>
      <c r="T420" s="71"/>
      <c r="U420" s="68"/>
    </row>
    <row r="421" spans="2:21">
      <c r="B421" s="62"/>
      <c r="C421" s="62"/>
      <c r="D421" s="80"/>
      <c r="E421" s="80"/>
      <c r="F421" s="81"/>
      <c r="G421" s="72"/>
      <c r="H421" s="76"/>
      <c r="I421" s="62"/>
      <c r="J421" s="62"/>
      <c r="K421" s="54"/>
      <c r="L421" s="74"/>
      <c r="M421" s="62"/>
      <c r="N421" s="62"/>
      <c r="O421" s="62"/>
      <c r="P421" s="77"/>
      <c r="Q421" s="62"/>
      <c r="R421" s="71"/>
      <c r="S421" s="71"/>
      <c r="T421" s="71"/>
      <c r="U421" s="68"/>
    </row>
    <row r="422" spans="2:21">
      <c r="B422" s="62"/>
      <c r="C422" s="62"/>
      <c r="D422" s="80"/>
      <c r="E422" s="80"/>
      <c r="F422" s="81"/>
      <c r="G422" s="72"/>
      <c r="H422" s="76"/>
      <c r="I422" s="62"/>
      <c r="J422" s="62"/>
      <c r="K422" s="54"/>
      <c r="L422" s="74"/>
      <c r="M422" s="62"/>
      <c r="N422" s="62"/>
      <c r="O422" s="62"/>
      <c r="P422" s="77"/>
      <c r="Q422" s="62"/>
      <c r="R422" s="71"/>
      <c r="S422" s="71"/>
      <c r="T422" s="71"/>
      <c r="U422" s="68"/>
    </row>
    <row r="423" spans="2:21">
      <c r="B423" s="62"/>
      <c r="C423" s="62"/>
      <c r="D423" s="80"/>
      <c r="E423" s="80"/>
      <c r="F423" s="81"/>
      <c r="G423" s="72"/>
      <c r="H423" s="76"/>
      <c r="I423" s="62"/>
      <c r="J423" s="62"/>
      <c r="K423" s="54"/>
      <c r="L423" s="74"/>
      <c r="M423" s="62"/>
      <c r="N423" s="62"/>
      <c r="O423" s="62"/>
      <c r="P423" s="77"/>
      <c r="Q423" s="62"/>
      <c r="R423" s="71"/>
      <c r="S423" s="71"/>
      <c r="T423" s="71"/>
      <c r="U423" s="68"/>
    </row>
    <row r="424" spans="2:21">
      <c r="B424" s="62"/>
      <c r="C424" s="62"/>
      <c r="D424" s="80"/>
      <c r="E424" s="80"/>
      <c r="F424" s="81"/>
      <c r="G424" s="72"/>
      <c r="H424" s="76"/>
      <c r="I424" s="62"/>
      <c r="J424" s="62"/>
      <c r="K424" s="54"/>
      <c r="L424" s="74"/>
      <c r="M424" s="62"/>
      <c r="N424" s="62"/>
      <c r="O424" s="62"/>
      <c r="P424" s="77"/>
      <c r="Q424" s="62"/>
      <c r="R424" s="71"/>
      <c r="S424" s="71"/>
      <c r="T424" s="71"/>
      <c r="U424" s="68"/>
    </row>
    <row r="425" spans="2:21">
      <c r="B425" s="62"/>
      <c r="C425" s="62"/>
      <c r="D425" s="80"/>
      <c r="E425" s="80"/>
      <c r="F425" s="81"/>
      <c r="G425" s="72"/>
      <c r="H425" s="76"/>
      <c r="I425" s="62"/>
      <c r="J425" s="62"/>
      <c r="K425" s="54"/>
      <c r="L425" s="74"/>
      <c r="M425" s="62"/>
      <c r="N425" s="62"/>
      <c r="O425" s="62"/>
      <c r="P425" s="77"/>
      <c r="Q425" s="62"/>
      <c r="R425" s="71"/>
      <c r="S425" s="71"/>
      <c r="T425" s="71"/>
      <c r="U425" s="68"/>
    </row>
    <row r="426" spans="2:21">
      <c r="B426" s="62"/>
      <c r="C426" s="62"/>
      <c r="D426" s="80"/>
      <c r="E426" s="80"/>
      <c r="F426" s="81"/>
      <c r="G426" s="72"/>
      <c r="H426" s="76"/>
      <c r="I426" s="62"/>
      <c r="J426" s="62"/>
      <c r="K426" s="54"/>
      <c r="L426" s="74"/>
      <c r="M426" s="62"/>
      <c r="N426" s="62"/>
      <c r="O426" s="62"/>
      <c r="P426" s="77"/>
      <c r="Q426" s="62"/>
      <c r="R426" s="71"/>
      <c r="S426" s="71"/>
      <c r="T426" s="71"/>
      <c r="U426" s="68"/>
    </row>
    <row r="427" spans="2:21">
      <c r="B427" s="62"/>
      <c r="C427" s="62"/>
      <c r="D427" s="80"/>
      <c r="E427" s="80"/>
      <c r="F427" s="81"/>
      <c r="G427" s="72"/>
      <c r="H427" s="76"/>
      <c r="I427" s="62"/>
      <c r="J427" s="62"/>
      <c r="K427" s="54"/>
      <c r="L427" s="74"/>
      <c r="M427" s="62"/>
      <c r="N427" s="62"/>
      <c r="O427" s="62"/>
      <c r="P427" s="77"/>
      <c r="Q427" s="62"/>
      <c r="R427" s="71"/>
      <c r="S427" s="71"/>
      <c r="T427" s="71"/>
      <c r="U427" s="68"/>
    </row>
    <row r="428" spans="2:21">
      <c r="B428" s="62"/>
      <c r="C428" s="62"/>
      <c r="D428" s="80"/>
      <c r="E428" s="80"/>
      <c r="F428" s="81"/>
      <c r="G428" s="72"/>
      <c r="H428" s="76"/>
      <c r="I428" s="62"/>
      <c r="J428" s="62"/>
      <c r="K428" s="54"/>
      <c r="L428" s="74"/>
      <c r="M428" s="62"/>
      <c r="N428" s="62"/>
      <c r="O428" s="62"/>
      <c r="P428" s="77"/>
      <c r="Q428" s="62"/>
      <c r="R428" s="71"/>
      <c r="S428" s="71"/>
      <c r="T428" s="71"/>
      <c r="U428" s="68"/>
    </row>
    <row r="429" spans="2:21">
      <c r="B429" s="62"/>
      <c r="C429" s="62"/>
      <c r="D429" s="80"/>
      <c r="E429" s="80"/>
      <c r="F429" s="81"/>
      <c r="G429" s="72"/>
      <c r="H429" s="76"/>
      <c r="I429" s="62"/>
      <c r="J429" s="62"/>
      <c r="K429" s="54"/>
      <c r="L429" s="74"/>
      <c r="M429" s="62"/>
      <c r="N429" s="62"/>
      <c r="O429" s="62"/>
      <c r="P429" s="77"/>
      <c r="Q429" s="62"/>
      <c r="R429" s="71"/>
      <c r="S429" s="71"/>
      <c r="T429" s="71"/>
      <c r="U429" s="68"/>
    </row>
    <row r="430" spans="2:21">
      <c r="B430" s="62"/>
      <c r="C430" s="62"/>
      <c r="D430" s="80"/>
      <c r="E430" s="80"/>
      <c r="F430" s="81"/>
      <c r="G430" s="72"/>
      <c r="H430" s="76"/>
      <c r="I430" s="62"/>
      <c r="J430" s="62"/>
      <c r="K430" s="54"/>
      <c r="L430" s="74"/>
      <c r="M430" s="62"/>
      <c r="N430" s="62"/>
      <c r="O430" s="62"/>
      <c r="P430" s="77"/>
      <c r="Q430" s="62"/>
      <c r="R430" s="71"/>
      <c r="S430" s="71"/>
      <c r="T430" s="71"/>
      <c r="U430" s="68"/>
    </row>
    <row r="431" spans="2:21">
      <c r="B431" s="62"/>
      <c r="C431" s="62"/>
      <c r="D431" s="80"/>
      <c r="E431" s="80"/>
      <c r="F431" s="81"/>
      <c r="G431" s="72"/>
      <c r="H431" s="76"/>
      <c r="I431" s="62"/>
      <c r="J431" s="62"/>
      <c r="K431" s="54"/>
      <c r="L431" s="74"/>
      <c r="M431" s="62"/>
      <c r="N431" s="62"/>
      <c r="O431" s="62"/>
      <c r="P431" s="77"/>
      <c r="Q431" s="62"/>
      <c r="R431" s="71"/>
      <c r="S431" s="71"/>
      <c r="T431" s="71"/>
      <c r="U431" s="68"/>
    </row>
    <row r="432" spans="2:21">
      <c r="B432" s="62"/>
      <c r="C432" s="62"/>
      <c r="D432" s="80"/>
      <c r="E432" s="80"/>
      <c r="F432" s="81"/>
      <c r="G432" s="72"/>
      <c r="H432" s="76"/>
      <c r="I432" s="62"/>
      <c r="J432" s="62"/>
      <c r="K432" s="54"/>
      <c r="L432" s="74"/>
      <c r="M432" s="62"/>
      <c r="N432" s="62"/>
      <c r="O432" s="62"/>
      <c r="P432" s="77"/>
      <c r="Q432" s="62"/>
      <c r="R432" s="71"/>
      <c r="S432" s="71"/>
      <c r="T432" s="71"/>
      <c r="U432" s="68"/>
    </row>
    <row r="433" spans="2:21">
      <c r="B433" s="62"/>
      <c r="C433" s="62"/>
      <c r="D433" s="80"/>
      <c r="E433" s="80"/>
      <c r="F433" s="81"/>
      <c r="G433" s="72"/>
      <c r="H433" s="76"/>
      <c r="I433" s="62"/>
      <c r="J433" s="62"/>
      <c r="K433" s="54"/>
      <c r="L433" s="74"/>
      <c r="M433" s="62"/>
      <c r="N433" s="62"/>
      <c r="O433" s="62"/>
      <c r="P433" s="77"/>
      <c r="Q433" s="62"/>
      <c r="R433" s="71"/>
      <c r="S433" s="71"/>
      <c r="T433" s="71"/>
      <c r="U433" s="68"/>
    </row>
    <row r="434" spans="2:21">
      <c r="B434" s="62"/>
      <c r="C434" s="62"/>
      <c r="D434" s="80"/>
      <c r="E434" s="80"/>
      <c r="F434" s="81"/>
      <c r="G434" s="72"/>
      <c r="H434" s="76"/>
      <c r="I434" s="62"/>
      <c r="J434" s="62"/>
      <c r="K434" s="54"/>
      <c r="L434" s="74"/>
      <c r="M434" s="62"/>
      <c r="N434" s="62"/>
      <c r="O434" s="62"/>
      <c r="P434" s="77"/>
      <c r="Q434" s="62"/>
      <c r="R434" s="71"/>
      <c r="S434" s="71"/>
      <c r="T434" s="71"/>
      <c r="U434" s="68"/>
    </row>
    <row r="435" spans="2:21">
      <c r="B435" s="62"/>
      <c r="C435" s="62"/>
      <c r="D435" s="80"/>
      <c r="E435" s="80"/>
      <c r="F435" s="81"/>
      <c r="G435" s="72"/>
      <c r="H435" s="76"/>
      <c r="I435" s="62"/>
      <c r="J435" s="62"/>
      <c r="K435" s="54"/>
      <c r="L435" s="74"/>
      <c r="M435" s="62"/>
      <c r="N435" s="62"/>
      <c r="O435" s="62"/>
      <c r="P435" s="77"/>
      <c r="Q435" s="62"/>
      <c r="R435" s="71"/>
      <c r="S435" s="71"/>
      <c r="T435" s="71"/>
      <c r="U435" s="68"/>
    </row>
    <row r="436" spans="2:21">
      <c r="B436" s="62"/>
      <c r="C436" s="62"/>
      <c r="D436" s="80"/>
      <c r="E436" s="80"/>
      <c r="F436" s="81"/>
      <c r="G436" s="72"/>
      <c r="H436" s="76"/>
      <c r="I436" s="62"/>
      <c r="J436" s="62"/>
      <c r="K436" s="54"/>
      <c r="L436" s="74"/>
      <c r="M436" s="62"/>
      <c r="N436" s="62"/>
      <c r="O436" s="62"/>
      <c r="P436" s="77"/>
      <c r="Q436" s="62"/>
      <c r="R436" s="71"/>
      <c r="S436" s="71"/>
      <c r="T436" s="71"/>
      <c r="U436" s="68"/>
    </row>
    <row r="437" spans="2:21">
      <c r="B437" s="62"/>
      <c r="C437" s="62"/>
      <c r="D437" s="80"/>
      <c r="E437" s="80"/>
      <c r="F437" s="81"/>
      <c r="G437" s="72"/>
      <c r="H437" s="76"/>
      <c r="I437" s="62"/>
      <c r="J437" s="62"/>
      <c r="K437" s="54"/>
      <c r="L437" s="74"/>
      <c r="M437" s="62"/>
      <c r="N437" s="62"/>
      <c r="O437" s="62"/>
      <c r="P437" s="77"/>
      <c r="Q437" s="62"/>
      <c r="R437" s="71"/>
      <c r="S437" s="71"/>
      <c r="T437" s="71"/>
      <c r="U437" s="68"/>
    </row>
    <row r="438" spans="2:21">
      <c r="B438" s="62"/>
      <c r="C438" s="62"/>
      <c r="D438" s="80"/>
      <c r="E438" s="80"/>
      <c r="F438" s="81"/>
      <c r="G438" s="72"/>
      <c r="H438" s="76"/>
      <c r="I438" s="62"/>
      <c r="J438" s="62"/>
      <c r="K438" s="54"/>
      <c r="L438" s="74"/>
      <c r="M438" s="62"/>
      <c r="N438" s="62"/>
      <c r="O438" s="62"/>
      <c r="P438" s="77"/>
      <c r="Q438" s="62"/>
      <c r="R438" s="71"/>
      <c r="S438" s="71"/>
      <c r="T438" s="71"/>
      <c r="U438" s="68"/>
    </row>
    <row r="439" spans="2:21">
      <c r="B439" s="62"/>
      <c r="C439" s="62"/>
      <c r="D439" s="80"/>
      <c r="E439" s="80"/>
      <c r="F439" s="81"/>
      <c r="G439" s="72"/>
      <c r="H439" s="76"/>
      <c r="I439" s="62"/>
      <c r="J439" s="62"/>
      <c r="K439" s="54"/>
      <c r="L439" s="74"/>
      <c r="M439" s="62"/>
      <c r="N439" s="62"/>
      <c r="O439" s="62"/>
      <c r="P439" s="77"/>
      <c r="Q439" s="62"/>
      <c r="R439" s="71"/>
      <c r="S439" s="71"/>
      <c r="T439" s="71"/>
      <c r="U439" s="68"/>
    </row>
    <row r="440" spans="2:21">
      <c r="B440" s="62"/>
      <c r="C440" s="62"/>
      <c r="D440" s="80"/>
      <c r="E440" s="80"/>
      <c r="F440" s="81"/>
      <c r="G440" s="72"/>
      <c r="H440" s="76"/>
      <c r="I440" s="62"/>
      <c r="J440" s="62"/>
      <c r="K440" s="54"/>
      <c r="L440" s="74"/>
      <c r="M440" s="62"/>
      <c r="N440" s="62"/>
      <c r="O440" s="62"/>
      <c r="P440" s="77"/>
      <c r="Q440" s="62"/>
      <c r="R440" s="71"/>
      <c r="S440" s="71"/>
      <c r="T440" s="71"/>
      <c r="U440" s="68"/>
    </row>
    <row r="441" spans="2:21">
      <c r="B441" s="62"/>
      <c r="C441" s="62"/>
      <c r="D441" s="80"/>
      <c r="E441" s="80"/>
      <c r="F441" s="81"/>
      <c r="G441" s="72"/>
      <c r="H441" s="76"/>
      <c r="I441" s="62"/>
      <c r="J441" s="62"/>
      <c r="K441" s="54"/>
      <c r="L441" s="74"/>
      <c r="M441" s="62"/>
      <c r="N441" s="62"/>
      <c r="O441" s="62"/>
      <c r="P441" s="77"/>
      <c r="Q441" s="62"/>
      <c r="R441" s="71"/>
      <c r="S441" s="71"/>
      <c r="T441" s="71"/>
      <c r="U441" s="68"/>
    </row>
    <row r="442" spans="2:21">
      <c r="B442" s="62"/>
      <c r="C442" s="62"/>
      <c r="D442" s="80"/>
      <c r="E442" s="80"/>
      <c r="F442" s="81"/>
      <c r="G442" s="72"/>
      <c r="H442" s="76"/>
      <c r="I442" s="62"/>
      <c r="J442" s="62"/>
      <c r="K442" s="54"/>
      <c r="L442" s="74"/>
      <c r="M442" s="62"/>
      <c r="N442" s="62"/>
      <c r="O442" s="62"/>
      <c r="P442" s="77"/>
      <c r="Q442" s="62"/>
      <c r="R442" s="71"/>
      <c r="S442" s="71"/>
      <c r="T442" s="71"/>
      <c r="U442" s="68"/>
    </row>
    <row r="443" spans="2:21">
      <c r="B443" s="62"/>
      <c r="C443" s="62"/>
      <c r="D443" s="80"/>
      <c r="E443" s="80"/>
      <c r="F443" s="81"/>
      <c r="G443" s="72"/>
      <c r="H443" s="76"/>
      <c r="I443" s="62"/>
      <c r="J443" s="62"/>
      <c r="K443" s="54"/>
      <c r="L443" s="74"/>
      <c r="M443" s="62"/>
      <c r="N443" s="62"/>
      <c r="O443" s="62"/>
      <c r="P443" s="77"/>
      <c r="Q443" s="62"/>
      <c r="R443" s="71"/>
      <c r="S443" s="71"/>
      <c r="T443" s="71"/>
      <c r="U443" s="68"/>
    </row>
    <row r="444" spans="2:21">
      <c r="B444" s="62"/>
      <c r="C444" s="62"/>
      <c r="D444" s="80"/>
      <c r="E444" s="80"/>
      <c r="F444" s="81"/>
      <c r="G444" s="72"/>
      <c r="H444" s="76"/>
      <c r="I444" s="62"/>
      <c r="J444" s="62"/>
      <c r="K444" s="54"/>
      <c r="L444" s="74"/>
      <c r="M444" s="62"/>
      <c r="N444" s="62"/>
      <c r="O444" s="62"/>
      <c r="P444" s="77"/>
      <c r="Q444" s="62"/>
      <c r="R444" s="71"/>
      <c r="S444" s="71"/>
      <c r="T444" s="71"/>
      <c r="U444" s="68"/>
    </row>
    <row r="445" spans="2:21">
      <c r="B445" s="62"/>
      <c r="C445" s="62"/>
      <c r="D445" s="80"/>
      <c r="E445" s="80"/>
      <c r="F445" s="81"/>
      <c r="G445" s="72"/>
      <c r="H445" s="76"/>
      <c r="I445" s="62"/>
      <c r="J445" s="62"/>
      <c r="K445" s="54"/>
      <c r="L445" s="74"/>
      <c r="M445" s="62"/>
      <c r="N445" s="62"/>
      <c r="O445" s="62"/>
      <c r="P445" s="77"/>
      <c r="Q445" s="62"/>
      <c r="R445" s="71"/>
      <c r="S445" s="71"/>
      <c r="T445" s="71"/>
      <c r="U445" s="68"/>
    </row>
    <row r="446" spans="2:21">
      <c r="B446" s="62"/>
      <c r="C446" s="62"/>
      <c r="D446" s="80"/>
      <c r="E446" s="80"/>
      <c r="F446" s="81"/>
      <c r="G446" s="72"/>
      <c r="H446" s="76"/>
      <c r="I446" s="62"/>
      <c r="J446" s="62"/>
      <c r="K446" s="54"/>
      <c r="L446" s="74"/>
      <c r="M446" s="62"/>
      <c r="N446" s="62"/>
      <c r="O446" s="62"/>
      <c r="P446" s="77"/>
      <c r="Q446" s="62"/>
      <c r="R446" s="71"/>
      <c r="S446" s="71"/>
      <c r="T446" s="71"/>
      <c r="U446" s="68"/>
    </row>
    <row r="447" spans="2:21">
      <c r="B447" s="62"/>
      <c r="C447" s="62"/>
      <c r="D447" s="80"/>
      <c r="E447" s="80"/>
      <c r="F447" s="81"/>
      <c r="G447" s="72"/>
      <c r="H447" s="76"/>
      <c r="I447" s="62"/>
      <c r="J447" s="62"/>
      <c r="K447" s="54"/>
      <c r="L447" s="74"/>
      <c r="M447" s="62"/>
      <c r="N447" s="62"/>
      <c r="O447" s="62"/>
      <c r="P447" s="77"/>
      <c r="Q447" s="62"/>
      <c r="R447" s="71"/>
      <c r="S447" s="71"/>
      <c r="T447" s="71"/>
      <c r="U447" s="68"/>
    </row>
    <row r="448" spans="2:21">
      <c r="B448" s="62"/>
      <c r="C448" s="62"/>
      <c r="D448" s="80"/>
      <c r="E448" s="80"/>
      <c r="F448" s="81"/>
      <c r="G448" s="72"/>
      <c r="H448" s="76"/>
      <c r="I448" s="62"/>
      <c r="J448" s="62"/>
      <c r="K448" s="54"/>
      <c r="L448" s="74"/>
      <c r="M448" s="62"/>
      <c r="N448" s="62"/>
      <c r="O448" s="62"/>
      <c r="P448" s="77"/>
      <c r="Q448" s="62"/>
      <c r="R448" s="71"/>
      <c r="S448" s="71"/>
      <c r="T448" s="71"/>
      <c r="U448" s="68"/>
    </row>
    <row r="449" spans="2:21">
      <c r="B449" s="62"/>
      <c r="C449" s="62"/>
      <c r="D449" s="80"/>
      <c r="E449" s="80"/>
      <c r="F449" s="81"/>
      <c r="G449" s="72"/>
      <c r="H449" s="76"/>
      <c r="I449" s="62"/>
      <c r="J449" s="62"/>
      <c r="K449" s="54"/>
      <c r="L449" s="74"/>
      <c r="M449" s="62"/>
      <c r="N449" s="62"/>
      <c r="O449" s="62"/>
      <c r="P449" s="77"/>
      <c r="Q449" s="62"/>
      <c r="R449" s="71"/>
      <c r="S449" s="71"/>
      <c r="T449" s="71"/>
      <c r="U449" s="68"/>
    </row>
    <row r="450" spans="2:21">
      <c r="B450" s="62"/>
      <c r="C450" s="62"/>
      <c r="D450" s="80"/>
      <c r="E450" s="80"/>
      <c r="F450" s="81"/>
      <c r="G450" s="72"/>
      <c r="H450" s="76"/>
      <c r="I450" s="62"/>
      <c r="J450" s="62"/>
      <c r="K450" s="54"/>
      <c r="L450" s="74"/>
      <c r="M450" s="62"/>
      <c r="N450" s="62"/>
      <c r="O450" s="62"/>
      <c r="P450" s="77"/>
      <c r="Q450" s="62"/>
      <c r="R450" s="71"/>
      <c r="S450" s="71"/>
      <c r="T450" s="71"/>
      <c r="U450" s="68"/>
    </row>
    <row r="451" spans="2:21">
      <c r="B451" s="62"/>
      <c r="C451" s="62"/>
      <c r="D451" s="80"/>
      <c r="E451" s="80"/>
      <c r="F451" s="81"/>
      <c r="G451" s="72"/>
      <c r="H451" s="76"/>
      <c r="I451" s="62"/>
      <c r="J451" s="62"/>
      <c r="K451" s="54"/>
      <c r="L451" s="74"/>
      <c r="M451" s="62"/>
      <c r="N451" s="62"/>
      <c r="O451" s="62"/>
      <c r="P451" s="77"/>
      <c r="Q451" s="62"/>
      <c r="R451" s="71"/>
      <c r="S451" s="71"/>
      <c r="T451" s="71"/>
      <c r="U451" s="68"/>
    </row>
    <row r="452" spans="2:21">
      <c r="B452" s="62"/>
      <c r="C452" s="62"/>
      <c r="D452" s="80"/>
      <c r="E452" s="80"/>
      <c r="F452" s="81"/>
      <c r="G452" s="72"/>
      <c r="H452" s="76"/>
      <c r="I452" s="62"/>
      <c r="J452" s="62"/>
      <c r="K452" s="54"/>
      <c r="L452" s="74"/>
      <c r="M452" s="62"/>
      <c r="N452" s="62"/>
      <c r="O452" s="62"/>
      <c r="P452" s="77"/>
      <c r="Q452" s="62"/>
      <c r="R452" s="71"/>
      <c r="S452" s="71"/>
      <c r="T452" s="71"/>
      <c r="U452" s="68"/>
    </row>
    <row r="453" spans="2:21">
      <c r="B453" s="62"/>
      <c r="C453" s="62"/>
      <c r="D453" s="80"/>
      <c r="E453" s="80"/>
      <c r="F453" s="81"/>
      <c r="G453" s="72"/>
      <c r="H453" s="76"/>
      <c r="I453" s="62"/>
      <c r="J453" s="62"/>
      <c r="K453" s="54"/>
      <c r="L453" s="74"/>
      <c r="M453" s="62"/>
      <c r="N453" s="62"/>
      <c r="O453" s="62"/>
      <c r="P453" s="77"/>
      <c r="Q453" s="62"/>
      <c r="R453" s="71"/>
      <c r="S453" s="71"/>
      <c r="T453" s="71"/>
      <c r="U453" s="68"/>
    </row>
    <row r="454" spans="2:21">
      <c r="B454" s="62"/>
      <c r="C454" s="62"/>
      <c r="D454" s="80"/>
      <c r="E454" s="80"/>
      <c r="F454" s="81"/>
      <c r="G454" s="72"/>
      <c r="H454" s="76"/>
      <c r="I454" s="62"/>
      <c r="J454" s="62"/>
      <c r="K454" s="54"/>
      <c r="L454" s="74"/>
      <c r="M454" s="62"/>
      <c r="N454" s="62"/>
      <c r="O454" s="62"/>
      <c r="P454" s="77"/>
      <c r="Q454" s="62"/>
      <c r="R454" s="71"/>
      <c r="S454" s="71"/>
      <c r="T454" s="71"/>
      <c r="U454" s="68"/>
    </row>
    <row r="455" spans="2:21">
      <c r="B455" s="62"/>
      <c r="C455" s="62"/>
      <c r="D455" s="80"/>
      <c r="E455" s="80"/>
      <c r="F455" s="81"/>
      <c r="G455" s="72"/>
      <c r="H455" s="76"/>
      <c r="I455" s="62"/>
      <c r="J455" s="62"/>
      <c r="K455" s="54"/>
      <c r="L455" s="74"/>
      <c r="M455" s="62"/>
      <c r="N455" s="62"/>
      <c r="O455" s="62"/>
      <c r="P455" s="77"/>
      <c r="Q455" s="62"/>
      <c r="R455" s="71"/>
      <c r="S455" s="71"/>
      <c r="T455" s="71"/>
      <c r="U455" s="68"/>
    </row>
    <row r="456" spans="2:21">
      <c r="B456" s="62"/>
      <c r="C456" s="62"/>
      <c r="D456" s="80"/>
      <c r="E456" s="80"/>
      <c r="F456" s="81"/>
      <c r="G456" s="72"/>
      <c r="H456" s="76"/>
      <c r="I456" s="62"/>
      <c r="J456" s="62"/>
      <c r="K456" s="54"/>
      <c r="L456" s="74"/>
      <c r="M456" s="62"/>
      <c r="N456" s="62"/>
      <c r="O456" s="62"/>
      <c r="P456" s="77"/>
      <c r="Q456" s="62"/>
      <c r="R456" s="71"/>
      <c r="S456" s="71"/>
      <c r="T456" s="71"/>
      <c r="U456" s="68"/>
    </row>
    <row r="457" spans="2:21">
      <c r="B457" s="62"/>
      <c r="C457" s="62"/>
      <c r="D457" s="80"/>
      <c r="E457" s="80"/>
      <c r="F457" s="81"/>
      <c r="G457" s="72"/>
      <c r="H457" s="76"/>
      <c r="I457" s="62"/>
      <c r="J457" s="62"/>
      <c r="K457" s="54"/>
      <c r="L457" s="74"/>
      <c r="M457" s="62"/>
      <c r="N457" s="62"/>
      <c r="O457" s="62"/>
      <c r="P457" s="77"/>
      <c r="Q457" s="62"/>
      <c r="R457" s="71"/>
      <c r="S457" s="71"/>
      <c r="T457" s="71"/>
      <c r="U457" s="68"/>
    </row>
    <row r="458" spans="2:21">
      <c r="B458" s="62"/>
      <c r="C458" s="62"/>
      <c r="D458" s="80"/>
      <c r="E458" s="80"/>
      <c r="F458" s="81"/>
      <c r="G458" s="72"/>
      <c r="H458" s="76"/>
      <c r="I458" s="62"/>
      <c r="J458" s="62"/>
      <c r="K458" s="54"/>
      <c r="L458" s="74"/>
      <c r="M458" s="62"/>
      <c r="N458" s="62"/>
      <c r="O458" s="62"/>
      <c r="P458" s="77"/>
      <c r="Q458" s="62"/>
      <c r="R458" s="71"/>
      <c r="S458" s="71"/>
      <c r="T458" s="71"/>
      <c r="U458" s="68"/>
    </row>
    <row r="459" spans="2:21">
      <c r="B459" s="62"/>
      <c r="C459" s="62"/>
      <c r="D459" s="80"/>
      <c r="E459" s="80"/>
      <c r="F459" s="81"/>
      <c r="G459" s="72"/>
      <c r="H459" s="76"/>
      <c r="I459" s="62"/>
      <c r="J459" s="62"/>
      <c r="K459" s="54"/>
      <c r="L459" s="74"/>
      <c r="M459" s="62"/>
      <c r="N459" s="62"/>
      <c r="O459" s="62"/>
      <c r="P459" s="77"/>
      <c r="Q459" s="62"/>
      <c r="R459" s="71"/>
      <c r="S459" s="71"/>
      <c r="T459" s="71"/>
      <c r="U459" s="68"/>
    </row>
    <row r="460" spans="2:21">
      <c r="B460" s="62"/>
      <c r="C460" s="62"/>
      <c r="D460" s="80"/>
      <c r="E460" s="80"/>
      <c r="F460" s="81"/>
      <c r="G460" s="72"/>
      <c r="H460" s="76"/>
      <c r="I460" s="62"/>
      <c r="J460" s="62"/>
      <c r="K460" s="54"/>
      <c r="L460" s="74"/>
      <c r="M460" s="62"/>
      <c r="N460" s="62"/>
      <c r="O460" s="62"/>
      <c r="P460" s="77"/>
      <c r="Q460" s="62"/>
      <c r="R460" s="71"/>
      <c r="S460" s="71"/>
      <c r="T460" s="71"/>
      <c r="U460" s="68"/>
    </row>
    <row r="461" spans="2:21">
      <c r="B461" s="62"/>
      <c r="C461" s="62"/>
      <c r="D461" s="80"/>
      <c r="E461" s="80"/>
      <c r="F461" s="81"/>
      <c r="G461" s="72"/>
      <c r="H461" s="76"/>
      <c r="I461" s="62"/>
      <c r="J461" s="62"/>
      <c r="K461" s="54"/>
      <c r="L461" s="74"/>
      <c r="M461" s="62"/>
      <c r="N461" s="62"/>
      <c r="O461" s="62"/>
      <c r="P461" s="77"/>
      <c r="Q461" s="62"/>
      <c r="R461" s="71"/>
      <c r="S461" s="71"/>
      <c r="T461" s="71"/>
      <c r="U461" s="68"/>
    </row>
    <row r="462" spans="2:21">
      <c r="B462" s="62"/>
      <c r="C462" s="62"/>
      <c r="D462" s="80"/>
      <c r="E462" s="80"/>
      <c r="F462" s="81"/>
      <c r="G462" s="72"/>
      <c r="H462" s="76"/>
      <c r="I462" s="62"/>
      <c r="J462" s="62"/>
      <c r="K462" s="54"/>
      <c r="L462" s="74"/>
      <c r="M462" s="62"/>
      <c r="N462" s="62"/>
      <c r="O462" s="62"/>
      <c r="P462" s="77"/>
      <c r="Q462" s="62"/>
      <c r="R462" s="71"/>
      <c r="S462" s="71"/>
      <c r="T462" s="71"/>
      <c r="U462" s="68"/>
    </row>
    <row r="463" spans="2:21">
      <c r="B463" s="62"/>
      <c r="C463" s="62"/>
      <c r="D463" s="80"/>
      <c r="E463" s="80"/>
      <c r="F463" s="81"/>
      <c r="G463" s="72"/>
      <c r="H463" s="76"/>
      <c r="I463" s="62"/>
      <c r="J463" s="62"/>
      <c r="K463" s="54"/>
      <c r="L463" s="74"/>
      <c r="M463" s="62"/>
      <c r="N463" s="62"/>
      <c r="O463" s="62"/>
      <c r="P463" s="77"/>
      <c r="Q463" s="62"/>
      <c r="R463" s="71"/>
      <c r="S463" s="71"/>
      <c r="T463" s="71"/>
      <c r="U463" s="68"/>
    </row>
    <row r="464" spans="2:21">
      <c r="B464" s="62"/>
      <c r="C464" s="62"/>
      <c r="D464" s="80"/>
      <c r="E464" s="80"/>
      <c r="F464" s="81"/>
      <c r="G464" s="72"/>
      <c r="H464" s="76"/>
      <c r="I464" s="62"/>
      <c r="J464" s="62"/>
      <c r="K464" s="54"/>
      <c r="L464" s="74"/>
      <c r="M464" s="62"/>
      <c r="N464" s="62"/>
      <c r="O464" s="62"/>
      <c r="P464" s="77"/>
      <c r="Q464" s="62"/>
      <c r="R464" s="71"/>
      <c r="S464" s="71"/>
      <c r="T464" s="71"/>
      <c r="U464" s="68"/>
    </row>
    <row r="465" spans="2:21">
      <c r="B465" s="62"/>
      <c r="C465" s="62"/>
      <c r="D465" s="80"/>
      <c r="E465" s="80"/>
      <c r="F465" s="81"/>
      <c r="G465" s="72"/>
      <c r="H465" s="76"/>
      <c r="I465" s="62"/>
      <c r="J465" s="62"/>
      <c r="K465" s="54"/>
      <c r="L465" s="74"/>
      <c r="M465" s="62"/>
      <c r="N465" s="62"/>
      <c r="O465" s="62"/>
      <c r="P465" s="77"/>
      <c r="Q465" s="62"/>
      <c r="R465" s="71"/>
      <c r="S465" s="71"/>
      <c r="T465" s="71"/>
      <c r="U465" s="68"/>
    </row>
    <row r="466" spans="2:21">
      <c r="B466" s="62"/>
      <c r="C466" s="62"/>
      <c r="D466" s="80"/>
      <c r="E466" s="80"/>
      <c r="F466" s="81"/>
      <c r="G466" s="72"/>
      <c r="H466" s="76"/>
      <c r="I466" s="62"/>
      <c r="J466" s="62"/>
      <c r="K466" s="54"/>
      <c r="L466" s="74"/>
      <c r="M466" s="62"/>
      <c r="N466" s="62"/>
      <c r="O466" s="62"/>
      <c r="P466" s="77"/>
      <c r="Q466" s="62"/>
      <c r="R466" s="71"/>
      <c r="S466" s="71"/>
      <c r="T466" s="71"/>
      <c r="U466" s="68"/>
    </row>
    <row r="467" spans="2:21">
      <c r="B467" s="62"/>
      <c r="C467" s="62"/>
      <c r="D467" s="80"/>
      <c r="E467" s="80"/>
      <c r="F467" s="81"/>
      <c r="G467" s="72"/>
      <c r="H467" s="76"/>
      <c r="I467" s="62"/>
      <c r="J467" s="62"/>
      <c r="K467" s="54"/>
      <c r="L467" s="74"/>
      <c r="M467" s="62"/>
      <c r="N467" s="62"/>
      <c r="O467" s="62"/>
      <c r="P467" s="77"/>
      <c r="Q467" s="62"/>
      <c r="R467" s="71"/>
      <c r="S467" s="71"/>
      <c r="T467" s="71"/>
      <c r="U467" s="68"/>
    </row>
    <row r="468" spans="2:21">
      <c r="B468" s="62"/>
      <c r="C468" s="62"/>
      <c r="D468" s="80"/>
      <c r="E468" s="80"/>
      <c r="F468" s="81"/>
      <c r="G468" s="72"/>
      <c r="H468" s="76"/>
      <c r="I468" s="62"/>
      <c r="J468" s="62"/>
      <c r="K468" s="54"/>
      <c r="L468" s="74"/>
      <c r="M468" s="62"/>
      <c r="N468" s="62"/>
      <c r="O468" s="62"/>
      <c r="P468" s="77"/>
      <c r="Q468" s="62"/>
      <c r="R468" s="71"/>
      <c r="S468" s="71"/>
      <c r="T468" s="71"/>
      <c r="U468" s="68"/>
    </row>
    <row r="469" spans="2:21">
      <c r="B469" s="62"/>
      <c r="C469" s="62"/>
      <c r="D469" s="80"/>
      <c r="E469" s="80"/>
      <c r="F469" s="81"/>
      <c r="G469" s="72"/>
      <c r="H469" s="76"/>
      <c r="I469" s="62"/>
      <c r="J469" s="62"/>
      <c r="K469" s="54"/>
      <c r="L469" s="74"/>
      <c r="M469" s="62"/>
      <c r="N469" s="62"/>
      <c r="O469" s="62"/>
      <c r="P469" s="77"/>
      <c r="Q469" s="62"/>
      <c r="R469" s="71"/>
      <c r="S469" s="71"/>
      <c r="T469" s="71"/>
      <c r="U469" s="68"/>
    </row>
    <row r="470" spans="2:21">
      <c r="B470" s="62"/>
      <c r="C470" s="62"/>
      <c r="D470" s="80"/>
      <c r="E470" s="80"/>
      <c r="F470" s="81"/>
      <c r="G470" s="72"/>
      <c r="H470" s="76"/>
      <c r="I470" s="62"/>
      <c r="J470" s="62"/>
      <c r="K470" s="54"/>
      <c r="L470" s="74"/>
      <c r="M470" s="62"/>
      <c r="N470" s="62"/>
      <c r="O470" s="62"/>
      <c r="P470" s="77"/>
      <c r="Q470" s="62"/>
      <c r="R470" s="71"/>
      <c r="S470" s="71"/>
      <c r="T470" s="71"/>
      <c r="U470" s="68"/>
    </row>
    <row r="471" spans="2:21">
      <c r="B471" s="62"/>
      <c r="C471" s="62"/>
      <c r="D471" s="80"/>
      <c r="E471" s="80"/>
      <c r="F471" s="81"/>
      <c r="G471" s="72"/>
      <c r="H471" s="76"/>
      <c r="I471" s="62"/>
      <c r="J471" s="62"/>
      <c r="K471" s="54"/>
      <c r="L471" s="74"/>
      <c r="M471" s="62"/>
      <c r="N471" s="62"/>
      <c r="O471" s="62"/>
      <c r="P471" s="77"/>
      <c r="Q471" s="62"/>
      <c r="R471" s="71"/>
      <c r="S471" s="71"/>
      <c r="T471" s="71"/>
      <c r="U471" s="68"/>
    </row>
    <row r="472" spans="2:21">
      <c r="B472" s="62"/>
      <c r="C472" s="62"/>
      <c r="D472" s="80"/>
      <c r="E472" s="80"/>
      <c r="F472" s="81"/>
      <c r="G472" s="72"/>
      <c r="H472" s="76"/>
      <c r="I472" s="62"/>
      <c r="J472" s="62"/>
      <c r="K472" s="54"/>
      <c r="L472" s="74"/>
      <c r="M472" s="62"/>
      <c r="N472" s="62"/>
      <c r="O472" s="62"/>
      <c r="P472" s="77"/>
      <c r="Q472" s="62"/>
      <c r="R472" s="71"/>
      <c r="S472" s="71"/>
      <c r="T472" s="71"/>
      <c r="U472" s="68"/>
    </row>
    <row r="473" spans="2:21">
      <c r="B473" s="62"/>
      <c r="C473" s="62"/>
      <c r="D473" s="80"/>
      <c r="E473" s="80"/>
      <c r="F473" s="81"/>
      <c r="G473" s="72"/>
      <c r="H473" s="76"/>
      <c r="I473" s="62"/>
      <c r="J473" s="62"/>
      <c r="K473" s="54"/>
      <c r="L473" s="74"/>
      <c r="M473" s="62"/>
      <c r="N473" s="62"/>
      <c r="O473" s="62"/>
      <c r="P473" s="77"/>
      <c r="Q473" s="62"/>
      <c r="R473" s="71"/>
      <c r="S473" s="71"/>
      <c r="T473" s="71"/>
      <c r="U473" s="68"/>
    </row>
    <row r="474" spans="2:21">
      <c r="B474" s="62"/>
      <c r="C474" s="62"/>
      <c r="D474" s="80"/>
      <c r="E474" s="80"/>
      <c r="F474" s="81"/>
      <c r="G474" s="72"/>
      <c r="H474" s="76"/>
      <c r="I474" s="62"/>
      <c r="J474" s="62"/>
      <c r="K474" s="54"/>
      <c r="L474" s="74"/>
      <c r="M474" s="62"/>
      <c r="N474" s="62"/>
      <c r="O474" s="62"/>
      <c r="P474" s="77"/>
      <c r="Q474" s="62"/>
      <c r="R474" s="71"/>
      <c r="S474" s="71"/>
      <c r="T474" s="71"/>
      <c r="U474" s="68"/>
    </row>
    <row r="475" spans="2:21">
      <c r="B475" s="62"/>
      <c r="C475" s="62"/>
      <c r="D475" s="80"/>
      <c r="E475" s="80"/>
      <c r="F475" s="81"/>
      <c r="G475" s="72"/>
      <c r="H475" s="76"/>
      <c r="I475" s="62"/>
      <c r="J475" s="62"/>
      <c r="K475" s="54"/>
      <c r="L475" s="74"/>
      <c r="M475" s="62"/>
      <c r="N475" s="62"/>
      <c r="O475" s="62"/>
      <c r="P475" s="77"/>
      <c r="Q475" s="62"/>
      <c r="R475" s="71"/>
      <c r="S475" s="71"/>
      <c r="T475" s="71"/>
      <c r="U475" s="68"/>
    </row>
    <row r="476" spans="2:21">
      <c r="B476" s="62"/>
      <c r="C476" s="62"/>
      <c r="D476" s="80"/>
      <c r="E476" s="80"/>
      <c r="F476" s="81"/>
      <c r="G476" s="72"/>
      <c r="H476" s="76"/>
      <c r="I476" s="62"/>
      <c r="J476" s="62"/>
      <c r="K476" s="54"/>
      <c r="L476" s="74"/>
      <c r="M476" s="62"/>
      <c r="N476" s="62"/>
      <c r="O476" s="62"/>
      <c r="P476" s="77"/>
      <c r="Q476" s="62"/>
      <c r="R476" s="71"/>
      <c r="S476" s="71"/>
      <c r="T476" s="71"/>
      <c r="U476" s="68"/>
    </row>
    <row r="477" spans="2:21">
      <c r="B477" s="62"/>
      <c r="C477" s="62"/>
      <c r="D477" s="80"/>
      <c r="E477" s="80"/>
      <c r="F477" s="81"/>
      <c r="G477" s="72"/>
      <c r="H477" s="76"/>
      <c r="I477" s="62"/>
      <c r="J477" s="62"/>
      <c r="K477" s="54"/>
      <c r="L477" s="74"/>
      <c r="M477" s="62"/>
      <c r="N477" s="62"/>
      <c r="O477" s="62"/>
      <c r="P477" s="77"/>
      <c r="Q477" s="62"/>
      <c r="R477" s="71"/>
      <c r="S477" s="71"/>
      <c r="T477" s="71"/>
      <c r="U477" s="68"/>
    </row>
    <row r="478" spans="2:21">
      <c r="B478" s="62"/>
      <c r="C478" s="62"/>
      <c r="D478" s="80"/>
      <c r="E478" s="80"/>
      <c r="F478" s="81"/>
      <c r="G478" s="72"/>
      <c r="H478" s="76"/>
      <c r="I478" s="62"/>
      <c r="J478" s="62"/>
      <c r="K478" s="54"/>
      <c r="L478" s="74"/>
      <c r="M478" s="62"/>
      <c r="N478" s="62"/>
      <c r="O478" s="62"/>
      <c r="P478" s="77"/>
      <c r="Q478" s="62"/>
      <c r="R478" s="71"/>
      <c r="S478" s="71"/>
      <c r="T478" s="71"/>
      <c r="U478" s="68"/>
    </row>
    <row r="479" spans="2:21">
      <c r="B479" s="62"/>
      <c r="C479" s="62"/>
      <c r="D479" s="80"/>
      <c r="E479" s="80"/>
      <c r="F479" s="81"/>
      <c r="G479" s="72"/>
      <c r="H479" s="76"/>
      <c r="I479" s="62"/>
      <c r="J479" s="62"/>
      <c r="K479" s="54"/>
      <c r="L479" s="74"/>
      <c r="M479" s="62"/>
      <c r="N479" s="62"/>
      <c r="O479" s="62"/>
      <c r="P479" s="77"/>
      <c r="Q479" s="62"/>
      <c r="R479" s="71"/>
      <c r="S479" s="71"/>
      <c r="T479" s="71"/>
      <c r="U479" s="68"/>
    </row>
    <row r="480" spans="2:21">
      <c r="B480" s="62"/>
      <c r="C480" s="62"/>
      <c r="D480" s="80"/>
      <c r="E480" s="80"/>
      <c r="F480" s="81"/>
      <c r="G480" s="72"/>
      <c r="H480" s="76"/>
      <c r="I480" s="62"/>
      <c r="J480" s="62"/>
      <c r="K480" s="54"/>
      <c r="L480" s="74"/>
      <c r="M480" s="62"/>
      <c r="N480" s="62"/>
      <c r="O480" s="62"/>
      <c r="P480" s="77"/>
      <c r="Q480" s="62"/>
      <c r="R480" s="71"/>
      <c r="S480" s="71"/>
      <c r="T480" s="71"/>
      <c r="U480" s="68"/>
    </row>
    <row r="481" spans="2:21">
      <c r="B481" s="62"/>
      <c r="C481" s="62"/>
      <c r="D481" s="80"/>
      <c r="E481" s="80"/>
      <c r="F481" s="81"/>
      <c r="G481" s="72"/>
      <c r="H481" s="76"/>
      <c r="I481" s="62"/>
      <c r="J481" s="62"/>
      <c r="K481" s="54"/>
      <c r="L481" s="74"/>
      <c r="M481" s="62"/>
      <c r="N481" s="62"/>
      <c r="O481" s="62"/>
      <c r="P481" s="77"/>
      <c r="Q481" s="62"/>
      <c r="R481" s="71"/>
      <c r="S481" s="71"/>
      <c r="T481" s="71"/>
      <c r="U481" s="68"/>
    </row>
    <row r="482" spans="2:21">
      <c r="B482" s="62"/>
      <c r="C482" s="62"/>
      <c r="D482" s="80"/>
      <c r="E482" s="80"/>
      <c r="F482" s="81"/>
      <c r="G482" s="72"/>
      <c r="H482" s="76"/>
      <c r="I482" s="62"/>
      <c r="J482" s="62"/>
      <c r="K482" s="54"/>
      <c r="L482" s="74"/>
      <c r="M482" s="62"/>
      <c r="N482" s="62"/>
      <c r="O482" s="62"/>
      <c r="P482" s="77"/>
      <c r="Q482" s="62"/>
      <c r="R482" s="71"/>
      <c r="S482" s="71"/>
      <c r="T482" s="71"/>
      <c r="U482" s="68"/>
    </row>
    <row r="483" spans="2:21">
      <c r="B483" s="62"/>
      <c r="C483" s="62"/>
      <c r="D483" s="80"/>
      <c r="E483" s="80"/>
      <c r="F483" s="81"/>
      <c r="G483" s="72"/>
      <c r="H483" s="76"/>
      <c r="I483" s="62"/>
      <c r="J483" s="62"/>
      <c r="K483" s="54"/>
      <c r="L483" s="74"/>
      <c r="M483" s="62"/>
      <c r="N483" s="62"/>
      <c r="O483" s="62"/>
      <c r="P483" s="77"/>
      <c r="Q483" s="62"/>
      <c r="R483" s="71"/>
      <c r="S483" s="71"/>
      <c r="T483" s="71"/>
      <c r="U483" s="68"/>
    </row>
    <row r="484" spans="2:21">
      <c r="B484" s="62"/>
      <c r="C484" s="62"/>
      <c r="D484" s="80"/>
      <c r="E484" s="80"/>
      <c r="F484" s="81"/>
      <c r="G484" s="72"/>
      <c r="H484" s="76"/>
      <c r="I484" s="62"/>
      <c r="J484" s="62"/>
      <c r="K484" s="54"/>
      <c r="L484" s="74"/>
      <c r="M484" s="62"/>
      <c r="N484" s="62"/>
      <c r="O484" s="62"/>
      <c r="P484" s="77"/>
      <c r="Q484" s="62"/>
      <c r="R484" s="71"/>
      <c r="S484" s="71"/>
      <c r="T484" s="71"/>
      <c r="U484" s="68"/>
    </row>
    <row r="485" spans="2:21">
      <c r="B485" s="62"/>
      <c r="C485" s="62"/>
      <c r="D485" s="80"/>
      <c r="E485" s="80"/>
      <c r="F485" s="81"/>
      <c r="G485" s="72"/>
      <c r="H485" s="76"/>
      <c r="I485" s="62"/>
      <c r="J485" s="62"/>
      <c r="K485" s="54"/>
      <c r="L485" s="74"/>
      <c r="M485" s="62"/>
      <c r="N485" s="62"/>
      <c r="O485" s="62"/>
      <c r="P485" s="77"/>
      <c r="Q485" s="62"/>
      <c r="R485" s="71"/>
      <c r="S485" s="71"/>
      <c r="T485" s="71"/>
      <c r="U485" s="68"/>
    </row>
    <row r="486" spans="2:21">
      <c r="B486" s="62"/>
      <c r="C486" s="62"/>
      <c r="D486" s="80"/>
      <c r="E486" s="80"/>
      <c r="F486" s="81"/>
      <c r="G486" s="72"/>
      <c r="H486" s="76"/>
      <c r="I486" s="62"/>
      <c r="J486" s="62"/>
      <c r="K486" s="54"/>
      <c r="L486" s="74"/>
      <c r="M486" s="62"/>
      <c r="N486" s="62"/>
      <c r="O486" s="62"/>
      <c r="P486" s="77"/>
      <c r="Q486" s="62"/>
      <c r="R486" s="71"/>
      <c r="S486" s="71"/>
      <c r="T486" s="71"/>
      <c r="U486" s="68"/>
    </row>
    <row r="487" spans="2:21">
      <c r="B487" s="62"/>
      <c r="C487" s="62"/>
      <c r="D487" s="80"/>
      <c r="E487" s="80"/>
      <c r="F487" s="81"/>
      <c r="G487" s="72"/>
      <c r="H487" s="76"/>
      <c r="I487" s="62"/>
      <c r="J487" s="62"/>
      <c r="K487" s="54"/>
      <c r="L487" s="74"/>
      <c r="M487" s="62"/>
      <c r="N487" s="62"/>
      <c r="O487" s="62"/>
      <c r="P487" s="77"/>
      <c r="Q487" s="62"/>
      <c r="R487" s="71"/>
      <c r="S487" s="71"/>
      <c r="T487" s="71"/>
      <c r="U487" s="68"/>
    </row>
    <row r="488" spans="2:21">
      <c r="B488" s="62"/>
      <c r="C488" s="62"/>
      <c r="D488" s="80"/>
      <c r="E488" s="80"/>
      <c r="F488" s="81"/>
      <c r="G488" s="72"/>
      <c r="H488" s="76"/>
      <c r="I488" s="62"/>
      <c r="J488" s="62"/>
      <c r="K488" s="54"/>
      <c r="L488" s="74"/>
      <c r="M488" s="62"/>
      <c r="N488" s="62"/>
      <c r="O488" s="62"/>
      <c r="P488" s="77"/>
      <c r="Q488" s="62"/>
      <c r="R488" s="71"/>
      <c r="S488" s="71"/>
      <c r="T488" s="71"/>
      <c r="U488" s="68"/>
    </row>
    <row r="489" spans="2:21">
      <c r="B489" s="62"/>
      <c r="C489" s="62"/>
      <c r="D489" s="80"/>
      <c r="E489" s="80"/>
      <c r="F489" s="81"/>
      <c r="G489" s="72"/>
      <c r="H489" s="76"/>
      <c r="I489" s="62"/>
      <c r="J489" s="62"/>
      <c r="K489" s="54"/>
      <c r="L489" s="74"/>
      <c r="M489" s="62"/>
      <c r="N489" s="62"/>
      <c r="O489" s="62"/>
      <c r="P489" s="77"/>
      <c r="Q489" s="62"/>
      <c r="R489" s="71"/>
      <c r="S489" s="71"/>
      <c r="T489" s="71"/>
      <c r="U489" s="68"/>
    </row>
    <row r="490" spans="2:21">
      <c r="B490" s="62"/>
      <c r="C490" s="62"/>
      <c r="D490" s="80"/>
      <c r="E490" s="80"/>
      <c r="F490" s="81"/>
      <c r="G490" s="72"/>
      <c r="H490" s="76"/>
      <c r="I490" s="62"/>
      <c r="J490" s="62"/>
      <c r="K490" s="54"/>
      <c r="L490" s="74"/>
      <c r="M490" s="62"/>
      <c r="N490" s="62"/>
      <c r="O490" s="62"/>
      <c r="P490" s="77"/>
      <c r="Q490" s="62"/>
      <c r="R490" s="71"/>
      <c r="S490" s="71"/>
      <c r="T490" s="71"/>
      <c r="U490" s="68"/>
    </row>
    <row r="491" spans="2:21">
      <c r="B491" s="62"/>
      <c r="C491" s="62"/>
      <c r="D491" s="80"/>
      <c r="E491" s="80"/>
      <c r="F491" s="81"/>
      <c r="G491" s="72"/>
      <c r="H491" s="76"/>
      <c r="I491" s="62"/>
      <c r="J491" s="62"/>
      <c r="K491" s="54"/>
      <c r="L491" s="74"/>
      <c r="M491" s="62"/>
      <c r="N491" s="62"/>
      <c r="O491" s="62"/>
      <c r="P491" s="77"/>
      <c r="Q491" s="62"/>
      <c r="R491" s="71"/>
      <c r="S491" s="71"/>
      <c r="T491" s="71"/>
      <c r="U491" s="68"/>
    </row>
    <row r="492" spans="2:21">
      <c r="B492" s="62"/>
      <c r="C492" s="62"/>
      <c r="D492" s="80"/>
      <c r="E492" s="80"/>
      <c r="F492" s="81"/>
      <c r="G492" s="72"/>
      <c r="H492" s="76"/>
      <c r="I492" s="62"/>
      <c r="J492" s="62"/>
      <c r="K492" s="54"/>
      <c r="L492" s="74"/>
      <c r="M492" s="62"/>
      <c r="N492" s="62"/>
      <c r="O492" s="62"/>
      <c r="P492" s="77"/>
      <c r="Q492" s="62"/>
      <c r="R492" s="71"/>
      <c r="S492" s="71"/>
      <c r="T492" s="71"/>
      <c r="U492" s="68"/>
    </row>
    <row r="493" spans="2:21">
      <c r="B493" s="62"/>
      <c r="C493" s="62"/>
      <c r="D493" s="80"/>
      <c r="E493" s="80"/>
      <c r="F493" s="81"/>
      <c r="G493" s="72"/>
      <c r="H493" s="76"/>
      <c r="I493" s="62"/>
      <c r="J493" s="62"/>
      <c r="K493" s="54"/>
      <c r="L493" s="74"/>
      <c r="M493" s="62"/>
      <c r="N493" s="62"/>
      <c r="O493" s="62"/>
      <c r="P493" s="77"/>
      <c r="Q493" s="62"/>
      <c r="R493" s="71"/>
      <c r="S493" s="71"/>
      <c r="T493" s="71"/>
      <c r="U493" s="68"/>
    </row>
    <row r="494" spans="2:21">
      <c r="B494" s="62"/>
      <c r="C494" s="62"/>
      <c r="D494" s="80"/>
      <c r="E494" s="80"/>
      <c r="F494" s="81"/>
      <c r="G494" s="72"/>
      <c r="H494" s="76"/>
      <c r="I494" s="62"/>
      <c r="J494" s="62"/>
      <c r="K494" s="54"/>
      <c r="L494" s="74"/>
      <c r="M494" s="62"/>
      <c r="N494" s="62"/>
      <c r="O494" s="62"/>
      <c r="P494" s="77"/>
      <c r="Q494" s="62"/>
      <c r="R494" s="71"/>
      <c r="S494" s="71"/>
      <c r="T494" s="71"/>
      <c r="U494" s="68"/>
    </row>
    <row r="495" spans="2:21">
      <c r="B495" s="62"/>
      <c r="C495" s="62"/>
      <c r="D495" s="80"/>
      <c r="E495" s="80"/>
      <c r="F495" s="81"/>
      <c r="G495" s="72"/>
      <c r="H495" s="76"/>
      <c r="I495" s="62"/>
      <c r="J495" s="62"/>
      <c r="K495" s="54"/>
      <c r="L495" s="74"/>
      <c r="M495" s="62"/>
      <c r="N495" s="62"/>
      <c r="O495" s="62"/>
      <c r="P495" s="77"/>
      <c r="Q495" s="62"/>
      <c r="R495" s="71"/>
      <c r="S495" s="71"/>
      <c r="T495" s="71"/>
      <c r="U495" s="68"/>
    </row>
    <row r="496" spans="2:21">
      <c r="B496" s="62"/>
      <c r="C496" s="62"/>
      <c r="D496" s="80"/>
      <c r="E496" s="80"/>
      <c r="F496" s="81"/>
      <c r="G496" s="72"/>
      <c r="H496" s="76"/>
      <c r="I496" s="62"/>
      <c r="J496" s="62"/>
      <c r="K496" s="54"/>
      <c r="L496" s="74"/>
      <c r="M496" s="62"/>
      <c r="N496" s="62"/>
      <c r="O496" s="62"/>
      <c r="P496" s="77"/>
      <c r="Q496" s="62"/>
      <c r="R496" s="71"/>
      <c r="S496" s="71"/>
      <c r="T496" s="71"/>
      <c r="U496" s="68"/>
    </row>
    <row r="497" spans="2:21">
      <c r="B497" s="62"/>
      <c r="C497" s="62"/>
      <c r="D497" s="80"/>
      <c r="E497" s="80"/>
      <c r="F497" s="81"/>
      <c r="G497" s="72"/>
      <c r="H497" s="76"/>
      <c r="I497" s="62"/>
      <c r="J497" s="62"/>
      <c r="K497" s="54"/>
      <c r="L497" s="74"/>
      <c r="M497" s="62"/>
      <c r="N497" s="62"/>
      <c r="O497" s="62"/>
      <c r="P497" s="77"/>
      <c r="Q497" s="62"/>
      <c r="R497" s="71"/>
      <c r="S497" s="71"/>
      <c r="T497" s="71"/>
      <c r="U497" s="68"/>
    </row>
    <row r="498" spans="2:21">
      <c r="B498" s="62"/>
      <c r="C498" s="62"/>
      <c r="D498" s="80"/>
      <c r="E498" s="80"/>
      <c r="F498" s="81"/>
      <c r="G498" s="72"/>
      <c r="H498" s="76"/>
      <c r="I498" s="62"/>
      <c r="J498" s="62"/>
      <c r="K498" s="54"/>
      <c r="L498" s="74"/>
      <c r="M498" s="62"/>
      <c r="N498" s="62"/>
      <c r="O498" s="62"/>
      <c r="P498" s="77"/>
      <c r="Q498" s="62"/>
      <c r="R498" s="71"/>
      <c r="S498" s="71"/>
      <c r="T498" s="71"/>
      <c r="U498" s="68"/>
    </row>
    <row r="499" spans="2:21">
      <c r="B499" s="62"/>
      <c r="C499" s="62"/>
      <c r="D499" s="80"/>
      <c r="E499" s="80"/>
      <c r="F499" s="81"/>
      <c r="G499" s="72"/>
      <c r="H499" s="76"/>
      <c r="I499" s="62"/>
      <c r="J499" s="62"/>
      <c r="K499" s="54"/>
      <c r="L499" s="74"/>
      <c r="M499" s="62"/>
      <c r="N499" s="62"/>
      <c r="O499" s="62"/>
      <c r="P499" s="77"/>
      <c r="Q499" s="62"/>
      <c r="R499" s="71"/>
      <c r="S499" s="71"/>
      <c r="T499" s="71"/>
      <c r="U499" s="68"/>
    </row>
    <row r="500" spans="2:21">
      <c r="B500" s="62"/>
      <c r="C500" s="62"/>
      <c r="D500" s="80"/>
      <c r="E500" s="80"/>
      <c r="F500" s="81"/>
      <c r="G500" s="72"/>
      <c r="H500" s="76"/>
      <c r="I500" s="62"/>
      <c r="J500" s="62"/>
      <c r="K500" s="54"/>
      <c r="L500" s="74"/>
      <c r="M500" s="62"/>
      <c r="N500" s="62"/>
      <c r="O500" s="62"/>
      <c r="P500" s="77"/>
      <c r="Q500" s="62"/>
      <c r="R500" s="71"/>
      <c r="S500" s="71"/>
      <c r="T500" s="71"/>
      <c r="U500" s="68"/>
    </row>
    <row r="501" spans="2:21">
      <c r="B501" s="62"/>
      <c r="C501" s="62"/>
      <c r="D501" s="80"/>
      <c r="E501" s="80"/>
      <c r="F501" s="81"/>
      <c r="G501" s="72"/>
      <c r="H501" s="76"/>
      <c r="I501" s="62"/>
      <c r="J501" s="62"/>
      <c r="K501" s="54"/>
      <c r="L501" s="74"/>
      <c r="M501" s="62"/>
      <c r="N501" s="62"/>
      <c r="O501" s="62"/>
      <c r="P501" s="77"/>
      <c r="Q501" s="62"/>
      <c r="R501" s="71"/>
      <c r="S501" s="71"/>
      <c r="T501" s="71"/>
      <c r="U501" s="68"/>
    </row>
    <row r="502" spans="2:21">
      <c r="B502" s="62"/>
      <c r="C502" s="62"/>
      <c r="D502" s="80"/>
      <c r="E502" s="80"/>
      <c r="F502" s="81"/>
      <c r="G502" s="72"/>
      <c r="H502" s="76"/>
      <c r="I502" s="62"/>
      <c r="J502" s="62"/>
      <c r="K502" s="54"/>
      <c r="L502" s="74"/>
      <c r="M502" s="62"/>
      <c r="N502" s="62"/>
      <c r="O502" s="62"/>
      <c r="P502" s="77"/>
      <c r="Q502" s="62"/>
      <c r="R502" s="71"/>
      <c r="S502" s="71"/>
      <c r="T502" s="71"/>
      <c r="U502" s="68"/>
    </row>
    <row r="503" spans="2:21">
      <c r="B503" s="62"/>
      <c r="C503" s="62"/>
      <c r="D503" s="80"/>
      <c r="E503" s="80"/>
      <c r="F503" s="81"/>
      <c r="G503" s="72"/>
      <c r="H503" s="76"/>
      <c r="I503" s="62"/>
      <c r="J503" s="62"/>
      <c r="K503" s="54"/>
      <c r="L503" s="74"/>
      <c r="M503" s="62"/>
      <c r="N503" s="62"/>
      <c r="O503" s="62"/>
      <c r="P503" s="77"/>
      <c r="Q503" s="62"/>
      <c r="R503" s="71"/>
      <c r="S503" s="71"/>
      <c r="T503" s="71"/>
      <c r="U503" s="68"/>
    </row>
    <row r="504" spans="2:21">
      <c r="B504" s="62"/>
      <c r="C504" s="62"/>
      <c r="D504" s="80"/>
      <c r="E504" s="80"/>
      <c r="F504" s="81"/>
      <c r="G504" s="72"/>
      <c r="H504" s="76"/>
      <c r="I504" s="62"/>
      <c r="J504" s="62"/>
      <c r="K504" s="54"/>
      <c r="L504" s="74"/>
      <c r="M504" s="62"/>
      <c r="N504" s="62"/>
      <c r="O504" s="62"/>
      <c r="P504" s="77"/>
      <c r="Q504" s="62"/>
      <c r="R504" s="71"/>
      <c r="S504" s="71"/>
      <c r="T504" s="71"/>
      <c r="U504" s="68"/>
    </row>
    <row r="505" spans="2:21">
      <c r="B505" s="62"/>
      <c r="C505" s="62"/>
      <c r="D505" s="80"/>
      <c r="E505" s="80"/>
      <c r="F505" s="81"/>
      <c r="G505" s="72"/>
      <c r="H505" s="76"/>
      <c r="I505" s="62"/>
      <c r="J505" s="62"/>
      <c r="K505" s="54"/>
      <c r="L505" s="74"/>
      <c r="M505" s="62"/>
      <c r="N505" s="62"/>
      <c r="O505" s="62"/>
      <c r="P505" s="77"/>
      <c r="Q505" s="62"/>
      <c r="R505" s="71"/>
      <c r="S505" s="71"/>
      <c r="T505" s="71"/>
      <c r="U505" s="68"/>
    </row>
    <row r="506" spans="2:21">
      <c r="B506" s="62"/>
      <c r="C506" s="62"/>
      <c r="D506" s="80"/>
      <c r="E506" s="80"/>
      <c r="F506" s="81"/>
      <c r="G506" s="72"/>
      <c r="H506" s="76"/>
      <c r="I506" s="62"/>
      <c r="J506" s="62"/>
      <c r="K506" s="54"/>
      <c r="L506" s="74"/>
      <c r="M506" s="62"/>
      <c r="N506" s="62"/>
      <c r="O506" s="62"/>
      <c r="P506" s="77"/>
      <c r="Q506" s="62"/>
      <c r="R506" s="71"/>
      <c r="S506" s="71"/>
      <c r="T506" s="71"/>
      <c r="U506" s="68"/>
    </row>
    <row r="507" spans="2:21">
      <c r="B507" s="62"/>
      <c r="C507" s="62"/>
      <c r="D507" s="80"/>
      <c r="E507" s="80"/>
      <c r="F507" s="81"/>
      <c r="G507" s="72"/>
      <c r="H507" s="76"/>
      <c r="I507" s="62"/>
      <c r="J507" s="62"/>
      <c r="K507" s="54"/>
      <c r="L507" s="74"/>
      <c r="M507" s="62"/>
      <c r="N507" s="62"/>
      <c r="O507" s="62"/>
      <c r="P507" s="77"/>
      <c r="Q507" s="62"/>
      <c r="R507" s="71"/>
      <c r="S507" s="71"/>
      <c r="T507" s="71"/>
      <c r="U507" s="68"/>
    </row>
    <row r="508" spans="2:21">
      <c r="B508" s="62"/>
      <c r="C508" s="62"/>
      <c r="D508" s="80"/>
      <c r="E508" s="80"/>
      <c r="F508" s="81"/>
      <c r="G508" s="72"/>
      <c r="H508" s="76"/>
      <c r="I508" s="62"/>
      <c r="J508" s="62"/>
      <c r="K508" s="54"/>
      <c r="L508" s="74"/>
      <c r="M508" s="62"/>
      <c r="N508" s="62"/>
      <c r="O508" s="62"/>
      <c r="P508" s="77"/>
      <c r="Q508" s="62"/>
      <c r="R508" s="71"/>
      <c r="S508" s="71"/>
      <c r="T508" s="71"/>
      <c r="U508" s="68"/>
    </row>
    <row r="509" spans="2:21">
      <c r="B509" s="62"/>
      <c r="C509" s="62"/>
      <c r="D509" s="80"/>
      <c r="E509" s="80"/>
      <c r="F509" s="81"/>
      <c r="G509" s="72"/>
      <c r="H509" s="76"/>
      <c r="I509" s="62"/>
      <c r="J509" s="62"/>
      <c r="K509" s="54"/>
      <c r="L509" s="74"/>
      <c r="M509" s="62"/>
      <c r="N509" s="62"/>
      <c r="O509" s="62"/>
      <c r="P509" s="77"/>
      <c r="Q509" s="62"/>
      <c r="R509" s="71"/>
      <c r="S509" s="71"/>
      <c r="T509" s="71"/>
      <c r="U509" s="68"/>
    </row>
    <row r="510" spans="2:21">
      <c r="B510" s="62"/>
      <c r="C510" s="62"/>
      <c r="D510" s="80"/>
      <c r="E510" s="80"/>
      <c r="F510" s="81"/>
      <c r="G510" s="72"/>
      <c r="H510" s="76"/>
      <c r="I510" s="62"/>
      <c r="J510" s="62"/>
      <c r="K510" s="54"/>
      <c r="L510" s="74"/>
      <c r="M510" s="62"/>
      <c r="N510" s="62"/>
      <c r="O510" s="62"/>
      <c r="P510" s="77"/>
      <c r="Q510" s="62"/>
      <c r="R510" s="71"/>
      <c r="S510" s="71"/>
      <c r="T510" s="71"/>
      <c r="U510" s="68"/>
    </row>
    <row r="511" spans="2:21">
      <c r="B511" s="62"/>
      <c r="C511" s="62"/>
      <c r="D511" s="80"/>
      <c r="E511" s="80"/>
      <c r="F511" s="81"/>
      <c r="G511" s="72"/>
      <c r="H511" s="76"/>
      <c r="I511" s="62"/>
      <c r="J511" s="62"/>
      <c r="K511" s="54"/>
      <c r="L511" s="74"/>
      <c r="M511" s="62"/>
      <c r="N511" s="62"/>
      <c r="O511" s="62"/>
      <c r="P511" s="77"/>
      <c r="Q511" s="62"/>
      <c r="R511" s="71"/>
      <c r="S511" s="71"/>
      <c r="T511" s="71"/>
      <c r="U511" s="68"/>
    </row>
    <row r="512" spans="2:21">
      <c r="B512" s="62"/>
      <c r="C512" s="62"/>
      <c r="D512" s="80"/>
      <c r="E512" s="80"/>
      <c r="F512" s="81"/>
      <c r="G512" s="72"/>
      <c r="H512" s="76"/>
      <c r="I512" s="62"/>
      <c r="J512" s="62"/>
      <c r="K512" s="54"/>
      <c r="L512" s="74"/>
      <c r="M512" s="62"/>
      <c r="N512" s="62"/>
      <c r="O512" s="62"/>
      <c r="P512" s="77"/>
      <c r="Q512" s="62"/>
      <c r="R512" s="71"/>
      <c r="S512" s="71"/>
      <c r="T512" s="71"/>
      <c r="U512" s="68"/>
    </row>
    <row r="513" spans="2:21">
      <c r="B513" s="62"/>
      <c r="C513" s="62"/>
      <c r="D513" s="80"/>
      <c r="E513" s="80"/>
      <c r="F513" s="81"/>
      <c r="G513" s="72"/>
      <c r="H513" s="76"/>
      <c r="I513" s="62"/>
      <c r="J513" s="62"/>
      <c r="K513" s="54"/>
      <c r="L513" s="74"/>
      <c r="M513" s="62"/>
      <c r="N513" s="62"/>
      <c r="O513" s="62"/>
      <c r="P513" s="77"/>
      <c r="Q513" s="62"/>
      <c r="R513" s="71"/>
      <c r="S513" s="71"/>
      <c r="T513" s="71"/>
      <c r="U513" s="68"/>
    </row>
    <row r="514" spans="2:21">
      <c r="B514" s="62"/>
      <c r="C514" s="62"/>
      <c r="D514" s="80"/>
      <c r="E514" s="80"/>
      <c r="F514" s="81"/>
      <c r="G514" s="72"/>
      <c r="H514" s="76"/>
      <c r="I514" s="62"/>
      <c r="J514" s="62"/>
      <c r="K514" s="54"/>
      <c r="L514" s="74"/>
      <c r="M514" s="62"/>
      <c r="N514" s="62"/>
      <c r="O514" s="62"/>
      <c r="P514" s="77"/>
      <c r="Q514" s="62"/>
      <c r="R514" s="71"/>
      <c r="S514" s="71"/>
      <c r="T514" s="71"/>
      <c r="U514" s="68"/>
    </row>
    <row r="515" spans="2:21">
      <c r="B515" s="62"/>
      <c r="C515" s="62"/>
      <c r="D515" s="80"/>
      <c r="E515" s="80"/>
      <c r="F515" s="81"/>
      <c r="G515" s="72"/>
      <c r="H515" s="76"/>
      <c r="I515" s="62"/>
      <c r="J515" s="62"/>
      <c r="K515" s="54"/>
      <c r="L515" s="74"/>
      <c r="M515" s="62"/>
      <c r="N515" s="62"/>
      <c r="O515" s="62"/>
      <c r="P515" s="77"/>
      <c r="Q515" s="62"/>
      <c r="R515" s="71"/>
      <c r="S515" s="71"/>
      <c r="T515" s="71"/>
      <c r="U515" s="68"/>
    </row>
    <row r="516" spans="2:21">
      <c r="B516" s="62"/>
      <c r="C516" s="62"/>
      <c r="D516" s="80"/>
      <c r="E516" s="80"/>
      <c r="F516" s="81"/>
      <c r="G516" s="72"/>
      <c r="H516" s="76"/>
      <c r="I516" s="62"/>
      <c r="J516" s="62"/>
      <c r="K516" s="54"/>
      <c r="L516" s="74"/>
      <c r="M516" s="62"/>
      <c r="N516" s="62"/>
      <c r="O516" s="62"/>
      <c r="P516" s="77"/>
      <c r="Q516" s="62"/>
      <c r="R516" s="71"/>
      <c r="S516" s="71"/>
      <c r="T516" s="71"/>
      <c r="U516" s="68"/>
    </row>
    <row r="517" spans="2:21">
      <c r="B517" s="62"/>
      <c r="C517" s="62"/>
      <c r="D517" s="80"/>
      <c r="E517" s="80"/>
      <c r="F517" s="81"/>
      <c r="G517" s="72"/>
      <c r="H517" s="76"/>
      <c r="I517" s="62"/>
      <c r="J517" s="62"/>
      <c r="K517" s="54"/>
      <c r="L517" s="74"/>
      <c r="M517" s="62"/>
      <c r="N517" s="62"/>
      <c r="O517" s="62"/>
      <c r="P517" s="77"/>
      <c r="Q517" s="62"/>
      <c r="R517" s="71"/>
      <c r="S517" s="71"/>
      <c r="T517" s="71"/>
      <c r="U517" s="68"/>
    </row>
    <row r="518" spans="2:21">
      <c r="B518" s="62"/>
      <c r="C518" s="62"/>
      <c r="D518" s="80"/>
      <c r="E518" s="80"/>
      <c r="F518" s="81"/>
      <c r="G518" s="72"/>
      <c r="H518" s="76"/>
      <c r="I518" s="62"/>
      <c r="J518" s="62"/>
      <c r="K518" s="54"/>
      <c r="L518" s="74"/>
      <c r="M518" s="62"/>
      <c r="N518" s="62"/>
      <c r="O518" s="62"/>
      <c r="P518" s="77"/>
      <c r="Q518" s="62"/>
      <c r="R518" s="71"/>
      <c r="S518" s="71"/>
      <c r="T518" s="71"/>
      <c r="U518" s="68"/>
    </row>
    <row r="519" spans="2:21">
      <c r="B519" s="62"/>
      <c r="C519" s="62"/>
      <c r="D519" s="80"/>
      <c r="E519" s="80"/>
      <c r="F519" s="81"/>
      <c r="G519" s="72"/>
      <c r="H519" s="76"/>
      <c r="I519" s="62"/>
      <c r="J519" s="62"/>
      <c r="K519" s="54"/>
      <c r="L519" s="74"/>
      <c r="M519" s="62"/>
      <c r="N519" s="62"/>
      <c r="O519" s="62"/>
      <c r="P519" s="77"/>
      <c r="Q519" s="62"/>
      <c r="R519" s="71"/>
      <c r="S519" s="71"/>
      <c r="T519" s="71"/>
      <c r="U519" s="68"/>
    </row>
    <row r="520" spans="2:21">
      <c r="B520" s="62"/>
      <c r="C520" s="62"/>
      <c r="D520" s="80"/>
      <c r="E520" s="80"/>
      <c r="F520" s="81"/>
      <c r="G520" s="72"/>
      <c r="H520" s="76"/>
      <c r="I520" s="62"/>
      <c r="J520" s="62"/>
      <c r="K520" s="54"/>
      <c r="L520" s="74"/>
      <c r="M520" s="62"/>
      <c r="N520" s="62"/>
      <c r="O520" s="62"/>
      <c r="P520" s="77"/>
      <c r="Q520" s="62"/>
      <c r="R520" s="71"/>
      <c r="S520" s="71"/>
      <c r="T520" s="71"/>
      <c r="U520" s="68"/>
    </row>
    <row r="521" spans="2:21">
      <c r="B521" s="62"/>
      <c r="C521" s="62"/>
      <c r="D521" s="80"/>
      <c r="E521" s="80"/>
      <c r="F521" s="81"/>
      <c r="G521" s="72"/>
      <c r="H521" s="76"/>
      <c r="I521" s="62"/>
      <c r="J521" s="62"/>
      <c r="K521" s="54"/>
      <c r="L521" s="74"/>
      <c r="M521" s="62"/>
      <c r="N521" s="62"/>
      <c r="O521" s="62"/>
      <c r="P521" s="77"/>
      <c r="Q521" s="62"/>
      <c r="R521" s="71"/>
      <c r="S521" s="71"/>
      <c r="T521" s="71"/>
      <c r="U521" s="68"/>
    </row>
    <row r="522" spans="2:21">
      <c r="B522" s="62"/>
      <c r="C522" s="62"/>
      <c r="D522" s="80"/>
      <c r="E522" s="80"/>
      <c r="F522" s="81"/>
      <c r="G522" s="72"/>
      <c r="H522" s="76"/>
      <c r="I522" s="62"/>
      <c r="J522" s="62"/>
      <c r="K522" s="54"/>
      <c r="L522" s="74"/>
      <c r="M522" s="62"/>
      <c r="N522" s="62"/>
      <c r="O522" s="62"/>
      <c r="P522" s="77"/>
      <c r="Q522" s="62"/>
      <c r="R522" s="71"/>
      <c r="S522" s="71"/>
      <c r="T522" s="71"/>
      <c r="U522" s="68"/>
    </row>
    <row r="523" spans="2:21">
      <c r="B523" s="62"/>
      <c r="C523" s="62"/>
      <c r="D523" s="80"/>
      <c r="E523" s="80"/>
      <c r="F523" s="81"/>
      <c r="G523" s="72"/>
      <c r="H523" s="76"/>
      <c r="I523" s="62"/>
      <c r="J523" s="62"/>
      <c r="K523" s="54"/>
      <c r="L523" s="74"/>
      <c r="M523" s="62"/>
      <c r="N523" s="62"/>
      <c r="O523" s="62"/>
      <c r="P523" s="77"/>
      <c r="Q523" s="62"/>
      <c r="R523" s="71"/>
      <c r="S523" s="71"/>
      <c r="T523" s="71"/>
      <c r="U523" s="68"/>
    </row>
    <row r="524" spans="2:21">
      <c r="B524" s="62"/>
      <c r="C524" s="62"/>
      <c r="D524" s="80"/>
      <c r="E524" s="80"/>
      <c r="F524" s="81"/>
      <c r="G524" s="72"/>
      <c r="H524" s="76"/>
      <c r="I524" s="62"/>
      <c r="J524" s="62"/>
      <c r="K524" s="54"/>
      <c r="L524" s="74"/>
      <c r="M524" s="62"/>
      <c r="N524" s="62"/>
      <c r="O524" s="62"/>
      <c r="P524" s="77"/>
      <c r="Q524" s="62"/>
      <c r="R524" s="71"/>
      <c r="S524" s="71"/>
      <c r="T524" s="71"/>
      <c r="U524" s="68"/>
    </row>
    <row r="525" spans="2:21">
      <c r="B525" s="62"/>
      <c r="C525" s="62"/>
      <c r="D525" s="80"/>
      <c r="E525" s="80"/>
      <c r="F525" s="81"/>
      <c r="G525" s="72"/>
      <c r="H525" s="76"/>
      <c r="I525" s="62"/>
      <c r="J525" s="62"/>
      <c r="K525" s="54"/>
      <c r="L525" s="74"/>
      <c r="M525" s="62"/>
      <c r="N525" s="62"/>
      <c r="O525" s="62"/>
      <c r="P525" s="77"/>
      <c r="Q525" s="62"/>
      <c r="R525" s="71"/>
      <c r="S525" s="71"/>
      <c r="T525" s="71"/>
      <c r="U525" s="68"/>
    </row>
    <row r="526" spans="2:21">
      <c r="B526" s="62"/>
      <c r="C526" s="62"/>
      <c r="D526" s="80"/>
      <c r="E526" s="80"/>
      <c r="F526" s="81"/>
      <c r="G526" s="72"/>
      <c r="H526" s="76"/>
      <c r="I526" s="62"/>
      <c r="J526" s="62"/>
      <c r="K526" s="54"/>
      <c r="L526" s="74"/>
      <c r="M526" s="62"/>
      <c r="N526" s="62"/>
      <c r="O526" s="62"/>
      <c r="P526" s="77"/>
      <c r="Q526" s="62"/>
      <c r="R526" s="71"/>
      <c r="S526" s="71"/>
      <c r="T526" s="71"/>
      <c r="U526" s="68"/>
    </row>
    <row r="527" spans="2:21">
      <c r="B527" s="62"/>
      <c r="C527" s="62"/>
      <c r="D527" s="80"/>
      <c r="E527" s="80"/>
      <c r="F527" s="81"/>
      <c r="G527" s="72"/>
      <c r="H527" s="76"/>
      <c r="I527" s="62"/>
      <c r="J527" s="62"/>
      <c r="K527" s="54"/>
      <c r="L527" s="74"/>
      <c r="M527" s="62"/>
      <c r="N527" s="62"/>
      <c r="O527" s="62"/>
      <c r="P527" s="77"/>
      <c r="Q527" s="62"/>
      <c r="R527" s="71"/>
      <c r="S527" s="71"/>
      <c r="T527" s="71"/>
      <c r="U527" s="68"/>
    </row>
    <row r="528" spans="2:21">
      <c r="B528" s="62"/>
      <c r="C528" s="62"/>
      <c r="D528" s="80"/>
      <c r="E528" s="80"/>
      <c r="F528" s="81"/>
      <c r="G528" s="72"/>
      <c r="H528" s="76"/>
      <c r="I528" s="62"/>
      <c r="J528" s="62"/>
      <c r="K528" s="54"/>
      <c r="L528" s="74"/>
      <c r="M528" s="62"/>
      <c r="N528" s="62"/>
      <c r="O528" s="62"/>
      <c r="P528" s="77"/>
      <c r="Q528" s="62"/>
      <c r="R528" s="71"/>
      <c r="S528" s="71"/>
      <c r="T528" s="71"/>
      <c r="U528" s="68"/>
    </row>
    <row r="529" spans="2:21">
      <c r="B529" s="62"/>
      <c r="C529" s="62"/>
      <c r="D529" s="80"/>
      <c r="E529" s="80"/>
      <c r="F529" s="81"/>
      <c r="G529" s="72"/>
      <c r="H529" s="76"/>
      <c r="I529" s="62"/>
      <c r="J529" s="62"/>
      <c r="K529" s="54"/>
      <c r="L529" s="74"/>
      <c r="M529" s="62"/>
      <c r="N529" s="62"/>
      <c r="O529" s="62"/>
      <c r="P529" s="77"/>
      <c r="Q529" s="62"/>
      <c r="R529" s="71"/>
      <c r="S529" s="71"/>
      <c r="T529" s="71"/>
      <c r="U529" s="68"/>
    </row>
    <row r="530" spans="2:21">
      <c r="B530" s="62"/>
      <c r="C530" s="62"/>
      <c r="D530" s="80"/>
      <c r="E530" s="80"/>
      <c r="F530" s="81"/>
      <c r="G530" s="72"/>
      <c r="H530" s="76"/>
      <c r="I530" s="62"/>
      <c r="J530" s="62"/>
      <c r="K530" s="54"/>
      <c r="L530" s="74"/>
      <c r="M530" s="62"/>
      <c r="N530" s="62"/>
      <c r="O530" s="62"/>
      <c r="P530" s="77"/>
      <c r="Q530" s="62"/>
      <c r="R530" s="71"/>
      <c r="S530" s="71"/>
      <c r="T530" s="71"/>
      <c r="U530" s="68"/>
    </row>
    <row r="531" spans="2:21">
      <c r="B531" s="62"/>
      <c r="C531" s="62"/>
      <c r="D531" s="80"/>
      <c r="E531" s="80"/>
      <c r="F531" s="81"/>
      <c r="G531" s="72"/>
      <c r="H531" s="76"/>
      <c r="I531" s="62"/>
      <c r="J531" s="62"/>
      <c r="K531" s="54"/>
      <c r="L531" s="74"/>
      <c r="M531" s="62"/>
      <c r="N531" s="62"/>
      <c r="O531" s="62"/>
      <c r="P531" s="77"/>
      <c r="Q531" s="62"/>
      <c r="R531" s="71"/>
      <c r="S531" s="71"/>
      <c r="T531" s="71"/>
      <c r="U531" s="68"/>
    </row>
    <row r="532" spans="2:21">
      <c r="B532" s="62"/>
      <c r="C532" s="62"/>
      <c r="D532" s="80"/>
      <c r="E532" s="80"/>
      <c r="F532" s="81"/>
      <c r="G532" s="72"/>
      <c r="H532" s="76"/>
      <c r="I532" s="62"/>
      <c r="J532" s="62"/>
      <c r="K532" s="54"/>
      <c r="L532" s="74"/>
      <c r="M532" s="62"/>
      <c r="N532" s="62"/>
      <c r="O532" s="62"/>
      <c r="P532" s="77"/>
      <c r="Q532" s="62"/>
      <c r="R532" s="71"/>
      <c r="S532" s="71"/>
      <c r="T532" s="71"/>
      <c r="U532" s="68"/>
    </row>
    <row r="533" spans="2:21">
      <c r="B533" s="62"/>
      <c r="C533" s="62"/>
      <c r="D533" s="80"/>
      <c r="E533" s="80"/>
      <c r="F533" s="81"/>
      <c r="G533" s="72"/>
      <c r="H533" s="76"/>
      <c r="I533" s="62"/>
      <c r="J533" s="62"/>
      <c r="K533" s="54"/>
      <c r="L533" s="74"/>
      <c r="M533" s="62"/>
      <c r="N533" s="62"/>
      <c r="O533" s="62"/>
      <c r="P533" s="77"/>
      <c r="Q533" s="62"/>
      <c r="R533" s="71"/>
      <c r="S533" s="71"/>
      <c r="T533" s="71"/>
      <c r="U533" s="68"/>
    </row>
    <row r="534" spans="2:21">
      <c r="B534" s="62"/>
      <c r="C534" s="62"/>
      <c r="D534" s="80"/>
      <c r="E534" s="80"/>
      <c r="F534" s="81"/>
      <c r="G534" s="72"/>
      <c r="H534" s="76"/>
      <c r="I534" s="62"/>
      <c r="J534" s="62"/>
      <c r="K534" s="54"/>
      <c r="L534" s="74"/>
      <c r="M534" s="62"/>
      <c r="N534" s="62"/>
      <c r="O534" s="62"/>
      <c r="P534" s="77"/>
      <c r="Q534" s="62"/>
      <c r="R534" s="71"/>
      <c r="S534" s="71"/>
      <c r="T534" s="71"/>
      <c r="U534" s="68"/>
    </row>
    <row r="535" spans="2:21">
      <c r="B535" s="62"/>
      <c r="C535" s="62"/>
      <c r="D535" s="80"/>
      <c r="E535" s="80"/>
      <c r="F535" s="81"/>
      <c r="G535" s="72"/>
      <c r="H535" s="76"/>
      <c r="I535" s="62"/>
      <c r="J535" s="62"/>
      <c r="K535" s="54"/>
      <c r="L535" s="74"/>
      <c r="M535" s="62"/>
      <c r="N535" s="62"/>
      <c r="O535" s="62"/>
      <c r="P535" s="77"/>
      <c r="Q535" s="62"/>
      <c r="R535" s="71"/>
      <c r="S535" s="71"/>
      <c r="T535" s="71"/>
      <c r="U535" s="68"/>
    </row>
    <row r="536" spans="2:21">
      <c r="B536" s="62"/>
      <c r="C536" s="62"/>
      <c r="D536" s="80"/>
      <c r="E536" s="80"/>
      <c r="F536" s="81"/>
      <c r="G536" s="72"/>
      <c r="H536" s="76"/>
      <c r="I536" s="62"/>
      <c r="J536" s="62"/>
      <c r="K536" s="54"/>
      <c r="L536" s="74"/>
      <c r="M536" s="62"/>
      <c r="N536" s="62"/>
      <c r="O536" s="62"/>
      <c r="P536" s="77"/>
      <c r="Q536" s="62"/>
      <c r="R536" s="71"/>
      <c r="S536" s="71"/>
      <c r="T536" s="71"/>
      <c r="U536" s="68"/>
    </row>
    <row r="537" spans="2:21">
      <c r="B537" s="62"/>
      <c r="C537" s="62"/>
      <c r="D537" s="80"/>
      <c r="E537" s="80"/>
      <c r="F537" s="81"/>
      <c r="G537" s="72"/>
      <c r="H537" s="76"/>
      <c r="I537" s="62"/>
      <c r="J537" s="62"/>
      <c r="K537" s="54"/>
      <c r="L537" s="74"/>
      <c r="M537" s="62"/>
      <c r="N537" s="62"/>
      <c r="O537" s="62"/>
      <c r="P537" s="77"/>
      <c r="Q537" s="62"/>
      <c r="R537" s="71"/>
      <c r="S537" s="71"/>
      <c r="T537" s="71"/>
      <c r="U537" s="68"/>
    </row>
    <row r="538" spans="2:21">
      <c r="B538" s="62"/>
      <c r="C538" s="62"/>
      <c r="D538" s="80"/>
      <c r="E538" s="80"/>
      <c r="F538" s="81"/>
      <c r="G538" s="72"/>
      <c r="H538" s="76"/>
      <c r="I538" s="62"/>
      <c r="J538" s="62"/>
      <c r="K538" s="54"/>
      <c r="L538" s="74"/>
      <c r="M538" s="62"/>
      <c r="N538" s="62"/>
      <c r="O538" s="62"/>
      <c r="P538" s="77"/>
      <c r="Q538" s="62"/>
      <c r="R538" s="71"/>
      <c r="S538" s="71"/>
      <c r="T538" s="71"/>
      <c r="U538" s="68"/>
    </row>
    <row r="539" spans="2:21">
      <c r="B539" s="62"/>
      <c r="C539" s="62"/>
      <c r="D539" s="80"/>
      <c r="E539" s="80"/>
      <c r="F539" s="81"/>
      <c r="G539" s="72"/>
      <c r="H539" s="76"/>
      <c r="I539" s="62"/>
      <c r="J539" s="62"/>
      <c r="K539" s="54"/>
      <c r="L539" s="74"/>
      <c r="M539" s="62"/>
      <c r="N539" s="62"/>
      <c r="O539" s="62"/>
      <c r="P539" s="77"/>
      <c r="Q539" s="62"/>
      <c r="R539" s="71"/>
      <c r="S539" s="71"/>
      <c r="T539" s="71"/>
      <c r="U539" s="68"/>
    </row>
    <row r="540" spans="2:21">
      <c r="B540" s="62"/>
      <c r="C540" s="62"/>
      <c r="D540" s="80"/>
      <c r="E540" s="80"/>
      <c r="F540" s="81"/>
      <c r="G540" s="72"/>
      <c r="H540" s="76"/>
      <c r="I540" s="62"/>
      <c r="J540" s="62"/>
      <c r="K540" s="54"/>
      <c r="L540" s="74"/>
      <c r="M540" s="62"/>
      <c r="N540" s="62"/>
      <c r="O540" s="62"/>
      <c r="P540" s="77"/>
      <c r="Q540" s="62"/>
      <c r="R540" s="71"/>
      <c r="S540" s="71"/>
      <c r="T540" s="71"/>
      <c r="U540" s="68"/>
    </row>
    <row r="541" spans="2:21">
      <c r="B541" s="62"/>
      <c r="C541" s="62"/>
      <c r="D541" s="80"/>
      <c r="E541" s="80"/>
      <c r="F541" s="81"/>
      <c r="G541" s="72"/>
      <c r="H541" s="76"/>
      <c r="I541" s="62"/>
      <c r="J541" s="62"/>
      <c r="K541" s="54"/>
      <c r="L541" s="74"/>
      <c r="M541" s="62"/>
      <c r="N541" s="62"/>
      <c r="O541" s="62"/>
      <c r="P541" s="77"/>
      <c r="Q541" s="62"/>
      <c r="R541" s="71"/>
      <c r="S541" s="71"/>
      <c r="T541" s="71"/>
      <c r="U541" s="68"/>
    </row>
    <row r="542" spans="2:21">
      <c r="B542" s="62"/>
      <c r="C542" s="62"/>
      <c r="D542" s="80"/>
      <c r="E542" s="80"/>
      <c r="F542" s="81"/>
      <c r="G542" s="72"/>
      <c r="H542" s="76"/>
      <c r="I542" s="62"/>
      <c r="J542" s="62"/>
      <c r="K542" s="54"/>
      <c r="L542" s="74"/>
      <c r="M542" s="62"/>
      <c r="N542" s="62"/>
      <c r="O542" s="62"/>
      <c r="P542" s="77"/>
      <c r="Q542" s="62"/>
      <c r="R542" s="71"/>
      <c r="S542" s="71"/>
      <c r="T542" s="71"/>
      <c r="U542" s="68"/>
    </row>
    <row r="543" spans="2:21">
      <c r="B543" s="62"/>
      <c r="C543" s="62"/>
      <c r="D543" s="80"/>
      <c r="E543" s="80"/>
      <c r="F543" s="81"/>
      <c r="G543" s="72"/>
      <c r="H543" s="76"/>
      <c r="I543" s="62"/>
      <c r="J543" s="62"/>
      <c r="K543" s="54"/>
      <c r="L543" s="74"/>
      <c r="M543" s="62"/>
      <c r="N543" s="62"/>
      <c r="O543" s="62"/>
      <c r="P543" s="77"/>
      <c r="Q543" s="62"/>
      <c r="R543" s="71"/>
      <c r="S543" s="71"/>
      <c r="T543" s="71"/>
      <c r="U543" s="68"/>
    </row>
    <row r="544" spans="2:21">
      <c r="B544" s="62"/>
      <c r="C544" s="62"/>
      <c r="D544" s="80"/>
      <c r="E544" s="80"/>
      <c r="F544" s="81"/>
      <c r="G544" s="72"/>
      <c r="H544" s="76"/>
      <c r="I544" s="62"/>
      <c r="J544" s="62"/>
      <c r="K544" s="54"/>
      <c r="L544" s="74"/>
      <c r="M544" s="62"/>
      <c r="N544" s="62"/>
      <c r="O544" s="62"/>
      <c r="P544" s="77"/>
      <c r="Q544" s="62"/>
      <c r="R544" s="71"/>
      <c r="S544" s="71"/>
      <c r="T544" s="71"/>
      <c r="U544" s="68"/>
    </row>
    <row r="545" spans="2:21">
      <c r="B545" s="62"/>
      <c r="C545" s="62"/>
      <c r="D545" s="80"/>
      <c r="E545" s="80"/>
      <c r="F545" s="81"/>
      <c r="G545" s="72"/>
      <c r="H545" s="76"/>
      <c r="I545" s="62"/>
      <c r="J545" s="62"/>
      <c r="K545" s="54"/>
      <c r="L545" s="74"/>
      <c r="M545" s="62"/>
      <c r="N545" s="62"/>
      <c r="O545" s="62"/>
      <c r="P545" s="77"/>
      <c r="Q545" s="62"/>
      <c r="R545" s="71"/>
      <c r="S545" s="71"/>
      <c r="T545" s="71"/>
      <c r="U545" s="68"/>
    </row>
    <row r="546" spans="2:21">
      <c r="B546" s="62"/>
      <c r="C546" s="62"/>
      <c r="D546" s="80"/>
      <c r="E546" s="80"/>
      <c r="F546" s="81"/>
      <c r="G546" s="72"/>
      <c r="H546" s="76"/>
      <c r="I546" s="62"/>
      <c r="J546" s="62"/>
      <c r="K546" s="54"/>
      <c r="L546" s="74"/>
      <c r="M546" s="62"/>
      <c r="N546" s="62"/>
      <c r="O546" s="62"/>
      <c r="P546" s="77"/>
      <c r="Q546" s="62"/>
      <c r="R546" s="71"/>
      <c r="S546" s="71"/>
      <c r="T546" s="71"/>
      <c r="U546" s="68"/>
    </row>
    <row r="547" spans="2:21">
      <c r="B547" s="62"/>
      <c r="C547" s="62"/>
      <c r="D547" s="80"/>
      <c r="E547" s="80"/>
      <c r="F547" s="81"/>
      <c r="G547" s="72"/>
      <c r="H547" s="76"/>
      <c r="I547" s="62"/>
      <c r="J547" s="62"/>
      <c r="K547" s="54"/>
      <c r="L547" s="74"/>
      <c r="M547" s="62"/>
      <c r="N547" s="62"/>
      <c r="O547" s="62"/>
      <c r="P547" s="77"/>
      <c r="Q547" s="62"/>
      <c r="R547" s="71"/>
      <c r="S547" s="71"/>
      <c r="T547" s="71"/>
      <c r="U547" s="68"/>
    </row>
    <row r="548" spans="2:21">
      <c r="B548" s="62"/>
      <c r="C548" s="62"/>
      <c r="D548" s="80"/>
      <c r="E548" s="80"/>
      <c r="F548" s="81"/>
      <c r="G548" s="72"/>
      <c r="H548" s="76"/>
      <c r="I548" s="62"/>
      <c r="J548" s="62"/>
      <c r="K548" s="54"/>
      <c r="L548" s="74"/>
      <c r="M548" s="62"/>
      <c r="N548" s="62"/>
      <c r="O548" s="62"/>
      <c r="P548" s="77"/>
      <c r="Q548" s="62"/>
      <c r="R548" s="71"/>
      <c r="S548" s="71"/>
      <c r="T548" s="71"/>
      <c r="U548" s="68"/>
    </row>
    <row r="549" spans="2:21">
      <c r="B549" s="62"/>
      <c r="C549" s="62"/>
      <c r="D549" s="80"/>
      <c r="E549" s="80"/>
      <c r="F549" s="81"/>
      <c r="G549" s="72"/>
      <c r="H549" s="76"/>
      <c r="I549" s="62"/>
      <c r="J549" s="62"/>
      <c r="K549" s="54"/>
      <c r="L549" s="74"/>
      <c r="M549" s="62"/>
      <c r="N549" s="62"/>
      <c r="O549" s="62"/>
      <c r="P549" s="77"/>
      <c r="Q549" s="62"/>
      <c r="R549" s="71"/>
      <c r="S549" s="71"/>
      <c r="T549" s="71"/>
      <c r="U549" s="68"/>
    </row>
    <row r="550" spans="2:21">
      <c r="B550" s="62"/>
      <c r="C550" s="62"/>
      <c r="D550" s="80"/>
      <c r="E550" s="80"/>
      <c r="F550" s="81"/>
      <c r="G550" s="72"/>
      <c r="H550" s="76"/>
      <c r="I550" s="62"/>
      <c r="J550" s="62"/>
      <c r="K550" s="54"/>
      <c r="L550" s="74"/>
      <c r="M550" s="62"/>
      <c r="N550" s="62"/>
      <c r="O550" s="62"/>
      <c r="P550" s="77"/>
      <c r="Q550" s="62"/>
      <c r="R550" s="71"/>
      <c r="S550" s="71"/>
      <c r="T550" s="71"/>
      <c r="U550" s="68"/>
    </row>
    <row r="551" spans="2:21">
      <c r="B551" s="62"/>
      <c r="C551" s="62"/>
      <c r="D551" s="80"/>
      <c r="E551" s="80"/>
      <c r="F551" s="81"/>
      <c r="G551" s="72"/>
      <c r="H551" s="76"/>
      <c r="I551" s="62"/>
      <c r="J551" s="62"/>
      <c r="K551" s="54"/>
      <c r="L551" s="74"/>
      <c r="M551" s="62"/>
      <c r="N551" s="62"/>
      <c r="O551" s="62"/>
      <c r="P551" s="77"/>
      <c r="Q551" s="62"/>
      <c r="R551" s="71"/>
      <c r="S551" s="71"/>
      <c r="T551" s="71"/>
      <c r="U551" s="68"/>
    </row>
    <row r="552" spans="2:21">
      <c r="B552" s="62"/>
      <c r="C552" s="62"/>
      <c r="D552" s="80"/>
      <c r="E552" s="80"/>
      <c r="F552" s="81"/>
      <c r="G552" s="72"/>
      <c r="H552" s="76"/>
      <c r="I552" s="62"/>
      <c r="J552" s="62"/>
      <c r="K552" s="54"/>
      <c r="L552" s="74"/>
      <c r="M552" s="62"/>
      <c r="N552" s="62"/>
      <c r="O552" s="62"/>
      <c r="P552" s="77"/>
      <c r="Q552" s="62"/>
      <c r="R552" s="71"/>
      <c r="S552" s="71"/>
      <c r="T552" s="71"/>
      <c r="U552" s="68"/>
    </row>
    <row r="553" spans="2:21">
      <c r="B553" s="62"/>
      <c r="C553" s="62"/>
      <c r="D553" s="80"/>
      <c r="E553" s="80"/>
      <c r="F553" s="81"/>
      <c r="G553" s="72"/>
      <c r="H553" s="76"/>
      <c r="I553" s="62"/>
      <c r="J553" s="62"/>
      <c r="K553" s="54"/>
      <c r="L553" s="74"/>
      <c r="M553" s="62"/>
      <c r="N553" s="62"/>
      <c r="O553" s="62"/>
      <c r="P553" s="77"/>
      <c r="Q553" s="62"/>
      <c r="R553" s="71"/>
      <c r="S553" s="71"/>
      <c r="T553" s="71"/>
      <c r="U553" s="68"/>
    </row>
    <row r="554" spans="2:21">
      <c r="B554" s="62"/>
      <c r="C554" s="62"/>
      <c r="D554" s="80"/>
      <c r="E554" s="80"/>
      <c r="F554" s="81"/>
      <c r="G554" s="72"/>
      <c r="H554" s="76"/>
      <c r="I554" s="62"/>
      <c r="J554" s="62"/>
      <c r="K554" s="54"/>
      <c r="L554" s="74"/>
      <c r="M554" s="62"/>
      <c r="N554" s="62"/>
      <c r="O554" s="62"/>
      <c r="P554" s="77"/>
      <c r="Q554" s="62"/>
      <c r="R554" s="71"/>
      <c r="S554" s="71"/>
      <c r="T554" s="71"/>
      <c r="U554" s="68"/>
    </row>
    <row r="555" spans="2:21">
      <c r="B555" s="62"/>
      <c r="C555" s="62"/>
      <c r="D555" s="80"/>
      <c r="E555" s="80"/>
      <c r="F555" s="81"/>
      <c r="G555" s="72"/>
      <c r="H555" s="76"/>
      <c r="I555" s="62"/>
      <c r="J555" s="62"/>
      <c r="K555" s="54"/>
      <c r="L555" s="74"/>
      <c r="M555" s="62"/>
      <c r="N555" s="62"/>
      <c r="O555" s="62"/>
      <c r="P555" s="77"/>
      <c r="Q555" s="62"/>
      <c r="R555" s="71"/>
      <c r="S555" s="71"/>
      <c r="T555" s="71"/>
      <c r="U555" s="68"/>
    </row>
    <row r="556" spans="2:21">
      <c r="B556" s="62"/>
      <c r="C556" s="62"/>
      <c r="D556" s="80"/>
      <c r="E556" s="80"/>
      <c r="F556" s="81"/>
      <c r="G556" s="72"/>
      <c r="H556" s="76"/>
      <c r="I556" s="62"/>
      <c r="J556" s="62"/>
      <c r="K556" s="54"/>
      <c r="L556" s="74"/>
      <c r="M556" s="62"/>
      <c r="N556" s="62"/>
      <c r="O556" s="62"/>
      <c r="P556" s="77"/>
      <c r="Q556" s="62"/>
      <c r="R556" s="71"/>
      <c r="S556" s="71"/>
      <c r="T556" s="71"/>
      <c r="U556" s="68"/>
    </row>
    <row r="557" spans="2:21">
      <c r="B557" s="62"/>
      <c r="C557" s="62"/>
      <c r="D557" s="80"/>
      <c r="E557" s="80"/>
      <c r="F557" s="81"/>
      <c r="G557" s="72"/>
      <c r="H557" s="76"/>
      <c r="I557" s="62"/>
      <c r="J557" s="62"/>
      <c r="K557" s="54"/>
      <c r="L557" s="74"/>
      <c r="M557" s="62"/>
      <c r="N557" s="62"/>
      <c r="O557" s="62"/>
      <c r="P557" s="77"/>
      <c r="Q557" s="62"/>
      <c r="R557" s="71"/>
      <c r="S557" s="71"/>
      <c r="T557" s="71"/>
      <c r="U557" s="68"/>
    </row>
    <row r="558" spans="2:21">
      <c r="B558" s="62"/>
      <c r="C558" s="62"/>
      <c r="D558" s="80"/>
      <c r="E558" s="80"/>
      <c r="F558" s="81"/>
      <c r="G558" s="72"/>
      <c r="H558" s="76"/>
      <c r="I558" s="62"/>
      <c r="J558" s="62"/>
      <c r="K558" s="54"/>
      <c r="L558" s="74"/>
      <c r="M558" s="62"/>
      <c r="N558" s="62"/>
      <c r="O558" s="62"/>
      <c r="P558" s="77"/>
      <c r="Q558" s="62"/>
      <c r="R558" s="71"/>
      <c r="S558" s="71"/>
      <c r="T558" s="71"/>
      <c r="U558" s="68"/>
    </row>
    <row r="559" spans="2:21">
      <c r="B559" s="62"/>
      <c r="C559" s="62"/>
      <c r="D559" s="80"/>
      <c r="E559" s="80"/>
      <c r="F559" s="81"/>
      <c r="G559" s="72"/>
      <c r="H559" s="76"/>
      <c r="I559" s="62"/>
      <c r="J559" s="62"/>
      <c r="K559" s="54"/>
      <c r="L559" s="74"/>
      <c r="M559" s="62"/>
      <c r="N559" s="62"/>
      <c r="O559" s="62"/>
      <c r="P559" s="77"/>
      <c r="Q559" s="62"/>
      <c r="R559" s="71"/>
      <c r="S559" s="71"/>
      <c r="T559" s="71"/>
      <c r="U559" s="68"/>
    </row>
    <row r="560" spans="2:21">
      <c r="B560" s="62"/>
      <c r="C560" s="62"/>
      <c r="D560" s="80"/>
      <c r="E560" s="80"/>
      <c r="F560" s="81"/>
      <c r="G560" s="72"/>
      <c r="H560" s="76"/>
      <c r="I560" s="62"/>
      <c r="J560" s="62"/>
      <c r="K560" s="54"/>
      <c r="L560" s="74"/>
      <c r="M560" s="62"/>
      <c r="N560" s="62"/>
      <c r="O560" s="62"/>
      <c r="P560" s="77"/>
      <c r="Q560" s="62"/>
      <c r="R560" s="71"/>
      <c r="S560" s="71"/>
      <c r="T560" s="71"/>
      <c r="U560" s="68"/>
    </row>
    <row r="561" spans="2:21">
      <c r="B561" s="62"/>
      <c r="C561" s="62"/>
      <c r="D561" s="80"/>
      <c r="E561" s="80"/>
      <c r="F561" s="81"/>
      <c r="G561" s="72"/>
      <c r="H561" s="76"/>
      <c r="I561" s="62"/>
      <c r="J561" s="62"/>
      <c r="K561" s="54"/>
      <c r="L561" s="74"/>
      <c r="M561" s="62"/>
      <c r="N561" s="62"/>
      <c r="O561" s="62"/>
      <c r="P561" s="77"/>
      <c r="Q561" s="62"/>
      <c r="R561" s="71"/>
      <c r="S561" s="71"/>
      <c r="T561" s="71"/>
      <c r="U561" s="68"/>
    </row>
    <row r="562" spans="2:21">
      <c r="B562" s="62"/>
      <c r="C562" s="62"/>
      <c r="D562" s="80"/>
      <c r="E562" s="80"/>
      <c r="F562" s="81"/>
      <c r="G562" s="72"/>
      <c r="H562" s="76"/>
      <c r="I562" s="62"/>
      <c r="J562" s="62"/>
      <c r="K562" s="54"/>
      <c r="L562" s="74"/>
      <c r="M562" s="62"/>
      <c r="N562" s="62"/>
      <c r="O562" s="62"/>
      <c r="P562" s="77"/>
      <c r="Q562" s="62"/>
      <c r="R562" s="71"/>
      <c r="S562" s="71"/>
      <c r="T562" s="71"/>
      <c r="U562" s="68"/>
    </row>
    <row r="563" spans="2:21">
      <c r="B563" s="62"/>
      <c r="C563" s="62"/>
      <c r="D563" s="80"/>
      <c r="E563" s="80"/>
      <c r="F563" s="81"/>
      <c r="G563" s="72"/>
      <c r="H563" s="76"/>
      <c r="I563" s="62"/>
      <c r="J563" s="62"/>
      <c r="K563" s="54"/>
      <c r="L563" s="74"/>
      <c r="M563" s="62"/>
      <c r="N563" s="62"/>
      <c r="O563" s="62"/>
      <c r="P563" s="77"/>
      <c r="Q563" s="62"/>
      <c r="R563" s="71"/>
      <c r="S563" s="71"/>
      <c r="T563" s="71"/>
      <c r="U563" s="68"/>
    </row>
    <row r="564" spans="2:21">
      <c r="B564" s="62"/>
      <c r="C564" s="62"/>
      <c r="D564" s="80"/>
      <c r="E564" s="80"/>
      <c r="F564" s="81"/>
      <c r="G564" s="72"/>
      <c r="H564" s="76"/>
      <c r="I564" s="62"/>
      <c r="J564" s="62"/>
      <c r="K564" s="54"/>
      <c r="L564" s="74"/>
      <c r="M564" s="62"/>
      <c r="N564" s="62"/>
      <c r="O564" s="62"/>
      <c r="P564" s="77"/>
      <c r="Q564" s="62"/>
      <c r="R564" s="71"/>
      <c r="S564" s="71"/>
      <c r="T564" s="71"/>
      <c r="U564" s="68"/>
    </row>
    <row r="565" spans="2:21">
      <c r="B565" s="62"/>
      <c r="C565" s="62"/>
      <c r="D565" s="80"/>
      <c r="E565" s="80"/>
      <c r="F565" s="81"/>
      <c r="G565" s="72"/>
      <c r="H565" s="76"/>
      <c r="I565" s="62"/>
      <c r="J565" s="62"/>
      <c r="K565" s="54"/>
      <c r="L565" s="74"/>
      <c r="M565" s="62"/>
      <c r="N565" s="62"/>
      <c r="O565" s="62"/>
      <c r="P565" s="77"/>
      <c r="Q565" s="62"/>
      <c r="R565" s="71"/>
      <c r="S565" s="71"/>
      <c r="T565" s="71"/>
      <c r="U565" s="68"/>
    </row>
    <row r="566" spans="2:21">
      <c r="B566" s="62"/>
      <c r="C566" s="62"/>
      <c r="D566" s="80"/>
      <c r="E566" s="80"/>
      <c r="F566" s="81"/>
      <c r="G566" s="72"/>
      <c r="H566" s="76"/>
      <c r="I566" s="62"/>
      <c r="J566" s="62"/>
      <c r="K566" s="54"/>
      <c r="L566" s="74"/>
      <c r="M566" s="62"/>
      <c r="N566" s="62"/>
      <c r="O566" s="62"/>
      <c r="P566" s="77"/>
      <c r="Q566" s="62"/>
      <c r="R566" s="71"/>
      <c r="S566" s="71"/>
      <c r="T566" s="71"/>
      <c r="U566" s="68"/>
    </row>
    <row r="567" spans="2:21">
      <c r="B567" s="62"/>
      <c r="C567" s="62"/>
      <c r="D567" s="80"/>
      <c r="E567" s="80"/>
      <c r="F567" s="81"/>
      <c r="G567" s="72"/>
      <c r="H567" s="76"/>
      <c r="I567" s="62"/>
      <c r="J567" s="62"/>
      <c r="K567" s="54"/>
      <c r="L567" s="74"/>
      <c r="M567" s="62"/>
      <c r="N567" s="62"/>
      <c r="O567" s="62"/>
      <c r="P567" s="77"/>
      <c r="Q567" s="62"/>
      <c r="R567" s="71"/>
      <c r="S567" s="71"/>
      <c r="T567" s="71"/>
      <c r="U567" s="68"/>
    </row>
    <row r="568" spans="2:21">
      <c r="B568" s="62"/>
      <c r="C568" s="62"/>
      <c r="D568" s="80"/>
      <c r="E568" s="80"/>
      <c r="F568" s="81"/>
      <c r="G568" s="72"/>
      <c r="H568" s="76"/>
      <c r="I568" s="62"/>
      <c r="J568" s="62"/>
      <c r="K568" s="54"/>
      <c r="L568" s="74"/>
      <c r="M568" s="62"/>
      <c r="N568" s="62"/>
      <c r="O568" s="62"/>
      <c r="P568" s="77"/>
      <c r="Q568" s="62"/>
      <c r="R568" s="71"/>
      <c r="S568" s="71"/>
      <c r="T568" s="71"/>
      <c r="U568" s="68"/>
    </row>
    <row r="569" spans="2:21">
      <c r="B569" s="62"/>
      <c r="C569" s="62"/>
      <c r="D569" s="80"/>
      <c r="E569" s="80"/>
      <c r="F569" s="81"/>
      <c r="G569" s="72"/>
      <c r="H569" s="76"/>
      <c r="I569" s="62"/>
      <c r="J569" s="62"/>
      <c r="K569" s="54"/>
      <c r="L569" s="74"/>
      <c r="M569" s="62"/>
      <c r="N569" s="62"/>
      <c r="O569" s="62"/>
      <c r="P569" s="77"/>
      <c r="Q569" s="62"/>
      <c r="R569" s="71"/>
      <c r="S569" s="71"/>
      <c r="T569" s="71"/>
      <c r="U569" s="68"/>
    </row>
    <row r="570" spans="2:21">
      <c r="B570" s="62"/>
      <c r="C570" s="62"/>
      <c r="D570" s="80"/>
      <c r="E570" s="80"/>
      <c r="F570" s="81"/>
      <c r="G570" s="72"/>
      <c r="H570" s="76"/>
      <c r="I570" s="62"/>
      <c r="J570" s="62"/>
      <c r="K570" s="54"/>
      <c r="L570" s="74"/>
      <c r="M570" s="62"/>
      <c r="N570" s="62"/>
      <c r="O570" s="62"/>
      <c r="P570" s="77"/>
      <c r="Q570" s="62"/>
      <c r="R570" s="71"/>
      <c r="S570" s="71"/>
      <c r="T570" s="71"/>
      <c r="U570" s="68"/>
    </row>
    <row r="571" spans="2:21">
      <c r="B571" s="62"/>
      <c r="C571" s="62"/>
      <c r="D571" s="80"/>
      <c r="E571" s="80"/>
      <c r="F571" s="81"/>
      <c r="G571" s="72"/>
      <c r="H571" s="76"/>
      <c r="I571" s="62"/>
      <c r="J571" s="62"/>
      <c r="K571" s="54"/>
      <c r="L571" s="74"/>
      <c r="M571" s="62"/>
      <c r="N571" s="62"/>
      <c r="O571" s="62"/>
      <c r="P571" s="77"/>
      <c r="Q571" s="62"/>
      <c r="R571" s="71"/>
      <c r="S571" s="71"/>
      <c r="T571" s="71"/>
      <c r="U571" s="68"/>
    </row>
    <row r="572" spans="2:21">
      <c r="B572" s="62"/>
      <c r="C572" s="62"/>
      <c r="D572" s="80"/>
      <c r="E572" s="80"/>
      <c r="F572" s="81"/>
      <c r="G572" s="72"/>
      <c r="H572" s="76"/>
      <c r="I572" s="62"/>
      <c r="J572" s="62"/>
      <c r="K572" s="54"/>
      <c r="L572" s="74"/>
      <c r="M572" s="62"/>
      <c r="N572" s="62"/>
      <c r="O572" s="62"/>
      <c r="P572" s="77"/>
      <c r="Q572" s="62"/>
      <c r="R572" s="71"/>
      <c r="S572" s="71"/>
      <c r="T572" s="71"/>
      <c r="U572" s="68"/>
    </row>
    <row r="573" spans="2:21">
      <c r="B573" s="62"/>
      <c r="C573" s="62"/>
      <c r="D573" s="80"/>
      <c r="E573" s="80"/>
      <c r="F573" s="81"/>
      <c r="G573" s="72"/>
      <c r="H573" s="76"/>
      <c r="I573" s="62"/>
      <c r="J573" s="62"/>
      <c r="K573" s="54"/>
      <c r="L573" s="74"/>
      <c r="M573" s="62"/>
      <c r="N573" s="62"/>
      <c r="O573" s="62"/>
      <c r="P573" s="77"/>
      <c r="Q573" s="62"/>
      <c r="R573" s="71"/>
      <c r="S573" s="71"/>
      <c r="T573" s="71"/>
      <c r="U573" s="68"/>
    </row>
    <row r="574" spans="2:21">
      <c r="B574" s="62"/>
      <c r="C574" s="62"/>
      <c r="D574" s="80"/>
      <c r="E574" s="80"/>
      <c r="F574" s="81"/>
      <c r="G574" s="72"/>
      <c r="H574" s="76"/>
      <c r="I574" s="62"/>
      <c r="J574" s="62"/>
      <c r="K574" s="54"/>
      <c r="L574" s="74"/>
      <c r="M574" s="62"/>
      <c r="N574" s="62"/>
      <c r="O574" s="62"/>
      <c r="P574" s="77"/>
      <c r="Q574" s="62"/>
      <c r="R574" s="71"/>
      <c r="S574" s="71"/>
      <c r="T574" s="71"/>
      <c r="U574" s="68"/>
    </row>
    <row r="575" spans="2:21">
      <c r="B575" s="62"/>
      <c r="C575" s="62"/>
      <c r="D575" s="80"/>
      <c r="E575" s="80"/>
      <c r="F575" s="81"/>
      <c r="G575" s="72"/>
      <c r="H575" s="76"/>
      <c r="I575" s="62"/>
      <c r="J575" s="62"/>
      <c r="K575" s="54"/>
      <c r="L575" s="74"/>
      <c r="M575" s="62"/>
      <c r="N575" s="62"/>
      <c r="O575" s="62"/>
      <c r="P575" s="77"/>
      <c r="Q575" s="62"/>
      <c r="R575" s="71"/>
      <c r="S575" s="71"/>
      <c r="T575" s="71"/>
      <c r="U575" s="68"/>
    </row>
    <row r="576" spans="2:21">
      <c r="B576" s="62"/>
      <c r="C576" s="62"/>
      <c r="D576" s="80"/>
      <c r="E576" s="80"/>
      <c r="F576" s="81"/>
      <c r="G576" s="72"/>
      <c r="H576" s="76"/>
      <c r="I576" s="62"/>
      <c r="J576" s="62"/>
      <c r="K576" s="54"/>
      <c r="L576" s="74"/>
      <c r="M576" s="62"/>
      <c r="N576" s="62"/>
      <c r="O576" s="62"/>
      <c r="P576" s="77"/>
      <c r="Q576" s="62"/>
      <c r="R576" s="71"/>
      <c r="S576" s="71"/>
      <c r="T576" s="71"/>
      <c r="U576" s="68"/>
    </row>
    <row r="577" spans="2:21">
      <c r="B577" s="62"/>
      <c r="C577" s="62"/>
      <c r="D577" s="80"/>
      <c r="E577" s="80"/>
      <c r="F577" s="81"/>
      <c r="G577" s="72"/>
      <c r="H577" s="76"/>
      <c r="I577" s="62"/>
      <c r="J577" s="62"/>
      <c r="K577" s="54"/>
      <c r="L577" s="74"/>
      <c r="M577" s="62"/>
      <c r="N577" s="62"/>
      <c r="O577" s="62"/>
      <c r="P577" s="77"/>
      <c r="Q577" s="62"/>
      <c r="R577" s="71"/>
      <c r="S577" s="71"/>
      <c r="T577" s="71"/>
      <c r="U577" s="68"/>
    </row>
    <row r="578" spans="2:21">
      <c r="B578" s="62"/>
      <c r="C578" s="62"/>
      <c r="D578" s="80"/>
      <c r="E578" s="80"/>
      <c r="F578" s="81"/>
      <c r="G578" s="72"/>
      <c r="H578" s="76"/>
      <c r="I578" s="62"/>
      <c r="J578" s="62"/>
      <c r="K578" s="54"/>
      <c r="L578" s="74"/>
      <c r="M578" s="62"/>
      <c r="N578" s="62"/>
      <c r="O578" s="62"/>
      <c r="P578" s="77"/>
      <c r="Q578" s="62"/>
      <c r="R578" s="71"/>
      <c r="S578" s="71"/>
      <c r="T578" s="71"/>
      <c r="U578" s="68"/>
    </row>
    <row r="579" spans="2:21">
      <c r="B579" s="62"/>
      <c r="C579" s="62"/>
      <c r="D579" s="80"/>
      <c r="E579" s="80"/>
      <c r="F579" s="81"/>
      <c r="G579" s="72"/>
      <c r="H579" s="76"/>
      <c r="I579" s="62"/>
      <c r="J579" s="62"/>
      <c r="K579" s="54"/>
      <c r="L579" s="74"/>
      <c r="M579" s="62"/>
      <c r="N579" s="62"/>
      <c r="O579" s="62"/>
      <c r="P579" s="77"/>
      <c r="Q579" s="62"/>
      <c r="R579" s="71"/>
      <c r="S579" s="71"/>
      <c r="T579" s="71"/>
      <c r="U579" s="68"/>
    </row>
    <row r="580" spans="2:21">
      <c r="B580" s="62"/>
      <c r="C580" s="62"/>
      <c r="D580" s="80"/>
      <c r="E580" s="80"/>
      <c r="F580" s="81"/>
      <c r="G580" s="72"/>
      <c r="H580" s="76"/>
      <c r="I580" s="62"/>
      <c r="J580" s="62"/>
      <c r="K580" s="54"/>
      <c r="L580" s="74"/>
      <c r="M580" s="62"/>
      <c r="N580" s="62"/>
      <c r="O580" s="62"/>
      <c r="P580" s="77"/>
      <c r="Q580" s="62"/>
      <c r="R580" s="71"/>
      <c r="S580" s="71"/>
      <c r="T580" s="71"/>
      <c r="U580" s="68"/>
    </row>
    <row r="581" spans="2:21">
      <c r="B581" s="62"/>
      <c r="C581" s="62"/>
      <c r="D581" s="80"/>
      <c r="E581" s="80"/>
      <c r="F581" s="81"/>
      <c r="G581" s="72"/>
      <c r="H581" s="76"/>
      <c r="I581" s="62"/>
      <c r="J581" s="62"/>
      <c r="K581" s="54"/>
      <c r="L581" s="74"/>
      <c r="M581" s="62"/>
      <c r="N581" s="62"/>
      <c r="O581" s="62"/>
      <c r="P581" s="77"/>
      <c r="Q581" s="62"/>
      <c r="R581" s="71"/>
      <c r="S581" s="71"/>
      <c r="T581" s="71"/>
      <c r="U581" s="68"/>
    </row>
    <row r="582" spans="2:21">
      <c r="B582" s="62"/>
      <c r="C582" s="62"/>
      <c r="D582" s="80"/>
      <c r="E582" s="80"/>
      <c r="F582" s="81"/>
      <c r="G582" s="72"/>
      <c r="H582" s="76"/>
      <c r="I582" s="62"/>
      <c r="J582" s="62"/>
      <c r="K582" s="54"/>
      <c r="L582" s="74"/>
      <c r="M582" s="62"/>
      <c r="N582" s="62"/>
      <c r="O582" s="62"/>
      <c r="P582" s="77"/>
      <c r="Q582" s="62"/>
      <c r="R582" s="71"/>
      <c r="S582" s="71"/>
      <c r="T582" s="71"/>
      <c r="U582" s="68"/>
    </row>
    <row r="583" spans="2:21">
      <c r="B583" s="62"/>
      <c r="C583" s="62"/>
      <c r="D583" s="80"/>
      <c r="E583" s="80"/>
      <c r="F583" s="81"/>
      <c r="G583" s="72"/>
      <c r="H583" s="76"/>
      <c r="I583" s="62"/>
      <c r="J583" s="62"/>
      <c r="K583" s="54"/>
      <c r="L583" s="74"/>
      <c r="M583" s="62"/>
      <c r="N583" s="62"/>
      <c r="O583" s="62"/>
      <c r="P583" s="77"/>
      <c r="Q583" s="62"/>
      <c r="R583" s="71"/>
      <c r="S583" s="71"/>
      <c r="T583" s="71"/>
      <c r="U583" s="68"/>
    </row>
    <row r="584" spans="2:21">
      <c r="B584" s="62"/>
      <c r="C584" s="62"/>
      <c r="D584" s="80"/>
      <c r="E584" s="80"/>
      <c r="F584" s="81"/>
      <c r="G584" s="72"/>
      <c r="H584" s="76"/>
      <c r="I584" s="62"/>
      <c r="J584" s="62"/>
      <c r="K584" s="54"/>
      <c r="L584" s="74"/>
      <c r="M584" s="62"/>
      <c r="N584" s="62"/>
      <c r="O584" s="62"/>
      <c r="P584" s="77"/>
      <c r="Q584" s="62"/>
      <c r="R584" s="71"/>
      <c r="S584" s="71"/>
      <c r="T584" s="71"/>
      <c r="U584" s="68"/>
    </row>
    <row r="585" spans="2:21">
      <c r="B585" s="62"/>
      <c r="C585" s="62"/>
      <c r="D585" s="80"/>
      <c r="E585" s="80"/>
      <c r="F585" s="81"/>
      <c r="G585" s="72"/>
      <c r="H585" s="76"/>
      <c r="I585" s="62"/>
      <c r="J585" s="62"/>
      <c r="K585" s="54"/>
      <c r="L585" s="74"/>
      <c r="M585" s="62"/>
      <c r="N585" s="62"/>
      <c r="O585" s="62"/>
      <c r="P585" s="77"/>
      <c r="Q585" s="62"/>
      <c r="R585" s="71"/>
      <c r="S585" s="71"/>
      <c r="T585" s="71"/>
      <c r="U585" s="68"/>
    </row>
    <row r="586" spans="2:21">
      <c r="B586" s="62"/>
      <c r="C586" s="62"/>
      <c r="D586" s="80"/>
      <c r="E586" s="80"/>
      <c r="F586" s="81"/>
      <c r="G586" s="72"/>
      <c r="H586" s="76"/>
      <c r="I586" s="62"/>
      <c r="J586" s="62"/>
      <c r="K586" s="54"/>
      <c r="L586" s="74"/>
      <c r="M586" s="62"/>
      <c r="N586" s="62"/>
      <c r="O586" s="62"/>
      <c r="P586" s="77"/>
      <c r="Q586" s="62"/>
      <c r="R586" s="71"/>
      <c r="S586" s="71"/>
      <c r="T586" s="71"/>
      <c r="U586" s="68"/>
    </row>
    <row r="587" spans="2:21">
      <c r="B587" s="62"/>
      <c r="C587" s="62"/>
      <c r="D587" s="80"/>
      <c r="E587" s="80"/>
      <c r="F587" s="81"/>
      <c r="G587" s="72"/>
      <c r="H587" s="76"/>
      <c r="I587" s="62"/>
      <c r="J587" s="62"/>
      <c r="K587" s="54"/>
      <c r="L587" s="74"/>
      <c r="M587" s="62"/>
      <c r="N587" s="62"/>
      <c r="O587" s="62"/>
      <c r="P587" s="77"/>
      <c r="Q587" s="62"/>
      <c r="R587" s="71"/>
      <c r="S587" s="71"/>
      <c r="T587" s="71"/>
      <c r="U587" s="68"/>
    </row>
    <row r="588" spans="2:21">
      <c r="B588" s="62"/>
      <c r="C588" s="62"/>
      <c r="D588" s="80"/>
      <c r="E588" s="80"/>
      <c r="F588" s="81"/>
      <c r="G588" s="72"/>
      <c r="H588" s="76"/>
      <c r="I588" s="62"/>
      <c r="J588" s="62"/>
      <c r="K588" s="54"/>
      <c r="L588" s="74"/>
      <c r="M588" s="62"/>
      <c r="N588" s="62"/>
      <c r="O588" s="62"/>
      <c r="P588" s="77"/>
      <c r="Q588" s="62"/>
      <c r="R588" s="71"/>
      <c r="S588" s="71"/>
      <c r="T588" s="71"/>
      <c r="U588" s="68"/>
    </row>
    <row r="589" spans="2:21">
      <c r="B589" s="62"/>
      <c r="C589" s="62"/>
      <c r="D589" s="80"/>
      <c r="E589" s="80"/>
      <c r="F589" s="81"/>
      <c r="G589" s="72"/>
      <c r="H589" s="76"/>
      <c r="I589" s="62"/>
      <c r="J589" s="62"/>
      <c r="K589" s="54"/>
      <c r="L589" s="74"/>
      <c r="M589" s="62"/>
      <c r="N589" s="62"/>
      <c r="O589" s="62"/>
      <c r="P589" s="77"/>
      <c r="Q589" s="62"/>
      <c r="R589" s="71"/>
      <c r="S589" s="71"/>
      <c r="T589" s="71"/>
      <c r="U589" s="68"/>
    </row>
    <row r="590" spans="2:21">
      <c r="B590" s="62"/>
      <c r="C590" s="62"/>
      <c r="D590" s="80"/>
      <c r="E590" s="80"/>
      <c r="F590" s="81"/>
      <c r="G590" s="72"/>
      <c r="H590" s="76"/>
      <c r="I590" s="62"/>
      <c r="J590" s="62"/>
      <c r="K590" s="54"/>
      <c r="L590" s="74"/>
      <c r="M590" s="62"/>
      <c r="N590" s="62"/>
      <c r="O590" s="62"/>
      <c r="P590" s="77"/>
      <c r="Q590" s="62"/>
      <c r="R590" s="71"/>
      <c r="S590" s="71"/>
      <c r="T590" s="71"/>
      <c r="U590" s="68"/>
    </row>
    <row r="591" spans="2:21">
      <c r="B591" s="62"/>
      <c r="C591" s="62"/>
      <c r="D591" s="80"/>
      <c r="E591" s="80"/>
      <c r="F591" s="81"/>
      <c r="G591" s="72"/>
      <c r="H591" s="76"/>
      <c r="I591" s="62"/>
      <c r="J591" s="62"/>
      <c r="K591" s="54"/>
      <c r="L591" s="74"/>
      <c r="M591" s="62"/>
      <c r="N591" s="62"/>
      <c r="O591" s="62"/>
      <c r="P591" s="77"/>
      <c r="Q591" s="62"/>
      <c r="R591" s="71"/>
      <c r="S591" s="71"/>
      <c r="T591" s="71"/>
      <c r="U591" s="68"/>
    </row>
    <row r="592" spans="2:21">
      <c r="B592" s="62"/>
      <c r="C592" s="62"/>
      <c r="D592" s="80"/>
      <c r="E592" s="80"/>
      <c r="F592" s="81"/>
      <c r="G592" s="72"/>
      <c r="H592" s="76"/>
      <c r="I592" s="62"/>
      <c r="J592" s="62"/>
      <c r="K592" s="54"/>
      <c r="L592" s="74"/>
      <c r="M592" s="62"/>
      <c r="N592" s="62"/>
      <c r="O592" s="62"/>
      <c r="P592" s="77"/>
      <c r="Q592" s="62"/>
      <c r="R592" s="71"/>
      <c r="S592" s="71"/>
      <c r="T592" s="71"/>
      <c r="U592" s="68"/>
    </row>
    <row r="593" spans="2:21">
      <c r="B593" s="62"/>
      <c r="C593" s="62"/>
      <c r="D593" s="80"/>
      <c r="E593" s="80"/>
      <c r="F593" s="81"/>
      <c r="G593" s="72"/>
      <c r="H593" s="76"/>
      <c r="I593" s="62"/>
      <c r="J593" s="62"/>
      <c r="K593" s="54"/>
      <c r="L593" s="74"/>
      <c r="M593" s="62"/>
      <c r="N593" s="62"/>
      <c r="O593" s="62"/>
      <c r="P593" s="77"/>
      <c r="Q593" s="62"/>
      <c r="R593" s="71"/>
      <c r="S593" s="71"/>
      <c r="T593" s="71"/>
      <c r="U593" s="68"/>
    </row>
    <row r="594" spans="2:21">
      <c r="B594" s="62"/>
      <c r="C594" s="62"/>
      <c r="D594" s="80"/>
      <c r="E594" s="80"/>
      <c r="F594" s="81"/>
      <c r="G594" s="72"/>
      <c r="H594" s="76"/>
      <c r="I594" s="62"/>
      <c r="J594" s="62"/>
      <c r="K594" s="54"/>
      <c r="L594" s="74"/>
      <c r="M594" s="62"/>
      <c r="N594" s="62"/>
      <c r="O594" s="62"/>
      <c r="P594" s="77"/>
      <c r="Q594" s="62"/>
      <c r="R594" s="71"/>
      <c r="S594" s="71"/>
      <c r="T594" s="71"/>
      <c r="U594" s="68"/>
    </row>
    <row r="595" spans="2:21">
      <c r="B595" s="62"/>
      <c r="C595" s="62"/>
      <c r="D595" s="80"/>
      <c r="E595" s="80"/>
      <c r="F595" s="81"/>
      <c r="G595" s="72"/>
      <c r="H595" s="76"/>
      <c r="I595" s="62"/>
      <c r="J595" s="62"/>
      <c r="K595" s="54"/>
      <c r="L595" s="74"/>
      <c r="M595" s="62"/>
      <c r="N595" s="62"/>
      <c r="O595" s="62"/>
      <c r="P595" s="77"/>
      <c r="Q595" s="62"/>
      <c r="R595" s="71"/>
      <c r="S595" s="71"/>
      <c r="T595" s="71"/>
      <c r="U595" s="68"/>
    </row>
    <row r="596" spans="2:21">
      <c r="B596" s="62"/>
      <c r="C596" s="62"/>
      <c r="D596" s="80"/>
      <c r="E596" s="80"/>
      <c r="F596" s="81"/>
      <c r="G596" s="72"/>
      <c r="H596" s="76"/>
      <c r="I596" s="62"/>
      <c r="J596" s="62"/>
      <c r="K596" s="54"/>
      <c r="L596" s="74"/>
      <c r="M596" s="62"/>
      <c r="N596" s="62"/>
      <c r="O596" s="62"/>
      <c r="P596" s="77"/>
      <c r="Q596" s="62"/>
      <c r="R596" s="71"/>
      <c r="S596" s="71"/>
      <c r="T596" s="71"/>
      <c r="U596" s="68"/>
    </row>
    <row r="597" spans="2:21">
      <c r="B597" s="62"/>
      <c r="C597" s="62"/>
      <c r="D597" s="80"/>
      <c r="E597" s="80"/>
      <c r="F597" s="81"/>
      <c r="G597" s="72"/>
      <c r="H597" s="76"/>
      <c r="I597" s="62"/>
      <c r="J597" s="62"/>
      <c r="K597" s="54"/>
      <c r="L597" s="74"/>
      <c r="M597" s="62"/>
      <c r="N597" s="62"/>
      <c r="O597" s="62"/>
      <c r="P597" s="77"/>
      <c r="Q597" s="62"/>
      <c r="R597" s="71"/>
      <c r="S597" s="71"/>
      <c r="T597" s="71"/>
      <c r="U597" s="68"/>
    </row>
    <row r="598" spans="2:21">
      <c r="B598" s="62"/>
      <c r="C598" s="62"/>
      <c r="D598" s="80"/>
      <c r="E598" s="80"/>
      <c r="F598" s="81"/>
      <c r="G598" s="72"/>
      <c r="H598" s="76"/>
      <c r="I598" s="62"/>
      <c r="J598" s="62"/>
      <c r="K598" s="54"/>
      <c r="L598" s="74"/>
      <c r="M598" s="62"/>
      <c r="N598" s="62"/>
      <c r="O598" s="62"/>
      <c r="P598" s="77"/>
      <c r="Q598" s="62"/>
      <c r="R598" s="71"/>
      <c r="S598" s="71"/>
      <c r="T598" s="71"/>
      <c r="U598" s="68"/>
    </row>
    <row r="599" spans="2:21">
      <c r="B599" s="62"/>
      <c r="C599" s="62"/>
      <c r="D599" s="80"/>
      <c r="E599" s="80"/>
      <c r="F599" s="81"/>
      <c r="G599" s="72"/>
      <c r="H599" s="76"/>
      <c r="I599" s="62"/>
      <c r="J599" s="62"/>
      <c r="K599" s="54"/>
      <c r="L599" s="74"/>
      <c r="M599" s="62"/>
      <c r="N599" s="62"/>
      <c r="O599" s="62"/>
      <c r="P599" s="77"/>
      <c r="Q599" s="62"/>
      <c r="R599" s="71"/>
      <c r="S599" s="71"/>
      <c r="T599" s="71"/>
      <c r="U599" s="68"/>
    </row>
    <row r="600" spans="2:21">
      <c r="B600" s="62"/>
      <c r="C600" s="62"/>
      <c r="D600" s="80"/>
      <c r="E600" s="80"/>
      <c r="F600" s="81"/>
      <c r="G600" s="72"/>
      <c r="H600" s="76"/>
      <c r="I600" s="62"/>
      <c r="J600" s="62"/>
      <c r="K600" s="54"/>
      <c r="L600" s="74"/>
      <c r="M600" s="62"/>
      <c r="N600" s="62"/>
      <c r="O600" s="62"/>
      <c r="P600" s="77"/>
      <c r="Q600" s="62"/>
      <c r="R600" s="71"/>
      <c r="S600" s="71"/>
      <c r="T600" s="71"/>
      <c r="U600" s="68"/>
    </row>
    <row r="601" spans="2:21">
      <c r="B601" s="62"/>
      <c r="C601" s="62"/>
      <c r="D601" s="80"/>
      <c r="E601" s="80"/>
      <c r="F601" s="81"/>
      <c r="G601" s="72"/>
      <c r="H601" s="76"/>
      <c r="I601" s="62"/>
      <c r="J601" s="62"/>
      <c r="K601" s="54"/>
      <c r="L601" s="74"/>
      <c r="M601" s="62"/>
      <c r="N601" s="62"/>
      <c r="O601" s="62"/>
      <c r="P601" s="77"/>
      <c r="Q601" s="62"/>
      <c r="R601" s="71"/>
      <c r="S601" s="71"/>
      <c r="T601" s="71"/>
      <c r="U601" s="68"/>
    </row>
    <row r="602" spans="2:21">
      <c r="B602" s="62"/>
      <c r="C602" s="62"/>
      <c r="D602" s="80"/>
      <c r="E602" s="80"/>
      <c r="F602" s="81"/>
      <c r="G602" s="72"/>
      <c r="H602" s="76"/>
      <c r="I602" s="62"/>
      <c r="J602" s="62"/>
      <c r="K602" s="54"/>
      <c r="L602" s="74"/>
      <c r="M602" s="62"/>
      <c r="N602" s="62"/>
      <c r="O602" s="62"/>
      <c r="P602" s="77"/>
      <c r="Q602" s="62"/>
      <c r="R602" s="71"/>
      <c r="S602" s="71"/>
      <c r="T602" s="71"/>
      <c r="U602" s="68"/>
    </row>
    <row r="603" spans="2:21">
      <c r="B603" s="62"/>
      <c r="C603" s="62"/>
      <c r="D603" s="80"/>
      <c r="E603" s="80"/>
      <c r="F603" s="81"/>
      <c r="G603" s="72"/>
      <c r="H603" s="76"/>
      <c r="I603" s="62"/>
      <c r="J603" s="62"/>
      <c r="K603" s="54"/>
      <c r="L603" s="74"/>
      <c r="M603" s="62"/>
      <c r="N603" s="62"/>
      <c r="O603" s="62"/>
      <c r="P603" s="77"/>
      <c r="Q603" s="62"/>
      <c r="R603" s="71"/>
      <c r="S603" s="71"/>
      <c r="T603" s="71"/>
      <c r="U603" s="68"/>
    </row>
    <row r="604" spans="2:21">
      <c r="B604" s="62"/>
      <c r="C604" s="62"/>
      <c r="D604" s="80"/>
      <c r="E604" s="80"/>
      <c r="F604" s="81"/>
      <c r="G604" s="72"/>
      <c r="H604" s="76"/>
      <c r="I604" s="62"/>
      <c r="J604" s="62"/>
      <c r="K604" s="54"/>
      <c r="L604" s="74"/>
      <c r="M604" s="62"/>
      <c r="N604" s="62"/>
      <c r="O604" s="62"/>
      <c r="P604" s="77"/>
      <c r="Q604" s="62"/>
      <c r="R604" s="71"/>
      <c r="S604" s="71"/>
      <c r="T604" s="71"/>
      <c r="U604" s="68"/>
    </row>
    <row r="605" spans="2:21">
      <c r="B605" s="62"/>
      <c r="C605" s="62"/>
      <c r="D605" s="80"/>
      <c r="E605" s="80"/>
      <c r="F605" s="81"/>
      <c r="G605" s="72"/>
      <c r="H605" s="76"/>
      <c r="I605" s="62"/>
      <c r="J605" s="62"/>
      <c r="K605" s="54"/>
      <c r="L605" s="74"/>
      <c r="M605" s="62"/>
      <c r="N605" s="62"/>
      <c r="O605" s="62"/>
      <c r="P605" s="77"/>
      <c r="Q605" s="62"/>
      <c r="R605" s="71"/>
      <c r="S605" s="71"/>
      <c r="T605" s="71"/>
      <c r="U605" s="68"/>
    </row>
    <row r="606" spans="2:21">
      <c r="B606" s="62"/>
      <c r="C606" s="62"/>
      <c r="D606" s="80"/>
      <c r="E606" s="80"/>
      <c r="F606" s="81"/>
      <c r="G606" s="72"/>
      <c r="H606" s="76"/>
      <c r="I606" s="62"/>
      <c r="J606" s="62"/>
      <c r="K606" s="54"/>
      <c r="L606" s="74"/>
      <c r="M606" s="62"/>
      <c r="N606" s="62"/>
      <c r="O606" s="62"/>
      <c r="P606" s="77"/>
      <c r="Q606" s="62"/>
      <c r="R606" s="71"/>
      <c r="S606" s="71"/>
      <c r="T606" s="71"/>
      <c r="U606" s="68"/>
    </row>
    <row r="607" spans="2:21">
      <c r="B607" s="62"/>
      <c r="C607" s="62"/>
      <c r="D607" s="80"/>
      <c r="E607" s="80"/>
      <c r="F607" s="81"/>
      <c r="G607" s="72"/>
      <c r="H607" s="76"/>
      <c r="I607" s="62"/>
      <c r="J607" s="62"/>
      <c r="K607" s="54"/>
      <c r="L607" s="74"/>
      <c r="M607" s="62"/>
      <c r="N607" s="62"/>
      <c r="O607" s="62"/>
      <c r="P607" s="77"/>
      <c r="Q607" s="62"/>
      <c r="R607" s="71"/>
      <c r="S607" s="71"/>
      <c r="T607" s="71"/>
      <c r="U607" s="68"/>
    </row>
    <row r="608" spans="2:21">
      <c r="B608" s="62"/>
      <c r="C608" s="62"/>
      <c r="D608" s="80"/>
      <c r="E608" s="80"/>
      <c r="F608" s="81"/>
      <c r="G608" s="72"/>
      <c r="H608" s="76"/>
      <c r="I608" s="62"/>
      <c r="J608" s="62"/>
      <c r="K608" s="54"/>
      <c r="L608" s="74"/>
      <c r="M608" s="62"/>
      <c r="N608" s="62"/>
      <c r="O608" s="62"/>
      <c r="P608" s="77"/>
      <c r="Q608" s="62"/>
      <c r="R608" s="71"/>
      <c r="S608" s="71"/>
      <c r="T608" s="71"/>
      <c r="U608" s="68"/>
    </row>
    <row r="609" spans="2:21">
      <c r="B609" s="62"/>
      <c r="C609" s="62"/>
      <c r="D609" s="80"/>
      <c r="E609" s="80"/>
      <c r="F609" s="81"/>
      <c r="G609" s="72"/>
      <c r="H609" s="76"/>
      <c r="I609" s="62"/>
      <c r="J609" s="62"/>
      <c r="K609" s="54"/>
      <c r="L609" s="74"/>
      <c r="M609" s="62"/>
      <c r="N609" s="62"/>
      <c r="O609" s="62"/>
      <c r="P609" s="77"/>
      <c r="Q609" s="62"/>
      <c r="R609" s="71"/>
      <c r="S609" s="71"/>
      <c r="T609" s="71"/>
      <c r="U609" s="68"/>
    </row>
    <row r="610" spans="2:21">
      <c r="B610" s="62"/>
      <c r="C610" s="62"/>
      <c r="D610" s="80"/>
      <c r="E610" s="80"/>
      <c r="F610" s="81"/>
      <c r="G610" s="72"/>
      <c r="H610" s="76"/>
      <c r="I610" s="62"/>
      <c r="J610" s="62"/>
      <c r="K610" s="54"/>
      <c r="L610" s="74"/>
      <c r="M610" s="62"/>
      <c r="N610" s="62"/>
      <c r="O610" s="62"/>
      <c r="P610" s="77"/>
      <c r="Q610" s="62"/>
      <c r="R610" s="71"/>
      <c r="S610" s="71"/>
      <c r="T610" s="71"/>
      <c r="U610" s="68"/>
    </row>
    <row r="611" spans="2:21">
      <c r="B611" s="62"/>
      <c r="C611" s="62"/>
      <c r="D611" s="80"/>
      <c r="E611" s="80"/>
      <c r="F611" s="81"/>
      <c r="G611" s="72"/>
      <c r="H611" s="76"/>
      <c r="I611" s="62"/>
      <c r="J611" s="62"/>
      <c r="K611" s="54"/>
      <c r="L611" s="74"/>
      <c r="M611" s="62"/>
      <c r="N611" s="62"/>
      <c r="O611" s="62"/>
      <c r="P611" s="77"/>
      <c r="Q611" s="62"/>
      <c r="R611" s="71"/>
      <c r="S611" s="71"/>
      <c r="T611" s="71"/>
      <c r="U611" s="68"/>
    </row>
    <row r="612" spans="2:21">
      <c r="B612" s="62"/>
      <c r="C612" s="62"/>
      <c r="D612" s="80"/>
      <c r="E612" s="80"/>
      <c r="F612" s="81"/>
      <c r="G612" s="72"/>
      <c r="H612" s="76"/>
      <c r="I612" s="62"/>
      <c r="J612" s="62"/>
      <c r="K612" s="54"/>
      <c r="L612" s="74"/>
      <c r="M612" s="62"/>
      <c r="N612" s="62"/>
      <c r="O612" s="62"/>
      <c r="P612" s="77"/>
      <c r="Q612" s="62"/>
      <c r="R612" s="71"/>
      <c r="S612" s="71"/>
      <c r="T612" s="71"/>
      <c r="U612" s="68"/>
    </row>
    <row r="613" spans="2:21">
      <c r="B613" s="62"/>
      <c r="C613" s="62"/>
      <c r="D613" s="80"/>
      <c r="E613" s="80"/>
      <c r="F613" s="81"/>
      <c r="G613" s="72"/>
      <c r="H613" s="76"/>
      <c r="I613" s="62"/>
      <c r="J613" s="62"/>
      <c r="K613" s="54"/>
      <c r="L613" s="74"/>
      <c r="M613" s="62"/>
      <c r="N613" s="62"/>
      <c r="O613" s="62"/>
      <c r="P613" s="77"/>
      <c r="Q613" s="62"/>
      <c r="R613" s="71"/>
      <c r="S613" s="71"/>
      <c r="T613" s="71"/>
      <c r="U613" s="68"/>
    </row>
    <row r="614" spans="2:21">
      <c r="B614" s="62"/>
      <c r="C614" s="62"/>
      <c r="D614" s="80"/>
      <c r="E614" s="80"/>
      <c r="F614" s="81"/>
      <c r="G614" s="72"/>
      <c r="H614" s="76"/>
      <c r="I614" s="62"/>
      <c r="J614" s="62"/>
      <c r="K614" s="54"/>
      <c r="L614" s="74"/>
      <c r="M614" s="62"/>
      <c r="N614" s="62"/>
      <c r="O614" s="62"/>
      <c r="P614" s="77"/>
      <c r="Q614" s="62"/>
      <c r="R614" s="71"/>
      <c r="S614" s="71"/>
      <c r="T614" s="71"/>
      <c r="U614" s="68"/>
    </row>
    <row r="615" spans="2:21">
      <c r="B615" s="62"/>
      <c r="C615" s="62"/>
      <c r="D615" s="80"/>
      <c r="E615" s="80"/>
      <c r="F615" s="81"/>
      <c r="G615" s="72"/>
      <c r="H615" s="76"/>
      <c r="I615" s="62"/>
      <c r="J615" s="62"/>
      <c r="K615" s="54"/>
      <c r="L615" s="74"/>
      <c r="M615" s="62"/>
      <c r="N615" s="62"/>
      <c r="O615" s="62"/>
      <c r="P615" s="77"/>
      <c r="Q615" s="62"/>
      <c r="R615" s="71"/>
      <c r="S615" s="71"/>
      <c r="T615" s="71"/>
      <c r="U615" s="68"/>
    </row>
    <row r="616" spans="2:21">
      <c r="B616" s="62"/>
      <c r="C616" s="62"/>
      <c r="D616" s="80"/>
      <c r="E616" s="80"/>
      <c r="F616" s="81"/>
      <c r="G616" s="72"/>
      <c r="H616" s="76"/>
      <c r="I616" s="62"/>
      <c r="J616" s="62"/>
      <c r="K616" s="54"/>
      <c r="L616" s="74"/>
      <c r="M616" s="62"/>
      <c r="N616" s="62"/>
      <c r="O616" s="62"/>
      <c r="P616" s="77"/>
      <c r="Q616" s="62"/>
      <c r="R616" s="71"/>
      <c r="S616" s="71"/>
      <c r="T616" s="71"/>
      <c r="U616" s="68"/>
    </row>
    <row r="617" spans="2:21">
      <c r="B617" s="62"/>
      <c r="C617" s="62"/>
      <c r="D617" s="80"/>
      <c r="E617" s="80"/>
      <c r="F617" s="81"/>
      <c r="G617" s="72"/>
      <c r="H617" s="76"/>
      <c r="I617" s="62"/>
      <c r="J617" s="62"/>
      <c r="K617" s="54"/>
      <c r="L617" s="74"/>
      <c r="M617" s="62"/>
      <c r="N617" s="62"/>
      <c r="O617" s="62"/>
      <c r="P617" s="77"/>
      <c r="Q617" s="62"/>
      <c r="R617" s="71"/>
      <c r="S617" s="71"/>
      <c r="T617" s="71"/>
      <c r="U617" s="68"/>
    </row>
    <row r="618" spans="2:21">
      <c r="B618" s="62"/>
      <c r="C618" s="62"/>
      <c r="D618" s="80"/>
      <c r="E618" s="80"/>
      <c r="F618" s="81"/>
      <c r="G618" s="72"/>
      <c r="H618" s="76"/>
      <c r="I618" s="62"/>
      <c r="J618" s="62"/>
      <c r="K618" s="54"/>
      <c r="L618" s="74"/>
      <c r="M618" s="62"/>
      <c r="N618" s="62"/>
      <c r="O618" s="62"/>
      <c r="P618" s="77"/>
      <c r="Q618" s="62"/>
      <c r="R618" s="71"/>
      <c r="S618" s="71"/>
      <c r="T618" s="71"/>
      <c r="U618" s="68"/>
    </row>
    <row r="619" spans="2:21">
      <c r="B619" s="62"/>
      <c r="C619" s="62"/>
      <c r="D619" s="80"/>
      <c r="E619" s="80"/>
      <c r="F619" s="81"/>
      <c r="G619" s="72"/>
      <c r="H619" s="76"/>
      <c r="I619" s="62"/>
      <c r="J619" s="62"/>
      <c r="K619" s="54"/>
      <c r="L619" s="74"/>
      <c r="M619" s="62"/>
      <c r="N619" s="62"/>
      <c r="O619" s="62"/>
      <c r="P619" s="77"/>
      <c r="Q619" s="62"/>
      <c r="R619" s="71"/>
      <c r="S619" s="71"/>
      <c r="T619" s="71"/>
      <c r="U619" s="68"/>
    </row>
    <row r="620" spans="2:21">
      <c r="B620" s="62"/>
      <c r="C620" s="62"/>
      <c r="D620" s="80"/>
      <c r="E620" s="80"/>
      <c r="F620" s="81"/>
      <c r="G620" s="72"/>
      <c r="H620" s="76"/>
      <c r="I620" s="62"/>
      <c r="J620" s="62"/>
      <c r="K620" s="54"/>
      <c r="L620" s="74"/>
      <c r="M620" s="62"/>
      <c r="N620" s="62"/>
      <c r="O620" s="62"/>
      <c r="P620" s="77"/>
      <c r="Q620" s="62"/>
      <c r="R620" s="71"/>
      <c r="S620" s="71"/>
      <c r="T620" s="71"/>
      <c r="U620" s="68"/>
    </row>
    <row r="621" spans="2:21">
      <c r="B621" s="62"/>
      <c r="C621" s="62"/>
      <c r="D621" s="80"/>
      <c r="E621" s="80"/>
      <c r="F621" s="81"/>
      <c r="G621" s="72"/>
      <c r="H621" s="76"/>
      <c r="I621" s="62"/>
      <c r="J621" s="62"/>
      <c r="K621" s="54"/>
      <c r="L621" s="74"/>
      <c r="M621" s="62"/>
      <c r="N621" s="62"/>
      <c r="O621" s="62"/>
      <c r="P621" s="77"/>
      <c r="Q621" s="62"/>
      <c r="R621" s="71"/>
      <c r="S621" s="71"/>
      <c r="T621" s="71"/>
      <c r="U621" s="68"/>
    </row>
    <row r="622" spans="2:21">
      <c r="B622" s="62"/>
      <c r="C622" s="62"/>
      <c r="D622" s="80"/>
      <c r="E622" s="80"/>
      <c r="F622" s="81"/>
      <c r="G622" s="72"/>
      <c r="H622" s="76"/>
      <c r="I622" s="62"/>
      <c r="J622" s="62"/>
      <c r="K622" s="54"/>
      <c r="L622" s="74"/>
      <c r="M622" s="62"/>
      <c r="N622" s="62"/>
      <c r="O622" s="62"/>
      <c r="P622" s="77"/>
      <c r="Q622" s="62"/>
      <c r="R622" s="71"/>
      <c r="S622" s="71"/>
      <c r="T622" s="71"/>
      <c r="U622" s="68"/>
    </row>
    <row r="623" spans="2:21">
      <c r="B623" s="62"/>
      <c r="C623" s="62"/>
      <c r="D623" s="80"/>
      <c r="E623" s="80"/>
      <c r="F623" s="81"/>
      <c r="G623" s="72"/>
      <c r="H623" s="76"/>
      <c r="I623" s="62"/>
      <c r="J623" s="62"/>
      <c r="K623" s="54"/>
      <c r="L623" s="74"/>
      <c r="M623" s="62"/>
      <c r="N623" s="62"/>
      <c r="O623" s="62"/>
      <c r="P623" s="77"/>
      <c r="Q623" s="62"/>
      <c r="R623" s="71"/>
      <c r="S623" s="71"/>
      <c r="T623" s="71"/>
      <c r="U623" s="68"/>
    </row>
    <row r="624" spans="2:21">
      <c r="B624" s="62"/>
      <c r="C624" s="62"/>
      <c r="D624" s="80"/>
      <c r="E624" s="80"/>
      <c r="F624" s="81"/>
      <c r="G624" s="72"/>
      <c r="H624" s="76"/>
      <c r="I624" s="62"/>
      <c r="J624" s="62"/>
      <c r="K624" s="54"/>
      <c r="L624" s="74"/>
      <c r="M624" s="62"/>
      <c r="N624" s="62"/>
      <c r="O624" s="62"/>
      <c r="P624" s="77"/>
      <c r="Q624" s="62"/>
      <c r="R624" s="71"/>
      <c r="S624" s="71"/>
      <c r="T624" s="71"/>
      <c r="U624" s="68"/>
    </row>
    <row r="625" spans="2:21">
      <c r="B625" s="62"/>
      <c r="C625" s="62"/>
      <c r="D625" s="80"/>
      <c r="E625" s="80"/>
      <c r="F625" s="81"/>
      <c r="G625" s="72"/>
      <c r="H625" s="76"/>
      <c r="I625" s="62"/>
      <c r="J625" s="62"/>
      <c r="K625" s="54"/>
      <c r="L625" s="74"/>
      <c r="M625" s="62"/>
      <c r="N625" s="62"/>
      <c r="O625" s="62"/>
      <c r="P625" s="77"/>
      <c r="Q625" s="62"/>
      <c r="R625" s="71"/>
      <c r="S625" s="71"/>
      <c r="T625" s="71"/>
      <c r="U625" s="68"/>
    </row>
    <row r="626" spans="2:21">
      <c r="B626" s="62"/>
      <c r="C626" s="62"/>
      <c r="D626" s="80"/>
      <c r="E626" s="80"/>
      <c r="F626" s="81"/>
      <c r="G626" s="72"/>
      <c r="H626" s="76"/>
      <c r="I626" s="62"/>
      <c r="J626" s="62"/>
      <c r="K626" s="54"/>
      <c r="L626" s="74"/>
      <c r="M626" s="62"/>
      <c r="N626" s="62"/>
      <c r="O626" s="62"/>
      <c r="P626" s="77"/>
      <c r="Q626" s="62"/>
      <c r="R626" s="71"/>
      <c r="S626" s="71"/>
      <c r="T626" s="71"/>
      <c r="U626" s="68"/>
    </row>
    <row r="627" spans="2:21">
      <c r="B627" s="62"/>
      <c r="C627" s="62"/>
      <c r="D627" s="80"/>
      <c r="E627" s="80"/>
      <c r="F627" s="81"/>
      <c r="G627" s="72"/>
      <c r="H627" s="76"/>
      <c r="I627" s="62"/>
      <c r="J627" s="62"/>
      <c r="K627" s="54"/>
      <c r="L627" s="74"/>
      <c r="M627" s="62"/>
      <c r="N627" s="62"/>
      <c r="O627" s="62"/>
      <c r="P627" s="77"/>
      <c r="Q627" s="62"/>
      <c r="R627" s="71"/>
      <c r="S627" s="71"/>
      <c r="T627" s="71"/>
      <c r="U627" s="68"/>
    </row>
    <row r="628" spans="2:21">
      <c r="B628" s="62"/>
      <c r="C628" s="62"/>
      <c r="D628" s="80"/>
      <c r="E628" s="80"/>
      <c r="F628" s="81"/>
      <c r="G628" s="72"/>
      <c r="H628" s="76"/>
      <c r="I628" s="62"/>
      <c r="J628" s="62"/>
      <c r="K628" s="54"/>
      <c r="L628" s="74"/>
      <c r="M628" s="62"/>
      <c r="N628" s="62"/>
      <c r="O628" s="62"/>
      <c r="P628" s="77"/>
      <c r="Q628" s="62"/>
      <c r="R628" s="71"/>
      <c r="S628" s="71"/>
      <c r="T628" s="71"/>
      <c r="U628" s="68"/>
    </row>
    <row r="629" spans="2:21">
      <c r="B629" s="62"/>
      <c r="C629" s="62"/>
      <c r="D629" s="80"/>
      <c r="E629" s="80"/>
      <c r="F629" s="81"/>
      <c r="G629" s="72"/>
      <c r="H629" s="76"/>
      <c r="I629" s="62"/>
      <c r="J629" s="62"/>
      <c r="K629" s="54"/>
      <c r="L629" s="74"/>
      <c r="M629" s="62"/>
      <c r="N629" s="62"/>
      <c r="O629" s="62"/>
      <c r="P629" s="77"/>
      <c r="Q629" s="62"/>
      <c r="R629" s="71"/>
      <c r="S629" s="71"/>
      <c r="T629" s="71"/>
      <c r="U629" s="68"/>
    </row>
    <row r="630" spans="2:21">
      <c r="B630" s="62"/>
      <c r="C630" s="62"/>
      <c r="D630" s="80"/>
      <c r="E630" s="80"/>
      <c r="F630" s="81"/>
      <c r="G630" s="72"/>
      <c r="H630" s="76"/>
      <c r="I630" s="62"/>
      <c r="J630" s="62"/>
      <c r="K630" s="54"/>
      <c r="L630" s="74"/>
      <c r="M630" s="62"/>
      <c r="N630" s="62"/>
      <c r="O630" s="62"/>
      <c r="P630" s="77"/>
      <c r="Q630" s="62"/>
      <c r="R630" s="71"/>
      <c r="S630" s="71"/>
      <c r="T630" s="71"/>
      <c r="U630" s="68"/>
    </row>
    <row r="631" spans="2:21">
      <c r="B631" s="62"/>
      <c r="C631" s="62"/>
      <c r="D631" s="80"/>
      <c r="E631" s="80"/>
      <c r="F631" s="81"/>
      <c r="G631" s="72"/>
      <c r="H631" s="76"/>
      <c r="I631" s="62"/>
      <c r="J631" s="62"/>
      <c r="K631" s="54"/>
      <c r="L631" s="74"/>
      <c r="M631" s="62"/>
      <c r="N631" s="62"/>
      <c r="O631" s="62"/>
      <c r="P631" s="77"/>
      <c r="Q631" s="62"/>
      <c r="R631" s="71"/>
      <c r="S631" s="71"/>
      <c r="T631" s="71"/>
      <c r="U631" s="68"/>
    </row>
    <row r="632" spans="2:21">
      <c r="B632" s="62"/>
      <c r="C632" s="62"/>
      <c r="D632" s="80"/>
      <c r="E632" s="80"/>
      <c r="F632" s="81"/>
      <c r="G632" s="72"/>
      <c r="H632" s="76"/>
      <c r="I632" s="62"/>
      <c r="J632" s="62"/>
      <c r="K632" s="54"/>
      <c r="L632" s="74"/>
      <c r="M632" s="62"/>
      <c r="N632" s="62"/>
      <c r="O632" s="62"/>
      <c r="P632" s="77"/>
      <c r="Q632" s="62"/>
      <c r="R632" s="71"/>
      <c r="S632" s="71"/>
      <c r="T632" s="71"/>
      <c r="U632" s="68"/>
    </row>
    <row r="633" spans="2:21">
      <c r="B633" s="62"/>
      <c r="C633" s="62"/>
      <c r="D633" s="80"/>
      <c r="E633" s="80"/>
      <c r="F633" s="81"/>
      <c r="G633" s="72"/>
      <c r="H633" s="76"/>
      <c r="I633" s="62"/>
      <c r="J633" s="62"/>
      <c r="K633" s="54"/>
      <c r="L633" s="74"/>
      <c r="M633" s="62"/>
      <c r="N633" s="62"/>
      <c r="O633" s="62"/>
      <c r="P633" s="77"/>
      <c r="Q633" s="62"/>
      <c r="R633" s="71"/>
      <c r="S633" s="71"/>
      <c r="T633" s="71"/>
      <c r="U633" s="68"/>
    </row>
    <row r="634" spans="2:21">
      <c r="B634" s="62"/>
      <c r="C634" s="62"/>
      <c r="D634" s="80"/>
      <c r="E634" s="80"/>
      <c r="F634" s="81"/>
      <c r="G634" s="72"/>
      <c r="H634" s="76"/>
      <c r="I634" s="62"/>
      <c r="J634" s="62"/>
      <c r="K634" s="54"/>
      <c r="L634" s="74"/>
      <c r="M634" s="62"/>
      <c r="N634" s="62"/>
      <c r="O634" s="62"/>
      <c r="P634" s="77"/>
      <c r="Q634" s="62"/>
      <c r="R634" s="71"/>
      <c r="S634" s="71"/>
      <c r="T634" s="71"/>
      <c r="U634" s="68"/>
    </row>
    <row r="635" spans="2:21">
      <c r="B635" s="62"/>
      <c r="C635" s="62"/>
      <c r="D635" s="80"/>
      <c r="E635" s="80"/>
      <c r="F635" s="81"/>
      <c r="G635" s="72"/>
      <c r="H635" s="76"/>
      <c r="I635" s="62"/>
      <c r="J635" s="62"/>
      <c r="K635" s="54"/>
      <c r="L635" s="74"/>
      <c r="M635" s="62"/>
      <c r="N635" s="62"/>
      <c r="O635" s="62"/>
      <c r="P635" s="77"/>
      <c r="Q635" s="62"/>
      <c r="R635" s="71"/>
      <c r="S635" s="71"/>
      <c r="T635" s="71"/>
      <c r="U635" s="68"/>
    </row>
    <row r="636" spans="2:21">
      <c r="B636" s="62"/>
      <c r="C636" s="62"/>
      <c r="D636" s="80"/>
      <c r="E636" s="80"/>
      <c r="F636" s="81"/>
      <c r="G636" s="72"/>
      <c r="H636" s="76"/>
      <c r="I636" s="62"/>
      <c r="J636" s="62"/>
      <c r="K636" s="54"/>
      <c r="L636" s="74"/>
      <c r="M636" s="62"/>
      <c r="N636" s="62"/>
      <c r="O636" s="62"/>
      <c r="P636" s="77"/>
      <c r="Q636" s="62"/>
      <c r="R636" s="71"/>
      <c r="S636" s="71"/>
      <c r="T636" s="71"/>
      <c r="U636" s="68"/>
    </row>
    <row r="637" spans="2:21">
      <c r="B637" s="62"/>
      <c r="C637" s="62"/>
      <c r="D637" s="80"/>
      <c r="E637" s="80"/>
      <c r="F637" s="81"/>
      <c r="G637" s="72"/>
      <c r="H637" s="76"/>
      <c r="I637" s="62"/>
      <c r="J637" s="62"/>
      <c r="K637" s="54"/>
      <c r="L637" s="74"/>
      <c r="M637" s="62"/>
      <c r="N637" s="62"/>
      <c r="O637" s="62"/>
      <c r="P637" s="77"/>
      <c r="Q637" s="62"/>
      <c r="R637" s="71"/>
      <c r="S637" s="71"/>
      <c r="T637" s="71"/>
      <c r="U637" s="68"/>
    </row>
    <row r="638" spans="2:21">
      <c r="B638" s="62"/>
      <c r="C638" s="62"/>
      <c r="D638" s="80"/>
      <c r="E638" s="80"/>
      <c r="F638" s="81"/>
      <c r="G638" s="72"/>
      <c r="H638" s="76"/>
      <c r="I638" s="62"/>
      <c r="J638" s="62"/>
      <c r="K638" s="54"/>
      <c r="L638" s="74"/>
      <c r="M638" s="62"/>
      <c r="N638" s="62"/>
      <c r="O638" s="62"/>
      <c r="P638" s="77"/>
      <c r="Q638" s="62"/>
      <c r="R638" s="71"/>
      <c r="S638" s="71"/>
      <c r="T638" s="71"/>
      <c r="U638" s="68"/>
    </row>
    <row r="639" spans="2:21">
      <c r="B639" s="62"/>
      <c r="C639" s="62"/>
      <c r="D639" s="80"/>
      <c r="E639" s="80"/>
      <c r="F639" s="81"/>
      <c r="G639" s="72"/>
      <c r="H639" s="76"/>
      <c r="I639" s="62"/>
      <c r="J639" s="62"/>
      <c r="K639" s="54"/>
      <c r="L639" s="74"/>
      <c r="M639" s="62"/>
      <c r="N639" s="62"/>
      <c r="O639" s="62"/>
      <c r="P639" s="77"/>
      <c r="Q639" s="62"/>
      <c r="R639" s="71"/>
      <c r="S639" s="71"/>
      <c r="T639" s="71"/>
      <c r="U639" s="68"/>
    </row>
    <row r="640" spans="2:21">
      <c r="B640" s="62"/>
      <c r="C640" s="62"/>
      <c r="D640" s="80"/>
      <c r="E640" s="80"/>
      <c r="F640" s="81"/>
      <c r="G640" s="72"/>
      <c r="H640" s="76"/>
      <c r="I640" s="62"/>
      <c r="J640" s="62"/>
      <c r="K640" s="54"/>
      <c r="L640" s="74"/>
      <c r="M640" s="62"/>
      <c r="N640" s="62"/>
      <c r="O640" s="62"/>
      <c r="P640" s="77"/>
      <c r="Q640" s="62"/>
      <c r="R640" s="71"/>
      <c r="S640" s="71"/>
      <c r="T640" s="71"/>
      <c r="U640" s="68"/>
    </row>
    <row r="641" spans="2:21">
      <c r="B641" s="62"/>
      <c r="C641" s="62"/>
      <c r="D641" s="80"/>
      <c r="E641" s="80"/>
      <c r="F641" s="81"/>
      <c r="G641" s="72"/>
      <c r="H641" s="76"/>
      <c r="I641" s="62"/>
      <c r="J641" s="62"/>
      <c r="K641" s="54"/>
      <c r="L641" s="74"/>
      <c r="M641" s="62"/>
      <c r="N641" s="62"/>
      <c r="O641" s="62"/>
      <c r="P641" s="77"/>
      <c r="Q641" s="62"/>
      <c r="R641" s="71"/>
      <c r="S641" s="71"/>
      <c r="T641" s="71"/>
      <c r="U641" s="68"/>
    </row>
    <row r="642" spans="2:21">
      <c r="B642" s="62"/>
      <c r="C642" s="62"/>
      <c r="D642" s="80"/>
      <c r="E642" s="80"/>
      <c r="F642" s="81"/>
      <c r="G642" s="72"/>
      <c r="H642" s="76"/>
      <c r="I642" s="62"/>
      <c r="J642" s="62"/>
      <c r="K642" s="54"/>
      <c r="L642" s="74"/>
      <c r="M642" s="62"/>
      <c r="N642" s="62"/>
      <c r="O642" s="62"/>
      <c r="P642" s="77"/>
      <c r="Q642" s="62"/>
      <c r="R642" s="71"/>
      <c r="S642" s="71"/>
      <c r="T642" s="71"/>
      <c r="U642" s="68"/>
    </row>
    <row r="643" spans="2:21">
      <c r="B643" s="62"/>
      <c r="C643" s="62"/>
      <c r="D643" s="80"/>
      <c r="E643" s="80"/>
      <c r="F643" s="81"/>
      <c r="G643" s="72"/>
      <c r="H643" s="76"/>
      <c r="I643" s="62"/>
      <c r="J643" s="62"/>
      <c r="K643" s="54"/>
      <c r="L643" s="74"/>
      <c r="M643" s="62"/>
      <c r="N643" s="62"/>
      <c r="O643" s="62"/>
      <c r="P643" s="77"/>
      <c r="Q643" s="62"/>
      <c r="R643" s="71"/>
      <c r="S643" s="71"/>
      <c r="T643" s="71"/>
      <c r="U643" s="68"/>
    </row>
    <row r="644" spans="2:21">
      <c r="B644" s="62"/>
      <c r="C644" s="62"/>
      <c r="D644" s="80"/>
      <c r="E644" s="80"/>
      <c r="F644" s="81"/>
      <c r="G644" s="72"/>
      <c r="H644" s="76"/>
      <c r="I644" s="62"/>
      <c r="J644" s="62"/>
      <c r="K644" s="54"/>
      <c r="L644" s="74"/>
      <c r="M644" s="62"/>
      <c r="N644" s="62"/>
      <c r="O644" s="62"/>
      <c r="P644" s="77"/>
      <c r="Q644" s="62"/>
      <c r="R644" s="71"/>
      <c r="S644" s="71"/>
      <c r="T644" s="71"/>
      <c r="U644" s="68"/>
    </row>
    <row r="645" spans="2:21">
      <c r="B645" s="62"/>
      <c r="C645" s="62"/>
      <c r="D645" s="80"/>
      <c r="E645" s="80"/>
      <c r="F645" s="81"/>
      <c r="G645" s="72"/>
      <c r="H645" s="76"/>
      <c r="I645" s="62"/>
      <c r="J645" s="62"/>
      <c r="K645" s="54"/>
      <c r="L645" s="74"/>
      <c r="M645" s="62"/>
      <c r="N645" s="62"/>
      <c r="O645" s="62"/>
      <c r="P645" s="77"/>
      <c r="Q645" s="62"/>
      <c r="R645" s="71"/>
      <c r="S645" s="71"/>
      <c r="T645" s="71"/>
      <c r="U645" s="68"/>
    </row>
    <row r="646" spans="2:21">
      <c r="B646" s="62"/>
      <c r="C646" s="62"/>
      <c r="D646" s="80"/>
      <c r="E646" s="80"/>
      <c r="F646" s="81"/>
      <c r="G646" s="72"/>
      <c r="H646" s="76"/>
      <c r="I646" s="62"/>
      <c r="J646" s="62"/>
      <c r="K646" s="54"/>
      <c r="L646" s="74"/>
      <c r="M646" s="62"/>
      <c r="N646" s="62"/>
      <c r="O646" s="62"/>
      <c r="P646" s="77"/>
      <c r="Q646" s="62"/>
      <c r="R646" s="71"/>
      <c r="S646" s="71"/>
      <c r="T646" s="71"/>
      <c r="U646" s="68"/>
    </row>
    <row r="647" spans="2:21">
      <c r="B647" s="62"/>
      <c r="C647" s="62"/>
      <c r="D647" s="80"/>
      <c r="E647" s="80"/>
      <c r="F647" s="81"/>
      <c r="G647" s="72"/>
      <c r="H647" s="76"/>
      <c r="I647" s="62"/>
      <c r="J647" s="62"/>
      <c r="K647" s="54"/>
      <c r="L647" s="74"/>
      <c r="M647" s="62"/>
      <c r="N647" s="62"/>
      <c r="O647" s="62"/>
      <c r="P647" s="77"/>
      <c r="Q647" s="62"/>
      <c r="R647" s="71"/>
      <c r="S647" s="71"/>
      <c r="T647" s="71"/>
      <c r="U647" s="68"/>
    </row>
    <row r="648" spans="2:21">
      <c r="B648" s="62"/>
      <c r="C648" s="62"/>
      <c r="D648" s="80"/>
      <c r="E648" s="80"/>
      <c r="F648" s="81"/>
      <c r="G648" s="72"/>
      <c r="H648" s="76"/>
      <c r="I648" s="62"/>
      <c r="J648" s="62"/>
      <c r="K648" s="54"/>
      <c r="L648" s="74"/>
      <c r="M648" s="62"/>
      <c r="N648" s="62"/>
      <c r="O648" s="62"/>
      <c r="P648" s="77"/>
      <c r="Q648" s="62"/>
      <c r="R648" s="71"/>
      <c r="S648" s="71"/>
      <c r="T648" s="71"/>
      <c r="U648" s="68"/>
    </row>
    <row r="649" spans="2:21">
      <c r="B649" s="62"/>
      <c r="C649" s="62"/>
      <c r="D649" s="80"/>
      <c r="E649" s="80"/>
      <c r="F649" s="81"/>
      <c r="G649" s="72"/>
      <c r="H649" s="76"/>
      <c r="I649" s="62"/>
      <c r="J649" s="62"/>
      <c r="K649" s="54"/>
      <c r="L649" s="74"/>
      <c r="M649" s="62"/>
      <c r="N649" s="62"/>
      <c r="O649" s="62"/>
      <c r="P649" s="77"/>
      <c r="Q649" s="62"/>
      <c r="R649" s="71"/>
      <c r="S649" s="71"/>
      <c r="T649" s="71"/>
      <c r="U649" s="68"/>
    </row>
    <row r="650" spans="2:21">
      <c r="B650" s="62"/>
      <c r="C650" s="62"/>
      <c r="D650" s="80"/>
      <c r="E650" s="80"/>
      <c r="F650" s="81"/>
      <c r="G650" s="72"/>
      <c r="H650" s="76"/>
      <c r="I650" s="62"/>
      <c r="J650" s="62"/>
      <c r="K650" s="54"/>
      <c r="L650" s="74"/>
      <c r="M650" s="62"/>
      <c r="N650" s="62"/>
      <c r="O650" s="62"/>
      <c r="P650" s="77"/>
      <c r="Q650" s="62"/>
      <c r="R650" s="71"/>
      <c r="S650" s="71"/>
      <c r="T650" s="71"/>
      <c r="U650" s="68"/>
    </row>
    <row r="651" spans="2:21">
      <c r="B651" s="62"/>
      <c r="C651" s="62"/>
      <c r="D651" s="80"/>
      <c r="E651" s="80"/>
      <c r="F651" s="81"/>
      <c r="G651" s="72"/>
      <c r="H651" s="76"/>
      <c r="I651" s="62"/>
      <c r="J651" s="62"/>
      <c r="K651" s="54"/>
      <c r="L651" s="74"/>
      <c r="M651" s="62"/>
      <c r="N651" s="62"/>
      <c r="O651" s="62"/>
      <c r="P651" s="77"/>
      <c r="Q651" s="62"/>
      <c r="R651" s="71"/>
      <c r="S651" s="71"/>
      <c r="T651" s="71"/>
      <c r="U651" s="68"/>
    </row>
    <row r="652" spans="2:21">
      <c r="B652" s="62"/>
      <c r="C652" s="62"/>
      <c r="D652" s="80"/>
      <c r="E652" s="80"/>
      <c r="F652" s="81"/>
      <c r="G652" s="72"/>
      <c r="H652" s="76"/>
      <c r="I652" s="62"/>
      <c r="J652" s="62"/>
      <c r="K652" s="54"/>
      <c r="L652" s="74"/>
      <c r="M652" s="62"/>
      <c r="N652" s="62"/>
      <c r="O652" s="62"/>
      <c r="P652" s="77"/>
      <c r="Q652" s="62"/>
      <c r="R652" s="71"/>
      <c r="S652" s="71"/>
      <c r="T652" s="71"/>
      <c r="U652" s="68"/>
    </row>
    <row r="653" spans="2:21">
      <c r="B653" s="62"/>
      <c r="C653" s="62"/>
      <c r="D653" s="80"/>
      <c r="E653" s="80"/>
      <c r="F653" s="81"/>
      <c r="G653" s="72"/>
      <c r="H653" s="76"/>
      <c r="I653" s="62"/>
      <c r="J653" s="62"/>
      <c r="K653" s="54"/>
      <c r="L653" s="74"/>
      <c r="M653" s="62"/>
      <c r="N653" s="62"/>
      <c r="O653" s="62"/>
      <c r="P653" s="77"/>
      <c r="Q653" s="62"/>
      <c r="R653" s="71"/>
      <c r="S653" s="71"/>
      <c r="T653" s="71"/>
      <c r="U653" s="68"/>
    </row>
    <row r="654" spans="2:21">
      <c r="B654" s="62"/>
      <c r="C654" s="62"/>
      <c r="D654" s="80"/>
      <c r="E654" s="80"/>
      <c r="F654" s="81"/>
      <c r="G654" s="72"/>
      <c r="H654" s="76"/>
      <c r="I654" s="62"/>
      <c r="J654" s="62"/>
      <c r="K654" s="54"/>
      <c r="L654" s="74"/>
      <c r="M654" s="62"/>
      <c r="N654" s="62"/>
      <c r="O654" s="62"/>
      <c r="P654" s="77"/>
      <c r="Q654" s="62"/>
      <c r="R654" s="71"/>
      <c r="S654" s="71"/>
      <c r="T654" s="71"/>
      <c r="U654" s="68"/>
    </row>
    <row r="655" spans="2:21">
      <c r="B655" s="62"/>
      <c r="C655" s="62"/>
      <c r="D655" s="80"/>
      <c r="E655" s="80"/>
      <c r="F655" s="81"/>
      <c r="G655" s="72"/>
      <c r="H655" s="76"/>
      <c r="I655" s="62"/>
      <c r="J655" s="62"/>
      <c r="K655" s="54"/>
      <c r="L655" s="74"/>
      <c r="M655" s="62"/>
      <c r="N655" s="62"/>
      <c r="O655" s="62"/>
      <c r="P655" s="77"/>
      <c r="Q655" s="62"/>
      <c r="R655" s="71"/>
      <c r="S655" s="71"/>
      <c r="T655" s="71"/>
      <c r="U655" s="68"/>
    </row>
    <row r="656" spans="2:21">
      <c r="B656" s="62"/>
      <c r="C656" s="62"/>
      <c r="D656" s="80"/>
      <c r="E656" s="80"/>
      <c r="F656" s="81"/>
      <c r="G656" s="72"/>
      <c r="H656" s="76"/>
      <c r="I656" s="62"/>
      <c r="J656" s="62"/>
      <c r="K656" s="54"/>
      <c r="L656" s="74"/>
      <c r="M656" s="62"/>
      <c r="N656" s="62"/>
      <c r="O656" s="62"/>
      <c r="P656" s="77"/>
      <c r="Q656" s="62"/>
      <c r="R656" s="71"/>
      <c r="S656" s="71"/>
      <c r="T656" s="71"/>
      <c r="U656" s="68"/>
    </row>
    <row r="657" spans="2:21">
      <c r="B657" s="62"/>
      <c r="C657" s="62"/>
      <c r="D657" s="80"/>
      <c r="E657" s="80"/>
      <c r="F657" s="81"/>
      <c r="G657" s="72"/>
      <c r="H657" s="76"/>
      <c r="I657" s="62"/>
      <c r="J657" s="62"/>
      <c r="K657" s="54"/>
      <c r="L657" s="74"/>
      <c r="M657" s="62"/>
      <c r="N657" s="62"/>
      <c r="O657" s="62"/>
      <c r="P657" s="77"/>
      <c r="Q657" s="62"/>
      <c r="R657" s="71"/>
      <c r="S657" s="71"/>
      <c r="T657" s="71"/>
      <c r="U657" s="68"/>
    </row>
    <row r="658" spans="2:21">
      <c r="B658" s="62"/>
      <c r="C658" s="62"/>
      <c r="D658" s="80"/>
      <c r="E658" s="80"/>
      <c r="F658" s="81"/>
      <c r="G658" s="72"/>
      <c r="H658" s="76"/>
      <c r="I658" s="62"/>
      <c r="J658" s="62"/>
      <c r="K658" s="54"/>
      <c r="L658" s="74"/>
      <c r="M658" s="62"/>
      <c r="N658" s="62"/>
      <c r="O658" s="62"/>
      <c r="P658" s="77"/>
      <c r="Q658" s="62"/>
      <c r="R658" s="71"/>
      <c r="S658" s="71"/>
      <c r="T658" s="71"/>
      <c r="U658" s="68"/>
    </row>
    <row r="659" spans="2:21">
      <c r="B659" s="62"/>
      <c r="C659" s="62"/>
      <c r="D659" s="80"/>
      <c r="E659" s="80"/>
      <c r="F659" s="81"/>
      <c r="G659" s="72"/>
      <c r="H659" s="76"/>
      <c r="I659" s="62"/>
      <c r="J659" s="62"/>
      <c r="K659" s="54"/>
      <c r="L659" s="74"/>
      <c r="M659" s="62"/>
      <c r="N659" s="62"/>
      <c r="O659" s="62"/>
      <c r="P659" s="77"/>
      <c r="Q659" s="62"/>
      <c r="R659" s="71"/>
      <c r="S659" s="71"/>
      <c r="T659" s="71"/>
      <c r="U659" s="68"/>
    </row>
    <row r="660" spans="2:21">
      <c r="B660" s="62"/>
      <c r="C660" s="62"/>
      <c r="D660" s="80"/>
      <c r="E660" s="80"/>
      <c r="F660" s="81"/>
      <c r="G660" s="72"/>
      <c r="H660" s="76"/>
      <c r="I660" s="62"/>
      <c r="J660" s="62"/>
      <c r="K660" s="54"/>
      <c r="L660" s="74"/>
      <c r="M660" s="62"/>
      <c r="N660" s="62"/>
      <c r="O660" s="62"/>
      <c r="P660" s="77"/>
      <c r="Q660" s="62"/>
      <c r="R660" s="71"/>
      <c r="S660" s="71"/>
      <c r="T660" s="71"/>
      <c r="U660" s="68"/>
    </row>
    <row r="661" spans="2:21">
      <c r="B661" s="62"/>
      <c r="C661" s="62"/>
      <c r="D661" s="80"/>
      <c r="E661" s="80"/>
      <c r="F661" s="81"/>
      <c r="G661" s="72"/>
      <c r="H661" s="76"/>
      <c r="I661" s="62"/>
      <c r="J661" s="62"/>
      <c r="K661" s="54"/>
      <c r="L661" s="74"/>
      <c r="M661" s="62"/>
      <c r="N661" s="62"/>
      <c r="O661" s="62"/>
      <c r="P661" s="77"/>
      <c r="Q661" s="62"/>
      <c r="R661" s="71"/>
      <c r="S661" s="71"/>
      <c r="T661" s="71"/>
      <c r="U661" s="68"/>
    </row>
    <row r="662" spans="2:21">
      <c r="B662" s="62"/>
      <c r="C662" s="62"/>
      <c r="D662" s="80"/>
      <c r="E662" s="80"/>
      <c r="F662" s="81"/>
      <c r="G662" s="72"/>
      <c r="H662" s="76"/>
      <c r="I662" s="62"/>
      <c r="J662" s="62"/>
      <c r="K662" s="54"/>
      <c r="L662" s="74"/>
      <c r="M662" s="62"/>
      <c r="N662" s="62"/>
      <c r="O662" s="62"/>
      <c r="P662" s="77"/>
      <c r="Q662" s="62"/>
      <c r="R662" s="71"/>
      <c r="S662" s="71"/>
      <c r="T662" s="71"/>
      <c r="U662" s="68"/>
    </row>
    <row r="663" spans="2:21">
      <c r="B663" s="62"/>
      <c r="C663" s="62"/>
      <c r="D663" s="80"/>
      <c r="E663" s="80"/>
      <c r="F663" s="81"/>
      <c r="G663" s="72"/>
      <c r="H663" s="76"/>
      <c r="I663" s="62"/>
      <c r="J663" s="62"/>
      <c r="K663" s="54"/>
      <c r="L663" s="74"/>
      <c r="M663" s="62"/>
      <c r="N663" s="62"/>
      <c r="O663" s="62"/>
      <c r="P663" s="77"/>
      <c r="Q663" s="62"/>
      <c r="R663" s="71"/>
      <c r="S663" s="71"/>
      <c r="T663" s="71"/>
      <c r="U663" s="68"/>
    </row>
    <row r="664" spans="2:21">
      <c r="B664" s="62"/>
      <c r="C664" s="62"/>
      <c r="D664" s="80"/>
      <c r="E664" s="80"/>
      <c r="F664" s="81"/>
      <c r="G664" s="72"/>
      <c r="H664" s="76"/>
      <c r="I664" s="62"/>
      <c r="J664" s="62"/>
      <c r="K664" s="54"/>
      <c r="L664" s="74"/>
      <c r="M664" s="62"/>
      <c r="N664" s="62"/>
      <c r="O664" s="62"/>
      <c r="P664" s="77"/>
      <c r="Q664" s="62"/>
      <c r="R664" s="71"/>
      <c r="S664" s="71"/>
      <c r="T664" s="71"/>
      <c r="U664" s="68"/>
    </row>
    <row r="665" spans="2:21">
      <c r="B665" s="62"/>
      <c r="C665" s="62"/>
      <c r="D665" s="80"/>
      <c r="E665" s="80"/>
      <c r="F665" s="81"/>
      <c r="G665" s="72"/>
      <c r="H665" s="76"/>
      <c r="I665" s="62"/>
      <c r="J665" s="62"/>
      <c r="K665" s="54"/>
      <c r="L665" s="74"/>
      <c r="M665" s="62"/>
      <c r="N665" s="62"/>
      <c r="O665" s="62"/>
      <c r="P665" s="77"/>
      <c r="Q665" s="62"/>
      <c r="R665" s="71"/>
      <c r="S665" s="71"/>
      <c r="T665" s="71"/>
      <c r="U665" s="68"/>
    </row>
    <row r="666" spans="2:21">
      <c r="B666" s="62"/>
      <c r="C666" s="62"/>
      <c r="D666" s="80"/>
      <c r="E666" s="80"/>
      <c r="F666" s="81"/>
      <c r="G666" s="72"/>
      <c r="H666" s="76"/>
      <c r="I666" s="62"/>
      <c r="J666" s="62"/>
      <c r="K666" s="54"/>
      <c r="L666" s="74"/>
      <c r="M666" s="62"/>
      <c r="N666" s="62"/>
      <c r="O666" s="62"/>
      <c r="P666" s="77"/>
      <c r="Q666" s="62"/>
      <c r="R666" s="71"/>
      <c r="S666" s="71"/>
      <c r="T666" s="71"/>
      <c r="U666" s="68"/>
    </row>
    <row r="667" spans="2:21">
      <c r="B667" s="62"/>
      <c r="C667" s="62"/>
      <c r="D667" s="80"/>
      <c r="E667" s="80"/>
      <c r="F667" s="81"/>
      <c r="G667" s="72"/>
      <c r="H667" s="76"/>
      <c r="I667" s="62"/>
      <c r="J667" s="62"/>
      <c r="K667" s="54"/>
      <c r="L667" s="74"/>
      <c r="M667" s="62"/>
      <c r="N667" s="62"/>
      <c r="O667" s="62"/>
      <c r="P667" s="77"/>
      <c r="Q667" s="62"/>
      <c r="R667" s="71"/>
      <c r="S667" s="71"/>
      <c r="T667" s="71"/>
      <c r="U667" s="68"/>
    </row>
    <row r="668" spans="2:21">
      <c r="B668" s="62"/>
      <c r="C668" s="62"/>
      <c r="D668" s="80"/>
      <c r="E668" s="80"/>
      <c r="F668" s="81"/>
      <c r="G668" s="72"/>
      <c r="H668" s="76"/>
      <c r="I668" s="62"/>
      <c r="J668" s="62"/>
      <c r="K668" s="54"/>
      <c r="L668" s="74"/>
      <c r="M668" s="62"/>
      <c r="N668" s="62"/>
      <c r="O668" s="62"/>
      <c r="P668" s="77"/>
      <c r="Q668" s="62"/>
      <c r="R668" s="71"/>
      <c r="S668" s="71"/>
      <c r="T668" s="71"/>
      <c r="U668" s="68"/>
    </row>
    <row r="669" spans="2:21">
      <c r="B669" s="62"/>
      <c r="C669" s="62"/>
      <c r="D669" s="80"/>
      <c r="E669" s="80"/>
      <c r="F669" s="81"/>
      <c r="G669" s="72"/>
      <c r="H669" s="76"/>
      <c r="I669" s="62"/>
      <c r="J669" s="62"/>
      <c r="K669" s="54"/>
      <c r="L669" s="74"/>
      <c r="M669" s="62"/>
      <c r="N669" s="62"/>
      <c r="O669" s="62"/>
      <c r="P669" s="77"/>
      <c r="Q669" s="62"/>
      <c r="R669" s="71"/>
      <c r="S669" s="71"/>
      <c r="T669" s="71"/>
      <c r="U669" s="68"/>
    </row>
    <row r="670" spans="2:21">
      <c r="B670" s="62"/>
      <c r="C670" s="62"/>
      <c r="D670" s="80"/>
      <c r="E670" s="80"/>
      <c r="F670" s="81"/>
      <c r="G670" s="72"/>
      <c r="H670" s="76"/>
      <c r="I670" s="62"/>
      <c r="J670" s="62"/>
      <c r="K670" s="54"/>
      <c r="L670" s="74"/>
      <c r="M670" s="62"/>
      <c r="N670" s="62"/>
      <c r="O670" s="62"/>
      <c r="P670" s="77"/>
      <c r="Q670" s="62"/>
      <c r="R670" s="71"/>
      <c r="S670" s="71"/>
      <c r="T670" s="71"/>
      <c r="U670" s="68"/>
    </row>
    <row r="671" spans="2:21">
      <c r="B671" s="62"/>
      <c r="C671" s="62"/>
      <c r="D671" s="80"/>
      <c r="E671" s="80"/>
      <c r="F671" s="81"/>
      <c r="G671" s="72"/>
      <c r="H671" s="76"/>
      <c r="I671" s="62"/>
      <c r="J671" s="62"/>
      <c r="K671" s="54"/>
      <c r="L671" s="74"/>
      <c r="M671" s="62"/>
      <c r="N671" s="62"/>
      <c r="O671" s="62"/>
      <c r="P671" s="77"/>
      <c r="Q671" s="62"/>
      <c r="R671" s="71"/>
      <c r="S671" s="71"/>
      <c r="T671" s="71"/>
      <c r="U671" s="68"/>
    </row>
    <row r="672" spans="2:21">
      <c r="B672" s="62"/>
      <c r="C672" s="62"/>
      <c r="D672" s="80"/>
      <c r="E672" s="80"/>
      <c r="F672" s="81"/>
      <c r="G672" s="72"/>
      <c r="H672" s="76"/>
      <c r="I672" s="62"/>
      <c r="J672" s="62"/>
      <c r="K672" s="54"/>
      <c r="L672" s="74"/>
      <c r="M672" s="62"/>
      <c r="N672" s="62"/>
      <c r="O672" s="62"/>
      <c r="P672" s="77"/>
      <c r="Q672" s="62"/>
      <c r="R672" s="71"/>
      <c r="S672" s="71"/>
      <c r="T672" s="71"/>
      <c r="U672" s="68"/>
    </row>
    <row r="673" spans="2:21">
      <c r="B673" s="62"/>
      <c r="C673" s="62"/>
      <c r="D673" s="80"/>
      <c r="E673" s="80"/>
      <c r="F673" s="81"/>
      <c r="G673" s="72"/>
      <c r="H673" s="76"/>
      <c r="I673" s="62"/>
      <c r="J673" s="62"/>
      <c r="K673" s="54"/>
      <c r="L673" s="74"/>
      <c r="M673" s="62"/>
      <c r="N673" s="62"/>
      <c r="O673" s="62"/>
      <c r="P673" s="77"/>
      <c r="Q673" s="62"/>
      <c r="R673" s="71"/>
      <c r="S673" s="71"/>
      <c r="T673" s="71"/>
      <c r="U673" s="68"/>
    </row>
    <row r="674" spans="2:21">
      <c r="B674" s="62"/>
      <c r="C674" s="62"/>
      <c r="D674" s="80"/>
      <c r="E674" s="80"/>
      <c r="F674" s="81"/>
      <c r="G674" s="72"/>
      <c r="H674" s="76"/>
      <c r="I674" s="62"/>
      <c r="J674" s="62"/>
      <c r="K674" s="54"/>
      <c r="L674" s="74"/>
      <c r="M674" s="62"/>
      <c r="N674" s="62"/>
      <c r="O674" s="62"/>
      <c r="P674" s="77"/>
      <c r="Q674" s="62"/>
      <c r="R674" s="71"/>
      <c r="S674" s="71"/>
      <c r="T674" s="71"/>
      <c r="U674" s="68"/>
    </row>
    <row r="675" spans="2:21">
      <c r="B675" s="62"/>
      <c r="C675" s="62"/>
      <c r="D675" s="80"/>
      <c r="E675" s="80"/>
      <c r="F675" s="81"/>
      <c r="G675" s="72"/>
      <c r="H675" s="76"/>
      <c r="I675" s="62"/>
      <c r="J675" s="62"/>
      <c r="K675" s="54"/>
      <c r="L675" s="74"/>
      <c r="M675" s="62"/>
      <c r="N675" s="62"/>
      <c r="O675" s="62"/>
      <c r="P675" s="77"/>
      <c r="Q675" s="62"/>
      <c r="R675" s="71"/>
      <c r="S675" s="71"/>
      <c r="T675" s="71"/>
      <c r="U675" s="68"/>
    </row>
    <row r="676" spans="2:21">
      <c r="B676" s="62"/>
      <c r="C676" s="62"/>
      <c r="D676" s="80"/>
      <c r="E676" s="80"/>
      <c r="F676" s="81"/>
      <c r="G676" s="72"/>
      <c r="H676" s="76"/>
      <c r="I676" s="62"/>
      <c r="J676" s="62"/>
      <c r="K676" s="54"/>
      <c r="L676" s="74"/>
      <c r="M676" s="62"/>
      <c r="N676" s="62"/>
      <c r="O676" s="62"/>
      <c r="P676" s="77"/>
      <c r="Q676" s="62"/>
      <c r="R676" s="71"/>
      <c r="S676" s="71"/>
      <c r="T676" s="71"/>
      <c r="U676" s="68"/>
    </row>
    <row r="677" spans="2:21">
      <c r="B677" s="62"/>
      <c r="C677" s="62"/>
      <c r="D677" s="80"/>
      <c r="E677" s="80"/>
      <c r="F677" s="81"/>
      <c r="G677" s="72"/>
      <c r="H677" s="76"/>
      <c r="I677" s="62"/>
      <c r="J677" s="62"/>
      <c r="K677" s="54"/>
      <c r="L677" s="74"/>
      <c r="M677" s="62"/>
      <c r="N677" s="62"/>
      <c r="O677" s="62"/>
      <c r="P677" s="77"/>
      <c r="Q677" s="62"/>
      <c r="R677" s="71"/>
      <c r="S677" s="71"/>
      <c r="T677" s="71"/>
      <c r="U677" s="68"/>
    </row>
    <row r="678" spans="2:21">
      <c r="B678" s="62"/>
      <c r="C678" s="62"/>
      <c r="D678" s="80"/>
      <c r="E678" s="80"/>
      <c r="F678" s="81"/>
      <c r="G678" s="72"/>
      <c r="H678" s="76"/>
      <c r="I678" s="62"/>
      <c r="J678" s="62"/>
      <c r="K678" s="54"/>
      <c r="L678" s="74"/>
      <c r="M678" s="62"/>
      <c r="N678" s="62"/>
      <c r="O678" s="62"/>
      <c r="P678" s="77"/>
      <c r="Q678" s="62"/>
      <c r="R678" s="71"/>
      <c r="S678" s="71"/>
      <c r="T678" s="71"/>
      <c r="U678" s="68"/>
    </row>
    <row r="679" spans="2:21">
      <c r="B679" s="62"/>
      <c r="C679" s="62"/>
      <c r="D679" s="80"/>
      <c r="E679" s="80"/>
      <c r="F679" s="81"/>
      <c r="G679" s="72"/>
      <c r="H679" s="76"/>
      <c r="I679" s="62"/>
      <c r="J679" s="62"/>
      <c r="K679" s="54"/>
      <c r="L679" s="74"/>
      <c r="M679" s="62"/>
      <c r="N679" s="62"/>
      <c r="O679" s="62"/>
      <c r="P679" s="77"/>
      <c r="Q679" s="62"/>
      <c r="R679" s="71"/>
      <c r="S679" s="71"/>
      <c r="T679" s="71"/>
      <c r="U679" s="68"/>
    </row>
    <row r="680" spans="2:21">
      <c r="B680" s="62"/>
      <c r="C680" s="62"/>
      <c r="D680" s="80"/>
      <c r="E680" s="80"/>
      <c r="F680" s="81"/>
      <c r="G680" s="72"/>
      <c r="H680" s="76"/>
      <c r="I680" s="62"/>
      <c r="J680" s="62"/>
      <c r="K680" s="54"/>
      <c r="L680" s="74"/>
      <c r="M680" s="62"/>
      <c r="N680" s="62"/>
      <c r="O680" s="62"/>
      <c r="P680" s="77"/>
      <c r="Q680" s="62"/>
      <c r="R680" s="71"/>
      <c r="S680" s="71"/>
      <c r="T680" s="71"/>
      <c r="U680" s="68"/>
    </row>
    <row r="681" spans="2:21">
      <c r="B681" s="62"/>
      <c r="C681" s="62"/>
      <c r="D681" s="80"/>
      <c r="E681" s="80"/>
      <c r="F681" s="81"/>
      <c r="G681" s="72"/>
      <c r="H681" s="76"/>
      <c r="I681" s="62"/>
      <c r="J681" s="62"/>
      <c r="K681" s="54"/>
      <c r="L681" s="74"/>
      <c r="M681" s="62"/>
      <c r="N681" s="62"/>
      <c r="O681" s="62"/>
      <c r="P681" s="77"/>
      <c r="Q681" s="62"/>
      <c r="R681" s="71"/>
      <c r="S681" s="71"/>
      <c r="T681" s="71"/>
      <c r="U681" s="68"/>
    </row>
    <row r="682" spans="2:21">
      <c r="B682" s="62"/>
      <c r="C682" s="62"/>
      <c r="D682" s="80"/>
      <c r="E682" s="80"/>
      <c r="F682" s="81"/>
      <c r="G682" s="72"/>
      <c r="H682" s="76"/>
      <c r="I682" s="62"/>
      <c r="J682" s="62"/>
      <c r="K682" s="54"/>
      <c r="L682" s="74"/>
      <c r="M682" s="62"/>
      <c r="N682" s="62"/>
      <c r="O682" s="62"/>
      <c r="P682" s="77"/>
      <c r="Q682" s="62"/>
      <c r="R682" s="71"/>
      <c r="S682" s="71"/>
      <c r="T682" s="71"/>
      <c r="U682" s="68"/>
    </row>
    <row r="683" spans="2:21">
      <c r="B683" s="62"/>
      <c r="C683" s="62"/>
      <c r="D683" s="80"/>
      <c r="E683" s="80"/>
      <c r="F683" s="81"/>
      <c r="G683" s="72"/>
      <c r="H683" s="76"/>
      <c r="I683" s="62"/>
      <c r="J683" s="62"/>
      <c r="K683" s="54"/>
      <c r="L683" s="74"/>
      <c r="M683" s="62"/>
      <c r="N683" s="62"/>
      <c r="O683" s="62"/>
      <c r="P683" s="77"/>
      <c r="Q683" s="62"/>
      <c r="R683" s="71"/>
      <c r="S683" s="71"/>
      <c r="T683" s="71"/>
      <c r="U683" s="68"/>
    </row>
    <row r="684" spans="2:21">
      <c r="B684" s="62"/>
      <c r="C684" s="62"/>
      <c r="D684" s="80"/>
      <c r="E684" s="80"/>
      <c r="F684" s="81"/>
      <c r="G684" s="72"/>
      <c r="H684" s="76"/>
      <c r="I684" s="62"/>
      <c r="J684" s="62"/>
      <c r="K684" s="54"/>
      <c r="L684" s="74"/>
      <c r="M684" s="62"/>
      <c r="N684" s="62"/>
      <c r="O684" s="62"/>
      <c r="P684" s="77"/>
      <c r="Q684" s="62"/>
      <c r="R684" s="71"/>
      <c r="S684" s="71"/>
      <c r="T684" s="71"/>
      <c r="U684" s="68"/>
    </row>
    <row r="685" spans="2:21">
      <c r="B685" s="62"/>
      <c r="C685" s="62"/>
      <c r="D685" s="80"/>
      <c r="E685" s="80"/>
      <c r="F685" s="81"/>
      <c r="G685" s="72"/>
      <c r="H685" s="76"/>
      <c r="I685" s="62"/>
      <c r="J685" s="62"/>
      <c r="K685" s="54"/>
      <c r="L685" s="74"/>
      <c r="M685" s="62"/>
      <c r="N685" s="62"/>
      <c r="O685" s="62"/>
      <c r="P685" s="77"/>
      <c r="Q685" s="62"/>
      <c r="R685" s="71"/>
      <c r="S685" s="71"/>
      <c r="T685" s="71"/>
      <c r="U685" s="68"/>
    </row>
    <row r="686" spans="2:21">
      <c r="B686" s="62"/>
      <c r="C686" s="62"/>
      <c r="D686" s="80"/>
      <c r="E686" s="80"/>
      <c r="F686" s="81"/>
      <c r="G686" s="72"/>
      <c r="H686" s="76"/>
      <c r="I686" s="62"/>
      <c r="J686" s="62"/>
      <c r="K686" s="54"/>
      <c r="L686" s="74"/>
      <c r="M686" s="62"/>
      <c r="N686" s="62"/>
      <c r="O686" s="62"/>
      <c r="P686" s="77"/>
      <c r="Q686" s="62"/>
      <c r="R686" s="71"/>
      <c r="S686" s="71"/>
      <c r="T686" s="71"/>
      <c r="U686" s="68"/>
    </row>
    <row r="687" spans="2:21">
      <c r="B687" s="62"/>
      <c r="C687" s="62"/>
      <c r="D687" s="80"/>
      <c r="E687" s="80"/>
      <c r="F687" s="81"/>
      <c r="G687" s="72"/>
      <c r="H687" s="76"/>
      <c r="I687" s="62"/>
      <c r="J687" s="62"/>
      <c r="K687" s="54"/>
      <c r="L687" s="74"/>
      <c r="M687" s="62"/>
      <c r="N687" s="62"/>
      <c r="O687" s="62"/>
      <c r="P687" s="77"/>
      <c r="Q687" s="62"/>
      <c r="R687" s="71"/>
      <c r="S687" s="71"/>
      <c r="T687" s="71"/>
      <c r="U687" s="68"/>
    </row>
    <row r="688" spans="2:21">
      <c r="B688" s="62"/>
      <c r="C688" s="62"/>
      <c r="D688" s="80"/>
      <c r="E688" s="80"/>
      <c r="F688" s="81"/>
      <c r="G688" s="72"/>
      <c r="H688" s="76"/>
      <c r="I688" s="62"/>
      <c r="J688" s="62"/>
      <c r="K688" s="54"/>
      <c r="L688" s="74"/>
      <c r="M688" s="62"/>
      <c r="N688" s="62"/>
      <c r="O688" s="62"/>
      <c r="P688" s="77"/>
      <c r="Q688" s="62"/>
      <c r="R688" s="71"/>
      <c r="S688" s="71"/>
      <c r="T688" s="71"/>
      <c r="U688" s="68"/>
    </row>
    <row r="689" spans="2:21">
      <c r="B689" s="62"/>
      <c r="C689" s="62"/>
      <c r="D689" s="80"/>
      <c r="E689" s="80"/>
      <c r="F689" s="81"/>
      <c r="G689" s="72"/>
      <c r="H689" s="76"/>
      <c r="I689" s="62"/>
      <c r="J689" s="62"/>
      <c r="K689" s="54"/>
      <c r="L689" s="74"/>
      <c r="M689" s="62"/>
      <c r="N689" s="62"/>
      <c r="O689" s="62"/>
      <c r="P689" s="77"/>
      <c r="Q689" s="62"/>
      <c r="R689" s="71"/>
      <c r="S689" s="71"/>
      <c r="T689" s="71"/>
      <c r="U689" s="68"/>
    </row>
    <row r="690" spans="2:21">
      <c r="B690" s="62"/>
      <c r="C690" s="62"/>
      <c r="D690" s="80"/>
      <c r="E690" s="80"/>
      <c r="F690" s="81"/>
      <c r="G690" s="72"/>
      <c r="H690" s="76"/>
      <c r="I690" s="62"/>
      <c r="J690" s="62"/>
      <c r="K690" s="54"/>
      <c r="L690" s="74"/>
      <c r="M690" s="62"/>
      <c r="N690" s="62"/>
      <c r="O690" s="62"/>
      <c r="P690" s="77"/>
      <c r="Q690" s="62"/>
      <c r="R690" s="71"/>
      <c r="S690" s="71"/>
      <c r="T690" s="71"/>
      <c r="U690" s="68"/>
    </row>
    <row r="691" spans="2:21">
      <c r="B691" s="62"/>
      <c r="C691" s="62"/>
      <c r="D691" s="80"/>
      <c r="E691" s="80"/>
      <c r="F691" s="81"/>
      <c r="G691" s="72"/>
      <c r="H691" s="76"/>
      <c r="I691" s="62"/>
      <c r="J691" s="62"/>
      <c r="K691" s="54"/>
      <c r="L691" s="74"/>
      <c r="M691" s="62"/>
      <c r="N691" s="62"/>
      <c r="O691" s="62"/>
      <c r="P691" s="77"/>
      <c r="Q691" s="62"/>
      <c r="R691" s="71"/>
      <c r="S691" s="71"/>
      <c r="T691" s="71"/>
      <c r="U691" s="68"/>
    </row>
    <row r="692" spans="2:21">
      <c r="B692" s="62"/>
      <c r="C692" s="62"/>
      <c r="D692" s="80"/>
      <c r="E692" s="80"/>
      <c r="F692" s="81"/>
      <c r="G692" s="72"/>
      <c r="H692" s="76"/>
      <c r="I692" s="62"/>
      <c r="J692" s="62"/>
      <c r="K692" s="54"/>
      <c r="L692" s="74"/>
      <c r="M692" s="62"/>
      <c r="N692" s="62"/>
      <c r="O692" s="62"/>
      <c r="P692" s="77"/>
      <c r="Q692" s="62"/>
      <c r="R692" s="71"/>
      <c r="S692" s="71"/>
      <c r="T692" s="71"/>
      <c r="U692" s="68"/>
    </row>
    <row r="693" spans="2:21">
      <c r="B693" s="62"/>
      <c r="C693" s="62"/>
      <c r="D693" s="80"/>
      <c r="E693" s="80"/>
      <c r="F693" s="81"/>
      <c r="G693" s="72"/>
      <c r="H693" s="76"/>
      <c r="I693" s="62"/>
      <c r="J693" s="62"/>
      <c r="K693" s="54"/>
      <c r="L693" s="74"/>
      <c r="M693" s="62"/>
      <c r="N693" s="62"/>
      <c r="O693" s="62"/>
      <c r="P693" s="77"/>
      <c r="Q693" s="62"/>
      <c r="R693" s="71"/>
      <c r="S693" s="71"/>
      <c r="T693" s="71"/>
      <c r="U693" s="68"/>
    </row>
    <row r="694" spans="2:21">
      <c r="B694" s="62"/>
      <c r="C694" s="62"/>
      <c r="D694" s="80"/>
      <c r="E694" s="80"/>
      <c r="F694" s="81"/>
      <c r="G694" s="72"/>
      <c r="H694" s="76"/>
      <c r="I694" s="62"/>
      <c r="J694" s="62"/>
      <c r="K694" s="54"/>
      <c r="L694" s="74"/>
      <c r="M694" s="62"/>
      <c r="N694" s="62"/>
      <c r="O694" s="62"/>
      <c r="P694" s="77"/>
      <c r="Q694" s="62"/>
      <c r="R694" s="71"/>
      <c r="S694" s="71"/>
      <c r="T694" s="71"/>
      <c r="U694" s="68"/>
    </row>
    <row r="695" spans="2:21">
      <c r="B695" s="62"/>
      <c r="C695" s="62"/>
      <c r="D695" s="80"/>
      <c r="E695" s="80"/>
      <c r="F695" s="81"/>
      <c r="G695" s="72"/>
      <c r="H695" s="76"/>
      <c r="I695" s="62"/>
      <c r="J695" s="62"/>
      <c r="K695" s="54"/>
      <c r="L695" s="74"/>
      <c r="M695" s="62"/>
      <c r="N695" s="62"/>
      <c r="O695" s="62"/>
      <c r="P695" s="77"/>
      <c r="Q695" s="62"/>
      <c r="R695" s="71"/>
      <c r="S695" s="71"/>
      <c r="T695" s="71"/>
      <c r="U695" s="68"/>
    </row>
    <row r="696" spans="2:21">
      <c r="B696" s="62"/>
      <c r="C696" s="62"/>
      <c r="D696" s="80"/>
      <c r="E696" s="80"/>
      <c r="F696" s="81"/>
      <c r="G696" s="72"/>
      <c r="H696" s="76"/>
      <c r="I696" s="62"/>
      <c r="J696" s="62"/>
      <c r="K696" s="54"/>
      <c r="L696" s="74"/>
      <c r="M696" s="62"/>
      <c r="N696" s="62"/>
      <c r="O696" s="62"/>
      <c r="P696" s="77"/>
      <c r="Q696" s="62"/>
      <c r="R696" s="71"/>
      <c r="S696" s="71"/>
      <c r="T696" s="71"/>
      <c r="U696" s="68"/>
    </row>
    <row r="697" spans="2:21">
      <c r="B697" s="62"/>
      <c r="C697" s="62"/>
      <c r="D697" s="80"/>
      <c r="E697" s="80"/>
      <c r="F697" s="81"/>
      <c r="G697" s="72"/>
      <c r="H697" s="76"/>
      <c r="I697" s="62"/>
      <c r="J697" s="62"/>
      <c r="K697" s="54"/>
      <c r="L697" s="74"/>
      <c r="M697" s="62"/>
      <c r="N697" s="62"/>
      <c r="O697" s="62"/>
      <c r="P697" s="77"/>
      <c r="Q697" s="62"/>
      <c r="R697" s="71"/>
      <c r="S697" s="71"/>
      <c r="T697" s="71"/>
      <c r="U697" s="68"/>
    </row>
    <row r="698" spans="2:21">
      <c r="B698" s="62"/>
      <c r="C698" s="62"/>
      <c r="D698" s="80"/>
      <c r="E698" s="80"/>
      <c r="F698" s="81"/>
      <c r="G698" s="72"/>
      <c r="H698" s="76"/>
      <c r="I698" s="62"/>
      <c r="J698" s="62"/>
      <c r="K698" s="54"/>
      <c r="L698" s="74"/>
      <c r="M698" s="62"/>
      <c r="N698" s="62"/>
      <c r="O698" s="62"/>
      <c r="P698" s="77"/>
      <c r="Q698" s="62"/>
      <c r="R698" s="71"/>
      <c r="S698" s="71"/>
      <c r="T698" s="71"/>
      <c r="U698" s="68"/>
    </row>
    <row r="699" spans="2:21">
      <c r="B699" s="62"/>
      <c r="C699" s="62"/>
      <c r="D699" s="80"/>
      <c r="E699" s="80"/>
      <c r="F699" s="81"/>
      <c r="G699" s="72"/>
      <c r="H699" s="76"/>
      <c r="I699" s="62"/>
      <c r="J699" s="62"/>
      <c r="K699" s="54"/>
      <c r="L699" s="74"/>
      <c r="M699" s="62"/>
      <c r="N699" s="62"/>
      <c r="O699" s="62"/>
      <c r="P699" s="77"/>
      <c r="Q699" s="62"/>
      <c r="R699" s="71"/>
      <c r="S699" s="71"/>
      <c r="T699" s="71"/>
      <c r="U699" s="68"/>
    </row>
    <row r="700" spans="2:21">
      <c r="B700" s="62"/>
      <c r="C700" s="62"/>
      <c r="D700" s="80"/>
      <c r="E700" s="80"/>
      <c r="F700" s="81"/>
      <c r="G700" s="72"/>
      <c r="H700" s="76"/>
      <c r="I700" s="62"/>
      <c r="J700" s="62"/>
      <c r="K700" s="54"/>
      <c r="L700" s="74"/>
      <c r="M700" s="62"/>
      <c r="N700" s="62"/>
      <c r="O700" s="62"/>
      <c r="P700" s="77"/>
      <c r="Q700" s="62"/>
      <c r="R700" s="71"/>
      <c r="S700" s="71"/>
      <c r="T700" s="71"/>
      <c r="U700" s="68"/>
    </row>
    <row r="701" spans="2:21">
      <c r="B701" s="62"/>
      <c r="C701" s="62"/>
      <c r="D701" s="80"/>
      <c r="E701" s="80"/>
      <c r="F701" s="81"/>
      <c r="G701" s="72"/>
      <c r="H701" s="76"/>
      <c r="I701" s="62"/>
      <c r="J701" s="62"/>
      <c r="K701" s="54"/>
      <c r="L701" s="74"/>
      <c r="M701" s="62"/>
      <c r="N701" s="62"/>
      <c r="O701" s="62"/>
      <c r="P701" s="77"/>
      <c r="Q701" s="62"/>
      <c r="R701" s="71"/>
      <c r="S701" s="71"/>
      <c r="T701" s="71"/>
      <c r="U701" s="68"/>
    </row>
    <row r="702" spans="2:21">
      <c r="B702" s="62"/>
      <c r="C702" s="62"/>
      <c r="D702" s="80"/>
      <c r="E702" s="80"/>
      <c r="F702" s="81"/>
      <c r="G702" s="72"/>
      <c r="H702" s="76"/>
      <c r="I702" s="62"/>
      <c r="J702" s="62"/>
      <c r="K702" s="54"/>
      <c r="L702" s="74"/>
      <c r="M702" s="62"/>
      <c r="N702" s="62"/>
      <c r="O702" s="62"/>
      <c r="P702" s="77"/>
      <c r="Q702" s="62"/>
      <c r="R702" s="71"/>
      <c r="S702" s="71"/>
      <c r="T702" s="71"/>
      <c r="U702" s="68"/>
    </row>
    <row r="703" spans="2:21">
      <c r="B703" s="62"/>
      <c r="C703" s="62"/>
      <c r="D703" s="80"/>
      <c r="E703" s="80"/>
      <c r="F703" s="81"/>
      <c r="G703" s="72"/>
      <c r="H703" s="76"/>
      <c r="I703" s="62"/>
      <c r="J703" s="62"/>
      <c r="K703" s="54"/>
      <c r="L703" s="74"/>
      <c r="M703" s="62"/>
      <c r="N703" s="62"/>
      <c r="O703" s="62"/>
      <c r="P703" s="77"/>
      <c r="Q703" s="62"/>
      <c r="R703" s="71"/>
      <c r="S703" s="71"/>
      <c r="T703" s="71"/>
      <c r="U703" s="68"/>
    </row>
    <row r="704" spans="2:21">
      <c r="B704" s="62"/>
      <c r="C704" s="62"/>
      <c r="D704" s="80"/>
      <c r="E704" s="80"/>
      <c r="F704" s="81"/>
      <c r="G704" s="72"/>
      <c r="H704" s="76"/>
      <c r="I704" s="62"/>
      <c r="J704" s="62"/>
      <c r="K704" s="54"/>
      <c r="L704" s="74"/>
      <c r="M704" s="62"/>
      <c r="N704" s="62"/>
      <c r="O704" s="62"/>
      <c r="P704" s="77"/>
      <c r="Q704" s="62"/>
      <c r="R704" s="71"/>
      <c r="S704" s="71"/>
      <c r="T704" s="71"/>
      <c r="U704" s="68"/>
    </row>
    <row r="705" spans="2:21">
      <c r="B705" s="62"/>
      <c r="C705" s="62"/>
      <c r="D705" s="80"/>
      <c r="E705" s="80"/>
      <c r="F705" s="81"/>
      <c r="G705" s="72"/>
      <c r="H705" s="76"/>
      <c r="I705" s="62"/>
      <c r="J705" s="62"/>
      <c r="K705" s="54"/>
      <c r="L705" s="74"/>
      <c r="M705" s="62"/>
      <c r="N705" s="62"/>
      <c r="O705" s="62"/>
      <c r="P705" s="77"/>
      <c r="Q705" s="62"/>
      <c r="R705" s="71"/>
      <c r="S705" s="71"/>
      <c r="T705" s="71"/>
      <c r="U705" s="68"/>
    </row>
    <row r="706" spans="2:21">
      <c r="B706" s="62"/>
      <c r="C706" s="62"/>
      <c r="D706" s="80"/>
      <c r="E706" s="80"/>
      <c r="F706" s="81"/>
      <c r="G706" s="72"/>
      <c r="H706" s="76"/>
      <c r="I706" s="62"/>
      <c r="J706" s="62"/>
      <c r="K706" s="54"/>
      <c r="L706" s="74"/>
      <c r="M706" s="62"/>
      <c r="N706" s="62"/>
      <c r="O706" s="62"/>
      <c r="P706" s="77"/>
      <c r="Q706" s="62"/>
      <c r="R706" s="71"/>
      <c r="S706" s="71"/>
      <c r="T706" s="71"/>
      <c r="U706" s="68"/>
    </row>
    <row r="707" spans="2:21">
      <c r="B707" s="62"/>
      <c r="C707" s="62"/>
      <c r="D707" s="80"/>
      <c r="E707" s="80"/>
      <c r="F707" s="81"/>
      <c r="G707" s="72"/>
      <c r="H707" s="76"/>
      <c r="I707" s="62"/>
      <c r="J707" s="62"/>
      <c r="K707" s="54"/>
      <c r="L707" s="74"/>
      <c r="M707" s="62"/>
      <c r="N707" s="62"/>
      <c r="O707" s="62"/>
      <c r="P707" s="77"/>
      <c r="Q707" s="62"/>
      <c r="R707" s="71"/>
      <c r="S707" s="71"/>
      <c r="T707" s="71"/>
      <c r="U707" s="68"/>
    </row>
    <row r="708" spans="2:21">
      <c r="B708" s="62"/>
      <c r="C708" s="62"/>
      <c r="D708" s="80"/>
      <c r="E708" s="80"/>
      <c r="F708" s="81"/>
      <c r="G708" s="72"/>
      <c r="H708" s="76"/>
      <c r="I708" s="62"/>
      <c r="J708" s="62"/>
      <c r="K708" s="54"/>
      <c r="L708" s="74"/>
      <c r="M708" s="62"/>
      <c r="N708" s="62"/>
      <c r="O708" s="62"/>
      <c r="P708" s="77"/>
      <c r="Q708" s="62"/>
      <c r="R708" s="71"/>
      <c r="S708" s="71"/>
      <c r="T708" s="71"/>
      <c r="U708" s="68"/>
    </row>
    <row r="709" spans="2:21">
      <c r="B709" s="62"/>
      <c r="C709" s="62"/>
      <c r="D709" s="80"/>
      <c r="E709" s="80"/>
      <c r="F709" s="81"/>
      <c r="G709" s="72"/>
      <c r="H709" s="76"/>
      <c r="I709" s="62"/>
      <c r="J709" s="62"/>
      <c r="K709" s="54"/>
      <c r="L709" s="74"/>
      <c r="M709" s="62"/>
      <c r="N709" s="62"/>
      <c r="O709" s="62"/>
      <c r="P709" s="77"/>
      <c r="Q709" s="62"/>
      <c r="R709" s="71"/>
      <c r="S709" s="71"/>
      <c r="T709" s="71"/>
      <c r="U709" s="68"/>
    </row>
    <row r="710" spans="2:21">
      <c r="B710" s="62"/>
      <c r="C710" s="62"/>
      <c r="D710" s="80"/>
      <c r="E710" s="80"/>
      <c r="F710" s="81"/>
      <c r="G710" s="72"/>
      <c r="H710" s="76"/>
      <c r="I710" s="62"/>
      <c r="J710" s="62"/>
      <c r="K710" s="54"/>
      <c r="L710" s="74"/>
      <c r="M710" s="62"/>
      <c r="N710" s="62"/>
      <c r="O710" s="62"/>
      <c r="P710" s="77"/>
      <c r="Q710" s="62"/>
      <c r="R710" s="71"/>
      <c r="S710" s="71"/>
      <c r="T710" s="71"/>
      <c r="U710" s="68"/>
    </row>
    <row r="711" spans="2:21">
      <c r="B711" s="62"/>
      <c r="C711" s="62"/>
      <c r="D711" s="80"/>
      <c r="E711" s="80"/>
      <c r="F711" s="81"/>
      <c r="G711" s="72"/>
      <c r="H711" s="76"/>
      <c r="I711" s="62"/>
      <c r="J711" s="62"/>
      <c r="K711" s="54"/>
      <c r="L711" s="74"/>
      <c r="M711" s="62"/>
      <c r="N711" s="62"/>
      <c r="O711" s="62"/>
      <c r="P711" s="77"/>
      <c r="Q711" s="62"/>
      <c r="R711" s="71"/>
      <c r="S711" s="71"/>
      <c r="T711" s="71"/>
      <c r="U711" s="68"/>
    </row>
    <row r="712" spans="2:21">
      <c r="B712" s="62"/>
      <c r="C712" s="62"/>
      <c r="D712" s="80"/>
      <c r="E712" s="80"/>
      <c r="F712" s="81"/>
      <c r="G712" s="72"/>
      <c r="H712" s="76"/>
      <c r="I712" s="62"/>
      <c r="J712" s="62"/>
      <c r="K712" s="54"/>
      <c r="L712" s="74"/>
      <c r="M712" s="62"/>
      <c r="N712" s="62"/>
      <c r="O712" s="62"/>
      <c r="P712" s="77"/>
      <c r="Q712" s="62"/>
      <c r="R712" s="71"/>
      <c r="S712" s="71"/>
      <c r="T712" s="71"/>
      <c r="U712" s="68"/>
    </row>
    <row r="713" spans="2:21">
      <c r="B713" s="62"/>
      <c r="C713" s="62"/>
      <c r="D713" s="80"/>
      <c r="E713" s="80"/>
      <c r="F713" s="81"/>
      <c r="G713" s="72"/>
      <c r="H713" s="76"/>
      <c r="I713" s="62"/>
      <c r="J713" s="62"/>
      <c r="K713" s="54"/>
      <c r="L713" s="74"/>
      <c r="M713" s="62"/>
      <c r="N713" s="62"/>
      <c r="O713" s="62"/>
      <c r="P713" s="77"/>
      <c r="Q713" s="62"/>
      <c r="R713" s="71"/>
      <c r="S713" s="71"/>
      <c r="T713" s="71"/>
      <c r="U713" s="68"/>
    </row>
    <row r="714" spans="2:21">
      <c r="B714" s="62"/>
      <c r="C714" s="62"/>
      <c r="D714" s="80"/>
      <c r="E714" s="80"/>
      <c r="F714" s="81"/>
      <c r="G714" s="72"/>
      <c r="H714" s="76"/>
      <c r="I714" s="62"/>
      <c r="J714" s="62"/>
      <c r="K714" s="54"/>
      <c r="L714" s="74"/>
      <c r="M714" s="62"/>
      <c r="N714" s="62"/>
      <c r="O714" s="62"/>
      <c r="P714" s="77"/>
      <c r="Q714" s="62"/>
      <c r="R714" s="71"/>
      <c r="S714" s="71"/>
      <c r="T714" s="71"/>
      <c r="U714" s="68"/>
    </row>
    <row r="715" spans="2:21">
      <c r="B715" s="62"/>
      <c r="C715" s="62"/>
      <c r="D715" s="80"/>
      <c r="E715" s="80"/>
      <c r="F715" s="81"/>
      <c r="G715" s="72"/>
      <c r="H715" s="76"/>
      <c r="I715" s="62"/>
      <c r="J715" s="62"/>
      <c r="K715" s="54"/>
      <c r="L715" s="74"/>
      <c r="M715" s="62"/>
      <c r="N715" s="62"/>
      <c r="O715" s="62"/>
      <c r="P715" s="77"/>
      <c r="Q715" s="62"/>
      <c r="R715" s="71"/>
      <c r="S715" s="71"/>
      <c r="T715" s="71"/>
      <c r="U715" s="68"/>
    </row>
    <row r="716" spans="2:21">
      <c r="B716" s="62"/>
      <c r="C716" s="62"/>
      <c r="D716" s="80"/>
      <c r="E716" s="80"/>
      <c r="F716" s="81"/>
      <c r="G716" s="72"/>
      <c r="H716" s="76"/>
      <c r="I716" s="62"/>
      <c r="J716" s="62"/>
      <c r="K716" s="54"/>
      <c r="L716" s="74"/>
      <c r="M716" s="62"/>
      <c r="N716" s="62"/>
      <c r="O716" s="62"/>
      <c r="P716" s="77"/>
      <c r="Q716" s="62"/>
      <c r="R716" s="71"/>
      <c r="S716" s="71"/>
      <c r="T716" s="71"/>
      <c r="U716" s="68"/>
    </row>
    <row r="717" spans="2:21">
      <c r="B717" s="62"/>
      <c r="C717" s="62"/>
      <c r="D717" s="80"/>
      <c r="E717" s="80"/>
      <c r="F717" s="81"/>
      <c r="G717" s="72"/>
      <c r="H717" s="76"/>
      <c r="I717" s="62"/>
      <c r="J717" s="62"/>
      <c r="K717" s="54"/>
      <c r="L717" s="74"/>
      <c r="M717" s="62"/>
      <c r="N717" s="62"/>
      <c r="O717" s="62"/>
      <c r="P717" s="77"/>
      <c r="Q717" s="62"/>
      <c r="R717" s="71"/>
      <c r="S717" s="71"/>
      <c r="T717" s="71"/>
      <c r="U717" s="68"/>
    </row>
    <row r="718" spans="2:21">
      <c r="B718" s="62"/>
      <c r="C718" s="62"/>
      <c r="D718" s="80"/>
      <c r="E718" s="80"/>
      <c r="F718" s="81"/>
      <c r="G718" s="72"/>
      <c r="H718" s="76"/>
      <c r="I718" s="62"/>
      <c r="J718" s="62"/>
      <c r="K718" s="54"/>
      <c r="L718" s="74"/>
      <c r="M718" s="62"/>
      <c r="N718" s="62"/>
      <c r="O718" s="62"/>
      <c r="P718" s="77"/>
      <c r="Q718" s="62"/>
      <c r="R718" s="71"/>
      <c r="S718" s="71"/>
      <c r="T718" s="71"/>
      <c r="U718" s="68"/>
    </row>
    <row r="719" spans="2:21">
      <c r="B719" s="62"/>
      <c r="C719" s="62"/>
      <c r="D719" s="80"/>
      <c r="E719" s="80"/>
      <c r="F719" s="81"/>
      <c r="G719" s="72"/>
      <c r="H719" s="76"/>
      <c r="I719" s="62"/>
      <c r="J719" s="62"/>
      <c r="K719" s="54"/>
      <c r="L719" s="74"/>
      <c r="M719" s="62"/>
      <c r="N719" s="62"/>
      <c r="O719" s="62"/>
      <c r="P719" s="77"/>
      <c r="Q719" s="62"/>
      <c r="R719" s="71"/>
      <c r="S719" s="71"/>
      <c r="T719" s="71"/>
      <c r="U719" s="68"/>
    </row>
    <row r="720" spans="2:21">
      <c r="B720" s="62"/>
      <c r="C720" s="62"/>
      <c r="D720" s="80"/>
      <c r="E720" s="80"/>
      <c r="F720" s="81"/>
      <c r="G720" s="72"/>
      <c r="H720" s="76"/>
      <c r="I720" s="62"/>
      <c r="J720" s="62"/>
      <c r="K720" s="54"/>
      <c r="L720" s="74"/>
      <c r="M720" s="62"/>
      <c r="N720" s="62"/>
      <c r="O720" s="62"/>
      <c r="P720" s="77"/>
      <c r="Q720" s="62"/>
      <c r="R720" s="71"/>
      <c r="S720" s="71"/>
      <c r="T720" s="71"/>
      <c r="U720" s="68"/>
    </row>
    <row r="721" spans="2:21">
      <c r="B721" s="62"/>
      <c r="C721" s="62"/>
      <c r="D721" s="80"/>
      <c r="E721" s="80"/>
      <c r="F721" s="81"/>
      <c r="G721" s="72"/>
      <c r="H721" s="76"/>
      <c r="I721" s="62"/>
      <c r="J721" s="62"/>
      <c r="K721" s="54"/>
      <c r="L721" s="74"/>
      <c r="M721" s="62"/>
      <c r="N721" s="62"/>
      <c r="O721" s="62"/>
      <c r="P721" s="77"/>
      <c r="Q721" s="62"/>
      <c r="R721" s="71"/>
      <c r="S721" s="71"/>
      <c r="T721" s="71"/>
      <c r="U721" s="68"/>
    </row>
    <row r="722" spans="2:21">
      <c r="B722" s="62"/>
      <c r="C722" s="62"/>
      <c r="D722" s="80"/>
      <c r="E722" s="80"/>
      <c r="F722" s="81"/>
      <c r="G722" s="72"/>
      <c r="H722" s="76"/>
      <c r="I722" s="62"/>
      <c r="J722" s="62"/>
      <c r="K722" s="54"/>
      <c r="L722" s="74"/>
      <c r="M722" s="62"/>
      <c r="N722" s="62"/>
      <c r="O722" s="62"/>
      <c r="P722" s="77"/>
      <c r="Q722" s="62"/>
      <c r="R722" s="71"/>
      <c r="S722" s="71"/>
      <c r="T722" s="71"/>
      <c r="U722" s="68"/>
    </row>
    <row r="723" spans="2:21">
      <c r="B723" s="62"/>
      <c r="C723" s="62"/>
      <c r="D723" s="80"/>
      <c r="E723" s="80"/>
      <c r="F723" s="81"/>
      <c r="G723" s="72"/>
      <c r="H723" s="76"/>
      <c r="I723" s="62"/>
      <c r="J723" s="62"/>
      <c r="K723" s="54"/>
      <c r="L723" s="74"/>
      <c r="M723" s="62"/>
      <c r="N723" s="62"/>
      <c r="O723" s="62"/>
      <c r="P723" s="77"/>
      <c r="Q723" s="62"/>
      <c r="R723" s="71"/>
      <c r="S723" s="71"/>
      <c r="T723" s="71"/>
      <c r="U723" s="68"/>
    </row>
    <row r="724" spans="2:21">
      <c r="B724" s="62"/>
      <c r="C724" s="62"/>
      <c r="D724" s="80"/>
      <c r="E724" s="80"/>
      <c r="F724" s="81"/>
      <c r="G724" s="72"/>
      <c r="H724" s="76"/>
      <c r="I724" s="62"/>
      <c r="J724" s="62"/>
      <c r="K724" s="54"/>
      <c r="L724" s="74"/>
      <c r="M724" s="62"/>
      <c r="N724" s="62"/>
      <c r="O724" s="62"/>
      <c r="P724" s="77"/>
      <c r="Q724" s="62"/>
      <c r="R724" s="71"/>
      <c r="S724" s="71"/>
      <c r="T724" s="71"/>
      <c r="U724" s="68"/>
    </row>
    <row r="725" spans="2:21">
      <c r="B725" s="62"/>
      <c r="C725" s="62"/>
      <c r="D725" s="80"/>
      <c r="E725" s="80"/>
      <c r="F725" s="81"/>
      <c r="G725" s="72"/>
      <c r="H725" s="76"/>
      <c r="I725" s="62"/>
      <c r="J725" s="62"/>
      <c r="K725" s="54"/>
      <c r="L725" s="74"/>
      <c r="M725" s="62"/>
      <c r="N725" s="62"/>
      <c r="O725" s="62"/>
      <c r="P725" s="77"/>
      <c r="Q725" s="62"/>
      <c r="R725" s="71"/>
      <c r="S725" s="71"/>
      <c r="T725" s="71"/>
      <c r="U725" s="68"/>
    </row>
    <row r="726" spans="2:21">
      <c r="B726" s="62"/>
      <c r="C726" s="62"/>
      <c r="D726" s="80"/>
      <c r="E726" s="80"/>
      <c r="F726" s="81"/>
      <c r="G726" s="72"/>
      <c r="H726" s="76"/>
      <c r="I726" s="62"/>
      <c r="J726" s="62"/>
      <c r="K726" s="54"/>
      <c r="L726" s="74"/>
      <c r="M726" s="62"/>
      <c r="N726" s="62"/>
      <c r="O726" s="62"/>
      <c r="P726" s="77"/>
      <c r="Q726" s="62"/>
      <c r="R726" s="71"/>
      <c r="S726" s="71"/>
      <c r="T726" s="71"/>
      <c r="U726" s="68"/>
    </row>
    <row r="727" spans="2:21">
      <c r="B727" s="62"/>
      <c r="C727" s="62"/>
      <c r="D727" s="80"/>
      <c r="E727" s="80"/>
      <c r="F727" s="81"/>
      <c r="G727" s="72"/>
      <c r="H727" s="76"/>
      <c r="I727" s="62"/>
      <c r="J727" s="62"/>
      <c r="K727" s="54"/>
      <c r="L727" s="74"/>
      <c r="M727" s="62"/>
      <c r="N727" s="62"/>
      <c r="O727" s="62"/>
      <c r="P727" s="77"/>
      <c r="Q727" s="62"/>
      <c r="R727" s="71"/>
      <c r="S727" s="71"/>
      <c r="T727" s="71"/>
      <c r="U727" s="68"/>
    </row>
    <row r="728" spans="2:21">
      <c r="B728" s="62"/>
      <c r="C728" s="62"/>
      <c r="D728" s="80"/>
      <c r="E728" s="80"/>
      <c r="F728" s="81"/>
      <c r="G728" s="72"/>
      <c r="H728" s="76"/>
      <c r="I728" s="62"/>
      <c r="J728" s="62"/>
      <c r="K728" s="54"/>
      <c r="L728" s="74"/>
      <c r="M728" s="62"/>
      <c r="N728" s="62"/>
      <c r="O728" s="62"/>
      <c r="P728" s="77"/>
      <c r="Q728" s="62"/>
      <c r="R728" s="71"/>
      <c r="S728" s="71"/>
      <c r="T728" s="71"/>
      <c r="U728" s="68"/>
    </row>
    <row r="729" spans="2:21">
      <c r="B729" s="62"/>
      <c r="C729" s="62"/>
      <c r="D729" s="80"/>
      <c r="E729" s="80"/>
      <c r="F729" s="81"/>
      <c r="G729" s="72"/>
      <c r="H729" s="76"/>
      <c r="I729" s="62"/>
      <c r="J729" s="62"/>
      <c r="K729" s="54"/>
      <c r="L729" s="74"/>
      <c r="M729" s="62"/>
      <c r="N729" s="62"/>
      <c r="O729" s="62"/>
      <c r="P729" s="77"/>
      <c r="Q729" s="62"/>
      <c r="R729" s="71"/>
      <c r="S729" s="71"/>
      <c r="T729" s="71"/>
      <c r="U729" s="68"/>
    </row>
    <row r="730" spans="2:21">
      <c r="B730" s="62"/>
      <c r="C730" s="62"/>
      <c r="D730" s="80"/>
      <c r="E730" s="80"/>
      <c r="F730" s="81"/>
      <c r="G730" s="72"/>
      <c r="H730" s="76"/>
      <c r="I730" s="62"/>
      <c r="J730" s="62"/>
      <c r="K730" s="54"/>
      <c r="L730" s="74"/>
      <c r="M730" s="62"/>
      <c r="N730" s="62"/>
      <c r="O730" s="62"/>
      <c r="P730" s="77"/>
      <c r="Q730" s="62"/>
      <c r="R730" s="71"/>
      <c r="S730" s="71"/>
      <c r="T730" s="71"/>
      <c r="U730" s="68"/>
    </row>
    <row r="731" spans="2:21">
      <c r="B731" s="62"/>
      <c r="C731" s="62"/>
      <c r="D731" s="80"/>
      <c r="E731" s="80"/>
      <c r="F731" s="81"/>
      <c r="G731" s="72"/>
      <c r="H731" s="76"/>
      <c r="I731" s="62"/>
      <c r="J731" s="62"/>
      <c r="K731" s="54"/>
      <c r="L731" s="74"/>
      <c r="M731" s="62"/>
      <c r="N731" s="62"/>
      <c r="O731" s="62"/>
      <c r="P731" s="77"/>
      <c r="Q731" s="62"/>
      <c r="R731" s="71"/>
      <c r="S731" s="71"/>
      <c r="T731" s="71"/>
      <c r="U731" s="68"/>
    </row>
    <row r="732" spans="2:21">
      <c r="B732" s="62"/>
      <c r="C732" s="62"/>
      <c r="D732" s="80"/>
      <c r="E732" s="80"/>
      <c r="F732" s="81"/>
      <c r="G732" s="72"/>
      <c r="H732" s="76"/>
      <c r="I732" s="62"/>
      <c r="J732" s="62"/>
      <c r="K732" s="54"/>
      <c r="L732" s="74"/>
      <c r="M732" s="62"/>
      <c r="N732" s="62"/>
      <c r="O732" s="62"/>
      <c r="P732" s="77"/>
      <c r="Q732" s="62"/>
      <c r="R732" s="71"/>
      <c r="S732" s="71"/>
      <c r="T732" s="71"/>
      <c r="U732" s="68"/>
    </row>
    <row r="733" spans="2:21">
      <c r="B733" s="62"/>
      <c r="C733" s="62"/>
      <c r="D733" s="80"/>
      <c r="E733" s="80"/>
      <c r="F733" s="81"/>
      <c r="G733" s="72"/>
      <c r="H733" s="76"/>
      <c r="I733" s="62"/>
      <c r="J733" s="62"/>
      <c r="K733" s="54"/>
      <c r="L733" s="74"/>
      <c r="M733" s="62"/>
      <c r="N733" s="62"/>
      <c r="O733" s="62"/>
      <c r="P733" s="77"/>
      <c r="Q733" s="62"/>
      <c r="R733" s="71"/>
      <c r="S733" s="71"/>
      <c r="T733" s="71"/>
      <c r="U733" s="68"/>
    </row>
    <row r="734" spans="2:21">
      <c r="B734" s="62"/>
      <c r="C734" s="62"/>
      <c r="D734" s="80"/>
      <c r="E734" s="80"/>
      <c r="F734" s="81"/>
      <c r="G734" s="72"/>
      <c r="H734" s="76"/>
      <c r="I734" s="62"/>
      <c r="J734" s="62"/>
      <c r="K734" s="54"/>
      <c r="L734" s="74"/>
      <c r="M734" s="62"/>
      <c r="N734" s="62"/>
      <c r="O734" s="62"/>
      <c r="P734" s="77"/>
      <c r="Q734" s="62"/>
      <c r="R734" s="71"/>
      <c r="S734" s="71"/>
      <c r="T734" s="71"/>
      <c r="U734" s="68"/>
    </row>
    <row r="735" spans="2:21">
      <c r="B735" s="62"/>
      <c r="C735" s="62"/>
      <c r="D735" s="80"/>
      <c r="E735" s="80"/>
      <c r="F735" s="81"/>
      <c r="G735" s="72"/>
      <c r="H735" s="76"/>
      <c r="I735" s="62"/>
      <c r="J735" s="62"/>
      <c r="K735" s="54"/>
      <c r="L735" s="74"/>
      <c r="M735" s="62"/>
      <c r="N735" s="62"/>
      <c r="O735" s="62"/>
      <c r="P735" s="77"/>
      <c r="Q735" s="62"/>
      <c r="R735" s="71"/>
      <c r="S735" s="71"/>
      <c r="T735" s="71"/>
      <c r="U735" s="68"/>
    </row>
    <row r="736" spans="2:21">
      <c r="B736" s="62"/>
      <c r="C736" s="62"/>
      <c r="D736" s="80"/>
      <c r="E736" s="80"/>
      <c r="F736" s="81"/>
      <c r="G736" s="72"/>
      <c r="H736" s="76"/>
      <c r="I736" s="62"/>
      <c r="J736" s="62"/>
      <c r="K736" s="54"/>
      <c r="L736" s="74"/>
      <c r="M736" s="62"/>
      <c r="N736" s="62"/>
      <c r="O736" s="62"/>
      <c r="P736" s="77"/>
      <c r="Q736" s="62"/>
      <c r="R736" s="71"/>
      <c r="S736" s="71"/>
      <c r="T736" s="71"/>
      <c r="U736" s="68"/>
    </row>
    <row r="737" spans="2:21">
      <c r="B737" s="62"/>
      <c r="C737" s="62"/>
      <c r="D737" s="80"/>
      <c r="E737" s="80"/>
      <c r="F737" s="81"/>
      <c r="G737" s="72"/>
      <c r="H737" s="76"/>
      <c r="I737" s="62"/>
      <c r="J737" s="62"/>
      <c r="K737" s="54"/>
      <c r="L737" s="74"/>
      <c r="M737" s="62"/>
      <c r="N737" s="62"/>
      <c r="O737" s="62"/>
      <c r="P737" s="77"/>
      <c r="Q737" s="62"/>
      <c r="R737" s="71"/>
      <c r="S737" s="71"/>
      <c r="T737" s="71"/>
      <c r="U737" s="68"/>
    </row>
    <row r="738" spans="2:21">
      <c r="B738" s="62"/>
      <c r="C738" s="62"/>
      <c r="D738" s="80"/>
      <c r="E738" s="80"/>
      <c r="F738" s="81"/>
      <c r="G738" s="72"/>
      <c r="H738" s="76"/>
      <c r="I738" s="62"/>
      <c r="J738" s="62"/>
      <c r="K738" s="54"/>
      <c r="L738" s="74"/>
      <c r="M738" s="62"/>
      <c r="N738" s="62"/>
      <c r="O738" s="62"/>
      <c r="P738" s="77"/>
      <c r="Q738" s="62"/>
      <c r="R738" s="71"/>
      <c r="S738" s="71"/>
      <c r="T738" s="71"/>
      <c r="U738" s="68"/>
    </row>
    <row r="739" spans="2:21">
      <c r="B739" s="62"/>
      <c r="C739" s="62"/>
      <c r="D739" s="80"/>
      <c r="E739" s="80"/>
      <c r="F739" s="81"/>
      <c r="G739" s="72"/>
      <c r="H739" s="76"/>
      <c r="I739" s="62"/>
      <c r="J739" s="62"/>
      <c r="K739" s="54"/>
      <c r="L739" s="74"/>
      <c r="M739" s="62"/>
      <c r="N739" s="62"/>
      <c r="O739" s="62"/>
      <c r="P739" s="77"/>
      <c r="Q739" s="62"/>
      <c r="R739" s="71"/>
      <c r="S739" s="71"/>
      <c r="T739" s="71"/>
      <c r="U739" s="68"/>
    </row>
    <row r="740" spans="2:21">
      <c r="B740" s="62"/>
      <c r="C740" s="62"/>
      <c r="D740" s="80"/>
      <c r="E740" s="80"/>
      <c r="F740" s="81"/>
      <c r="G740" s="72"/>
      <c r="H740" s="76"/>
      <c r="I740" s="62"/>
      <c r="J740" s="62"/>
      <c r="K740" s="54"/>
      <c r="L740" s="74"/>
      <c r="M740" s="62"/>
      <c r="N740" s="62"/>
      <c r="O740" s="62"/>
      <c r="P740" s="77"/>
      <c r="Q740" s="62"/>
      <c r="R740" s="71"/>
      <c r="S740" s="71"/>
      <c r="T740" s="71"/>
      <c r="U740" s="68"/>
    </row>
    <row r="741" spans="2:21">
      <c r="B741" s="62"/>
      <c r="C741" s="62"/>
      <c r="D741" s="80"/>
      <c r="E741" s="80"/>
      <c r="F741" s="81"/>
      <c r="G741" s="72"/>
      <c r="H741" s="76"/>
      <c r="I741" s="62"/>
      <c r="J741" s="62"/>
      <c r="K741" s="54"/>
      <c r="L741" s="74"/>
      <c r="M741" s="62"/>
      <c r="N741" s="62"/>
      <c r="O741" s="62"/>
      <c r="P741" s="77"/>
      <c r="Q741" s="62"/>
      <c r="R741" s="71"/>
      <c r="S741" s="71"/>
      <c r="T741" s="71"/>
      <c r="U741" s="68"/>
    </row>
    <row r="742" spans="2:21">
      <c r="B742" s="62"/>
      <c r="C742" s="62"/>
      <c r="D742" s="80"/>
      <c r="E742" s="80"/>
      <c r="F742" s="81"/>
      <c r="G742" s="72"/>
      <c r="H742" s="76"/>
      <c r="I742" s="62"/>
      <c r="J742" s="62"/>
      <c r="K742" s="54"/>
      <c r="L742" s="74"/>
      <c r="M742" s="62"/>
      <c r="N742" s="62"/>
      <c r="O742" s="62"/>
      <c r="P742" s="77"/>
      <c r="Q742" s="62"/>
      <c r="R742" s="71"/>
      <c r="S742" s="71"/>
      <c r="T742" s="71"/>
      <c r="U742" s="68"/>
    </row>
    <row r="743" spans="2:21">
      <c r="B743" s="62"/>
      <c r="C743" s="62"/>
      <c r="D743" s="80"/>
      <c r="E743" s="80"/>
      <c r="F743" s="81"/>
      <c r="G743" s="72"/>
      <c r="H743" s="76"/>
      <c r="I743" s="62"/>
      <c r="J743" s="62"/>
      <c r="K743" s="54"/>
      <c r="L743" s="74"/>
      <c r="M743" s="62"/>
      <c r="N743" s="62"/>
      <c r="O743" s="62"/>
      <c r="P743" s="77"/>
      <c r="Q743" s="62"/>
      <c r="R743" s="71"/>
      <c r="S743" s="71"/>
      <c r="T743" s="71"/>
      <c r="U743" s="68"/>
    </row>
    <row r="744" spans="2:21">
      <c r="B744" s="62"/>
      <c r="C744" s="62"/>
      <c r="D744" s="80"/>
      <c r="E744" s="80"/>
      <c r="F744" s="81"/>
      <c r="G744" s="72"/>
      <c r="H744" s="76"/>
      <c r="I744" s="62"/>
      <c r="J744" s="62"/>
      <c r="K744" s="54"/>
      <c r="L744" s="74"/>
      <c r="M744" s="62"/>
      <c r="N744" s="62"/>
      <c r="O744" s="62"/>
      <c r="P744" s="77"/>
      <c r="Q744" s="62"/>
      <c r="R744" s="71"/>
      <c r="S744" s="71"/>
      <c r="T744" s="71"/>
      <c r="U744" s="68"/>
    </row>
    <row r="745" spans="2:21">
      <c r="B745" s="62"/>
      <c r="C745" s="62"/>
      <c r="D745" s="80"/>
      <c r="E745" s="80"/>
      <c r="F745" s="81"/>
      <c r="G745" s="72"/>
      <c r="H745" s="76"/>
      <c r="I745" s="62"/>
      <c r="J745" s="62"/>
      <c r="K745" s="54"/>
      <c r="L745" s="74"/>
      <c r="M745" s="62"/>
      <c r="N745" s="62"/>
      <c r="O745" s="62"/>
      <c r="P745" s="77"/>
      <c r="Q745" s="62"/>
      <c r="R745" s="71"/>
      <c r="S745" s="71"/>
      <c r="T745" s="71"/>
      <c r="U745" s="68"/>
    </row>
    <row r="746" spans="2:21">
      <c r="B746" s="62"/>
      <c r="C746" s="62"/>
      <c r="D746" s="80"/>
      <c r="E746" s="80"/>
      <c r="F746" s="81"/>
      <c r="G746" s="72"/>
      <c r="H746" s="76"/>
      <c r="I746" s="62"/>
      <c r="J746" s="62"/>
      <c r="K746" s="54"/>
      <c r="L746" s="74"/>
      <c r="M746" s="62"/>
      <c r="N746" s="62"/>
      <c r="O746" s="62"/>
      <c r="P746" s="77"/>
      <c r="Q746" s="62"/>
      <c r="R746" s="71"/>
      <c r="S746" s="71"/>
      <c r="T746" s="71"/>
      <c r="U746" s="68"/>
    </row>
    <row r="747" spans="2:21">
      <c r="B747" s="62"/>
      <c r="C747" s="62"/>
      <c r="D747" s="80"/>
      <c r="E747" s="80"/>
      <c r="F747" s="81"/>
      <c r="G747" s="72"/>
      <c r="H747" s="76"/>
      <c r="I747" s="62"/>
      <c r="J747" s="62"/>
      <c r="K747" s="54"/>
      <c r="L747" s="74"/>
      <c r="M747" s="62"/>
      <c r="N747" s="62"/>
      <c r="O747" s="62"/>
      <c r="P747" s="77"/>
      <c r="Q747" s="62"/>
      <c r="R747" s="71"/>
      <c r="S747" s="71"/>
      <c r="T747" s="71"/>
      <c r="U747" s="68"/>
    </row>
    <row r="748" spans="2:21">
      <c r="B748" s="62"/>
      <c r="C748" s="62"/>
      <c r="D748" s="80"/>
      <c r="E748" s="80"/>
      <c r="F748" s="81"/>
      <c r="G748" s="72"/>
      <c r="H748" s="76"/>
      <c r="I748" s="62"/>
      <c r="J748" s="62"/>
      <c r="K748" s="54"/>
      <c r="L748" s="74"/>
      <c r="M748" s="62"/>
      <c r="N748" s="62"/>
      <c r="O748" s="62"/>
      <c r="P748" s="77"/>
      <c r="Q748" s="62"/>
      <c r="R748" s="71"/>
      <c r="S748" s="71"/>
      <c r="T748" s="71"/>
      <c r="U748" s="68"/>
    </row>
    <row r="749" spans="2:21">
      <c r="B749" s="62"/>
      <c r="C749" s="62"/>
      <c r="D749" s="80"/>
      <c r="E749" s="80"/>
      <c r="F749" s="81"/>
      <c r="G749" s="72"/>
      <c r="H749" s="76"/>
      <c r="I749" s="62"/>
      <c r="J749" s="62"/>
      <c r="K749" s="54"/>
      <c r="L749" s="74"/>
      <c r="M749" s="62"/>
      <c r="N749" s="62"/>
      <c r="O749" s="62"/>
      <c r="P749" s="77"/>
      <c r="Q749" s="62"/>
      <c r="R749" s="71"/>
      <c r="S749" s="71"/>
      <c r="T749" s="71"/>
      <c r="U749" s="68"/>
    </row>
    <row r="750" spans="2:21">
      <c r="B750" s="62"/>
      <c r="C750" s="62"/>
      <c r="D750" s="80"/>
      <c r="E750" s="80"/>
      <c r="F750" s="81"/>
      <c r="G750" s="72"/>
      <c r="H750" s="76"/>
      <c r="I750" s="62"/>
      <c r="J750" s="62"/>
      <c r="K750" s="54"/>
      <c r="L750" s="74"/>
      <c r="M750" s="62"/>
      <c r="N750" s="62"/>
      <c r="O750" s="62"/>
      <c r="P750" s="77"/>
      <c r="Q750" s="62"/>
      <c r="R750" s="71"/>
      <c r="S750" s="71"/>
      <c r="T750" s="71"/>
      <c r="U750" s="68"/>
    </row>
    <row r="751" spans="2:21">
      <c r="B751" s="62"/>
      <c r="C751" s="62"/>
      <c r="D751" s="80"/>
      <c r="E751" s="80"/>
      <c r="F751" s="81"/>
      <c r="G751" s="72"/>
      <c r="H751" s="76"/>
      <c r="I751" s="62"/>
      <c r="J751" s="62"/>
      <c r="K751" s="54"/>
      <c r="L751" s="74"/>
      <c r="M751" s="62"/>
      <c r="N751" s="62"/>
      <c r="O751" s="62"/>
      <c r="P751" s="77"/>
      <c r="Q751" s="62"/>
      <c r="R751" s="71"/>
      <c r="S751" s="71"/>
      <c r="T751" s="71"/>
      <c r="U751" s="68"/>
    </row>
    <row r="752" spans="2:21">
      <c r="B752" s="62"/>
      <c r="C752" s="62"/>
      <c r="D752" s="80"/>
      <c r="E752" s="80"/>
      <c r="F752" s="81"/>
      <c r="G752" s="72"/>
      <c r="H752" s="76"/>
      <c r="I752" s="62"/>
      <c r="J752" s="62"/>
      <c r="K752" s="54"/>
      <c r="L752" s="74"/>
      <c r="M752" s="62"/>
      <c r="N752" s="62"/>
      <c r="O752" s="62"/>
      <c r="P752" s="77"/>
      <c r="Q752" s="62"/>
      <c r="R752" s="71"/>
      <c r="S752" s="71"/>
      <c r="T752" s="71"/>
      <c r="U752" s="68"/>
    </row>
    <row r="753" spans="2:21">
      <c r="B753" s="62"/>
      <c r="C753" s="62"/>
      <c r="D753" s="80"/>
      <c r="E753" s="80"/>
      <c r="F753" s="81"/>
      <c r="G753" s="72"/>
      <c r="H753" s="76"/>
      <c r="I753" s="62"/>
      <c r="J753" s="62"/>
      <c r="K753" s="54"/>
      <c r="L753" s="74"/>
      <c r="M753" s="62"/>
      <c r="N753" s="62"/>
      <c r="O753" s="62"/>
      <c r="P753" s="77"/>
      <c r="Q753" s="62"/>
      <c r="R753" s="71"/>
      <c r="S753" s="71"/>
      <c r="T753" s="71"/>
      <c r="U753" s="68"/>
    </row>
    <row r="754" spans="2:21">
      <c r="B754" s="62"/>
      <c r="C754" s="62"/>
      <c r="D754" s="80"/>
      <c r="E754" s="80"/>
      <c r="F754" s="81"/>
      <c r="G754" s="72"/>
      <c r="H754" s="76"/>
      <c r="I754" s="62"/>
      <c r="J754" s="62"/>
      <c r="K754" s="54"/>
      <c r="L754" s="74"/>
      <c r="M754" s="62"/>
      <c r="N754" s="62"/>
      <c r="O754" s="62"/>
      <c r="P754" s="77"/>
      <c r="Q754" s="62"/>
      <c r="R754" s="71"/>
      <c r="S754" s="71"/>
      <c r="T754" s="71"/>
      <c r="U754" s="68"/>
    </row>
    <row r="755" spans="2:21">
      <c r="B755" s="62"/>
      <c r="C755" s="62"/>
      <c r="D755" s="80"/>
      <c r="E755" s="80"/>
      <c r="F755" s="81"/>
      <c r="G755" s="72"/>
      <c r="H755" s="76"/>
      <c r="I755" s="62"/>
      <c r="J755" s="62"/>
      <c r="K755" s="54"/>
      <c r="L755" s="74"/>
      <c r="M755" s="62"/>
      <c r="N755" s="62"/>
      <c r="O755" s="62"/>
      <c r="P755" s="77"/>
      <c r="Q755" s="62"/>
      <c r="R755" s="71"/>
      <c r="S755" s="71"/>
      <c r="T755" s="71"/>
      <c r="U755" s="68"/>
    </row>
    <row r="756" spans="2:21">
      <c r="B756" s="62"/>
      <c r="C756" s="62"/>
      <c r="D756" s="80"/>
      <c r="E756" s="80"/>
      <c r="F756" s="81"/>
      <c r="G756" s="72"/>
      <c r="H756" s="76"/>
      <c r="I756" s="62"/>
      <c r="J756" s="62"/>
      <c r="K756" s="54"/>
      <c r="L756" s="74"/>
      <c r="M756" s="62"/>
      <c r="N756" s="62"/>
      <c r="O756" s="62"/>
      <c r="P756" s="77"/>
      <c r="Q756" s="62"/>
      <c r="R756" s="71"/>
      <c r="S756" s="71"/>
      <c r="T756" s="71"/>
      <c r="U756" s="68"/>
    </row>
    <row r="757" spans="2:21">
      <c r="B757" s="62"/>
      <c r="C757" s="62"/>
      <c r="D757" s="80"/>
      <c r="E757" s="80"/>
      <c r="F757" s="81"/>
      <c r="G757" s="72"/>
      <c r="H757" s="76"/>
      <c r="I757" s="62"/>
      <c r="J757" s="62"/>
      <c r="K757" s="54"/>
      <c r="L757" s="74"/>
      <c r="M757" s="62"/>
      <c r="N757" s="62"/>
      <c r="O757" s="62"/>
      <c r="P757" s="77"/>
      <c r="Q757" s="62"/>
      <c r="R757" s="71"/>
      <c r="S757" s="71"/>
      <c r="T757" s="71"/>
      <c r="U757" s="68"/>
    </row>
    <row r="758" spans="2:21">
      <c r="B758" s="62"/>
      <c r="C758" s="62"/>
      <c r="D758" s="80"/>
      <c r="E758" s="80"/>
      <c r="F758" s="81"/>
      <c r="G758" s="72"/>
      <c r="H758" s="76"/>
      <c r="I758" s="62"/>
      <c r="J758" s="62"/>
      <c r="K758" s="54"/>
      <c r="L758" s="74"/>
      <c r="M758" s="62"/>
      <c r="N758" s="62"/>
      <c r="O758" s="62"/>
      <c r="P758" s="77"/>
      <c r="Q758" s="62"/>
      <c r="R758" s="71"/>
      <c r="S758" s="71"/>
      <c r="T758" s="71"/>
      <c r="U758" s="68"/>
    </row>
    <row r="759" spans="2:21">
      <c r="B759" s="62"/>
      <c r="C759" s="62"/>
      <c r="D759" s="80"/>
      <c r="E759" s="80"/>
      <c r="F759" s="81"/>
      <c r="G759" s="72"/>
      <c r="H759" s="76"/>
      <c r="I759" s="62"/>
      <c r="J759" s="62"/>
      <c r="K759" s="54"/>
      <c r="L759" s="74"/>
      <c r="M759" s="62"/>
      <c r="N759" s="62"/>
      <c r="O759" s="62"/>
      <c r="P759" s="77"/>
      <c r="Q759" s="62"/>
      <c r="R759" s="71"/>
      <c r="S759" s="71"/>
      <c r="T759" s="71"/>
      <c r="U759" s="68"/>
    </row>
    <row r="760" spans="2:21">
      <c r="B760" s="62"/>
      <c r="C760" s="62"/>
      <c r="D760" s="80"/>
      <c r="E760" s="80"/>
      <c r="F760" s="81"/>
      <c r="G760" s="72"/>
      <c r="H760" s="76"/>
      <c r="I760" s="62"/>
      <c r="J760" s="62"/>
      <c r="K760" s="54"/>
      <c r="L760" s="74"/>
      <c r="M760" s="62"/>
      <c r="N760" s="62"/>
      <c r="O760" s="62"/>
      <c r="P760" s="77"/>
      <c r="Q760" s="62"/>
      <c r="R760" s="71"/>
      <c r="S760" s="71"/>
      <c r="T760" s="71"/>
      <c r="U760" s="68"/>
    </row>
    <row r="761" spans="2:21">
      <c r="B761" s="62"/>
      <c r="C761" s="62"/>
      <c r="D761" s="80"/>
      <c r="E761" s="80"/>
      <c r="F761" s="81"/>
      <c r="G761" s="72"/>
      <c r="H761" s="76"/>
      <c r="I761" s="62"/>
      <c r="J761" s="62"/>
      <c r="K761" s="54"/>
      <c r="L761" s="74"/>
      <c r="M761" s="62"/>
      <c r="N761" s="62"/>
      <c r="O761" s="62"/>
      <c r="P761" s="77"/>
      <c r="Q761" s="62"/>
      <c r="R761" s="71"/>
      <c r="S761" s="71"/>
      <c r="T761" s="71"/>
      <c r="U761" s="68"/>
    </row>
    <row r="762" spans="2:21">
      <c r="B762" s="62"/>
      <c r="C762" s="62"/>
      <c r="D762" s="80"/>
      <c r="E762" s="80"/>
      <c r="F762" s="81"/>
      <c r="G762" s="72"/>
      <c r="H762" s="76"/>
      <c r="I762" s="62"/>
      <c r="J762" s="62"/>
      <c r="K762" s="54"/>
      <c r="L762" s="74"/>
      <c r="M762" s="62"/>
      <c r="N762" s="62"/>
      <c r="O762" s="62"/>
      <c r="P762" s="77"/>
      <c r="Q762" s="62"/>
      <c r="R762" s="71"/>
      <c r="S762" s="71"/>
      <c r="T762" s="71"/>
      <c r="U762" s="68"/>
    </row>
    <row r="763" spans="2:21">
      <c r="B763" s="62"/>
      <c r="C763" s="62"/>
      <c r="D763" s="80"/>
      <c r="E763" s="80"/>
      <c r="F763" s="81"/>
      <c r="G763" s="72"/>
      <c r="H763" s="76"/>
      <c r="I763" s="62"/>
      <c r="J763" s="62"/>
      <c r="K763" s="54"/>
      <c r="L763" s="74"/>
      <c r="M763" s="62"/>
      <c r="N763" s="62"/>
      <c r="O763" s="62"/>
      <c r="P763" s="77"/>
      <c r="Q763" s="62"/>
      <c r="R763" s="71"/>
      <c r="S763" s="71"/>
      <c r="T763" s="71"/>
      <c r="U763" s="68"/>
    </row>
    <row r="764" spans="2:21">
      <c r="B764" s="62"/>
      <c r="C764" s="62"/>
      <c r="D764" s="80"/>
      <c r="E764" s="80"/>
      <c r="F764" s="81"/>
      <c r="G764" s="72"/>
      <c r="H764" s="76"/>
      <c r="I764" s="62"/>
      <c r="J764" s="62"/>
      <c r="K764" s="54"/>
      <c r="L764" s="74"/>
      <c r="M764" s="62"/>
      <c r="N764" s="62"/>
      <c r="O764" s="62"/>
      <c r="P764" s="77"/>
      <c r="Q764" s="62"/>
      <c r="R764" s="71"/>
      <c r="S764" s="71"/>
      <c r="T764" s="71"/>
      <c r="U764" s="68"/>
    </row>
    <row r="765" spans="2:21">
      <c r="B765" s="62"/>
      <c r="C765" s="62"/>
      <c r="D765" s="80"/>
      <c r="E765" s="80"/>
      <c r="F765" s="81"/>
      <c r="G765" s="72"/>
      <c r="H765" s="76"/>
      <c r="I765" s="62"/>
      <c r="J765" s="62"/>
      <c r="K765" s="54"/>
      <c r="L765" s="74"/>
      <c r="M765" s="62"/>
      <c r="N765" s="62"/>
      <c r="O765" s="62"/>
      <c r="P765" s="77"/>
      <c r="Q765" s="62"/>
      <c r="R765" s="71"/>
      <c r="S765" s="71"/>
      <c r="T765" s="71"/>
      <c r="U765" s="68"/>
    </row>
    <row r="766" spans="2:21">
      <c r="B766" s="62"/>
      <c r="C766" s="62"/>
      <c r="D766" s="80"/>
      <c r="E766" s="80"/>
      <c r="F766" s="81"/>
      <c r="G766" s="72"/>
      <c r="H766" s="76"/>
      <c r="I766" s="62"/>
      <c r="J766" s="62"/>
      <c r="K766" s="54"/>
      <c r="L766" s="74"/>
      <c r="M766" s="62"/>
      <c r="N766" s="62"/>
      <c r="O766" s="62"/>
      <c r="P766" s="77"/>
      <c r="Q766" s="62"/>
      <c r="R766" s="71"/>
      <c r="S766" s="71"/>
      <c r="T766" s="71"/>
      <c r="U766" s="68"/>
    </row>
    <row r="767" spans="2:21">
      <c r="B767" s="62"/>
      <c r="C767" s="62"/>
      <c r="D767" s="80"/>
      <c r="E767" s="80"/>
      <c r="F767" s="81"/>
      <c r="G767" s="72"/>
      <c r="H767" s="76"/>
      <c r="I767" s="62"/>
      <c r="J767" s="62"/>
      <c r="K767" s="54"/>
      <c r="L767" s="74"/>
      <c r="M767" s="62"/>
      <c r="N767" s="62"/>
      <c r="O767" s="62"/>
      <c r="P767" s="77"/>
      <c r="Q767" s="62"/>
      <c r="R767" s="71"/>
      <c r="S767" s="71"/>
      <c r="T767" s="71"/>
      <c r="U767" s="68"/>
    </row>
    <row r="768" spans="2:21">
      <c r="B768" s="62"/>
      <c r="C768" s="62"/>
      <c r="D768" s="80"/>
      <c r="E768" s="80"/>
      <c r="F768" s="81"/>
      <c r="G768" s="72"/>
      <c r="H768" s="76"/>
      <c r="I768" s="62"/>
      <c r="J768" s="62"/>
      <c r="K768" s="54"/>
      <c r="L768" s="74"/>
      <c r="M768" s="62"/>
      <c r="N768" s="62"/>
      <c r="O768" s="62"/>
      <c r="P768" s="77"/>
      <c r="Q768" s="62"/>
      <c r="R768" s="71"/>
      <c r="S768" s="71"/>
      <c r="T768" s="71"/>
      <c r="U768" s="68"/>
    </row>
    <row r="769" spans="2:21">
      <c r="B769" s="62"/>
      <c r="C769" s="62"/>
      <c r="D769" s="80"/>
      <c r="E769" s="80"/>
      <c r="F769" s="81"/>
      <c r="G769" s="72"/>
      <c r="H769" s="76"/>
      <c r="I769" s="62"/>
      <c r="J769" s="62"/>
      <c r="K769" s="54"/>
      <c r="L769" s="74"/>
      <c r="M769" s="62"/>
      <c r="N769" s="62"/>
      <c r="O769" s="62"/>
      <c r="P769" s="77"/>
      <c r="Q769" s="62"/>
      <c r="R769" s="71"/>
      <c r="S769" s="71"/>
      <c r="T769" s="71"/>
      <c r="U769" s="68"/>
    </row>
    <row r="770" spans="2:21">
      <c r="B770" s="62"/>
      <c r="C770" s="62"/>
      <c r="D770" s="80"/>
      <c r="E770" s="80"/>
      <c r="F770" s="81"/>
      <c r="G770" s="72"/>
      <c r="H770" s="76"/>
      <c r="I770" s="62"/>
      <c r="J770" s="62"/>
      <c r="K770" s="54"/>
      <c r="L770" s="74"/>
      <c r="M770" s="62"/>
      <c r="N770" s="62"/>
      <c r="O770" s="62"/>
      <c r="P770" s="77"/>
      <c r="Q770" s="62"/>
      <c r="R770" s="71"/>
      <c r="S770" s="71"/>
      <c r="T770" s="71"/>
      <c r="U770" s="68"/>
    </row>
    <row r="771" spans="2:21">
      <c r="B771" s="62"/>
      <c r="C771" s="62"/>
      <c r="D771" s="80"/>
      <c r="E771" s="80"/>
      <c r="F771" s="81"/>
      <c r="G771" s="72"/>
      <c r="H771" s="76"/>
      <c r="I771" s="62"/>
      <c r="J771" s="62"/>
      <c r="K771" s="54"/>
      <c r="L771" s="74"/>
      <c r="M771" s="62"/>
      <c r="N771" s="62"/>
      <c r="O771" s="62"/>
      <c r="P771" s="77"/>
      <c r="Q771" s="62"/>
      <c r="R771" s="71"/>
      <c r="S771" s="71"/>
      <c r="T771" s="71"/>
      <c r="U771" s="68"/>
    </row>
    <row r="772" spans="2:21">
      <c r="B772" s="62"/>
      <c r="C772" s="62"/>
      <c r="D772" s="80"/>
      <c r="E772" s="80"/>
      <c r="F772" s="81"/>
      <c r="G772" s="72"/>
      <c r="H772" s="76"/>
      <c r="I772" s="62"/>
      <c r="J772" s="62"/>
      <c r="K772" s="54"/>
      <c r="L772" s="74"/>
      <c r="M772" s="62"/>
      <c r="N772" s="62"/>
      <c r="O772" s="62"/>
      <c r="P772" s="77"/>
      <c r="Q772" s="62"/>
      <c r="R772" s="71"/>
      <c r="S772" s="71"/>
      <c r="T772" s="71"/>
      <c r="U772" s="68"/>
    </row>
    <row r="773" spans="2:21">
      <c r="B773" s="62"/>
      <c r="C773" s="62"/>
      <c r="D773" s="80"/>
      <c r="E773" s="80"/>
      <c r="F773" s="81"/>
      <c r="G773" s="72"/>
      <c r="H773" s="76"/>
      <c r="I773" s="62"/>
      <c r="J773" s="62"/>
      <c r="K773" s="54"/>
      <c r="L773" s="74"/>
      <c r="M773" s="62"/>
      <c r="N773" s="62"/>
      <c r="O773" s="62"/>
      <c r="P773" s="77"/>
      <c r="Q773" s="62"/>
      <c r="R773" s="71"/>
      <c r="S773" s="71"/>
      <c r="T773" s="71"/>
      <c r="U773" s="68"/>
    </row>
    <row r="774" spans="2:21">
      <c r="B774" s="62"/>
      <c r="C774" s="62"/>
      <c r="D774" s="80"/>
      <c r="E774" s="80"/>
      <c r="F774" s="81"/>
      <c r="G774" s="72"/>
      <c r="H774" s="76"/>
      <c r="I774" s="62"/>
      <c r="J774" s="62"/>
      <c r="K774" s="54"/>
      <c r="L774" s="74"/>
      <c r="M774" s="62"/>
      <c r="N774" s="62"/>
      <c r="O774" s="62"/>
      <c r="P774" s="77"/>
      <c r="Q774" s="62"/>
      <c r="R774" s="71"/>
      <c r="S774" s="71"/>
      <c r="T774" s="71"/>
      <c r="U774" s="68"/>
    </row>
    <row r="775" spans="2:21">
      <c r="B775" s="62"/>
      <c r="C775" s="62"/>
      <c r="D775" s="80"/>
      <c r="E775" s="80"/>
      <c r="F775" s="81"/>
      <c r="G775" s="72"/>
      <c r="H775" s="76"/>
      <c r="I775" s="62"/>
      <c r="J775" s="62"/>
      <c r="K775" s="54"/>
      <c r="L775" s="74"/>
      <c r="M775" s="62"/>
      <c r="N775" s="62"/>
      <c r="O775" s="62"/>
      <c r="P775" s="77"/>
      <c r="Q775" s="62"/>
      <c r="R775" s="71"/>
      <c r="S775" s="71"/>
      <c r="T775" s="71"/>
      <c r="U775" s="68"/>
    </row>
    <row r="776" spans="2:21">
      <c r="B776" s="62"/>
      <c r="C776" s="62"/>
      <c r="D776" s="80"/>
      <c r="E776" s="80"/>
      <c r="F776" s="81"/>
      <c r="G776" s="72"/>
      <c r="H776" s="76"/>
      <c r="I776" s="62"/>
      <c r="J776" s="62"/>
      <c r="K776" s="54"/>
      <c r="L776" s="74"/>
      <c r="M776" s="62"/>
      <c r="N776" s="62"/>
      <c r="O776" s="62"/>
      <c r="P776" s="77"/>
      <c r="Q776" s="62"/>
      <c r="R776" s="71"/>
      <c r="S776" s="71"/>
      <c r="T776" s="71"/>
      <c r="U776" s="68"/>
    </row>
    <row r="777" spans="2:21">
      <c r="B777" s="62"/>
      <c r="C777" s="62"/>
      <c r="D777" s="80"/>
      <c r="E777" s="80"/>
      <c r="F777" s="81"/>
      <c r="G777" s="72"/>
      <c r="H777" s="76"/>
      <c r="I777" s="62"/>
      <c r="J777" s="62"/>
      <c r="K777" s="54"/>
      <c r="L777" s="74"/>
      <c r="M777" s="62"/>
      <c r="N777" s="62"/>
      <c r="O777" s="62"/>
      <c r="P777" s="77"/>
      <c r="Q777" s="62"/>
      <c r="R777" s="71"/>
      <c r="S777" s="71"/>
      <c r="T777" s="71"/>
      <c r="U777" s="68"/>
    </row>
    <row r="778" spans="2:21">
      <c r="B778" s="62"/>
      <c r="C778" s="62"/>
      <c r="D778" s="80"/>
      <c r="E778" s="80"/>
      <c r="F778" s="81"/>
      <c r="G778" s="72"/>
      <c r="H778" s="76"/>
      <c r="I778" s="62"/>
      <c r="J778" s="62"/>
      <c r="K778" s="54"/>
      <c r="L778" s="74"/>
      <c r="M778" s="62"/>
      <c r="N778" s="62"/>
      <c r="O778" s="62"/>
      <c r="P778" s="77"/>
      <c r="Q778" s="62"/>
      <c r="R778" s="71"/>
      <c r="S778" s="71"/>
      <c r="T778" s="71"/>
      <c r="U778" s="68"/>
    </row>
    <row r="779" spans="2:21">
      <c r="B779" s="62"/>
      <c r="C779" s="62"/>
      <c r="D779" s="80"/>
      <c r="E779" s="80"/>
      <c r="F779" s="81"/>
      <c r="G779" s="72"/>
      <c r="H779" s="76"/>
      <c r="I779" s="62"/>
      <c r="J779" s="62"/>
      <c r="K779" s="54"/>
      <c r="L779" s="74"/>
      <c r="M779" s="62"/>
      <c r="N779" s="62"/>
      <c r="O779" s="62"/>
      <c r="P779" s="77"/>
      <c r="Q779" s="62"/>
      <c r="R779" s="71"/>
      <c r="S779" s="71"/>
      <c r="T779" s="71"/>
      <c r="U779" s="68"/>
    </row>
    <row r="780" spans="2:21">
      <c r="B780" s="62"/>
      <c r="C780" s="62"/>
      <c r="D780" s="80"/>
      <c r="E780" s="80"/>
      <c r="F780" s="81"/>
      <c r="G780" s="72"/>
      <c r="H780" s="76"/>
      <c r="I780" s="62"/>
      <c r="J780" s="62"/>
      <c r="K780" s="54"/>
      <c r="L780" s="74"/>
      <c r="M780" s="62"/>
      <c r="N780" s="62"/>
      <c r="O780" s="62"/>
      <c r="P780" s="77"/>
      <c r="Q780" s="62"/>
      <c r="R780" s="71"/>
      <c r="S780" s="71"/>
      <c r="T780" s="71"/>
      <c r="U780" s="68"/>
    </row>
    <row r="781" spans="2:21">
      <c r="B781" s="62"/>
      <c r="C781" s="62"/>
      <c r="D781" s="80"/>
      <c r="E781" s="80"/>
      <c r="F781" s="81"/>
      <c r="G781" s="72"/>
      <c r="H781" s="76"/>
      <c r="I781" s="62"/>
      <c r="J781" s="62"/>
      <c r="K781" s="54"/>
      <c r="L781" s="74"/>
      <c r="M781" s="62"/>
      <c r="N781" s="62"/>
      <c r="O781" s="62"/>
      <c r="P781" s="77"/>
      <c r="Q781" s="62"/>
      <c r="R781" s="71"/>
      <c r="S781" s="71"/>
      <c r="T781" s="71"/>
      <c r="U781" s="68"/>
    </row>
    <row r="782" spans="2:21">
      <c r="B782" s="62"/>
      <c r="C782" s="62"/>
      <c r="D782" s="80"/>
      <c r="E782" s="80"/>
      <c r="F782" s="81"/>
      <c r="G782" s="72"/>
      <c r="H782" s="76"/>
      <c r="I782" s="62"/>
      <c r="J782" s="62"/>
      <c r="K782" s="54"/>
      <c r="L782" s="74"/>
      <c r="M782" s="62"/>
      <c r="N782" s="62"/>
      <c r="O782" s="62"/>
      <c r="P782" s="77"/>
      <c r="Q782" s="62"/>
      <c r="R782" s="71"/>
      <c r="S782" s="71"/>
      <c r="T782" s="71"/>
      <c r="U782" s="68"/>
    </row>
    <row r="783" spans="2:21">
      <c r="B783" s="62"/>
      <c r="C783" s="62"/>
      <c r="D783" s="80"/>
      <c r="E783" s="80"/>
      <c r="F783" s="81"/>
      <c r="G783" s="72"/>
      <c r="H783" s="76"/>
      <c r="I783" s="62"/>
      <c r="J783" s="62"/>
      <c r="K783" s="54"/>
      <c r="L783" s="74"/>
      <c r="M783" s="62"/>
      <c r="N783" s="62"/>
      <c r="O783" s="62"/>
      <c r="P783" s="77"/>
      <c r="Q783" s="62"/>
      <c r="R783" s="71"/>
      <c r="S783" s="71"/>
      <c r="T783" s="71"/>
      <c r="U783" s="68"/>
    </row>
    <row r="784" spans="2:21">
      <c r="B784" s="62"/>
      <c r="C784" s="62"/>
      <c r="D784" s="80"/>
      <c r="E784" s="80"/>
      <c r="F784" s="81"/>
      <c r="G784" s="72"/>
      <c r="H784" s="76"/>
      <c r="I784" s="62"/>
      <c r="J784" s="62"/>
      <c r="K784" s="54"/>
      <c r="L784" s="74"/>
      <c r="M784" s="62"/>
      <c r="N784" s="62"/>
      <c r="O784" s="62"/>
      <c r="P784" s="77"/>
      <c r="Q784" s="62"/>
      <c r="R784" s="71"/>
      <c r="S784" s="71"/>
      <c r="T784" s="71"/>
      <c r="U784" s="68"/>
    </row>
    <row r="785" spans="2:21">
      <c r="B785" s="62"/>
      <c r="C785" s="62"/>
      <c r="D785" s="80"/>
      <c r="E785" s="80"/>
      <c r="F785" s="81"/>
      <c r="G785" s="72"/>
      <c r="H785" s="76"/>
      <c r="I785" s="62"/>
      <c r="J785" s="62"/>
      <c r="K785" s="54"/>
      <c r="L785" s="74"/>
      <c r="M785" s="62"/>
      <c r="N785" s="62"/>
      <c r="O785" s="62"/>
      <c r="P785" s="77"/>
      <c r="Q785" s="62"/>
      <c r="R785" s="71"/>
      <c r="S785" s="71"/>
      <c r="T785" s="71"/>
      <c r="U785" s="68"/>
    </row>
    <row r="786" spans="2:21">
      <c r="B786" s="62"/>
      <c r="C786" s="62"/>
      <c r="D786" s="80"/>
      <c r="E786" s="80"/>
      <c r="F786" s="81"/>
      <c r="G786" s="72"/>
      <c r="H786" s="76"/>
      <c r="I786" s="62"/>
      <c r="J786" s="62"/>
      <c r="K786" s="54"/>
      <c r="L786" s="74"/>
      <c r="M786" s="62"/>
      <c r="N786" s="62"/>
      <c r="O786" s="62"/>
      <c r="P786" s="77"/>
      <c r="Q786" s="62"/>
      <c r="R786" s="71"/>
      <c r="S786" s="71"/>
      <c r="T786" s="71"/>
      <c r="U786" s="68"/>
    </row>
    <row r="787" spans="2:21">
      <c r="B787" s="62"/>
      <c r="C787" s="62"/>
      <c r="D787" s="80"/>
      <c r="E787" s="80"/>
      <c r="F787" s="81"/>
      <c r="G787" s="72"/>
      <c r="H787" s="76"/>
      <c r="I787" s="62"/>
      <c r="J787" s="62"/>
      <c r="K787" s="54"/>
      <c r="L787" s="74"/>
      <c r="M787" s="62"/>
      <c r="N787" s="62"/>
      <c r="O787" s="62"/>
      <c r="P787" s="77"/>
      <c r="Q787" s="62"/>
      <c r="R787" s="71"/>
      <c r="S787" s="71"/>
      <c r="T787" s="71"/>
      <c r="U787" s="68"/>
    </row>
    <row r="788" spans="2:21">
      <c r="B788" s="62"/>
      <c r="C788" s="62"/>
      <c r="D788" s="80"/>
      <c r="E788" s="80"/>
      <c r="F788" s="81"/>
      <c r="G788" s="72"/>
      <c r="H788" s="76"/>
      <c r="I788" s="62"/>
      <c r="J788" s="62"/>
      <c r="K788" s="54"/>
      <c r="L788" s="74"/>
      <c r="M788" s="62"/>
      <c r="N788" s="62"/>
      <c r="O788" s="62"/>
      <c r="P788" s="77"/>
      <c r="Q788" s="62"/>
      <c r="R788" s="71"/>
      <c r="S788" s="71"/>
      <c r="T788" s="71"/>
      <c r="U788" s="68"/>
    </row>
    <row r="789" spans="2:21">
      <c r="B789" s="62"/>
      <c r="C789" s="62"/>
      <c r="D789" s="80"/>
      <c r="E789" s="80"/>
      <c r="F789" s="81"/>
      <c r="G789" s="72"/>
      <c r="H789" s="76"/>
      <c r="I789" s="62"/>
      <c r="J789" s="62"/>
      <c r="K789" s="54"/>
      <c r="L789" s="74"/>
      <c r="M789" s="62"/>
      <c r="N789" s="62"/>
      <c r="O789" s="62"/>
      <c r="P789" s="77"/>
      <c r="Q789" s="62"/>
      <c r="R789" s="71"/>
      <c r="S789" s="71"/>
      <c r="T789" s="71"/>
      <c r="U789" s="68"/>
    </row>
    <row r="790" spans="2:21">
      <c r="B790" s="62"/>
      <c r="C790" s="62"/>
      <c r="D790" s="80"/>
      <c r="E790" s="80"/>
      <c r="F790" s="81"/>
      <c r="G790" s="72"/>
      <c r="H790" s="76"/>
      <c r="I790" s="62"/>
      <c r="J790" s="62"/>
      <c r="K790" s="54"/>
      <c r="L790" s="74"/>
      <c r="M790" s="62"/>
      <c r="N790" s="62"/>
      <c r="O790" s="62"/>
      <c r="P790" s="77"/>
      <c r="Q790" s="62"/>
      <c r="R790" s="71"/>
      <c r="S790" s="71"/>
      <c r="T790" s="71"/>
      <c r="U790" s="68"/>
    </row>
    <row r="791" spans="2:21">
      <c r="B791" s="62"/>
      <c r="C791" s="62"/>
      <c r="D791" s="80"/>
      <c r="E791" s="80"/>
      <c r="F791" s="81"/>
      <c r="G791" s="72"/>
      <c r="H791" s="76"/>
      <c r="I791" s="62"/>
      <c r="J791" s="62"/>
      <c r="K791" s="54"/>
      <c r="L791" s="74"/>
      <c r="M791" s="62"/>
      <c r="N791" s="62"/>
      <c r="O791" s="62"/>
      <c r="P791" s="77"/>
      <c r="Q791" s="62"/>
      <c r="R791" s="71"/>
      <c r="S791" s="71"/>
      <c r="T791" s="71"/>
      <c r="U791" s="68"/>
    </row>
    <row r="792" spans="2:21">
      <c r="B792" s="62"/>
      <c r="C792" s="62"/>
      <c r="D792" s="80"/>
      <c r="E792" s="80"/>
      <c r="F792" s="81"/>
      <c r="G792" s="72"/>
      <c r="H792" s="76"/>
      <c r="I792" s="62"/>
      <c r="J792" s="62"/>
      <c r="K792" s="54"/>
      <c r="L792" s="74"/>
      <c r="M792" s="62"/>
      <c r="N792" s="62"/>
      <c r="O792" s="62"/>
      <c r="P792" s="77"/>
      <c r="Q792" s="62"/>
      <c r="R792" s="71"/>
      <c r="S792" s="71"/>
      <c r="T792" s="71"/>
      <c r="U792" s="68"/>
    </row>
    <row r="793" spans="2:21">
      <c r="B793" s="62"/>
      <c r="C793" s="62"/>
      <c r="D793" s="80"/>
      <c r="E793" s="80"/>
      <c r="F793" s="81"/>
      <c r="G793" s="72"/>
      <c r="H793" s="76"/>
      <c r="I793" s="62"/>
      <c r="J793" s="62"/>
      <c r="K793" s="54"/>
      <c r="L793" s="74"/>
      <c r="M793" s="62"/>
      <c r="N793" s="62"/>
      <c r="O793" s="62"/>
      <c r="P793" s="77"/>
      <c r="Q793" s="62"/>
      <c r="R793" s="71"/>
      <c r="S793" s="71"/>
      <c r="T793" s="71"/>
      <c r="U793" s="68"/>
    </row>
    <row r="794" spans="2:21">
      <c r="B794" s="62"/>
      <c r="C794" s="62"/>
      <c r="D794" s="80"/>
      <c r="E794" s="80"/>
      <c r="F794" s="81"/>
      <c r="G794" s="72"/>
      <c r="H794" s="76"/>
      <c r="I794" s="62"/>
      <c r="J794" s="62"/>
      <c r="K794" s="54"/>
      <c r="L794" s="74"/>
      <c r="M794" s="62"/>
      <c r="N794" s="62"/>
      <c r="O794" s="62"/>
      <c r="P794" s="77"/>
      <c r="Q794" s="62"/>
      <c r="R794" s="71"/>
      <c r="S794" s="71"/>
      <c r="T794" s="71"/>
      <c r="U794" s="68"/>
    </row>
    <row r="795" spans="2:21">
      <c r="B795" s="62"/>
      <c r="C795" s="62"/>
      <c r="D795" s="80"/>
      <c r="E795" s="80"/>
      <c r="F795" s="81"/>
      <c r="G795" s="72"/>
      <c r="H795" s="76"/>
      <c r="I795" s="62"/>
      <c r="J795" s="62"/>
      <c r="K795" s="54"/>
      <c r="L795" s="74"/>
      <c r="M795" s="62"/>
      <c r="N795" s="62"/>
      <c r="O795" s="62"/>
      <c r="P795" s="77"/>
      <c r="Q795" s="62"/>
      <c r="R795" s="71"/>
      <c r="S795" s="71"/>
      <c r="T795" s="71"/>
      <c r="U795" s="68"/>
    </row>
    <row r="796" spans="2:21">
      <c r="B796" s="62"/>
      <c r="C796" s="62"/>
      <c r="D796" s="80"/>
      <c r="E796" s="80"/>
      <c r="F796" s="81"/>
      <c r="G796" s="72"/>
      <c r="H796" s="76"/>
      <c r="I796" s="62"/>
      <c r="J796" s="62"/>
      <c r="K796" s="54"/>
      <c r="L796" s="74"/>
      <c r="M796" s="62"/>
      <c r="N796" s="62"/>
      <c r="O796" s="62"/>
      <c r="P796" s="77"/>
      <c r="Q796" s="62"/>
      <c r="R796" s="71"/>
      <c r="S796" s="71"/>
      <c r="T796" s="71"/>
      <c r="U796" s="68"/>
    </row>
    <row r="797" spans="2:21">
      <c r="B797" s="62"/>
      <c r="C797" s="62"/>
      <c r="D797" s="80"/>
      <c r="E797" s="80"/>
      <c r="F797" s="81"/>
      <c r="G797" s="72"/>
      <c r="H797" s="76"/>
      <c r="I797" s="62"/>
      <c r="J797" s="62"/>
      <c r="K797" s="54"/>
      <c r="L797" s="74"/>
      <c r="M797" s="62"/>
      <c r="N797" s="62"/>
      <c r="O797" s="62"/>
      <c r="P797" s="77"/>
      <c r="Q797" s="62"/>
      <c r="R797" s="71"/>
      <c r="S797" s="71"/>
      <c r="T797" s="71"/>
      <c r="U797" s="68"/>
    </row>
    <row r="798" spans="2:21">
      <c r="B798" s="62"/>
      <c r="C798" s="62"/>
      <c r="D798" s="80"/>
      <c r="E798" s="80"/>
      <c r="F798" s="81"/>
      <c r="G798" s="72"/>
      <c r="H798" s="76"/>
      <c r="I798" s="62"/>
      <c r="J798" s="62"/>
      <c r="K798" s="54"/>
      <c r="L798" s="74"/>
      <c r="M798" s="62"/>
      <c r="N798" s="62"/>
      <c r="O798" s="62"/>
      <c r="P798" s="77"/>
      <c r="Q798" s="62"/>
      <c r="R798" s="71"/>
      <c r="S798" s="71"/>
      <c r="T798" s="71"/>
      <c r="U798" s="68"/>
    </row>
    <row r="799" spans="2:21">
      <c r="B799" s="62"/>
      <c r="C799" s="62"/>
      <c r="D799" s="80"/>
      <c r="E799" s="80"/>
      <c r="F799" s="81"/>
      <c r="G799" s="72"/>
      <c r="H799" s="76"/>
      <c r="I799" s="62"/>
      <c r="J799" s="62"/>
      <c r="K799" s="54"/>
      <c r="L799" s="74"/>
      <c r="M799" s="62"/>
      <c r="N799" s="62"/>
      <c r="O799" s="62"/>
      <c r="P799" s="77"/>
      <c r="Q799" s="62"/>
      <c r="R799" s="71"/>
      <c r="S799" s="71"/>
      <c r="T799" s="71"/>
      <c r="U799" s="68"/>
    </row>
    <row r="800" spans="2:21">
      <c r="B800" s="62"/>
      <c r="C800" s="62"/>
      <c r="D800" s="80"/>
      <c r="E800" s="80"/>
      <c r="F800" s="81"/>
      <c r="G800" s="72"/>
      <c r="H800" s="76"/>
      <c r="I800" s="62"/>
      <c r="J800" s="62"/>
      <c r="K800" s="54"/>
      <c r="L800" s="74"/>
      <c r="M800" s="62"/>
      <c r="N800" s="62"/>
      <c r="O800" s="62"/>
      <c r="P800" s="77"/>
      <c r="Q800" s="62"/>
      <c r="R800" s="71"/>
      <c r="S800" s="71"/>
      <c r="T800" s="71"/>
      <c r="U800" s="68"/>
    </row>
    <row r="801" spans="2:21">
      <c r="B801" s="62"/>
      <c r="C801" s="62"/>
      <c r="D801" s="80"/>
      <c r="E801" s="80"/>
      <c r="F801" s="81"/>
      <c r="G801" s="72"/>
      <c r="H801" s="76"/>
      <c r="I801" s="62"/>
      <c r="J801" s="62"/>
      <c r="K801" s="54"/>
      <c r="L801" s="74"/>
      <c r="M801" s="62"/>
      <c r="N801" s="62"/>
      <c r="O801" s="62"/>
      <c r="P801" s="77"/>
      <c r="Q801" s="62"/>
      <c r="R801" s="71"/>
      <c r="S801" s="71"/>
      <c r="T801" s="71"/>
      <c r="U801" s="68"/>
    </row>
    <row r="802" spans="2:21">
      <c r="B802" s="62"/>
      <c r="C802" s="62"/>
      <c r="D802" s="80"/>
      <c r="E802" s="80"/>
      <c r="F802" s="81"/>
      <c r="G802" s="72"/>
      <c r="H802" s="76"/>
      <c r="I802" s="62"/>
      <c r="J802" s="62"/>
      <c r="K802" s="54"/>
      <c r="L802" s="74"/>
      <c r="M802" s="62"/>
      <c r="N802" s="62"/>
      <c r="O802" s="62"/>
      <c r="P802" s="77"/>
      <c r="Q802" s="62"/>
      <c r="R802" s="71"/>
      <c r="S802" s="71"/>
      <c r="T802" s="71"/>
      <c r="U802" s="68"/>
    </row>
    <row r="803" spans="2:21">
      <c r="B803" s="62"/>
      <c r="C803" s="62"/>
      <c r="D803" s="80"/>
      <c r="E803" s="80"/>
      <c r="F803" s="81"/>
      <c r="G803" s="72"/>
      <c r="H803" s="76"/>
      <c r="I803" s="62"/>
      <c r="J803" s="62"/>
      <c r="K803" s="54"/>
      <c r="L803" s="74"/>
      <c r="M803" s="62"/>
      <c r="N803" s="62"/>
      <c r="O803" s="62"/>
      <c r="P803" s="77"/>
      <c r="Q803" s="62"/>
      <c r="R803" s="71"/>
      <c r="S803" s="71"/>
      <c r="T803" s="71"/>
      <c r="U803" s="68"/>
    </row>
    <row r="804" spans="2:21">
      <c r="B804" s="62"/>
      <c r="C804" s="62"/>
      <c r="D804" s="80"/>
      <c r="E804" s="80"/>
      <c r="F804" s="81"/>
      <c r="G804" s="72"/>
      <c r="H804" s="76"/>
      <c r="I804" s="62"/>
      <c r="J804" s="62"/>
      <c r="K804" s="54"/>
      <c r="L804" s="74"/>
      <c r="M804" s="62"/>
      <c r="N804" s="62"/>
      <c r="O804" s="62"/>
      <c r="P804" s="77"/>
      <c r="Q804" s="62"/>
      <c r="R804" s="71"/>
      <c r="S804" s="71"/>
      <c r="T804" s="71"/>
      <c r="U804" s="68"/>
    </row>
    <row r="805" spans="2:21">
      <c r="B805" s="62"/>
      <c r="C805" s="62"/>
      <c r="D805" s="80"/>
      <c r="E805" s="80"/>
      <c r="F805" s="81"/>
      <c r="G805" s="72"/>
      <c r="H805" s="76"/>
      <c r="I805" s="62"/>
      <c r="J805" s="62"/>
      <c r="K805" s="54"/>
      <c r="L805" s="74"/>
      <c r="M805" s="62"/>
      <c r="N805" s="62"/>
      <c r="O805" s="62"/>
      <c r="P805" s="77"/>
      <c r="Q805" s="62"/>
      <c r="R805" s="71"/>
      <c r="S805" s="71"/>
      <c r="T805" s="71"/>
      <c r="U805" s="68"/>
    </row>
    <row r="806" spans="2:21">
      <c r="B806" s="62"/>
      <c r="C806" s="62"/>
      <c r="D806" s="80"/>
      <c r="E806" s="80"/>
      <c r="F806" s="81"/>
      <c r="G806" s="72"/>
      <c r="H806" s="76"/>
      <c r="I806" s="62"/>
      <c r="J806" s="62"/>
      <c r="K806" s="54"/>
      <c r="L806" s="74"/>
      <c r="M806" s="62"/>
      <c r="N806" s="62"/>
      <c r="O806" s="62"/>
      <c r="P806" s="77"/>
      <c r="Q806" s="62"/>
      <c r="R806" s="71"/>
      <c r="S806" s="71"/>
      <c r="T806" s="71"/>
      <c r="U806" s="68"/>
    </row>
    <row r="807" spans="2:21">
      <c r="B807" s="62"/>
      <c r="C807" s="62"/>
      <c r="D807" s="80"/>
      <c r="E807" s="80"/>
      <c r="F807" s="81"/>
      <c r="G807" s="72"/>
      <c r="H807" s="76"/>
      <c r="I807" s="62"/>
      <c r="J807" s="62"/>
      <c r="K807" s="54"/>
      <c r="L807" s="74"/>
      <c r="M807" s="62"/>
      <c r="N807" s="62"/>
      <c r="O807" s="62"/>
      <c r="P807" s="77"/>
      <c r="Q807" s="62"/>
      <c r="R807" s="71"/>
      <c r="S807" s="71"/>
      <c r="T807" s="71"/>
      <c r="U807" s="68"/>
    </row>
    <row r="808" spans="2:21">
      <c r="B808" s="62"/>
      <c r="C808" s="62"/>
      <c r="D808" s="80"/>
      <c r="E808" s="80"/>
      <c r="F808" s="81"/>
      <c r="G808" s="72"/>
      <c r="H808" s="76"/>
      <c r="I808" s="62"/>
      <c r="J808" s="62"/>
      <c r="K808" s="54"/>
      <c r="L808" s="74"/>
      <c r="M808" s="62"/>
      <c r="N808" s="62"/>
      <c r="O808" s="62"/>
      <c r="P808" s="77"/>
      <c r="Q808" s="62"/>
      <c r="R808" s="71"/>
      <c r="S808" s="71"/>
      <c r="T808" s="71"/>
      <c r="U808" s="68"/>
    </row>
    <row r="809" spans="2:21">
      <c r="B809" s="62"/>
      <c r="C809" s="62"/>
      <c r="D809" s="80"/>
      <c r="E809" s="80"/>
      <c r="F809" s="81"/>
      <c r="G809" s="72"/>
      <c r="H809" s="76"/>
      <c r="I809" s="62"/>
      <c r="J809" s="62"/>
      <c r="K809" s="54"/>
      <c r="L809" s="74"/>
      <c r="M809" s="62"/>
      <c r="N809" s="62"/>
      <c r="O809" s="62"/>
      <c r="P809" s="77"/>
      <c r="Q809" s="62"/>
      <c r="R809" s="71"/>
      <c r="S809" s="71"/>
      <c r="T809" s="71"/>
      <c r="U809" s="68"/>
    </row>
    <row r="810" spans="2:21">
      <c r="B810" s="62"/>
      <c r="C810" s="62"/>
      <c r="D810" s="80"/>
      <c r="E810" s="80"/>
      <c r="F810" s="81"/>
      <c r="G810" s="72"/>
      <c r="H810" s="76"/>
      <c r="I810" s="62"/>
      <c r="J810" s="62"/>
      <c r="K810" s="54"/>
      <c r="L810" s="74"/>
      <c r="M810" s="62"/>
      <c r="N810" s="62"/>
      <c r="O810" s="62"/>
      <c r="P810" s="77"/>
      <c r="Q810" s="62"/>
      <c r="R810" s="71"/>
      <c r="S810" s="71"/>
      <c r="T810" s="71"/>
      <c r="U810" s="68"/>
    </row>
    <row r="811" spans="2:21">
      <c r="B811" s="62"/>
      <c r="C811" s="62"/>
      <c r="D811" s="80"/>
      <c r="E811" s="80"/>
      <c r="F811" s="81"/>
      <c r="G811" s="72"/>
      <c r="H811" s="76"/>
      <c r="I811" s="62"/>
      <c r="J811" s="62"/>
      <c r="K811" s="54"/>
      <c r="L811" s="74"/>
      <c r="M811" s="62"/>
      <c r="N811" s="62"/>
      <c r="O811" s="62"/>
      <c r="P811" s="77"/>
      <c r="Q811" s="62"/>
      <c r="R811" s="71"/>
      <c r="S811" s="71"/>
      <c r="T811" s="71"/>
      <c r="U811" s="68"/>
    </row>
    <row r="812" spans="2:21">
      <c r="B812" s="62"/>
      <c r="C812" s="62"/>
      <c r="D812" s="80"/>
      <c r="E812" s="80"/>
      <c r="F812" s="81"/>
      <c r="G812" s="72"/>
      <c r="H812" s="76"/>
      <c r="I812" s="62"/>
      <c r="J812" s="62"/>
      <c r="K812" s="54"/>
      <c r="L812" s="74"/>
      <c r="M812" s="62"/>
      <c r="N812" s="62"/>
      <c r="O812" s="62"/>
      <c r="P812" s="77"/>
      <c r="Q812" s="62"/>
      <c r="R812" s="71"/>
      <c r="S812" s="71"/>
      <c r="T812" s="71"/>
      <c r="U812" s="68"/>
    </row>
    <row r="813" spans="2:21">
      <c r="B813" s="62"/>
      <c r="C813" s="62"/>
      <c r="D813" s="80"/>
      <c r="E813" s="80"/>
      <c r="F813" s="81"/>
      <c r="G813" s="72"/>
      <c r="H813" s="76"/>
      <c r="I813" s="62"/>
      <c r="J813" s="62"/>
      <c r="K813" s="54"/>
      <c r="L813" s="74"/>
      <c r="M813" s="62"/>
      <c r="N813" s="62"/>
      <c r="O813" s="62"/>
      <c r="P813" s="77"/>
      <c r="Q813" s="62"/>
      <c r="R813" s="71"/>
      <c r="S813" s="71"/>
      <c r="T813" s="71"/>
      <c r="U813" s="68"/>
    </row>
    <row r="814" spans="2:21">
      <c r="B814" s="62"/>
      <c r="C814" s="62"/>
      <c r="D814" s="80"/>
      <c r="E814" s="80"/>
      <c r="F814" s="81"/>
      <c r="G814" s="72"/>
      <c r="H814" s="76"/>
      <c r="I814" s="62"/>
      <c r="J814" s="62"/>
      <c r="K814" s="54"/>
      <c r="L814" s="74"/>
      <c r="M814" s="62"/>
      <c r="N814" s="62"/>
      <c r="O814" s="62"/>
      <c r="P814" s="77"/>
      <c r="Q814" s="62"/>
      <c r="R814" s="71"/>
      <c r="S814" s="71"/>
      <c r="T814" s="71"/>
      <c r="U814" s="68"/>
    </row>
    <row r="815" spans="2:21">
      <c r="B815" s="62"/>
      <c r="C815" s="62"/>
      <c r="D815" s="80"/>
      <c r="E815" s="80"/>
      <c r="F815" s="81"/>
      <c r="G815" s="72"/>
      <c r="H815" s="76"/>
      <c r="I815" s="62"/>
      <c r="J815" s="62"/>
      <c r="K815" s="54"/>
      <c r="L815" s="74"/>
      <c r="M815" s="62"/>
      <c r="N815" s="62"/>
      <c r="O815" s="62"/>
      <c r="P815" s="77"/>
      <c r="Q815" s="62"/>
      <c r="R815" s="71"/>
      <c r="S815" s="71"/>
      <c r="T815" s="71"/>
      <c r="U815" s="68"/>
    </row>
    <row r="816" spans="2:21">
      <c r="B816" s="62"/>
      <c r="C816" s="62"/>
      <c r="D816" s="80"/>
      <c r="E816" s="80"/>
      <c r="F816" s="81"/>
      <c r="G816" s="72"/>
      <c r="H816" s="76"/>
      <c r="I816" s="62"/>
      <c r="J816" s="62"/>
      <c r="K816" s="54"/>
      <c r="L816" s="74"/>
      <c r="M816" s="62"/>
      <c r="N816" s="62"/>
      <c r="O816" s="62"/>
      <c r="P816" s="77"/>
      <c r="Q816" s="62"/>
      <c r="R816" s="71"/>
      <c r="S816" s="71"/>
      <c r="T816" s="71"/>
      <c r="U816" s="68"/>
    </row>
    <row r="817" spans="2:21">
      <c r="B817" s="62"/>
      <c r="C817" s="62"/>
      <c r="D817" s="80"/>
      <c r="E817" s="80"/>
      <c r="F817" s="81"/>
      <c r="G817" s="72"/>
      <c r="H817" s="76"/>
      <c r="I817" s="62"/>
      <c r="J817" s="62"/>
      <c r="K817" s="54"/>
      <c r="L817" s="74"/>
      <c r="M817" s="62"/>
      <c r="N817" s="62"/>
      <c r="O817" s="62"/>
      <c r="P817" s="77"/>
      <c r="Q817" s="62"/>
      <c r="R817" s="71"/>
      <c r="S817" s="71"/>
      <c r="T817" s="71"/>
      <c r="U817" s="68"/>
    </row>
    <row r="818" spans="2:21">
      <c r="B818" s="62"/>
      <c r="C818" s="62"/>
      <c r="D818" s="80"/>
      <c r="E818" s="80"/>
      <c r="F818" s="81"/>
      <c r="G818" s="72"/>
      <c r="H818" s="76"/>
      <c r="I818" s="62"/>
      <c r="J818" s="62"/>
      <c r="K818" s="54"/>
      <c r="L818" s="74"/>
      <c r="M818" s="62"/>
      <c r="N818" s="62"/>
      <c r="O818" s="62"/>
      <c r="P818" s="77"/>
      <c r="Q818" s="62"/>
      <c r="R818" s="71"/>
      <c r="S818" s="71"/>
      <c r="T818" s="71"/>
      <c r="U818" s="68"/>
    </row>
    <row r="819" spans="2:21">
      <c r="B819" s="62"/>
      <c r="C819" s="62"/>
      <c r="D819" s="80"/>
      <c r="E819" s="80"/>
      <c r="F819" s="81"/>
      <c r="G819" s="72"/>
      <c r="H819" s="76"/>
      <c r="I819" s="62"/>
      <c r="J819" s="62"/>
      <c r="K819" s="54"/>
      <c r="L819" s="74"/>
      <c r="M819" s="62"/>
      <c r="N819" s="62"/>
      <c r="O819" s="62"/>
      <c r="P819" s="77"/>
      <c r="Q819" s="62"/>
      <c r="R819" s="71"/>
      <c r="S819" s="71"/>
      <c r="T819" s="71"/>
      <c r="U819" s="68"/>
    </row>
    <row r="820" spans="2:21">
      <c r="B820" s="62"/>
      <c r="C820" s="62"/>
      <c r="D820" s="80"/>
      <c r="E820" s="80"/>
      <c r="F820" s="81"/>
      <c r="G820" s="72"/>
      <c r="H820" s="76"/>
      <c r="I820" s="62"/>
      <c r="J820" s="62"/>
      <c r="K820" s="54"/>
      <c r="L820" s="74"/>
      <c r="M820" s="62"/>
      <c r="N820" s="62"/>
      <c r="O820" s="62"/>
      <c r="P820" s="77"/>
      <c r="Q820" s="62"/>
      <c r="R820" s="71"/>
      <c r="S820" s="71"/>
      <c r="T820" s="71"/>
      <c r="U820" s="68"/>
    </row>
    <row r="821" spans="2:21">
      <c r="B821" s="62"/>
      <c r="C821" s="62"/>
      <c r="D821" s="80"/>
      <c r="E821" s="80"/>
      <c r="F821" s="81"/>
      <c r="G821" s="72"/>
      <c r="H821" s="76"/>
      <c r="I821" s="62"/>
      <c r="J821" s="62"/>
      <c r="K821" s="54"/>
      <c r="L821" s="74"/>
      <c r="M821" s="62"/>
      <c r="N821" s="62"/>
      <c r="O821" s="62"/>
      <c r="P821" s="77"/>
      <c r="Q821" s="62"/>
      <c r="R821" s="71"/>
      <c r="S821" s="71"/>
      <c r="T821" s="71"/>
      <c r="U821" s="68"/>
    </row>
    <row r="822" spans="2:21">
      <c r="B822" s="62"/>
      <c r="C822" s="62"/>
      <c r="D822" s="80"/>
      <c r="E822" s="80"/>
      <c r="F822" s="81"/>
      <c r="G822" s="72"/>
      <c r="H822" s="76"/>
      <c r="I822" s="62"/>
      <c r="J822" s="62"/>
      <c r="K822" s="54"/>
      <c r="L822" s="74"/>
      <c r="M822" s="62"/>
      <c r="N822" s="62"/>
      <c r="O822" s="62"/>
      <c r="P822" s="77"/>
      <c r="Q822" s="62"/>
      <c r="R822" s="71"/>
      <c r="S822" s="71"/>
      <c r="T822" s="71"/>
      <c r="U822" s="68"/>
    </row>
    <row r="823" spans="2:21">
      <c r="B823" s="62"/>
      <c r="C823" s="62"/>
      <c r="D823" s="80"/>
      <c r="E823" s="80"/>
      <c r="F823" s="81"/>
      <c r="G823" s="72"/>
      <c r="H823" s="76"/>
      <c r="I823" s="62"/>
      <c r="J823" s="62"/>
      <c r="K823" s="54"/>
      <c r="L823" s="74"/>
      <c r="M823" s="62"/>
      <c r="N823" s="62"/>
      <c r="O823" s="62"/>
      <c r="P823" s="77"/>
      <c r="Q823" s="62"/>
      <c r="R823" s="71"/>
      <c r="S823" s="71"/>
      <c r="T823" s="71"/>
      <c r="U823" s="68"/>
    </row>
    <row r="824" spans="2:21">
      <c r="B824" s="62"/>
      <c r="C824" s="62"/>
      <c r="D824" s="80"/>
      <c r="E824" s="80"/>
      <c r="F824" s="81"/>
      <c r="G824" s="72"/>
      <c r="H824" s="76"/>
      <c r="I824" s="62"/>
      <c r="J824" s="62"/>
      <c r="K824" s="54"/>
      <c r="L824" s="74"/>
      <c r="M824" s="62"/>
      <c r="N824" s="62"/>
      <c r="O824" s="62"/>
      <c r="P824" s="77"/>
      <c r="Q824" s="62"/>
      <c r="R824" s="71"/>
      <c r="S824" s="71"/>
      <c r="T824" s="71"/>
      <c r="U824" s="68"/>
    </row>
    <row r="825" spans="2:21">
      <c r="B825" s="62"/>
      <c r="C825" s="62"/>
      <c r="D825" s="80"/>
      <c r="E825" s="80"/>
      <c r="F825" s="81"/>
      <c r="G825" s="72"/>
      <c r="H825" s="76"/>
      <c r="I825" s="62"/>
      <c r="J825" s="62"/>
      <c r="K825" s="54"/>
      <c r="L825" s="74"/>
      <c r="M825" s="62"/>
      <c r="N825" s="62"/>
      <c r="O825" s="62"/>
      <c r="P825" s="77"/>
      <c r="Q825" s="62"/>
      <c r="R825" s="71"/>
      <c r="S825" s="71"/>
      <c r="T825" s="71"/>
      <c r="U825" s="68"/>
    </row>
    <row r="826" spans="2:21">
      <c r="B826" s="62"/>
      <c r="C826" s="62"/>
      <c r="D826" s="80"/>
      <c r="E826" s="80"/>
      <c r="F826" s="81"/>
      <c r="G826" s="72"/>
      <c r="H826" s="76"/>
      <c r="I826" s="62"/>
      <c r="J826" s="62"/>
      <c r="K826" s="54"/>
      <c r="L826" s="74"/>
      <c r="M826" s="62"/>
      <c r="N826" s="62"/>
      <c r="O826" s="62"/>
      <c r="P826" s="77"/>
      <c r="Q826" s="62"/>
      <c r="R826" s="71"/>
      <c r="S826" s="71"/>
      <c r="T826" s="71"/>
      <c r="U826" s="68"/>
    </row>
    <row r="827" spans="2:21">
      <c r="B827" s="62"/>
      <c r="C827" s="62"/>
      <c r="D827" s="80"/>
      <c r="E827" s="80"/>
      <c r="F827" s="81"/>
      <c r="G827" s="72"/>
      <c r="H827" s="76"/>
      <c r="I827" s="62"/>
      <c r="J827" s="62"/>
      <c r="K827" s="54"/>
      <c r="L827" s="74"/>
      <c r="M827" s="62"/>
      <c r="N827" s="62"/>
      <c r="O827" s="62"/>
      <c r="P827" s="77"/>
      <c r="Q827" s="62"/>
      <c r="R827" s="71"/>
      <c r="S827" s="71"/>
      <c r="T827" s="71"/>
      <c r="U827" s="68"/>
    </row>
    <row r="828" spans="2:21">
      <c r="B828" s="62"/>
      <c r="C828" s="62"/>
      <c r="D828" s="80"/>
      <c r="E828" s="80"/>
      <c r="F828" s="81"/>
      <c r="G828" s="72"/>
      <c r="H828" s="76"/>
      <c r="I828" s="62"/>
      <c r="J828" s="62"/>
      <c r="K828" s="54"/>
      <c r="L828" s="74"/>
      <c r="M828" s="62"/>
      <c r="N828" s="62"/>
      <c r="O828" s="62"/>
      <c r="P828" s="77"/>
      <c r="Q828" s="62"/>
      <c r="R828" s="71"/>
      <c r="S828" s="71"/>
      <c r="T828" s="71"/>
      <c r="U828" s="68"/>
    </row>
    <row r="829" spans="2:21">
      <c r="B829" s="62"/>
      <c r="C829" s="62"/>
      <c r="D829" s="80"/>
      <c r="E829" s="80"/>
      <c r="F829" s="81"/>
      <c r="G829" s="72"/>
      <c r="H829" s="76"/>
      <c r="I829" s="62"/>
      <c r="J829" s="62"/>
      <c r="K829" s="54"/>
      <c r="L829" s="74"/>
      <c r="M829" s="62"/>
      <c r="N829" s="62"/>
      <c r="O829" s="62"/>
      <c r="P829" s="77"/>
      <c r="Q829" s="62"/>
      <c r="R829" s="71"/>
      <c r="S829" s="71"/>
      <c r="T829" s="71"/>
      <c r="U829" s="68"/>
    </row>
    <row r="830" spans="2:21">
      <c r="B830" s="62"/>
      <c r="C830" s="62"/>
      <c r="D830" s="80"/>
      <c r="E830" s="80"/>
      <c r="F830" s="81"/>
      <c r="G830" s="72"/>
      <c r="H830" s="76"/>
      <c r="I830" s="62"/>
      <c r="J830" s="62"/>
      <c r="K830" s="54"/>
      <c r="L830" s="74"/>
      <c r="M830" s="62"/>
      <c r="N830" s="62"/>
      <c r="O830" s="62"/>
      <c r="P830" s="77"/>
      <c r="Q830" s="62"/>
      <c r="R830" s="71"/>
      <c r="S830" s="71"/>
      <c r="T830" s="71"/>
      <c r="U830" s="68"/>
    </row>
    <row r="831" spans="2:21">
      <c r="B831" s="62"/>
      <c r="C831" s="62"/>
      <c r="D831" s="80"/>
      <c r="E831" s="80"/>
      <c r="F831" s="81"/>
      <c r="G831" s="72"/>
      <c r="H831" s="76"/>
      <c r="I831" s="62"/>
      <c r="J831" s="62"/>
      <c r="K831" s="54"/>
      <c r="L831" s="74"/>
      <c r="M831" s="62"/>
      <c r="N831" s="62"/>
      <c r="O831" s="62"/>
      <c r="P831" s="77"/>
      <c r="Q831" s="62"/>
      <c r="R831" s="71"/>
      <c r="S831" s="71"/>
      <c r="T831" s="71"/>
      <c r="U831" s="68"/>
    </row>
    <row r="832" spans="2:21">
      <c r="B832" s="62"/>
      <c r="C832" s="62"/>
      <c r="D832" s="80"/>
      <c r="E832" s="80"/>
      <c r="F832" s="81"/>
      <c r="G832" s="72"/>
      <c r="H832" s="76"/>
      <c r="I832" s="62"/>
      <c r="J832" s="62"/>
      <c r="K832" s="54"/>
      <c r="L832" s="74"/>
      <c r="M832" s="62"/>
      <c r="N832" s="62"/>
      <c r="O832" s="62"/>
      <c r="P832" s="77"/>
      <c r="Q832" s="62"/>
      <c r="R832" s="71"/>
      <c r="S832" s="71"/>
      <c r="T832" s="71"/>
      <c r="U832" s="68"/>
    </row>
    <row r="833" spans="2:21">
      <c r="B833" s="62"/>
      <c r="C833" s="62"/>
      <c r="D833" s="80"/>
      <c r="E833" s="80"/>
      <c r="F833" s="81"/>
      <c r="G833" s="72"/>
      <c r="H833" s="76"/>
      <c r="I833" s="62"/>
      <c r="J833" s="62"/>
      <c r="K833" s="54"/>
      <c r="L833" s="74"/>
      <c r="M833" s="62"/>
      <c r="N833" s="62"/>
      <c r="O833" s="62"/>
      <c r="P833" s="77"/>
      <c r="Q833" s="62"/>
      <c r="R833" s="71"/>
      <c r="S833" s="71"/>
      <c r="T833" s="71"/>
      <c r="U833" s="68"/>
    </row>
    <row r="834" spans="2:21">
      <c r="B834" s="62"/>
      <c r="C834" s="62"/>
      <c r="D834" s="80"/>
      <c r="E834" s="80"/>
      <c r="F834" s="81"/>
      <c r="G834" s="72"/>
      <c r="H834" s="76"/>
      <c r="I834" s="62"/>
      <c r="J834" s="62"/>
      <c r="K834" s="54"/>
      <c r="L834" s="74"/>
      <c r="M834" s="62"/>
      <c r="N834" s="62"/>
      <c r="O834" s="62"/>
      <c r="P834" s="77"/>
      <c r="Q834" s="62"/>
      <c r="R834" s="71"/>
      <c r="S834" s="71"/>
      <c r="T834" s="71"/>
      <c r="U834" s="68"/>
    </row>
    <row r="835" spans="2:21">
      <c r="B835" s="62"/>
      <c r="C835" s="62"/>
      <c r="D835" s="80"/>
      <c r="E835" s="80"/>
      <c r="F835" s="81"/>
      <c r="G835" s="72"/>
      <c r="H835" s="76"/>
      <c r="I835" s="62"/>
      <c r="J835" s="62"/>
      <c r="K835" s="54"/>
      <c r="L835" s="74"/>
      <c r="M835" s="62"/>
      <c r="N835" s="62"/>
      <c r="O835" s="62"/>
      <c r="P835" s="77"/>
      <c r="Q835" s="62"/>
      <c r="R835" s="71"/>
      <c r="S835" s="71"/>
      <c r="T835" s="71"/>
      <c r="U835" s="68"/>
    </row>
    <row r="836" spans="2:21">
      <c r="B836" s="62"/>
      <c r="C836" s="62"/>
      <c r="D836" s="80"/>
      <c r="E836" s="80"/>
      <c r="F836" s="81"/>
      <c r="G836" s="72"/>
      <c r="H836" s="76"/>
      <c r="I836" s="62"/>
      <c r="J836" s="62"/>
      <c r="K836" s="54"/>
      <c r="L836" s="74"/>
      <c r="M836" s="62"/>
      <c r="N836" s="62"/>
      <c r="O836" s="62"/>
      <c r="P836" s="77"/>
      <c r="Q836" s="62"/>
      <c r="R836" s="71"/>
      <c r="S836" s="71"/>
      <c r="T836" s="71"/>
      <c r="U836" s="68"/>
    </row>
    <row r="837" spans="2:21">
      <c r="B837" s="62"/>
      <c r="C837" s="62"/>
      <c r="D837" s="80"/>
      <c r="E837" s="80"/>
      <c r="F837" s="81"/>
      <c r="G837" s="72"/>
      <c r="H837" s="76"/>
      <c r="I837" s="62"/>
      <c r="J837" s="62"/>
      <c r="K837" s="54"/>
      <c r="L837" s="74"/>
      <c r="M837" s="62"/>
      <c r="N837" s="62"/>
      <c r="O837" s="62"/>
      <c r="P837" s="77"/>
      <c r="Q837" s="62"/>
      <c r="R837" s="71"/>
      <c r="S837" s="71"/>
      <c r="T837" s="71"/>
      <c r="U837" s="68"/>
    </row>
    <row r="838" spans="2:21">
      <c r="B838" s="62"/>
      <c r="C838" s="62"/>
      <c r="D838" s="80"/>
      <c r="E838" s="80"/>
      <c r="F838" s="81"/>
      <c r="G838" s="72"/>
      <c r="H838" s="76"/>
      <c r="I838" s="62"/>
      <c r="J838" s="62"/>
      <c r="K838" s="54"/>
      <c r="L838" s="74"/>
      <c r="M838" s="62"/>
      <c r="N838" s="62"/>
      <c r="O838" s="62"/>
      <c r="P838" s="77"/>
      <c r="Q838" s="62"/>
      <c r="R838" s="71"/>
      <c r="S838" s="71"/>
      <c r="T838" s="71"/>
      <c r="U838" s="68"/>
    </row>
    <row r="839" spans="2:21">
      <c r="B839" s="62"/>
      <c r="C839" s="62"/>
      <c r="D839" s="80"/>
      <c r="E839" s="80"/>
      <c r="F839" s="81"/>
      <c r="G839" s="72"/>
      <c r="H839" s="76"/>
      <c r="I839" s="62"/>
      <c r="J839" s="62"/>
      <c r="K839" s="54"/>
      <c r="L839" s="74"/>
      <c r="M839" s="62"/>
      <c r="N839" s="62"/>
      <c r="O839" s="62"/>
      <c r="P839" s="77"/>
      <c r="Q839" s="62"/>
      <c r="R839" s="71"/>
      <c r="S839" s="71"/>
      <c r="T839" s="71"/>
      <c r="U839" s="68"/>
    </row>
    <row r="840" spans="2:21">
      <c r="B840" s="62"/>
      <c r="C840" s="62"/>
      <c r="D840" s="80"/>
      <c r="E840" s="80"/>
      <c r="F840" s="81"/>
      <c r="G840" s="72"/>
      <c r="H840" s="76"/>
      <c r="I840" s="62"/>
      <c r="J840" s="62"/>
      <c r="K840" s="54"/>
      <c r="L840" s="74"/>
      <c r="M840" s="62"/>
      <c r="N840" s="62"/>
      <c r="O840" s="62"/>
      <c r="P840" s="77"/>
      <c r="Q840" s="62"/>
      <c r="R840" s="71"/>
      <c r="S840" s="71"/>
      <c r="T840" s="71"/>
      <c r="U840" s="68"/>
    </row>
    <row r="841" spans="2:21">
      <c r="B841" s="62"/>
      <c r="C841" s="62"/>
      <c r="D841" s="80"/>
      <c r="E841" s="80"/>
      <c r="F841" s="81"/>
      <c r="G841" s="72"/>
      <c r="H841" s="76"/>
      <c r="I841" s="62"/>
      <c r="J841" s="62"/>
      <c r="K841" s="54"/>
      <c r="L841" s="74"/>
      <c r="M841" s="62"/>
      <c r="N841" s="62"/>
      <c r="O841" s="62"/>
      <c r="P841" s="77"/>
      <c r="Q841" s="62"/>
      <c r="R841" s="71"/>
      <c r="S841" s="71"/>
      <c r="T841" s="71"/>
      <c r="U841" s="68"/>
    </row>
    <row r="842" spans="2:21">
      <c r="B842" s="62"/>
      <c r="C842" s="62"/>
      <c r="D842" s="80"/>
      <c r="E842" s="80"/>
      <c r="F842" s="81"/>
      <c r="G842" s="72"/>
      <c r="H842" s="76"/>
      <c r="I842" s="62"/>
      <c r="J842" s="62"/>
      <c r="K842" s="54"/>
      <c r="L842" s="74"/>
      <c r="M842" s="62"/>
      <c r="N842" s="62"/>
      <c r="O842" s="62"/>
      <c r="P842" s="77"/>
      <c r="Q842" s="62"/>
      <c r="R842" s="71"/>
      <c r="S842" s="71"/>
      <c r="T842" s="71"/>
      <c r="U842" s="68"/>
    </row>
    <row r="843" spans="2:21">
      <c r="B843" s="62"/>
      <c r="C843" s="62"/>
      <c r="D843" s="80"/>
      <c r="E843" s="80"/>
      <c r="F843" s="81"/>
      <c r="G843" s="72"/>
      <c r="H843" s="76"/>
      <c r="I843" s="62"/>
      <c r="J843" s="62"/>
      <c r="K843" s="54"/>
      <c r="L843" s="74"/>
      <c r="M843" s="62"/>
      <c r="N843" s="62"/>
      <c r="O843" s="62"/>
      <c r="P843" s="77"/>
      <c r="Q843" s="62"/>
      <c r="R843" s="71"/>
      <c r="S843" s="71"/>
      <c r="T843" s="71"/>
      <c r="U843" s="68"/>
    </row>
    <row r="844" spans="2:21">
      <c r="B844" s="62"/>
      <c r="C844" s="62"/>
      <c r="D844" s="80"/>
      <c r="E844" s="80"/>
      <c r="F844" s="81"/>
      <c r="G844" s="72"/>
      <c r="H844" s="76"/>
      <c r="I844" s="62"/>
      <c r="J844" s="62"/>
      <c r="K844" s="54"/>
      <c r="L844" s="74"/>
      <c r="M844" s="62"/>
      <c r="N844" s="62"/>
      <c r="O844" s="62"/>
      <c r="P844" s="77"/>
      <c r="Q844" s="62"/>
      <c r="R844" s="71"/>
      <c r="S844" s="71"/>
      <c r="T844" s="71"/>
      <c r="U844" s="68"/>
    </row>
    <row r="845" spans="2:21">
      <c r="B845" s="62"/>
      <c r="C845" s="62"/>
      <c r="D845" s="80"/>
      <c r="E845" s="80"/>
      <c r="F845" s="81"/>
      <c r="G845" s="72"/>
      <c r="H845" s="76"/>
      <c r="I845" s="62"/>
      <c r="J845" s="62"/>
      <c r="K845" s="54"/>
      <c r="L845" s="74"/>
      <c r="M845" s="62"/>
      <c r="N845" s="62"/>
      <c r="O845" s="62"/>
      <c r="P845" s="77"/>
      <c r="Q845" s="62"/>
      <c r="R845" s="71"/>
      <c r="S845" s="71"/>
      <c r="T845" s="71"/>
      <c r="U845" s="68"/>
    </row>
    <row r="846" spans="2:21">
      <c r="B846" s="62"/>
      <c r="C846" s="62"/>
      <c r="D846" s="80"/>
      <c r="E846" s="80"/>
      <c r="F846" s="81"/>
      <c r="G846" s="72"/>
      <c r="H846" s="76"/>
      <c r="I846" s="62"/>
      <c r="J846" s="62"/>
      <c r="K846" s="54"/>
      <c r="L846" s="74"/>
      <c r="M846" s="62"/>
      <c r="N846" s="62"/>
      <c r="O846" s="62"/>
      <c r="P846" s="77"/>
      <c r="Q846" s="62"/>
      <c r="R846" s="71"/>
      <c r="S846" s="71"/>
      <c r="T846" s="71"/>
      <c r="U846" s="68"/>
    </row>
    <row r="847" spans="2:21">
      <c r="B847" s="62"/>
      <c r="C847" s="62"/>
      <c r="D847" s="80"/>
      <c r="E847" s="80"/>
      <c r="F847" s="81"/>
      <c r="G847" s="72"/>
      <c r="H847" s="76"/>
      <c r="I847" s="62"/>
      <c r="J847" s="62"/>
      <c r="K847" s="54"/>
      <c r="L847" s="74"/>
      <c r="M847" s="62"/>
      <c r="N847" s="62"/>
      <c r="O847" s="62"/>
      <c r="P847" s="77"/>
      <c r="Q847" s="62"/>
      <c r="R847" s="71"/>
      <c r="S847" s="71"/>
      <c r="T847" s="71"/>
      <c r="U847" s="68"/>
    </row>
    <row r="848" spans="2:21">
      <c r="B848" s="62"/>
      <c r="C848" s="62"/>
      <c r="D848" s="80"/>
      <c r="E848" s="80"/>
      <c r="F848" s="81"/>
      <c r="G848" s="72"/>
      <c r="H848" s="76"/>
      <c r="I848" s="62"/>
      <c r="J848" s="62"/>
      <c r="K848" s="54"/>
      <c r="L848" s="74"/>
      <c r="M848" s="62"/>
      <c r="N848" s="62"/>
      <c r="O848" s="62"/>
      <c r="P848" s="77"/>
      <c r="Q848" s="62"/>
      <c r="R848" s="71"/>
      <c r="S848" s="71"/>
      <c r="T848" s="71"/>
      <c r="U848" s="68"/>
    </row>
    <row r="849" spans="2:21">
      <c r="B849" s="62"/>
      <c r="C849" s="62"/>
      <c r="D849" s="80"/>
      <c r="E849" s="80"/>
      <c r="F849" s="81"/>
      <c r="G849" s="72"/>
      <c r="H849" s="76"/>
      <c r="I849" s="62"/>
      <c r="J849" s="62"/>
      <c r="K849" s="54"/>
      <c r="L849" s="74"/>
      <c r="M849" s="62"/>
      <c r="N849" s="62"/>
      <c r="O849" s="62"/>
      <c r="P849" s="77"/>
      <c r="Q849" s="62"/>
      <c r="R849" s="71"/>
      <c r="S849" s="71"/>
      <c r="T849" s="71"/>
      <c r="U849" s="68"/>
    </row>
    <row r="850" spans="2:21">
      <c r="B850" s="62"/>
      <c r="C850" s="62"/>
      <c r="D850" s="80"/>
      <c r="E850" s="80"/>
      <c r="F850" s="81"/>
      <c r="G850" s="72"/>
      <c r="H850" s="76"/>
      <c r="I850" s="62"/>
      <c r="J850" s="62"/>
      <c r="K850" s="54"/>
      <c r="L850" s="74"/>
      <c r="M850" s="62"/>
      <c r="N850" s="62"/>
      <c r="O850" s="62"/>
      <c r="P850" s="77"/>
      <c r="Q850" s="62"/>
      <c r="R850" s="71"/>
      <c r="S850" s="71"/>
      <c r="T850" s="71"/>
      <c r="U850" s="68"/>
    </row>
    <row r="851" spans="2:21">
      <c r="B851" s="62"/>
      <c r="C851" s="62"/>
      <c r="D851" s="80"/>
      <c r="E851" s="80"/>
      <c r="F851" s="81"/>
      <c r="G851" s="72"/>
      <c r="H851" s="76"/>
      <c r="I851" s="62"/>
      <c r="J851" s="62"/>
      <c r="K851" s="54"/>
      <c r="L851" s="74"/>
      <c r="M851" s="62"/>
      <c r="N851" s="62"/>
      <c r="O851" s="62"/>
      <c r="P851" s="77"/>
      <c r="Q851" s="62"/>
      <c r="R851" s="71"/>
      <c r="S851" s="71"/>
      <c r="T851" s="71"/>
      <c r="U851" s="68"/>
    </row>
    <row r="852" spans="2:21">
      <c r="B852" s="62"/>
      <c r="C852" s="62"/>
      <c r="D852" s="80"/>
      <c r="E852" s="80"/>
      <c r="F852" s="81"/>
      <c r="G852" s="72"/>
      <c r="H852" s="76"/>
      <c r="I852" s="62"/>
      <c r="J852" s="62"/>
      <c r="K852" s="54"/>
      <c r="L852" s="74"/>
      <c r="M852" s="62"/>
      <c r="N852" s="62"/>
      <c r="O852" s="62"/>
      <c r="P852" s="77"/>
      <c r="Q852" s="62"/>
      <c r="R852" s="71"/>
      <c r="S852" s="71"/>
      <c r="T852" s="71"/>
      <c r="U852" s="68"/>
    </row>
    <row r="853" spans="2:21">
      <c r="B853" s="62"/>
      <c r="C853" s="62"/>
      <c r="D853" s="80"/>
      <c r="E853" s="80"/>
      <c r="F853" s="81"/>
      <c r="G853" s="72"/>
      <c r="H853" s="76"/>
      <c r="I853" s="62"/>
      <c r="J853" s="62"/>
      <c r="K853" s="54"/>
      <c r="L853" s="74"/>
      <c r="M853" s="62"/>
      <c r="N853" s="62"/>
      <c r="O853" s="62"/>
      <c r="P853" s="77"/>
      <c r="Q853" s="62"/>
      <c r="R853" s="71"/>
      <c r="S853" s="71"/>
      <c r="T853" s="71"/>
      <c r="U853" s="68"/>
    </row>
    <row r="854" spans="2:21">
      <c r="B854" s="62"/>
      <c r="C854" s="62"/>
      <c r="D854" s="80"/>
      <c r="E854" s="80"/>
      <c r="F854" s="81"/>
      <c r="G854" s="72"/>
      <c r="H854" s="76"/>
      <c r="I854" s="62"/>
      <c r="J854" s="62"/>
      <c r="K854" s="54"/>
      <c r="L854" s="74"/>
      <c r="M854" s="62"/>
      <c r="N854" s="62"/>
      <c r="O854" s="62"/>
      <c r="P854" s="77"/>
      <c r="Q854" s="62"/>
      <c r="R854" s="71"/>
      <c r="S854" s="71"/>
      <c r="T854" s="71"/>
      <c r="U854" s="68"/>
    </row>
    <row r="855" spans="2:21">
      <c r="B855" s="62"/>
      <c r="C855" s="62"/>
      <c r="D855" s="80"/>
      <c r="E855" s="80"/>
      <c r="F855" s="81"/>
      <c r="G855" s="72"/>
      <c r="H855" s="76"/>
      <c r="I855" s="62"/>
      <c r="J855" s="62"/>
      <c r="K855" s="54"/>
      <c r="L855" s="74"/>
      <c r="M855" s="62"/>
      <c r="N855" s="62"/>
      <c r="O855" s="62"/>
      <c r="P855" s="77"/>
      <c r="Q855" s="62"/>
      <c r="R855" s="71"/>
      <c r="S855" s="71"/>
      <c r="T855" s="71"/>
      <c r="U855" s="68"/>
    </row>
    <row r="856" spans="2:21">
      <c r="B856" s="62"/>
      <c r="C856" s="62"/>
      <c r="D856" s="80"/>
      <c r="E856" s="80"/>
      <c r="F856" s="81"/>
      <c r="G856" s="72"/>
      <c r="H856" s="76"/>
      <c r="I856" s="62"/>
      <c r="J856" s="62"/>
      <c r="K856" s="54"/>
      <c r="L856" s="74"/>
      <c r="M856" s="62"/>
      <c r="N856" s="62"/>
      <c r="O856" s="62"/>
      <c r="P856" s="77"/>
      <c r="Q856" s="62"/>
      <c r="R856" s="71"/>
      <c r="S856" s="71"/>
      <c r="T856" s="71"/>
      <c r="U856" s="68"/>
    </row>
    <row r="857" spans="2:21">
      <c r="B857" s="62"/>
      <c r="C857" s="62"/>
      <c r="D857" s="80"/>
      <c r="E857" s="80"/>
      <c r="F857" s="81"/>
      <c r="G857" s="72"/>
      <c r="H857" s="76"/>
      <c r="I857" s="62"/>
      <c r="J857" s="62"/>
      <c r="K857" s="54"/>
      <c r="L857" s="74"/>
      <c r="M857" s="62"/>
      <c r="N857" s="62"/>
      <c r="O857" s="62"/>
      <c r="P857" s="77"/>
      <c r="Q857" s="62"/>
      <c r="R857" s="71"/>
      <c r="S857" s="71"/>
      <c r="T857" s="71"/>
      <c r="U857" s="68"/>
    </row>
    <row r="858" spans="2:21">
      <c r="B858" s="62"/>
      <c r="C858" s="62"/>
      <c r="D858" s="80"/>
      <c r="E858" s="80"/>
      <c r="F858" s="81"/>
      <c r="G858" s="72"/>
      <c r="H858" s="76"/>
      <c r="I858" s="62"/>
      <c r="J858" s="62"/>
      <c r="K858" s="54"/>
      <c r="L858" s="74"/>
      <c r="M858" s="62"/>
      <c r="N858" s="62"/>
      <c r="O858" s="62"/>
      <c r="P858" s="77"/>
      <c r="Q858" s="62"/>
      <c r="R858" s="71"/>
      <c r="S858" s="71"/>
      <c r="T858" s="71"/>
      <c r="U858" s="68"/>
    </row>
    <row r="859" spans="2:21">
      <c r="B859" s="62"/>
      <c r="C859" s="62"/>
      <c r="D859" s="80"/>
      <c r="E859" s="80"/>
      <c r="F859" s="81"/>
      <c r="G859" s="72"/>
      <c r="H859" s="76"/>
      <c r="I859" s="62"/>
      <c r="J859" s="62"/>
      <c r="K859" s="54"/>
      <c r="L859" s="74"/>
      <c r="M859" s="62"/>
      <c r="N859" s="62"/>
      <c r="O859" s="62"/>
      <c r="P859" s="77"/>
      <c r="Q859" s="62"/>
      <c r="R859" s="71"/>
      <c r="S859" s="71"/>
      <c r="T859" s="71"/>
      <c r="U859" s="68"/>
    </row>
    <row r="860" spans="2:21">
      <c r="B860" s="62"/>
      <c r="C860" s="62"/>
      <c r="D860" s="80"/>
      <c r="E860" s="80"/>
      <c r="F860" s="81"/>
      <c r="G860" s="72"/>
      <c r="H860" s="76"/>
      <c r="I860" s="62"/>
      <c r="J860" s="62"/>
      <c r="K860" s="54"/>
      <c r="L860" s="74"/>
      <c r="M860" s="62"/>
      <c r="N860" s="62"/>
      <c r="O860" s="62"/>
      <c r="P860" s="77"/>
      <c r="Q860" s="62"/>
      <c r="R860" s="71"/>
      <c r="S860" s="71"/>
      <c r="T860" s="71"/>
      <c r="U860" s="68"/>
    </row>
    <row r="861" spans="2:21">
      <c r="B861" s="62"/>
      <c r="C861" s="62"/>
      <c r="D861" s="80"/>
      <c r="E861" s="80"/>
      <c r="F861" s="81"/>
      <c r="G861" s="72"/>
      <c r="H861" s="76"/>
      <c r="I861" s="62"/>
      <c r="J861" s="62"/>
      <c r="K861" s="54"/>
      <c r="L861" s="74"/>
      <c r="M861" s="62"/>
      <c r="N861" s="62"/>
      <c r="O861" s="62"/>
      <c r="P861" s="77"/>
      <c r="Q861" s="62"/>
      <c r="R861" s="71"/>
      <c r="S861" s="71"/>
      <c r="T861" s="71"/>
      <c r="U861" s="68"/>
    </row>
    <row r="862" spans="2:21">
      <c r="B862" s="62"/>
      <c r="C862" s="62"/>
      <c r="D862" s="80"/>
      <c r="E862" s="80"/>
      <c r="F862" s="81"/>
      <c r="G862" s="72"/>
      <c r="H862" s="76"/>
      <c r="I862" s="62"/>
      <c r="J862" s="62"/>
      <c r="K862" s="54"/>
      <c r="L862" s="74"/>
      <c r="M862" s="62"/>
      <c r="N862" s="62"/>
      <c r="O862" s="62"/>
      <c r="P862" s="77"/>
      <c r="Q862" s="62"/>
      <c r="R862" s="71"/>
      <c r="S862" s="71"/>
      <c r="T862" s="71"/>
      <c r="U862" s="68"/>
    </row>
    <row r="863" spans="2:21">
      <c r="B863" s="62"/>
      <c r="C863" s="62"/>
      <c r="D863" s="80"/>
      <c r="E863" s="80"/>
      <c r="F863" s="81"/>
      <c r="G863" s="72"/>
      <c r="H863" s="76"/>
      <c r="I863" s="62"/>
      <c r="J863" s="62"/>
      <c r="K863" s="54"/>
      <c r="L863" s="74"/>
      <c r="M863" s="62"/>
      <c r="N863" s="62"/>
      <c r="O863" s="62"/>
      <c r="P863" s="77"/>
      <c r="Q863" s="62"/>
      <c r="R863" s="71"/>
      <c r="S863" s="71"/>
      <c r="T863" s="71"/>
      <c r="U863" s="68"/>
    </row>
    <row r="864" spans="2:21">
      <c r="B864" s="62"/>
      <c r="C864" s="62"/>
      <c r="D864" s="80"/>
      <c r="E864" s="80"/>
      <c r="F864" s="81"/>
      <c r="G864" s="72"/>
      <c r="H864" s="76"/>
      <c r="I864" s="62"/>
      <c r="J864" s="62"/>
      <c r="K864" s="54"/>
      <c r="L864" s="74"/>
      <c r="M864" s="62"/>
      <c r="N864" s="62"/>
      <c r="O864" s="62"/>
      <c r="P864" s="77"/>
      <c r="Q864" s="62"/>
      <c r="R864" s="71"/>
      <c r="S864" s="71"/>
      <c r="T864" s="71"/>
      <c r="U864" s="68"/>
    </row>
    <row r="865" spans="2:21">
      <c r="B865" s="62"/>
      <c r="C865" s="62"/>
      <c r="D865" s="80"/>
      <c r="E865" s="80"/>
      <c r="F865" s="81"/>
      <c r="G865" s="72"/>
      <c r="H865" s="76"/>
      <c r="I865" s="62"/>
      <c r="J865" s="62"/>
      <c r="K865" s="54"/>
      <c r="L865" s="74"/>
      <c r="M865" s="62"/>
      <c r="N865" s="62"/>
      <c r="O865" s="62"/>
      <c r="P865" s="77"/>
      <c r="Q865" s="62"/>
      <c r="R865" s="71"/>
      <c r="S865" s="71"/>
      <c r="T865" s="71"/>
      <c r="U865" s="68"/>
    </row>
    <row r="866" spans="2:21">
      <c r="B866" s="62"/>
      <c r="C866" s="62"/>
      <c r="D866" s="80"/>
      <c r="E866" s="80"/>
      <c r="F866" s="81"/>
      <c r="G866" s="72"/>
      <c r="H866" s="76"/>
      <c r="I866" s="62"/>
      <c r="J866" s="62"/>
      <c r="K866" s="54"/>
      <c r="L866" s="74"/>
      <c r="M866" s="62"/>
      <c r="N866" s="62"/>
      <c r="O866" s="62"/>
      <c r="P866" s="77"/>
      <c r="Q866" s="62"/>
      <c r="R866" s="71"/>
      <c r="S866" s="71"/>
      <c r="T866" s="71"/>
      <c r="U866" s="68"/>
    </row>
    <row r="867" spans="2:21">
      <c r="B867" s="62"/>
      <c r="C867" s="62"/>
      <c r="D867" s="80"/>
      <c r="E867" s="80"/>
      <c r="F867" s="81"/>
      <c r="G867" s="72"/>
      <c r="H867" s="76"/>
      <c r="I867" s="62"/>
      <c r="J867" s="62"/>
      <c r="K867" s="54"/>
      <c r="L867" s="74"/>
      <c r="M867" s="62"/>
      <c r="N867" s="62"/>
      <c r="O867" s="62"/>
      <c r="P867" s="77"/>
      <c r="Q867" s="62"/>
      <c r="R867" s="71"/>
      <c r="S867" s="71"/>
      <c r="T867" s="71"/>
      <c r="U867" s="68"/>
    </row>
    <row r="868" spans="2:21">
      <c r="B868" s="62"/>
      <c r="C868" s="62"/>
      <c r="D868" s="80"/>
      <c r="E868" s="80"/>
      <c r="F868" s="81"/>
      <c r="G868" s="72"/>
      <c r="H868" s="76"/>
      <c r="I868" s="62"/>
      <c r="J868" s="62"/>
      <c r="K868" s="54"/>
      <c r="L868" s="74"/>
      <c r="M868" s="62"/>
      <c r="N868" s="62"/>
      <c r="O868" s="62"/>
      <c r="P868" s="77"/>
      <c r="Q868" s="62"/>
      <c r="R868" s="71"/>
      <c r="S868" s="71"/>
      <c r="T868" s="71"/>
      <c r="U868" s="68"/>
    </row>
    <row r="869" spans="2:21">
      <c r="B869" s="62"/>
      <c r="C869" s="62"/>
      <c r="D869" s="80"/>
      <c r="E869" s="80"/>
      <c r="F869" s="81"/>
      <c r="G869" s="72"/>
      <c r="H869" s="76"/>
      <c r="I869" s="62"/>
      <c r="J869" s="62"/>
      <c r="K869" s="54"/>
      <c r="L869" s="74"/>
      <c r="M869" s="62"/>
      <c r="N869" s="62"/>
      <c r="O869" s="62"/>
      <c r="P869" s="77"/>
      <c r="Q869" s="62"/>
      <c r="R869" s="71"/>
      <c r="S869" s="71"/>
      <c r="T869" s="71"/>
      <c r="U869" s="68"/>
    </row>
    <row r="870" spans="2:21">
      <c r="B870" s="62"/>
      <c r="C870" s="62"/>
      <c r="D870" s="80"/>
      <c r="E870" s="80"/>
      <c r="F870" s="81"/>
      <c r="G870" s="72"/>
      <c r="H870" s="76"/>
      <c r="I870" s="62"/>
      <c r="J870" s="62"/>
      <c r="K870" s="54"/>
      <c r="L870" s="74"/>
      <c r="M870" s="62"/>
      <c r="N870" s="62"/>
      <c r="O870" s="62"/>
      <c r="P870" s="77"/>
      <c r="Q870" s="62"/>
      <c r="R870" s="71"/>
      <c r="S870" s="71"/>
      <c r="T870" s="71"/>
      <c r="U870" s="68"/>
    </row>
    <row r="871" spans="2:21">
      <c r="B871" s="62"/>
      <c r="C871" s="62"/>
      <c r="D871" s="80"/>
      <c r="E871" s="80"/>
      <c r="F871" s="81"/>
      <c r="G871" s="72"/>
      <c r="H871" s="76"/>
      <c r="I871" s="62"/>
      <c r="J871" s="62"/>
      <c r="K871" s="54"/>
      <c r="L871" s="74"/>
      <c r="M871" s="62"/>
      <c r="N871" s="62"/>
      <c r="O871" s="62"/>
      <c r="P871" s="77"/>
      <c r="Q871" s="62"/>
      <c r="R871" s="71"/>
      <c r="S871" s="71"/>
      <c r="T871" s="71"/>
      <c r="U871" s="68"/>
    </row>
    <row r="872" spans="2:21">
      <c r="B872" s="62"/>
      <c r="C872" s="62"/>
      <c r="D872" s="80"/>
      <c r="E872" s="80"/>
      <c r="F872" s="81"/>
      <c r="G872" s="72"/>
      <c r="H872" s="76"/>
      <c r="I872" s="62"/>
      <c r="J872" s="62"/>
      <c r="K872" s="54"/>
      <c r="L872" s="74"/>
      <c r="M872" s="62"/>
      <c r="N872" s="62"/>
      <c r="O872" s="62"/>
      <c r="P872" s="77"/>
      <c r="Q872" s="62"/>
      <c r="R872" s="71"/>
      <c r="S872" s="71"/>
      <c r="T872" s="71"/>
      <c r="U872" s="68"/>
    </row>
    <row r="873" spans="2:21">
      <c r="B873" s="62"/>
      <c r="C873" s="62"/>
      <c r="D873" s="80"/>
      <c r="E873" s="80"/>
      <c r="F873" s="81"/>
      <c r="G873" s="72"/>
      <c r="H873" s="76"/>
      <c r="I873" s="62"/>
      <c r="J873" s="62"/>
      <c r="K873" s="54"/>
      <c r="L873" s="74"/>
      <c r="M873" s="62"/>
      <c r="N873" s="62"/>
      <c r="O873" s="62"/>
      <c r="P873" s="77"/>
      <c r="Q873" s="62"/>
      <c r="R873" s="71"/>
      <c r="S873" s="71"/>
      <c r="T873" s="71"/>
      <c r="U873" s="68"/>
    </row>
    <row r="874" spans="2:21">
      <c r="B874" s="62"/>
      <c r="C874" s="62"/>
      <c r="D874" s="80"/>
      <c r="E874" s="80"/>
      <c r="F874" s="81"/>
      <c r="G874" s="72"/>
      <c r="H874" s="76"/>
      <c r="I874" s="62"/>
      <c r="J874" s="62"/>
      <c r="K874" s="54"/>
      <c r="L874" s="74"/>
      <c r="M874" s="62"/>
      <c r="N874" s="62"/>
      <c r="O874" s="62"/>
      <c r="P874" s="77"/>
      <c r="Q874" s="62"/>
      <c r="R874" s="71"/>
      <c r="S874" s="71"/>
      <c r="T874" s="71"/>
      <c r="U874" s="68"/>
    </row>
    <row r="875" spans="2:21">
      <c r="B875" s="62"/>
      <c r="C875" s="62"/>
      <c r="D875" s="80"/>
      <c r="E875" s="80"/>
      <c r="F875" s="81"/>
      <c r="G875" s="72"/>
      <c r="H875" s="76"/>
      <c r="I875" s="62"/>
      <c r="J875" s="62"/>
      <c r="K875" s="54"/>
      <c r="L875" s="74"/>
      <c r="M875" s="62"/>
      <c r="N875" s="62"/>
      <c r="O875" s="62"/>
      <c r="P875" s="77"/>
      <c r="Q875" s="62"/>
      <c r="R875" s="71"/>
      <c r="S875" s="71"/>
      <c r="T875" s="71"/>
      <c r="U875" s="68"/>
    </row>
    <row r="876" spans="2:21">
      <c r="B876" s="62"/>
      <c r="C876" s="62"/>
      <c r="D876" s="80"/>
      <c r="E876" s="80"/>
      <c r="F876" s="81"/>
      <c r="G876" s="72"/>
      <c r="H876" s="76"/>
      <c r="I876" s="62"/>
      <c r="J876" s="62"/>
      <c r="K876" s="54"/>
      <c r="L876" s="74"/>
      <c r="M876" s="62"/>
      <c r="N876" s="62"/>
      <c r="O876" s="62"/>
      <c r="P876" s="77"/>
      <c r="Q876" s="62"/>
      <c r="R876" s="71"/>
      <c r="S876" s="71"/>
      <c r="T876" s="71"/>
      <c r="U876" s="68"/>
    </row>
    <row r="877" spans="2:21">
      <c r="B877" s="62"/>
      <c r="C877" s="62"/>
      <c r="D877" s="80"/>
      <c r="E877" s="80"/>
      <c r="F877" s="81"/>
      <c r="G877" s="72"/>
      <c r="H877" s="76"/>
      <c r="I877" s="62"/>
      <c r="J877" s="62"/>
      <c r="K877" s="54"/>
      <c r="L877" s="74"/>
      <c r="M877" s="62"/>
      <c r="N877" s="62"/>
      <c r="O877" s="62"/>
      <c r="P877" s="77"/>
      <c r="Q877" s="62"/>
      <c r="R877" s="71"/>
      <c r="S877" s="71"/>
      <c r="T877" s="71"/>
      <c r="U877" s="68"/>
    </row>
    <row r="878" spans="2:21">
      <c r="B878" s="62"/>
      <c r="C878" s="62"/>
      <c r="D878" s="80"/>
      <c r="E878" s="80"/>
      <c r="F878" s="81"/>
      <c r="G878" s="72"/>
      <c r="H878" s="76"/>
      <c r="I878" s="62"/>
      <c r="J878" s="62"/>
      <c r="K878" s="54"/>
      <c r="L878" s="74"/>
      <c r="M878" s="62"/>
      <c r="N878" s="62"/>
      <c r="O878" s="62"/>
      <c r="P878" s="77"/>
      <c r="Q878" s="62"/>
      <c r="R878" s="71"/>
      <c r="S878" s="71"/>
      <c r="T878" s="71"/>
      <c r="U878" s="68"/>
    </row>
    <row r="879" spans="2:21">
      <c r="B879" s="62"/>
      <c r="C879" s="62"/>
      <c r="D879" s="80"/>
      <c r="E879" s="80"/>
      <c r="F879" s="81"/>
      <c r="G879" s="72"/>
      <c r="H879" s="76"/>
      <c r="I879" s="62"/>
      <c r="J879" s="62"/>
      <c r="K879" s="54"/>
      <c r="L879" s="74"/>
      <c r="M879" s="62"/>
      <c r="N879" s="62"/>
      <c r="O879" s="62"/>
      <c r="P879" s="77"/>
      <c r="Q879" s="62"/>
      <c r="R879" s="71"/>
      <c r="S879" s="71"/>
      <c r="T879" s="71"/>
      <c r="U879" s="68"/>
    </row>
    <row r="880" spans="2:21">
      <c r="B880" s="62"/>
      <c r="C880" s="62"/>
      <c r="D880" s="80"/>
      <c r="E880" s="80"/>
      <c r="F880" s="81"/>
      <c r="G880" s="72"/>
      <c r="H880" s="76"/>
      <c r="I880" s="62"/>
      <c r="J880" s="62"/>
      <c r="K880" s="54"/>
      <c r="L880" s="74"/>
      <c r="M880" s="62"/>
      <c r="N880" s="62"/>
      <c r="O880" s="62"/>
      <c r="P880" s="77"/>
      <c r="Q880" s="62"/>
      <c r="R880" s="71"/>
      <c r="S880" s="71"/>
      <c r="T880" s="71"/>
      <c r="U880" s="68"/>
    </row>
    <row r="881" spans="2:21">
      <c r="B881" s="62"/>
      <c r="C881" s="62"/>
      <c r="D881" s="80"/>
      <c r="E881" s="80"/>
      <c r="F881" s="81"/>
      <c r="G881" s="72"/>
      <c r="H881" s="76"/>
      <c r="I881" s="62"/>
      <c r="J881" s="62"/>
      <c r="K881" s="54"/>
      <c r="L881" s="74"/>
      <c r="M881" s="62"/>
      <c r="N881" s="62"/>
      <c r="O881" s="62"/>
      <c r="P881" s="77"/>
      <c r="Q881" s="62"/>
      <c r="R881" s="71"/>
      <c r="S881" s="71"/>
      <c r="T881" s="71"/>
      <c r="U881" s="68"/>
    </row>
    <row r="882" spans="2:21">
      <c r="B882" s="62"/>
      <c r="C882" s="62"/>
      <c r="D882" s="80"/>
      <c r="E882" s="80"/>
      <c r="F882" s="81"/>
      <c r="G882" s="72"/>
      <c r="H882" s="76"/>
      <c r="I882" s="62"/>
      <c r="J882" s="62"/>
      <c r="K882" s="54"/>
      <c r="L882" s="74"/>
      <c r="M882" s="62"/>
      <c r="N882" s="62"/>
      <c r="O882" s="62"/>
      <c r="P882" s="77"/>
      <c r="Q882" s="62"/>
      <c r="R882" s="71"/>
      <c r="S882" s="71"/>
      <c r="T882" s="71"/>
      <c r="U882" s="68"/>
    </row>
    <row r="883" spans="2:21">
      <c r="B883" s="62"/>
      <c r="C883" s="62"/>
      <c r="D883" s="80"/>
      <c r="E883" s="80"/>
      <c r="F883" s="81"/>
      <c r="G883" s="72"/>
      <c r="H883" s="76"/>
      <c r="I883" s="62"/>
      <c r="J883" s="62"/>
      <c r="K883" s="54"/>
      <c r="L883" s="74"/>
      <c r="M883" s="62"/>
      <c r="N883" s="62"/>
      <c r="O883" s="62"/>
      <c r="P883" s="77"/>
      <c r="Q883" s="62"/>
      <c r="R883" s="71"/>
      <c r="S883" s="71"/>
      <c r="T883" s="71"/>
      <c r="U883" s="68"/>
    </row>
    <row r="884" spans="2:21">
      <c r="B884" s="62"/>
      <c r="C884" s="62"/>
      <c r="D884" s="80"/>
      <c r="E884" s="80"/>
      <c r="F884" s="81"/>
      <c r="G884" s="72"/>
      <c r="H884" s="76"/>
      <c r="I884" s="62"/>
      <c r="J884" s="62"/>
      <c r="K884" s="54"/>
      <c r="L884" s="74"/>
      <c r="M884" s="62"/>
      <c r="N884" s="62"/>
      <c r="O884" s="62"/>
      <c r="P884" s="77"/>
      <c r="Q884" s="62"/>
      <c r="R884" s="71"/>
      <c r="S884" s="71"/>
      <c r="T884" s="71"/>
      <c r="U884" s="68"/>
    </row>
    <row r="885" spans="2:21">
      <c r="B885" s="62"/>
      <c r="C885" s="62"/>
      <c r="D885" s="80"/>
      <c r="E885" s="80"/>
      <c r="F885" s="81"/>
      <c r="G885" s="72"/>
      <c r="H885" s="76"/>
      <c r="I885" s="62"/>
      <c r="J885" s="62"/>
      <c r="K885" s="54"/>
      <c r="L885" s="74"/>
      <c r="M885" s="62"/>
      <c r="N885" s="62"/>
      <c r="O885" s="62"/>
      <c r="P885" s="77"/>
      <c r="Q885" s="62"/>
      <c r="R885" s="71"/>
      <c r="S885" s="71"/>
      <c r="T885" s="71"/>
      <c r="U885" s="68"/>
    </row>
    <row r="886" spans="2:21">
      <c r="B886" s="62"/>
      <c r="C886" s="62"/>
      <c r="D886" s="80"/>
      <c r="E886" s="80"/>
      <c r="F886" s="81"/>
      <c r="G886" s="72"/>
      <c r="H886" s="76"/>
      <c r="I886" s="62"/>
      <c r="J886" s="62"/>
      <c r="K886" s="54"/>
      <c r="L886" s="74"/>
      <c r="M886" s="62"/>
      <c r="N886" s="62"/>
      <c r="O886" s="62"/>
      <c r="P886" s="77"/>
      <c r="Q886" s="62"/>
      <c r="R886" s="71"/>
      <c r="S886" s="71"/>
      <c r="T886" s="71"/>
      <c r="U886" s="68"/>
    </row>
    <row r="887" spans="2:21">
      <c r="B887" s="62"/>
      <c r="C887" s="62"/>
      <c r="D887" s="80"/>
      <c r="E887" s="80"/>
      <c r="F887" s="81"/>
      <c r="G887" s="72"/>
      <c r="H887" s="76"/>
      <c r="I887" s="62"/>
      <c r="J887" s="62"/>
      <c r="K887" s="54"/>
      <c r="L887" s="74"/>
      <c r="M887" s="62"/>
      <c r="N887" s="62"/>
      <c r="O887" s="62"/>
      <c r="P887" s="77"/>
      <c r="Q887" s="62"/>
      <c r="R887" s="71"/>
      <c r="S887" s="71"/>
      <c r="T887" s="71"/>
      <c r="U887" s="68"/>
    </row>
    <row r="888" spans="2:21">
      <c r="B888" s="62"/>
      <c r="C888" s="62"/>
      <c r="D888" s="80"/>
      <c r="E888" s="80"/>
      <c r="F888" s="81"/>
      <c r="G888" s="72"/>
      <c r="H888" s="76"/>
      <c r="I888" s="62"/>
      <c r="J888" s="62"/>
      <c r="K888" s="54"/>
      <c r="L888" s="74"/>
      <c r="M888" s="62"/>
      <c r="N888" s="62"/>
      <c r="O888" s="62"/>
      <c r="P888" s="77"/>
      <c r="Q888" s="62"/>
      <c r="R888" s="71"/>
      <c r="S888" s="71"/>
      <c r="T888" s="71"/>
      <c r="U888" s="68"/>
    </row>
    <row r="889" spans="2:21">
      <c r="B889" s="62"/>
      <c r="C889" s="62"/>
      <c r="D889" s="80"/>
      <c r="E889" s="80"/>
      <c r="F889" s="81"/>
      <c r="G889" s="72"/>
      <c r="H889" s="76"/>
      <c r="I889" s="62"/>
      <c r="J889" s="62"/>
      <c r="K889" s="54"/>
      <c r="L889" s="74"/>
      <c r="M889" s="62"/>
      <c r="N889" s="62"/>
      <c r="O889" s="62"/>
      <c r="P889" s="77"/>
      <c r="Q889" s="62"/>
      <c r="R889" s="71"/>
      <c r="S889" s="71"/>
      <c r="T889" s="71"/>
      <c r="U889" s="68"/>
    </row>
    <row r="890" spans="2:21">
      <c r="B890" s="62"/>
      <c r="C890" s="62"/>
      <c r="D890" s="80"/>
      <c r="E890" s="80"/>
      <c r="F890" s="81"/>
      <c r="G890" s="72"/>
      <c r="H890" s="76"/>
      <c r="I890" s="62"/>
      <c r="J890" s="62"/>
      <c r="K890" s="54"/>
      <c r="L890" s="74"/>
      <c r="M890" s="62"/>
      <c r="N890" s="62"/>
      <c r="O890" s="62"/>
      <c r="P890" s="77"/>
      <c r="Q890" s="62"/>
      <c r="R890" s="71"/>
      <c r="S890" s="71"/>
      <c r="T890" s="71"/>
      <c r="U890" s="68"/>
    </row>
    <row r="891" spans="2:21">
      <c r="B891" s="62"/>
      <c r="C891" s="62"/>
      <c r="D891" s="80"/>
      <c r="E891" s="80"/>
      <c r="F891" s="81"/>
      <c r="G891" s="72"/>
      <c r="H891" s="76"/>
      <c r="I891" s="62"/>
      <c r="J891" s="62"/>
      <c r="K891" s="54"/>
      <c r="L891" s="74"/>
      <c r="M891" s="62"/>
      <c r="N891" s="62"/>
      <c r="O891" s="62"/>
      <c r="P891" s="77"/>
      <c r="Q891" s="62"/>
      <c r="R891" s="71"/>
      <c r="S891" s="71"/>
      <c r="T891" s="71"/>
      <c r="U891" s="68"/>
    </row>
    <row r="892" spans="2:21">
      <c r="B892" s="62"/>
      <c r="C892" s="62"/>
      <c r="D892" s="80"/>
      <c r="E892" s="80"/>
      <c r="F892" s="81"/>
      <c r="G892" s="72"/>
      <c r="H892" s="76"/>
      <c r="I892" s="62"/>
      <c r="J892" s="62"/>
      <c r="K892" s="54"/>
      <c r="L892" s="74"/>
      <c r="M892" s="62"/>
      <c r="N892" s="62"/>
      <c r="O892" s="62"/>
      <c r="P892" s="77"/>
      <c r="Q892" s="62"/>
      <c r="R892" s="71"/>
      <c r="S892" s="71"/>
      <c r="T892" s="71"/>
      <c r="U892" s="68"/>
    </row>
    <row r="893" spans="2:21">
      <c r="B893" s="62"/>
      <c r="C893" s="62"/>
      <c r="D893" s="80"/>
      <c r="E893" s="80"/>
      <c r="F893" s="81"/>
      <c r="G893" s="72"/>
      <c r="H893" s="76"/>
      <c r="I893" s="62"/>
      <c r="J893" s="62"/>
      <c r="K893" s="54"/>
      <c r="L893" s="74"/>
      <c r="M893" s="62"/>
      <c r="N893" s="62"/>
      <c r="O893" s="62"/>
      <c r="P893" s="77"/>
      <c r="Q893" s="62"/>
      <c r="R893" s="71"/>
      <c r="S893" s="71"/>
      <c r="T893" s="71"/>
      <c r="U893" s="68"/>
    </row>
    <row r="894" spans="2:21">
      <c r="B894" s="62"/>
      <c r="C894" s="62"/>
      <c r="D894" s="80"/>
      <c r="E894" s="80"/>
      <c r="F894" s="81"/>
      <c r="G894" s="72"/>
      <c r="H894" s="76"/>
      <c r="I894" s="62"/>
      <c r="J894" s="62"/>
      <c r="K894" s="54"/>
      <c r="L894" s="74"/>
      <c r="M894" s="62"/>
      <c r="N894" s="62"/>
      <c r="O894" s="62"/>
      <c r="P894" s="77"/>
      <c r="Q894" s="62"/>
      <c r="R894" s="71"/>
      <c r="S894" s="71"/>
      <c r="T894" s="71"/>
      <c r="U894" s="68"/>
    </row>
    <row r="895" spans="2:21">
      <c r="B895" s="62"/>
      <c r="C895" s="62"/>
      <c r="D895" s="80"/>
      <c r="E895" s="80"/>
      <c r="F895" s="81"/>
      <c r="G895" s="72"/>
      <c r="H895" s="76"/>
      <c r="I895" s="62"/>
      <c r="J895" s="62"/>
      <c r="K895" s="54"/>
      <c r="L895" s="74"/>
      <c r="M895" s="62"/>
      <c r="N895" s="62"/>
      <c r="O895" s="62"/>
      <c r="P895" s="77"/>
      <c r="Q895" s="62"/>
      <c r="R895" s="71"/>
      <c r="S895" s="71"/>
      <c r="T895" s="71"/>
      <c r="U895" s="68"/>
    </row>
    <row r="896" spans="2:21">
      <c r="B896" s="62"/>
      <c r="C896" s="62"/>
      <c r="D896" s="80"/>
      <c r="E896" s="80"/>
      <c r="F896" s="81"/>
      <c r="G896" s="72"/>
      <c r="H896" s="76"/>
      <c r="I896" s="62"/>
      <c r="J896" s="62"/>
      <c r="K896" s="54"/>
      <c r="L896" s="74"/>
      <c r="M896" s="62"/>
      <c r="N896" s="62"/>
      <c r="O896" s="62"/>
      <c r="P896" s="77"/>
      <c r="Q896" s="62"/>
      <c r="R896" s="71"/>
      <c r="S896" s="71"/>
      <c r="T896" s="71"/>
      <c r="U896" s="68"/>
    </row>
    <row r="897" spans="2:21">
      <c r="B897" s="62"/>
      <c r="C897" s="62"/>
      <c r="D897" s="80"/>
      <c r="E897" s="80"/>
      <c r="F897" s="81"/>
      <c r="G897" s="72"/>
      <c r="H897" s="76"/>
      <c r="I897" s="62"/>
      <c r="J897" s="62"/>
      <c r="K897" s="54"/>
      <c r="L897" s="74"/>
      <c r="M897" s="62"/>
      <c r="N897" s="62"/>
      <c r="O897" s="62"/>
      <c r="P897" s="77"/>
      <c r="Q897" s="62"/>
      <c r="R897" s="71"/>
      <c r="S897" s="71"/>
      <c r="T897" s="71"/>
      <c r="U897" s="68"/>
    </row>
    <row r="898" spans="2:21">
      <c r="B898" s="62"/>
      <c r="C898" s="62"/>
      <c r="D898" s="80"/>
      <c r="E898" s="80"/>
      <c r="F898" s="81"/>
      <c r="G898" s="72"/>
      <c r="H898" s="76"/>
      <c r="I898" s="62"/>
      <c r="J898" s="62"/>
      <c r="K898" s="54"/>
      <c r="L898" s="74"/>
      <c r="M898" s="62"/>
      <c r="N898" s="62"/>
      <c r="O898" s="62"/>
      <c r="P898" s="77"/>
      <c r="Q898" s="62"/>
      <c r="R898" s="71"/>
      <c r="S898" s="71"/>
      <c r="T898" s="71"/>
      <c r="U898" s="68"/>
    </row>
    <row r="899" spans="2:21">
      <c r="B899" s="62"/>
      <c r="C899" s="62"/>
      <c r="D899" s="80"/>
      <c r="E899" s="80"/>
      <c r="F899" s="81"/>
      <c r="G899" s="72"/>
      <c r="H899" s="76"/>
      <c r="I899" s="62"/>
      <c r="J899" s="62"/>
      <c r="K899" s="54"/>
      <c r="L899" s="74"/>
      <c r="M899" s="62"/>
      <c r="N899" s="62"/>
      <c r="O899" s="62"/>
      <c r="P899" s="77"/>
      <c r="Q899" s="62"/>
      <c r="R899" s="71"/>
      <c r="S899" s="71"/>
      <c r="T899" s="71"/>
      <c r="U899" s="68"/>
    </row>
    <row r="900" spans="2:21">
      <c r="B900" s="62"/>
      <c r="C900" s="62"/>
      <c r="D900" s="80"/>
      <c r="E900" s="80"/>
      <c r="F900" s="81"/>
      <c r="G900" s="72"/>
      <c r="H900" s="76"/>
      <c r="I900" s="62"/>
      <c r="J900" s="62"/>
      <c r="K900" s="54"/>
      <c r="L900" s="74"/>
      <c r="M900" s="62"/>
      <c r="N900" s="62"/>
      <c r="O900" s="62"/>
      <c r="P900" s="77"/>
      <c r="Q900" s="62"/>
      <c r="R900" s="71"/>
      <c r="S900" s="71"/>
      <c r="T900" s="71"/>
      <c r="U900" s="68"/>
    </row>
    <row r="901" spans="2:21">
      <c r="B901" s="62"/>
      <c r="C901" s="62"/>
      <c r="D901" s="80"/>
      <c r="E901" s="80"/>
      <c r="F901" s="81"/>
      <c r="G901" s="72"/>
      <c r="H901" s="76"/>
      <c r="I901" s="62"/>
      <c r="J901" s="62"/>
      <c r="K901" s="54"/>
      <c r="L901" s="74"/>
      <c r="M901" s="62"/>
      <c r="N901" s="62"/>
      <c r="O901" s="62"/>
      <c r="P901" s="77"/>
      <c r="Q901" s="62"/>
      <c r="R901" s="71"/>
      <c r="S901" s="71"/>
      <c r="T901" s="71"/>
      <c r="U901" s="68"/>
    </row>
    <row r="902" spans="2:21">
      <c r="B902" s="62"/>
      <c r="C902" s="62"/>
      <c r="D902" s="80"/>
      <c r="E902" s="80"/>
      <c r="F902" s="81"/>
      <c r="G902" s="72"/>
      <c r="H902" s="76"/>
      <c r="I902" s="62"/>
      <c r="J902" s="62"/>
      <c r="K902" s="54"/>
      <c r="L902" s="74"/>
      <c r="M902" s="62"/>
      <c r="N902" s="62"/>
      <c r="O902" s="62"/>
      <c r="P902" s="77"/>
      <c r="Q902" s="62"/>
      <c r="R902" s="71"/>
      <c r="S902" s="71"/>
      <c r="T902" s="71"/>
      <c r="U902" s="68"/>
    </row>
    <row r="903" spans="2:21">
      <c r="B903" s="62"/>
      <c r="C903" s="62"/>
      <c r="D903" s="80"/>
      <c r="E903" s="80"/>
      <c r="F903" s="81"/>
      <c r="G903" s="72"/>
      <c r="H903" s="76"/>
      <c r="I903" s="62"/>
      <c r="J903" s="62"/>
      <c r="K903" s="54"/>
      <c r="L903" s="74"/>
      <c r="M903" s="62"/>
      <c r="N903" s="62"/>
      <c r="O903" s="62"/>
      <c r="P903" s="77"/>
      <c r="Q903" s="62"/>
      <c r="R903" s="71"/>
      <c r="S903" s="71"/>
      <c r="T903" s="71"/>
      <c r="U903" s="68"/>
    </row>
    <row r="904" spans="2:21">
      <c r="B904" s="62"/>
      <c r="C904" s="62"/>
      <c r="D904" s="80"/>
      <c r="E904" s="80"/>
      <c r="F904" s="81"/>
      <c r="G904" s="72"/>
      <c r="H904" s="76"/>
      <c r="I904" s="62"/>
      <c r="J904" s="62"/>
      <c r="K904" s="54"/>
      <c r="L904" s="74"/>
      <c r="M904" s="62"/>
      <c r="N904" s="62"/>
      <c r="O904" s="62"/>
      <c r="P904" s="77"/>
      <c r="Q904" s="62"/>
      <c r="R904" s="71"/>
      <c r="S904" s="71"/>
      <c r="T904" s="71"/>
      <c r="U904" s="68"/>
    </row>
    <row r="905" spans="2:21">
      <c r="B905" s="62"/>
      <c r="C905" s="62"/>
      <c r="D905" s="80"/>
      <c r="E905" s="80"/>
      <c r="F905" s="81"/>
      <c r="G905" s="72"/>
      <c r="H905" s="76"/>
      <c r="I905" s="62"/>
      <c r="J905" s="62"/>
      <c r="K905" s="54"/>
      <c r="L905" s="74"/>
      <c r="M905" s="62"/>
      <c r="N905" s="62"/>
      <c r="O905" s="62"/>
      <c r="P905" s="77"/>
      <c r="Q905" s="62"/>
      <c r="R905" s="71"/>
      <c r="S905" s="71"/>
      <c r="T905" s="71"/>
      <c r="U905" s="68"/>
    </row>
    <row r="906" spans="2:21">
      <c r="B906" s="62"/>
      <c r="C906" s="62"/>
      <c r="D906" s="80"/>
      <c r="E906" s="80"/>
      <c r="F906" s="81"/>
      <c r="G906" s="72"/>
      <c r="H906" s="76"/>
      <c r="I906" s="62"/>
      <c r="J906" s="62"/>
      <c r="K906" s="54"/>
      <c r="L906" s="74"/>
      <c r="M906" s="62"/>
      <c r="N906" s="62"/>
      <c r="O906" s="62"/>
      <c r="P906" s="77"/>
      <c r="Q906" s="62"/>
      <c r="R906" s="71"/>
      <c r="S906" s="71"/>
      <c r="T906" s="71"/>
      <c r="U906" s="68"/>
    </row>
    <row r="907" spans="2:21">
      <c r="B907" s="62"/>
      <c r="C907" s="62"/>
      <c r="D907" s="80"/>
      <c r="E907" s="80"/>
      <c r="F907" s="81"/>
      <c r="G907" s="72"/>
      <c r="H907" s="76"/>
      <c r="I907" s="62"/>
      <c r="J907" s="62"/>
      <c r="K907" s="54"/>
      <c r="L907" s="74"/>
      <c r="M907" s="62"/>
      <c r="N907" s="62"/>
      <c r="O907" s="62"/>
      <c r="P907" s="77"/>
      <c r="Q907" s="62"/>
      <c r="R907" s="71"/>
      <c r="S907" s="71"/>
      <c r="T907" s="71"/>
      <c r="U907" s="68"/>
    </row>
    <row r="908" spans="2:21">
      <c r="B908" s="62"/>
      <c r="C908" s="62"/>
      <c r="D908" s="80"/>
      <c r="E908" s="80"/>
      <c r="F908" s="81"/>
      <c r="G908" s="72"/>
      <c r="H908" s="76"/>
      <c r="I908" s="62"/>
      <c r="J908" s="62"/>
      <c r="K908" s="54"/>
      <c r="L908" s="74"/>
      <c r="M908" s="62"/>
      <c r="N908" s="62"/>
      <c r="O908" s="62"/>
      <c r="P908" s="77"/>
      <c r="Q908" s="62"/>
      <c r="R908" s="71"/>
      <c r="S908" s="71"/>
      <c r="T908" s="71"/>
      <c r="U908" s="68"/>
    </row>
    <row r="909" spans="2:21">
      <c r="B909" s="62"/>
      <c r="C909" s="62"/>
      <c r="D909" s="80"/>
      <c r="E909" s="80"/>
      <c r="F909" s="81"/>
      <c r="G909" s="72"/>
      <c r="H909" s="76"/>
      <c r="I909" s="62"/>
      <c r="J909" s="62"/>
      <c r="K909" s="54"/>
      <c r="L909" s="74"/>
      <c r="M909" s="62"/>
      <c r="N909" s="62"/>
      <c r="O909" s="62"/>
      <c r="P909" s="77"/>
      <c r="Q909" s="62"/>
      <c r="R909" s="71"/>
      <c r="S909" s="71"/>
      <c r="T909" s="71"/>
      <c r="U909" s="68"/>
    </row>
    <row r="910" spans="2:21">
      <c r="B910" s="62"/>
      <c r="C910" s="62"/>
      <c r="D910" s="80"/>
      <c r="E910" s="80"/>
      <c r="F910" s="81"/>
      <c r="G910" s="72"/>
      <c r="H910" s="76"/>
      <c r="I910" s="62"/>
      <c r="J910" s="62"/>
      <c r="K910" s="54"/>
      <c r="L910" s="74"/>
      <c r="M910" s="62"/>
      <c r="N910" s="62"/>
      <c r="O910" s="62"/>
      <c r="P910" s="77"/>
      <c r="Q910" s="62"/>
      <c r="R910" s="71"/>
      <c r="S910" s="71"/>
      <c r="T910" s="71"/>
      <c r="U910" s="68"/>
    </row>
    <row r="911" spans="2:21">
      <c r="B911" s="62"/>
      <c r="C911" s="62"/>
      <c r="D911" s="80"/>
      <c r="E911" s="80"/>
      <c r="F911" s="81"/>
      <c r="G911" s="72"/>
      <c r="H911" s="76"/>
      <c r="I911" s="62"/>
      <c r="J911" s="62"/>
      <c r="K911" s="54"/>
      <c r="L911" s="74"/>
      <c r="M911" s="62"/>
      <c r="N911" s="62"/>
      <c r="O911" s="62"/>
      <c r="P911" s="77"/>
      <c r="Q911" s="62"/>
      <c r="R911" s="71"/>
      <c r="S911" s="71"/>
      <c r="T911" s="71"/>
      <c r="U911" s="68"/>
    </row>
    <row r="912" spans="2:21">
      <c r="B912" s="62"/>
      <c r="C912" s="62"/>
      <c r="D912" s="80"/>
      <c r="E912" s="80"/>
      <c r="F912" s="81"/>
      <c r="G912" s="72"/>
      <c r="H912" s="76"/>
      <c r="I912" s="62"/>
      <c r="J912" s="62"/>
      <c r="K912" s="54"/>
      <c r="L912" s="74"/>
      <c r="M912" s="62"/>
      <c r="N912" s="62"/>
      <c r="O912" s="62"/>
      <c r="P912" s="77"/>
      <c r="Q912" s="62"/>
      <c r="R912" s="71"/>
      <c r="S912" s="71"/>
      <c r="T912" s="71"/>
      <c r="U912" s="68"/>
    </row>
    <row r="913" spans="2:21">
      <c r="B913" s="62"/>
      <c r="C913" s="62"/>
      <c r="D913" s="80"/>
      <c r="E913" s="80"/>
      <c r="F913" s="81"/>
      <c r="G913" s="72"/>
      <c r="H913" s="76"/>
      <c r="I913" s="62"/>
      <c r="J913" s="62"/>
      <c r="K913" s="54"/>
      <c r="L913" s="74"/>
      <c r="M913" s="62"/>
      <c r="N913" s="62"/>
      <c r="O913" s="62"/>
      <c r="P913" s="77"/>
      <c r="Q913" s="62"/>
      <c r="R913" s="71"/>
      <c r="S913" s="71"/>
      <c r="T913" s="71"/>
      <c r="U913" s="68"/>
    </row>
    <row r="914" spans="2:21">
      <c r="B914" s="62"/>
      <c r="C914" s="62"/>
      <c r="D914" s="80"/>
      <c r="E914" s="80"/>
      <c r="F914" s="81"/>
      <c r="G914" s="72"/>
      <c r="H914" s="76"/>
      <c r="I914" s="62"/>
      <c r="J914" s="62"/>
      <c r="K914" s="54"/>
      <c r="L914" s="74"/>
      <c r="M914" s="62"/>
      <c r="N914" s="62"/>
      <c r="O914" s="62"/>
      <c r="P914" s="77"/>
      <c r="Q914" s="62"/>
      <c r="R914" s="71"/>
      <c r="S914" s="71"/>
      <c r="T914" s="71"/>
      <c r="U914" s="68"/>
    </row>
    <row r="915" spans="2:21">
      <c r="B915" s="62"/>
      <c r="C915" s="62"/>
      <c r="D915" s="80"/>
      <c r="E915" s="80"/>
      <c r="F915" s="81"/>
      <c r="G915" s="72"/>
      <c r="H915" s="76"/>
      <c r="I915" s="62"/>
      <c r="J915" s="62"/>
      <c r="K915" s="54"/>
      <c r="L915" s="74"/>
      <c r="M915" s="62"/>
      <c r="N915" s="62"/>
      <c r="O915" s="62"/>
      <c r="P915" s="77"/>
      <c r="Q915" s="62"/>
      <c r="R915" s="71"/>
      <c r="S915" s="71"/>
      <c r="T915" s="71"/>
      <c r="U915" s="68"/>
    </row>
    <row r="916" spans="2:21">
      <c r="B916" s="62"/>
      <c r="C916" s="62"/>
      <c r="D916" s="80"/>
      <c r="E916" s="80"/>
      <c r="F916" s="81"/>
      <c r="G916" s="72"/>
      <c r="H916" s="76"/>
      <c r="I916" s="62"/>
      <c r="J916" s="62"/>
      <c r="K916" s="54"/>
      <c r="L916" s="74"/>
      <c r="M916" s="62"/>
      <c r="N916" s="62"/>
      <c r="O916" s="62"/>
      <c r="P916" s="77"/>
      <c r="Q916" s="62"/>
      <c r="R916" s="71"/>
      <c r="S916" s="71"/>
      <c r="T916" s="71"/>
      <c r="U916" s="68"/>
    </row>
    <row r="917" spans="2:21">
      <c r="B917" s="62"/>
      <c r="C917" s="62"/>
      <c r="D917" s="80"/>
      <c r="E917" s="80"/>
      <c r="F917" s="81"/>
      <c r="G917" s="72"/>
      <c r="H917" s="76"/>
      <c r="I917" s="62"/>
      <c r="J917" s="62"/>
      <c r="K917" s="54"/>
      <c r="L917" s="74"/>
      <c r="M917" s="62"/>
      <c r="N917" s="62"/>
      <c r="O917" s="62"/>
      <c r="P917" s="77"/>
      <c r="Q917" s="62"/>
      <c r="R917" s="71"/>
      <c r="S917" s="71"/>
      <c r="T917" s="71"/>
      <c r="U917" s="68"/>
    </row>
    <row r="918" spans="2:21">
      <c r="B918" s="62"/>
      <c r="C918" s="62"/>
      <c r="D918" s="80"/>
      <c r="E918" s="80"/>
      <c r="F918" s="81"/>
      <c r="G918" s="72"/>
      <c r="H918" s="76"/>
      <c r="I918" s="62"/>
      <c r="J918" s="62"/>
      <c r="K918" s="54"/>
      <c r="L918" s="74"/>
      <c r="M918" s="62"/>
      <c r="N918" s="62"/>
      <c r="O918" s="62"/>
      <c r="P918" s="77"/>
      <c r="Q918" s="62"/>
      <c r="R918" s="71"/>
      <c r="S918" s="71"/>
      <c r="T918" s="71"/>
      <c r="U918" s="68"/>
    </row>
    <row r="919" spans="2:21">
      <c r="B919" s="62"/>
      <c r="C919" s="62"/>
      <c r="D919" s="80"/>
      <c r="E919" s="80"/>
      <c r="F919" s="81"/>
      <c r="G919" s="72"/>
      <c r="H919" s="76"/>
      <c r="I919" s="62"/>
      <c r="J919" s="62"/>
      <c r="K919" s="54"/>
      <c r="L919" s="74"/>
      <c r="M919" s="62"/>
      <c r="N919" s="62"/>
      <c r="O919" s="62"/>
      <c r="P919" s="77"/>
      <c r="Q919" s="62"/>
      <c r="R919" s="71"/>
      <c r="S919" s="71"/>
      <c r="T919" s="71"/>
      <c r="U919" s="68"/>
    </row>
    <row r="920" spans="2:21">
      <c r="B920" s="62"/>
      <c r="C920" s="62"/>
      <c r="D920" s="80"/>
      <c r="E920" s="80"/>
      <c r="F920" s="81"/>
      <c r="G920" s="72"/>
      <c r="H920" s="76"/>
      <c r="I920" s="62"/>
      <c r="J920" s="62"/>
      <c r="K920" s="54"/>
      <c r="L920" s="74"/>
      <c r="M920" s="62"/>
      <c r="N920" s="62"/>
      <c r="O920" s="62"/>
      <c r="P920" s="77"/>
      <c r="Q920" s="62"/>
      <c r="R920" s="71"/>
      <c r="S920" s="71"/>
      <c r="T920" s="71"/>
      <c r="U920" s="68"/>
    </row>
    <row r="921" spans="2:21">
      <c r="B921" s="62"/>
      <c r="C921" s="62"/>
      <c r="D921" s="80"/>
      <c r="E921" s="80"/>
      <c r="F921" s="81"/>
      <c r="G921" s="72"/>
      <c r="H921" s="76"/>
      <c r="I921" s="62"/>
      <c r="J921" s="62"/>
      <c r="K921" s="54"/>
      <c r="L921" s="74"/>
      <c r="M921" s="62"/>
      <c r="N921" s="62"/>
      <c r="O921" s="62"/>
      <c r="P921" s="77"/>
      <c r="Q921" s="62"/>
      <c r="R921" s="71"/>
      <c r="S921" s="71"/>
      <c r="T921" s="71"/>
      <c r="U921" s="68"/>
    </row>
    <row r="922" spans="2:21">
      <c r="B922" s="62"/>
      <c r="C922" s="62"/>
      <c r="D922" s="80"/>
      <c r="E922" s="80"/>
      <c r="F922" s="81"/>
      <c r="G922" s="72"/>
      <c r="H922" s="76"/>
      <c r="I922" s="62"/>
      <c r="J922" s="62"/>
      <c r="K922" s="54"/>
      <c r="L922" s="74"/>
      <c r="M922" s="62"/>
      <c r="N922" s="62"/>
      <c r="O922" s="62"/>
      <c r="P922" s="77"/>
      <c r="Q922" s="62"/>
      <c r="R922" s="71"/>
      <c r="S922" s="71"/>
      <c r="T922" s="71"/>
      <c r="U922" s="68"/>
    </row>
    <row r="923" spans="2:21">
      <c r="B923" s="62"/>
      <c r="C923" s="62"/>
      <c r="D923" s="80"/>
      <c r="E923" s="80"/>
      <c r="F923" s="81"/>
      <c r="G923" s="72"/>
      <c r="H923" s="76"/>
      <c r="I923" s="62"/>
      <c r="J923" s="62"/>
      <c r="K923" s="54"/>
      <c r="L923" s="74"/>
      <c r="M923" s="62"/>
      <c r="N923" s="62"/>
      <c r="O923" s="62"/>
      <c r="P923" s="77"/>
      <c r="Q923" s="62"/>
      <c r="R923" s="71"/>
      <c r="S923" s="71"/>
      <c r="T923" s="71"/>
      <c r="U923" s="68"/>
    </row>
    <row r="924" spans="2:21">
      <c r="B924" s="62"/>
      <c r="C924" s="62"/>
      <c r="D924" s="80"/>
      <c r="E924" s="80"/>
      <c r="F924" s="81"/>
      <c r="G924" s="72"/>
      <c r="H924" s="76"/>
      <c r="I924" s="62"/>
      <c r="J924" s="62"/>
      <c r="K924" s="54"/>
      <c r="L924" s="74"/>
      <c r="M924" s="62"/>
      <c r="N924" s="62"/>
      <c r="O924" s="62"/>
      <c r="P924" s="77"/>
      <c r="Q924" s="62"/>
      <c r="R924" s="71"/>
      <c r="S924" s="71"/>
      <c r="T924" s="71"/>
      <c r="U924" s="68"/>
    </row>
    <row r="925" spans="2:21">
      <c r="B925" s="62"/>
      <c r="C925" s="62"/>
      <c r="D925" s="80"/>
      <c r="E925" s="80"/>
      <c r="F925" s="81"/>
      <c r="G925" s="72"/>
      <c r="H925" s="76"/>
      <c r="I925" s="62"/>
      <c r="J925" s="62"/>
      <c r="K925" s="54"/>
      <c r="L925" s="74"/>
      <c r="M925" s="62"/>
      <c r="N925" s="62"/>
      <c r="O925" s="62"/>
      <c r="P925" s="77"/>
      <c r="Q925" s="62"/>
      <c r="R925" s="71"/>
      <c r="S925" s="71"/>
      <c r="T925" s="71"/>
      <c r="U925" s="68"/>
    </row>
    <row r="926" spans="2:21">
      <c r="B926" s="62"/>
      <c r="C926" s="62"/>
      <c r="D926" s="80"/>
      <c r="E926" s="80"/>
      <c r="F926" s="81"/>
      <c r="G926" s="72"/>
      <c r="H926" s="76"/>
      <c r="I926" s="62"/>
      <c r="J926" s="62"/>
      <c r="K926" s="54"/>
      <c r="L926" s="74"/>
      <c r="M926" s="62"/>
      <c r="N926" s="62"/>
      <c r="O926" s="62"/>
      <c r="P926" s="77"/>
      <c r="Q926" s="62"/>
      <c r="R926" s="71"/>
      <c r="S926" s="71"/>
      <c r="T926" s="71"/>
      <c r="U926" s="68"/>
    </row>
    <row r="927" spans="2:21">
      <c r="B927" s="62"/>
      <c r="C927" s="62"/>
      <c r="D927" s="80"/>
      <c r="E927" s="80"/>
      <c r="F927" s="81"/>
      <c r="G927" s="72"/>
      <c r="H927" s="76"/>
      <c r="I927" s="62"/>
      <c r="J927" s="62"/>
      <c r="K927" s="54"/>
      <c r="L927" s="74"/>
      <c r="M927" s="62"/>
      <c r="N927" s="62"/>
      <c r="O927" s="62"/>
      <c r="P927" s="77"/>
      <c r="Q927" s="62"/>
      <c r="R927" s="71"/>
      <c r="S927" s="71"/>
      <c r="T927" s="71"/>
      <c r="U927" s="68"/>
    </row>
    <row r="928" spans="2:21">
      <c r="B928" s="62"/>
      <c r="C928" s="62"/>
      <c r="D928" s="80"/>
      <c r="E928" s="80"/>
      <c r="F928" s="81"/>
      <c r="G928" s="72"/>
      <c r="H928" s="76"/>
      <c r="I928" s="62"/>
      <c r="J928" s="62"/>
      <c r="K928" s="54"/>
      <c r="L928" s="74"/>
      <c r="M928" s="62"/>
      <c r="N928" s="62"/>
      <c r="O928" s="62"/>
      <c r="P928" s="77"/>
      <c r="Q928" s="62"/>
      <c r="R928" s="71"/>
      <c r="S928" s="71"/>
      <c r="T928" s="71"/>
      <c r="U928" s="68"/>
    </row>
    <row r="929" spans="2:21">
      <c r="B929" s="62"/>
      <c r="C929" s="62"/>
      <c r="D929" s="80"/>
      <c r="E929" s="80"/>
      <c r="F929" s="81"/>
      <c r="G929" s="72"/>
      <c r="H929" s="76"/>
      <c r="I929" s="62"/>
      <c r="J929" s="62"/>
      <c r="K929" s="54"/>
      <c r="L929" s="74"/>
      <c r="M929" s="62"/>
      <c r="N929" s="62"/>
      <c r="O929" s="62"/>
      <c r="P929" s="77"/>
      <c r="Q929" s="62"/>
      <c r="R929" s="71"/>
      <c r="S929" s="71"/>
      <c r="T929" s="71"/>
      <c r="U929" s="68"/>
    </row>
    <row r="930" spans="2:21">
      <c r="B930" s="62"/>
      <c r="C930" s="62"/>
      <c r="D930" s="80"/>
      <c r="E930" s="80"/>
      <c r="F930" s="81"/>
      <c r="G930" s="72"/>
      <c r="H930" s="76"/>
      <c r="I930" s="62"/>
      <c r="J930" s="62"/>
      <c r="K930" s="54"/>
      <c r="L930" s="74"/>
      <c r="M930" s="62"/>
      <c r="N930" s="62"/>
      <c r="O930" s="62"/>
      <c r="P930" s="77"/>
      <c r="Q930" s="62"/>
      <c r="R930" s="71"/>
      <c r="S930" s="71"/>
      <c r="T930" s="71"/>
      <c r="U930" s="68"/>
    </row>
    <row r="931" spans="2:21">
      <c r="B931" s="62"/>
      <c r="C931" s="62"/>
      <c r="D931" s="80"/>
      <c r="E931" s="80"/>
      <c r="F931" s="81"/>
      <c r="G931" s="72"/>
      <c r="H931" s="76"/>
      <c r="I931" s="62"/>
      <c r="J931" s="62"/>
      <c r="K931" s="54"/>
      <c r="L931" s="74"/>
      <c r="M931" s="62"/>
      <c r="N931" s="62"/>
      <c r="O931" s="62"/>
      <c r="P931" s="77"/>
      <c r="Q931" s="62"/>
      <c r="R931" s="71"/>
      <c r="S931" s="71"/>
      <c r="T931" s="71"/>
      <c r="U931" s="68"/>
    </row>
    <row r="932" spans="2:21">
      <c r="B932" s="62"/>
      <c r="C932" s="62"/>
      <c r="D932" s="80"/>
      <c r="E932" s="80"/>
      <c r="F932" s="81"/>
      <c r="G932" s="72"/>
      <c r="H932" s="76"/>
      <c r="I932" s="62"/>
      <c r="J932" s="62"/>
      <c r="K932" s="54"/>
      <c r="L932" s="74"/>
      <c r="M932" s="62"/>
      <c r="N932" s="62"/>
      <c r="O932" s="62"/>
      <c r="P932" s="77"/>
      <c r="Q932" s="62"/>
      <c r="R932" s="71"/>
      <c r="S932" s="71"/>
      <c r="T932" s="71"/>
      <c r="U932" s="68"/>
    </row>
    <row r="933" spans="2:21">
      <c r="B933" s="62"/>
      <c r="C933" s="62"/>
      <c r="D933" s="80"/>
      <c r="E933" s="80"/>
      <c r="F933" s="81"/>
      <c r="G933" s="72"/>
      <c r="H933" s="76"/>
      <c r="I933" s="62"/>
      <c r="J933" s="62"/>
      <c r="K933" s="54"/>
      <c r="L933" s="74"/>
      <c r="M933" s="62"/>
      <c r="N933" s="62"/>
      <c r="O933" s="62"/>
      <c r="P933" s="77"/>
      <c r="Q933" s="62"/>
      <c r="R933" s="71"/>
      <c r="S933" s="71"/>
      <c r="T933" s="71"/>
      <c r="U933" s="68"/>
    </row>
    <row r="934" spans="2:21">
      <c r="B934" s="62"/>
      <c r="C934" s="62"/>
      <c r="D934" s="80"/>
      <c r="E934" s="80"/>
      <c r="F934" s="81"/>
      <c r="G934" s="72"/>
      <c r="H934" s="76"/>
      <c r="I934" s="62"/>
      <c r="J934" s="62"/>
      <c r="K934" s="54"/>
      <c r="L934" s="74"/>
      <c r="M934" s="62"/>
      <c r="N934" s="62"/>
      <c r="O934" s="62"/>
      <c r="P934" s="77"/>
      <c r="Q934" s="62"/>
      <c r="R934" s="71"/>
      <c r="S934" s="71"/>
      <c r="T934" s="71"/>
      <c r="U934" s="68"/>
    </row>
    <row r="935" spans="2:21">
      <c r="B935" s="62"/>
      <c r="C935" s="62"/>
      <c r="D935" s="80"/>
      <c r="E935" s="80"/>
      <c r="F935" s="81"/>
      <c r="G935" s="72"/>
      <c r="H935" s="76"/>
      <c r="I935" s="62"/>
      <c r="J935" s="62"/>
      <c r="K935" s="54"/>
      <c r="L935" s="74"/>
      <c r="M935" s="62"/>
      <c r="N935" s="62"/>
      <c r="O935" s="62"/>
      <c r="P935" s="77"/>
      <c r="Q935" s="62"/>
      <c r="R935" s="71"/>
      <c r="S935" s="71"/>
      <c r="T935" s="71"/>
      <c r="U935" s="68"/>
    </row>
    <row r="936" spans="2:21">
      <c r="B936" s="62"/>
      <c r="C936" s="62"/>
      <c r="D936" s="80"/>
      <c r="E936" s="80"/>
      <c r="F936" s="81"/>
      <c r="G936" s="72"/>
      <c r="H936" s="76"/>
      <c r="I936" s="62"/>
      <c r="J936" s="62"/>
      <c r="K936" s="54"/>
      <c r="L936" s="74"/>
      <c r="M936" s="62"/>
      <c r="N936" s="62"/>
      <c r="O936" s="62"/>
      <c r="P936" s="77"/>
      <c r="Q936" s="62"/>
      <c r="R936" s="71"/>
      <c r="S936" s="71"/>
      <c r="T936" s="71"/>
      <c r="U936" s="68"/>
    </row>
    <row r="937" spans="2:21">
      <c r="B937" s="62"/>
      <c r="C937" s="62"/>
      <c r="D937" s="80"/>
      <c r="E937" s="80"/>
      <c r="F937" s="81"/>
      <c r="G937" s="72"/>
      <c r="H937" s="76"/>
      <c r="I937" s="62"/>
      <c r="J937" s="62"/>
      <c r="K937" s="54"/>
      <c r="L937" s="74"/>
      <c r="M937" s="62"/>
      <c r="N937" s="62"/>
      <c r="O937" s="62"/>
      <c r="P937" s="77"/>
      <c r="Q937" s="62"/>
      <c r="R937" s="71"/>
      <c r="S937" s="71"/>
      <c r="T937" s="71"/>
      <c r="U937" s="68"/>
    </row>
    <row r="938" spans="2:21">
      <c r="B938" s="62"/>
      <c r="C938" s="62"/>
      <c r="D938" s="80"/>
      <c r="E938" s="80"/>
      <c r="F938" s="81"/>
      <c r="G938" s="72"/>
      <c r="H938" s="76"/>
      <c r="I938" s="62"/>
      <c r="J938" s="62"/>
      <c r="K938" s="54"/>
      <c r="L938" s="74"/>
      <c r="M938" s="62"/>
      <c r="N938" s="62"/>
      <c r="O938" s="62"/>
      <c r="P938" s="77"/>
      <c r="Q938" s="62"/>
      <c r="R938" s="71"/>
      <c r="S938" s="71"/>
      <c r="T938" s="71"/>
      <c r="U938" s="68"/>
    </row>
    <row r="939" spans="2:21">
      <c r="B939" s="62"/>
      <c r="C939" s="62"/>
      <c r="D939" s="80"/>
      <c r="E939" s="80"/>
      <c r="F939" s="81"/>
      <c r="G939" s="72"/>
      <c r="H939" s="76"/>
      <c r="I939" s="62"/>
      <c r="J939" s="62"/>
      <c r="K939" s="54"/>
      <c r="L939" s="74"/>
      <c r="M939" s="62"/>
      <c r="N939" s="62"/>
      <c r="O939" s="62"/>
      <c r="P939" s="77"/>
      <c r="Q939" s="62"/>
      <c r="R939" s="71"/>
      <c r="S939" s="71"/>
      <c r="T939" s="71"/>
      <c r="U939" s="68"/>
    </row>
    <row r="940" spans="2:21">
      <c r="B940" s="62"/>
      <c r="C940" s="62"/>
      <c r="D940" s="80"/>
      <c r="E940" s="80"/>
      <c r="F940" s="81"/>
      <c r="G940" s="72"/>
      <c r="H940" s="76"/>
      <c r="I940" s="62"/>
      <c r="J940" s="62"/>
      <c r="K940" s="54"/>
      <c r="L940" s="74"/>
      <c r="M940" s="62"/>
      <c r="N940" s="62"/>
      <c r="O940" s="62"/>
      <c r="P940" s="77"/>
      <c r="Q940" s="62"/>
      <c r="R940" s="71"/>
      <c r="S940" s="71"/>
      <c r="T940" s="71"/>
      <c r="U940" s="68"/>
    </row>
    <row r="941" spans="2:21">
      <c r="B941" s="62"/>
      <c r="C941" s="62"/>
      <c r="D941" s="80"/>
      <c r="E941" s="80"/>
      <c r="F941" s="81"/>
      <c r="G941" s="72"/>
      <c r="H941" s="76"/>
      <c r="I941" s="62"/>
      <c r="J941" s="62"/>
      <c r="K941" s="54"/>
      <c r="L941" s="74"/>
      <c r="M941" s="62"/>
      <c r="N941" s="62"/>
      <c r="O941" s="62"/>
      <c r="P941" s="77"/>
      <c r="Q941" s="62"/>
      <c r="R941" s="71"/>
      <c r="S941" s="71"/>
      <c r="T941" s="71"/>
      <c r="U941" s="68"/>
    </row>
    <row r="942" spans="2:21">
      <c r="B942" s="62"/>
      <c r="C942" s="62"/>
      <c r="D942" s="80"/>
      <c r="E942" s="80"/>
      <c r="F942" s="81"/>
      <c r="G942" s="72"/>
      <c r="H942" s="76"/>
      <c r="I942" s="62"/>
      <c r="J942" s="62"/>
      <c r="K942" s="54"/>
      <c r="L942" s="74"/>
      <c r="M942" s="62"/>
      <c r="N942" s="62"/>
      <c r="O942" s="62"/>
      <c r="P942" s="77"/>
      <c r="Q942" s="62"/>
      <c r="R942" s="71"/>
      <c r="S942" s="71"/>
      <c r="T942" s="71"/>
      <c r="U942" s="68"/>
    </row>
    <row r="943" spans="2:21">
      <c r="B943" s="62"/>
      <c r="C943" s="62"/>
      <c r="D943" s="80"/>
      <c r="E943" s="80"/>
      <c r="F943" s="81"/>
      <c r="G943" s="72"/>
      <c r="H943" s="76"/>
      <c r="I943" s="62"/>
      <c r="J943" s="62"/>
      <c r="K943" s="54"/>
      <c r="L943" s="74"/>
      <c r="M943" s="62"/>
      <c r="N943" s="62"/>
      <c r="O943" s="62"/>
      <c r="P943" s="77"/>
      <c r="Q943" s="62"/>
      <c r="R943" s="71"/>
      <c r="S943" s="71"/>
      <c r="T943" s="71"/>
      <c r="U943" s="68"/>
    </row>
    <row r="944" spans="2:21">
      <c r="B944" s="62"/>
      <c r="C944" s="62"/>
      <c r="D944" s="80"/>
      <c r="E944" s="80"/>
      <c r="F944" s="81"/>
      <c r="G944" s="72"/>
      <c r="H944" s="76"/>
      <c r="I944" s="62"/>
      <c r="J944" s="62"/>
      <c r="K944" s="54"/>
      <c r="L944" s="74"/>
      <c r="M944" s="62"/>
      <c r="N944" s="62"/>
      <c r="O944" s="62"/>
      <c r="P944" s="77"/>
      <c r="Q944" s="62"/>
      <c r="R944" s="71"/>
      <c r="S944" s="71"/>
      <c r="T944" s="71"/>
      <c r="U944" s="68"/>
    </row>
    <row r="945" spans="2:21">
      <c r="B945" s="62"/>
      <c r="C945" s="62"/>
      <c r="D945" s="80"/>
      <c r="E945" s="80"/>
      <c r="F945" s="81"/>
      <c r="G945" s="72"/>
      <c r="H945" s="76"/>
      <c r="I945" s="62"/>
      <c r="J945" s="62"/>
      <c r="K945" s="54"/>
      <c r="L945" s="74"/>
      <c r="M945" s="62"/>
      <c r="N945" s="62"/>
      <c r="O945" s="62"/>
      <c r="P945" s="77"/>
      <c r="Q945" s="62"/>
      <c r="R945" s="71"/>
      <c r="S945" s="71"/>
      <c r="T945" s="71"/>
      <c r="U945" s="68"/>
    </row>
    <row r="946" spans="2:21">
      <c r="B946" s="62"/>
      <c r="C946" s="62"/>
      <c r="D946" s="80"/>
      <c r="E946" s="80"/>
      <c r="F946" s="81"/>
      <c r="G946" s="72"/>
      <c r="H946" s="76"/>
      <c r="I946" s="62"/>
      <c r="J946" s="62"/>
      <c r="K946" s="54"/>
      <c r="L946" s="74"/>
      <c r="M946" s="62"/>
      <c r="N946" s="62"/>
      <c r="O946" s="62"/>
      <c r="P946" s="77"/>
      <c r="Q946" s="62"/>
      <c r="R946" s="71"/>
      <c r="S946" s="71"/>
      <c r="T946" s="71"/>
      <c r="U946" s="68"/>
    </row>
    <row r="947" spans="2:21">
      <c r="B947" s="62"/>
      <c r="C947" s="62"/>
      <c r="D947" s="80"/>
      <c r="E947" s="80"/>
      <c r="F947" s="81"/>
      <c r="G947" s="72"/>
      <c r="H947" s="76"/>
      <c r="I947" s="62"/>
      <c r="J947" s="62"/>
      <c r="K947" s="54"/>
      <c r="L947" s="74"/>
      <c r="M947" s="62"/>
      <c r="N947" s="62"/>
      <c r="O947" s="62"/>
      <c r="P947" s="77"/>
      <c r="Q947" s="62"/>
      <c r="R947" s="71"/>
      <c r="S947" s="71"/>
      <c r="T947" s="71"/>
      <c r="U947" s="68"/>
    </row>
    <row r="948" spans="2:21">
      <c r="B948" s="62"/>
      <c r="C948" s="62"/>
      <c r="D948" s="80"/>
      <c r="E948" s="80"/>
      <c r="F948" s="81"/>
      <c r="G948" s="72"/>
      <c r="H948" s="76"/>
      <c r="I948" s="62"/>
      <c r="J948" s="62"/>
      <c r="K948" s="54"/>
      <c r="L948" s="74"/>
      <c r="M948" s="62"/>
      <c r="N948" s="62"/>
      <c r="O948" s="62"/>
      <c r="P948" s="77"/>
      <c r="Q948" s="62"/>
      <c r="R948" s="71"/>
      <c r="S948" s="71"/>
      <c r="T948" s="71"/>
      <c r="U948" s="68"/>
    </row>
    <row r="949" spans="2:21">
      <c r="B949" s="62"/>
      <c r="C949" s="62"/>
      <c r="D949" s="80"/>
      <c r="E949" s="80"/>
      <c r="F949" s="81"/>
      <c r="G949" s="72"/>
      <c r="H949" s="76"/>
      <c r="I949" s="62"/>
      <c r="J949" s="62"/>
      <c r="K949" s="54"/>
      <c r="L949" s="74"/>
      <c r="M949" s="62"/>
      <c r="N949" s="62"/>
      <c r="O949" s="62"/>
      <c r="P949" s="77"/>
      <c r="Q949" s="62"/>
      <c r="R949" s="71"/>
      <c r="S949" s="71"/>
      <c r="T949" s="71"/>
      <c r="U949" s="68"/>
    </row>
    <row r="950" spans="2:21">
      <c r="B950" s="62"/>
      <c r="C950" s="62"/>
      <c r="D950" s="80"/>
      <c r="E950" s="80"/>
      <c r="F950" s="81"/>
      <c r="G950" s="72"/>
      <c r="H950" s="76"/>
      <c r="I950" s="62"/>
      <c r="J950" s="62"/>
      <c r="K950" s="54"/>
      <c r="L950" s="74"/>
      <c r="M950" s="62"/>
      <c r="N950" s="62"/>
      <c r="O950" s="62"/>
      <c r="P950" s="77"/>
      <c r="Q950" s="62"/>
      <c r="R950" s="71"/>
      <c r="S950" s="71"/>
      <c r="T950" s="71"/>
      <c r="U950" s="68"/>
    </row>
    <row r="951" spans="2:21">
      <c r="B951" s="62"/>
      <c r="C951" s="62"/>
      <c r="D951" s="80"/>
      <c r="E951" s="80"/>
      <c r="F951" s="81"/>
      <c r="G951" s="72"/>
      <c r="H951" s="76"/>
      <c r="I951" s="62"/>
      <c r="J951" s="62"/>
      <c r="K951" s="54"/>
      <c r="L951" s="74"/>
      <c r="M951" s="62"/>
      <c r="N951" s="62"/>
      <c r="O951" s="62"/>
      <c r="P951" s="77"/>
      <c r="Q951" s="62"/>
      <c r="R951" s="71"/>
      <c r="S951" s="71"/>
      <c r="T951" s="71"/>
      <c r="U951" s="68"/>
    </row>
    <row r="952" spans="2:21">
      <c r="B952" s="62"/>
      <c r="C952" s="62"/>
      <c r="D952" s="80"/>
      <c r="E952" s="80"/>
      <c r="F952" s="81"/>
      <c r="G952" s="72"/>
      <c r="H952" s="76"/>
      <c r="I952" s="62"/>
      <c r="J952" s="62"/>
      <c r="K952" s="54"/>
      <c r="L952" s="74"/>
      <c r="M952" s="62"/>
      <c r="N952" s="62"/>
      <c r="O952" s="62"/>
      <c r="P952" s="77"/>
      <c r="Q952" s="62"/>
      <c r="R952" s="71"/>
      <c r="S952" s="71"/>
      <c r="T952" s="71"/>
      <c r="U952" s="68"/>
    </row>
    <row r="953" spans="2:21">
      <c r="B953" s="62"/>
      <c r="C953" s="62"/>
      <c r="D953" s="80"/>
      <c r="E953" s="80"/>
      <c r="F953" s="81"/>
      <c r="G953" s="72"/>
      <c r="H953" s="76"/>
      <c r="I953" s="62"/>
      <c r="J953" s="62"/>
      <c r="K953" s="54"/>
      <c r="L953" s="74"/>
      <c r="M953" s="62"/>
      <c r="N953" s="62"/>
      <c r="O953" s="62"/>
      <c r="P953" s="77"/>
      <c r="Q953" s="62"/>
      <c r="R953" s="71"/>
      <c r="S953" s="71"/>
      <c r="T953" s="71"/>
      <c r="U953" s="68"/>
    </row>
    <row r="954" spans="2:21">
      <c r="B954" s="62"/>
      <c r="C954" s="62"/>
      <c r="D954" s="80"/>
      <c r="E954" s="80"/>
      <c r="F954" s="81"/>
      <c r="G954" s="72"/>
      <c r="H954" s="76"/>
      <c r="I954" s="62"/>
      <c r="J954" s="62"/>
      <c r="K954" s="54"/>
      <c r="L954" s="74"/>
      <c r="M954" s="62"/>
      <c r="N954" s="62"/>
      <c r="O954" s="62"/>
      <c r="P954" s="77"/>
      <c r="Q954" s="62"/>
      <c r="R954" s="71"/>
      <c r="S954" s="71"/>
      <c r="T954" s="71"/>
      <c r="U954" s="68"/>
    </row>
    <row r="955" spans="2:21">
      <c r="B955" s="62"/>
      <c r="C955" s="62"/>
      <c r="D955" s="80"/>
      <c r="E955" s="80"/>
      <c r="F955" s="81"/>
      <c r="G955" s="72"/>
      <c r="H955" s="76"/>
      <c r="I955" s="62"/>
      <c r="J955" s="62"/>
      <c r="K955" s="54"/>
      <c r="L955" s="74"/>
      <c r="M955" s="62"/>
      <c r="N955" s="62"/>
      <c r="O955" s="62"/>
      <c r="P955" s="77"/>
      <c r="Q955" s="62"/>
      <c r="R955" s="71"/>
      <c r="S955" s="71"/>
      <c r="T955" s="71"/>
      <c r="U955" s="68"/>
    </row>
    <row r="956" spans="2:21">
      <c r="B956" s="62"/>
      <c r="C956" s="62"/>
      <c r="D956" s="80"/>
      <c r="E956" s="80"/>
      <c r="F956" s="81"/>
      <c r="G956" s="72"/>
      <c r="H956" s="76"/>
      <c r="I956" s="62"/>
      <c r="J956" s="62"/>
      <c r="K956" s="54"/>
      <c r="L956" s="74"/>
      <c r="M956" s="62"/>
      <c r="N956" s="62"/>
      <c r="O956" s="62"/>
      <c r="P956" s="77"/>
      <c r="Q956" s="62"/>
      <c r="R956" s="71"/>
      <c r="S956" s="71"/>
      <c r="T956" s="71"/>
      <c r="U956" s="68"/>
    </row>
    <row r="957" spans="2:21">
      <c r="B957" s="62"/>
      <c r="C957" s="62"/>
      <c r="D957" s="80"/>
      <c r="E957" s="80"/>
      <c r="F957" s="81"/>
      <c r="G957" s="72"/>
      <c r="H957" s="76"/>
      <c r="I957" s="62"/>
      <c r="J957" s="62"/>
      <c r="K957" s="54"/>
      <c r="L957" s="74"/>
      <c r="M957" s="62"/>
      <c r="N957" s="62"/>
      <c r="O957" s="62"/>
      <c r="P957" s="77"/>
      <c r="Q957" s="62"/>
      <c r="R957" s="71"/>
      <c r="S957" s="71"/>
      <c r="T957" s="71"/>
      <c r="U957" s="68"/>
    </row>
    <row r="958" spans="2:21">
      <c r="B958" s="62"/>
      <c r="C958" s="62"/>
      <c r="D958" s="80"/>
      <c r="E958" s="80"/>
      <c r="F958" s="81"/>
      <c r="G958" s="72"/>
      <c r="H958" s="76"/>
      <c r="I958" s="62"/>
      <c r="J958" s="62"/>
      <c r="K958" s="54"/>
      <c r="L958" s="74"/>
      <c r="M958" s="62"/>
      <c r="N958" s="62"/>
      <c r="O958" s="62"/>
      <c r="P958" s="77"/>
      <c r="Q958" s="62"/>
      <c r="R958" s="71"/>
      <c r="S958" s="71"/>
      <c r="T958" s="71"/>
      <c r="U958" s="68"/>
    </row>
    <row r="959" spans="2:21">
      <c r="B959" s="62"/>
      <c r="C959" s="62"/>
      <c r="D959" s="80"/>
      <c r="E959" s="80"/>
      <c r="F959" s="81"/>
      <c r="G959" s="72"/>
      <c r="H959" s="76"/>
      <c r="I959" s="62"/>
      <c r="J959" s="62"/>
      <c r="K959" s="54"/>
      <c r="L959" s="74"/>
      <c r="M959" s="62"/>
      <c r="N959" s="62"/>
      <c r="O959" s="62"/>
      <c r="P959" s="77"/>
      <c r="Q959" s="62"/>
      <c r="R959" s="71"/>
      <c r="S959" s="71"/>
      <c r="T959" s="71"/>
      <c r="U959" s="68"/>
    </row>
    <row r="960" spans="2:21">
      <c r="B960" s="62"/>
      <c r="C960" s="62"/>
      <c r="D960" s="80"/>
      <c r="E960" s="80"/>
      <c r="F960" s="81"/>
      <c r="G960" s="72"/>
      <c r="H960" s="76"/>
      <c r="I960" s="62"/>
      <c r="J960" s="62"/>
      <c r="K960" s="54"/>
      <c r="L960" s="74"/>
      <c r="M960" s="62"/>
      <c r="N960" s="62"/>
      <c r="O960" s="62"/>
      <c r="P960" s="77"/>
      <c r="Q960" s="62"/>
      <c r="R960" s="71"/>
      <c r="S960" s="71"/>
      <c r="T960" s="71"/>
      <c r="U960" s="68"/>
    </row>
    <row r="961" spans="2:21">
      <c r="B961" s="62"/>
      <c r="C961" s="62"/>
      <c r="D961" s="80"/>
      <c r="E961" s="80"/>
      <c r="F961" s="81"/>
      <c r="G961" s="72"/>
      <c r="H961" s="76"/>
      <c r="I961" s="62"/>
      <c r="J961" s="62"/>
      <c r="K961" s="54"/>
      <c r="L961" s="74"/>
      <c r="M961" s="62"/>
      <c r="N961" s="62"/>
      <c r="O961" s="62"/>
      <c r="P961" s="77"/>
      <c r="Q961" s="62"/>
      <c r="R961" s="71"/>
      <c r="S961" s="71"/>
      <c r="T961" s="71"/>
      <c r="U961" s="68"/>
    </row>
    <row r="962" spans="2:21">
      <c r="B962" s="62"/>
      <c r="C962" s="62"/>
      <c r="D962" s="80"/>
      <c r="E962" s="80"/>
      <c r="F962" s="81"/>
      <c r="G962" s="72"/>
      <c r="H962" s="76"/>
      <c r="I962" s="62"/>
      <c r="J962" s="62"/>
      <c r="K962" s="54"/>
      <c r="L962" s="74"/>
      <c r="M962" s="62"/>
      <c r="N962" s="62"/>
      <c r="O962" s="62"/>
      <c r="P962" s="77"/>
      <c r="Q962" s="62"/>
      <c r="R962" s="71"/>
      <c r="S962" s="71"/>
      <c r="T962" s="71"/>
      <c r="U962" s="68"/>
    </row>
    <row r="963" spans="2:21">
      <c r="B963" s="62"/>
      <c r="C963" s="62"/>
      <c r="D963" s="80"/>
      <c r="E963" s="80"/>
      <c r="F963" s="81"/>
      <c r="G963" s="72"/>
      <c r="H963" s="76"/>
      <c r="I963" s="62"/>
      <c r="J963" s="62"/>
      <c r="K963" s="54"/>
      <c r="L963" s="74"/>
      <c r="M963" s="62"/>
      <c r="N963" s="62"/>
      <c r="O963" s="62"/>
      <c r="P963" s="77"/>
      <c r="Q963" s="62"/>
      <c r="R963" s="71"/>
      <c r="S963" s="71"/>
      <c r="T963" s="71"/>
      <c r="U963" s="68"/>
    </row>
    <row r="964" spans="2:21">
      <c r="B964" s="62"/>
      <c r="C964" s="62"/>
      <c r="D964" s="80"/>
      <c r="E964" s="80"/>
      <c r="F964" s="81"/>
      <c r="G964" s="72"/>
      <c r="H964" s="76"/>
      <c r="I964" s="62"/>
      <c r="J964" s="62"/>
      <c r="K964" s="54"/>
      <c r="L964" s="74"/>
      <c r="M964" s="62"/>
      <c r="N964" s="62"/>
      <c r="O964" s="62"/>
      <c r="P964" s="77"/>
      <c r="Q964" s="62"/>
      <c r="R964" s="71"/>
      <c r="S964" s="71"/>
      <c r="T964" s="71"/>
      <c r="U964" s="68"/>
    </row>
    <row r="965" spans="2:21">
      <c r="B965" s="62"/>
      <c r="C965" s="62"/>
      <c r="D965" s="80"/>
      <c r="E965" s="80"/>
      <c r="F965" s="81"/>
      <c r="G965" s="72"/>
      <c r="H965" s="76"/>
      <c r="I965" s="62"/>
      <c r="J965" s="62"/>
      <c r="K965" s="54"/>
      <c r="L965" s="74"/>
      <c r="M965" s="62"/>
      <c r="N965" s="62"/>
      <c r="O965" s="62"/>
      <c r="P965" s="77"/>
      <c r="Q965" s="62"/>
      <c r="R965" s="71"/>
      <c r="S965" s="71"/>
      <c r="T965" s="71"/>
      <c r="U965" s="68"/>
    </row>
    <row r="966" spans="2:21">
      <c r="B966" s="62"/>
      <c r="C966" s="62"/>
      <c r="D966" s="80"/>
      <c r="E966" s="80"/>
      <c r="F966" s="81"/>
      <c r="G966" s="72"/>
      <c r="H966" s="76"/>
      <c r="I966" s="62"/>
      <c r="J966" s="62"/>
      <c r="K966" s="54"/>
      <c r="L966" s="74"/>
      <c r="M966" s="62"/>
      <c r="N966" s="62"/>
      <c r="O966" s="62"/>
      <c r="P966" s="77"/>
      <c r="Q966" s="62"/>
      <c r="R966" s="71"/>
      <c r="S966" s="71"/>
      <c r="T966" s="71"/>
      <c r="U966" s="68"/>
    </row>
    <row r="967" spans="2:21">
      <c r="B967" s="62"/>
      <c r="C967" s="62"/>
      <c r="D967" s="80"/>
      <c r="E967" s="80"/>
      <c r="F967" s="81"/>
      <c r="G967" s="72"/>
      <c r="H967" s="76"/>
      <c r="I967" s="62"/>
      <c r="J967" s="62"/>
      <c r="K967" s="54"/>
      <c r="L967" s="74"/>
      <c r="M967" s="62"/>
      <c r="N967" s="62"/>
      <c r="O967" s="62"/>
      <c r="P967" s="77"/>
      <c r="Q967" s="62"/>
      <c r="R967" s="71"/>
      <c r="S967" s="71"/>
      <c r="T967" s="71"/>
      <c r="U967" s="68"/>
    </row>
    <row r="968" spans="2:21">
      <c r="B968" s="62"/>
      <c r="C968" s="62"/>
      <c r="D968" s="80"/>
      <c r="E968" s="80"/>
      <c r="F968" s="81"/>
      <c r="G968" s="72"/>
      <c r="H968" s="76"/>
      <c r="I968" s="62"/>
      <c r="J968" s="62"/>
      <c r="K968" s="54"/>
      <c r="L968" s="74"/>
      <c r="M968" s="62"/>
      <c r="N968" s="62"/>
      <c r="O968" s="62"/>
      <c r="P968" s="77"/>
      <c r="Q968" s="62"/>
      <c r="R968" s="71"/>
      <c r="S968" s="71"/>
      <c r="T968" s="71"/>
      <c r="U968" s="68"/>
    </row>
    <row r="969" spans="2:21">
      <c r="B969" s="62"/>
      <c r="C969" s="62"/>
      <c r="D969" s="80"/>
      <c r="E969" s="80"/>
      <c r="F969" s="81"/>
      <c r="G969" s="72"/>
      <c r="H969" s="76"/>
      <c r="I969" s="62"/>
      <c r="J969" s="62"/>
      <c r="K969" s="54"/>
      <c r="L969" s="74"/>
      <c r="M969" s="62"/>
      <c r="N969" s="62"/>
      <c r="O969" s="62"/>
      <c r="P969" s="77"/>
      <c r="Q969" s="62"/>
      <c r="R969" s="71"/>
      <c r="S969" s="71"/>
      <c r="T969" s="71"/>
      <c r="U969" s="68"/>
    </row>
    <row r="970" spans="2:21">
      <c r="B970" s="62"/>
      <c r="C970" s="62"/>
      <c r="D970" s="80"/>
      <c r="E970" s="80"/>
      <c r="F970" s="81"/>
      <c r="G970" s="72"/>
      <c r="H970" s="76"/>
      <c r="I970" s="62"/>
      <c r="J970" s="62"/>
      <c r="K970" s="54"/>
      <c r="L970" s="74"/>
      <c r="M970" s="62"/>
      <c r="N970" s="62"/>
      <c r="O970" s="62"/>
      <c r="P970" s="77"/>
      <c r="Q970" s="62"/>
      <c r="R970" s="71"/>
      <c r="S970" s="71"/>
      <c r="T970" s="71"/>
      <c r="U970" s="68"/>
    </row>
    <row r="971" spans="2:21">
      <c r="B971" s="62"/>
      <c r="C971" s="62"/>
      <c r="D971" s="80"/>
      <c r="E971" s="80"/>
      <c r="F971" s="81"/>
      <c r="G971" s="72"/>
      <c r="H971" s="76"/>
      <c r="I971" s="62"/>
      <c r="J971" s="62"/>
      <c r="K971" s="54"/>
      <c r="L971" s="74"/>
      <c r="M971" s="62"/>
      <c r="N971" s="62"/>
      <c r="O971" s="62"/>
      <c r="P971" s="77"/>
      <c r="Q971" s="62"/>
      <c r="R971" s="71"/>
      <c r="S971" s="71"/>
      <c r="T971" s="71"/>
      <c r="U971" s="68"/>
    </row>
    <row r="972" spans="2:21">
      <c r="B972" s="62"/>
      <c r="C972" s="62"/>
      <c r="D972" s="80"/>
      <c r="E972" s="80"/>
      <c r="F972" s="81"/>
      <c r="G972" s="72"/>
      <c r="H972" s="76"/>
      <c r="I972" s="62"/>
      <c r="J972" s="62"/>
      <c r="K972" s="54"/>
      <c r="L972" s="74"/>
      <c r="M972" s="62"/>
      <c r="N972" s="62"/>
      <c r="O972" s="62"/>
      <c r="P972" s="77"/>
      <c r="Q972" s="62"/>
      <c r="R972" s="71"/>
      <c r="S972" s="71"/>
      <c r="T972" s="71"/>
      <c r="U972" s="68"/>
    </row>
    <row r="973" spans="2:21">
      <c r="B973" s="62"/>
      <c r="C973" s="62"/>
      <c r="D973" s="80"/>
      <c r="E973" s="80"/>
      <c r="F973" s="81"/>
      <c r="G973" s="72"/>
      <c r="H973" s="76"/>
      <c r="I973" s="62"/>
      <c r="J973" s="62"/>
      <c r="K973" s="54"/>
      <c r="L973" s="74"/>
      <c r="M973" s="62"/>
      <c r="N973" s="62"/>
      <c r="O973" s="62"/>
      <c r="P973" s="77"/>
      <c r="Q973" s="62"/>
      <c r="R973" s="71"/>
      <c r="S973" s="71"/>
      <c r="T973" s="71"/>
      <c r="U973" s="68"/>
    </row>
    <row r="974" spans="2:21">
      <c r="B974" s="62"/>
      <c r="C974" s="62"/>
      <c r="D974" s="80"/>
      <c r="E974" s="80"/>
      <c r="F974" s="81"/>
      <c r="G974" s="72"/>
      <c r="H974" s="76"/>
      <c r="I974" s="62"/>
      <c r="J974" s="62"/>
      <c r="K974" s="54"/>
      <c r="L974" s="74"/>
      <c r="M974" s="62"/>
      <c r="N974" s="62"/>
      <c r="O974" s="62"/>
      <c r="P974" s="77"/>
      <c r="Q974" s="62"/>
      <c r="R974" s="71"/>
      <c r="S974" s="71"/>
      <c r="T974" s="71"/>
      <c r="U974" s="68"/>
    </row>
    <row r="975" spans="2:21">
      <c r="B975" s="62"/>
      <c r="C975" s="62"/>
      <c r="D975" s="80"/>
      <c r="E975" s="80"/>
      <c r="F975" s="81"/>
      <c r="G975" s="72"/>
      <c r="H975" s="76"/>
      <c r="I975" s="62"/>
      <c r="J975" s="62"/>
      <c r="K975" s="54"/>
      <c r="L975" s="74"/>
      <c r="M975" s="62"/>
      <c r="N975" s="62"/>
      <c r="O975" s="62"/>
      <c r="P975" s="77"/>
      <c r="Q975" s="62"/>
      <c r="R975" s="71"/>
      <c r="S975" s="71"/>
      <c r="T975" s="71"/>
      <c r="U975" s="68"/>
    </row>
    <row r="976" spans="2:21">
      <c r="B976" s="62"/>
      <c r="C976" s="62"/>
      <c r="D976" s="80"/>
      <c r="E976" s="80"/>
      <c r="F976" s="81"/>
      <c r="G976" s="72"/>
      <c r="H976" s="76"/>
      <c r="I976" s="62"/>
      <c r="J976" s="62"/>
      <c r="K976" s="54"/>
      <c r="L976" s="74"/>
      <c r="M976" s="62"/>
      <c r="N976" s="62"/>
      <c r="O976" s="62"/>
      <c r="P976" s="77"/>
      <c r="Q976" s="62"/>
      <c r="R976" s="71"/>
      <c r="S976" s="71"/>
      <c r="T976" s="71"/>
      <c r="U976" s="68"/>
    </row>
    <row r="977" spans="2:21">
      <c r="B977" s="62"/>
      <c r="C977" s="62"/>
      <c r="D977" s="80"/>
      <c r="E977" s="80"/>
      <c r="F977" s="81"/>
      <c r="G977" s="72"/>
      <c r="H977" s="76"/>
      <c r="I977" s="62"/>
      <c r="J977" s="62"/>
      <c r="K977" s="54"/>
      <c r="L977" s="74"/>
      <c r="M977" s="62"/>
      <c r="N977" s="62"/>
      <c r="O977" s="62"/>
      <c r="P977" s="77"/>
      <c r="Q977" s="62"/>
      <c r="R977" s="71"/>
      <c r="S977" s="71"/>
      <c r="T977" s="71"/>
      <c r="U977" s="68"/>
    </row>
    <row r="978" spans="2:21">
      <c r="B978" s="62"/>
      <c r="C978" s="62"/>
      <c r="D978" s="80"/>
      <c r="E978" s="80"/>
      <c r="F978" s="81"/>
      <c r="G978" s="72"/>
      <c r="H978" s="76"/>
      <c r="I978" s="62"/>
      <c r="J978" s="62"/>
      <c r="K978" s="54"/>
      <c r="L978" s="74"/>
      <c r="M978" s="62"/>
      <c r="N978" s="62"/>
      <c r="O978" s="62"/>
      <c r="P978" s="77"/>
      <c r="Q978" s="62"/>
      <c r="R978" s="71"/>
      <c r="S978" s="71"/>
      <c r="T978" s="71"/>
      <c r="U978" s="68"/>
    </row>
    <row r="979" spans="2:21">
      <c r="B979" s="62"/>
      <c r="C979" s="62"/>
      <c r="D979" s="80"/>
      <c r="E979" s="80"/>
      <c r="F979" s="81"/>
      <c r="G979" s="72"/>
      <c r="H979" s="76"/>
      <c r="I979" s="62"/>
      <c r="J979" s="62"/>
      <c r="K979" s="54"/>
      <c r="L979" s="74"/>
      <c r="M979" s="62"/>
      <c r="N979" s="62"/>
      <c r="O979" s="62"/>
      <c r="P979" s="77"/>
      <c r="Q979" s="62"/>
      <c r="R979" s="71"/>
      <c r="S979" s="71"/>
      <c r="T979" s="71"/>
      <c r="U979" s="68"/>
    </row>
    <row r="980" spans="2:21">
      <c r="B980" s="62"/>
      <c r="C980" s="62"/>
      <c r="D980" s="80"/>
      <c r="E980" s="80"/>
      <c r="F980" s="81"/>
      <c r="G980" s="72"/>
      <c r="H980" s="76"/>
      <c r="I980" s="62"/>
      <c r="J980" s="62"/>
      <c r="K980" s="54"/>
      <c r="L980" s="74"/>
      <c r="M980" s="62"/>
      <c r="N980" s="62"/>
      <c r="O980" s="62"/>
      <c r="P980" s="77"/>
      <c r="Q980" s="62"/>
      <c r="R980" s="71"/>
      <c r="S980" s="71"/>
      <c r="T980" s="71"/>
      <c r="U980" s="68"/>
    </row>
    <row r="981" spans="2:21">
      <c r="B981" s="62"/>
      <c r="C981" s="62"/>
      <c r="D981" s="80"/>
      <c r="E981" s="80"/>
      <c r="F981" s="81"/>
      <c r="G981" s="72"/>
      <c r="H981" s="76"/>
      <c r="I981" s="62"/>
      <c r="J981" s="62"/>
      <c r="K981" s="54"/>
      <c r="L981" s="74"/>
      <c r="M981" s="62"/>
      <c r="N981" s="62"/>
      <c r="O981" s="62"/>
      <c r="P981" s="77"/>
      <c r="Q981" s="62"/>
      <c r="R981" s="71"/>
      <c r="S981" s="71"/>
      <c r="T981" s="71"/>
      <c r="U981" s="68"/>
    </row>
    <row r="982" spans="2:21">
      <c r="B982" s="62"/>
      <c r="C982" s="62"/>
      <c r="D982" s="80"/>
      <c r="E982" s="80"/>
      <c r="F982" s="81"/>
      <c r="G982" s="72"/>
      <c r="H982" s="76"/>
      <c r="I982" s="62"/>
      <c r="J982" s="62"/>
      <c r="K982" s="54"/>
      <c r="L982" s="74"/>
      <c r="M982" s="62"/>
      <c r="N982" s="62"/>
      <c r="O982" s="62"/>
      <c r="P982" s="77"/>
      <c r="Q982" s="62"/>
      <c r="R982" s="71"/>
      <c r="S982" s="71"/>
      <c r="T982" s="71"/>
      <c r="U982" s="68"/>
    </row>
    <row r="983" spans="2:21">
      <c r="B983" s="62"/>
      <c r="C983" s="62"/>
      <c r="D983" s="80"/>
      <c r="E983" s="80"/>
      <c r="F983" s="81"/>
      <c r="G983" s="72"/>
      <c r="H983" s="76"/>
      <c r="I983" s="62"/>
      <c r="J983" s="62"/>
      <c r="K983" s="54"/>
      <c r="L983" s="74"/>
      <c r="M983" s="62"/>
      <c r="N983" s="62"/>
      <c r="O983" s="62"/>
      <c r="P983" s="77"/>
      <c r="Q983" s="62"/>
      <c r="R983" s="71"/>
      <c r="S983" s="71"/>
      <c r="T983" s="71"/>
      <c r="U983" s="68"/>
    </row>
    <row r="984" spans="2:21">
      <c r="B984" s="62"/>
      <c r="C984" s="62"/>
      <c r="D984" s="80"/>
      <c r="E984" s="80"/>
      <c r="F984" s="81"/>
      <c r="G984" s="72"/>
      <c r="H984" s="76"/>
      <c r="I984" s="62"/>
      <c r="J984" s="62"/>
      <c r="K984" s="54"/>
      <c r="L984" s="74"/>
      <c r="M984" s="62"/>
      <c r="N984" s="62"/>
      <c r="O984" s="62"/>
      <c r="P984" s="77"/>
      <c r="Q984" s="62"/>
      <c r="R984" s="71"/>
      <c r="S984" s="71"/>
      <c r="T984" s="71"/>
      <c r="U984" s="68"/>
    </row>
    <row r="985" spans="2:21">
      <c r="B985" s="62"/>
      <c r="C985" s="62"/>
      <c r="D985" s="80"/>
      <c r="E985" s="80"/>
      <c r="F985" s="81"/>
      <c r="G985" s="72"/>
      <c r="H985" s="76"/>
      <c r="I985" s="62"/>
      <c r="J985" s="62"/>
      <c r="K985" s="54"/>
      <c r="L985" s="74"/>
      <c r="M985" s="62"/>
      <c r="N985" s="62"/>
      <c r="O985" s="62"/>
      <c r="P985" s="77"/>
      <c r="Q985" s="62"/>
      <c r="R985" s="71"/>
      <c r="S985" s="71"/>
      <c r="T985" s="71"/>
      <c r="U985" s="68"/>
    </row>
    <row r="986" spans="2:21">
      <c r="B986" s="62"/>
      <c r="C986" s="62"/>
      <c r="D986" s="80"/>
      <c r="E986" s="80"/>
      <c r="F986" s="81"/>
      <c r="G986" s="72"/>
      <c r="H986" s="76"/>
      <c r="I986" s="62"/>
      <c r="J986" s="62"/>
      <c r="K986" s="54"/>
      <c r="L986" s="74"/>
      <c r="M986" s="62"/>
      <c r="N986" s="62"/>
      <c r="O986" s="62"/>
      <c r="P986" s="77"/>
      <c r="Q986" s="62"/>
      <c r="R986" s="71"/>
      <c r="S986" s="71"/>
      <c r="T986" s="71"/>
      <c r="U986" s="68"/>
    </row>
    <row r="987" spans="2:21">
      <c r="B987" s="62"/>
      <c r="C987" s="62"/>
      <c r="D987" s="80"/>
      <c r="E987" s="80"/>
      <c r="F987" s="81"/>
      <c r="G987" s="72"/>
      <c r="H987" s="76"/>
      <c r="I987" s="62"/>
      <c r="J987" s="62"/>
      <c r="K987" s="54"/>
      <c r="L987" s="74"/>
      <c r="M987" s="62"/>
      <c r="N987" s="62"/>
      <c r="O987" s="62"/>
      <c r="P987" s="77"/>
      <c r="Q987" s="62"/>
      <c r="R987" s="71"/>
      <c r="S987" s="71"/>
      <c r="T987" s="71"/>
      <c r="U987" s="68"/>
    </row>
    <row r="988" spans="2:21">
      <c r="B988" s="62"/>
      <c r="C988" s="62"/>
      <c r="D988" s="80"/>
      <c r="E988" s="80"/>
      <c r="F988" s="81"/>
      <c r="G988" s="72"/>
      <c r="H988" s="76"/>
      <c r="I988" s="62"/>
      <c r="J988" s="62"/>
      <c r="K988" s="54"/>
      <c r="L988" s="74"/>
      <c r="M988" s="62"/>
      <c r="N988" s="62"/>
      <c r="O988" s="62"/>
      <c r="P988" s="77"/>
      <c r="Q988" s="62"/>
      <c r="R988" s="71"/>
      <c r="S988" s="71"/>
      <c r="T988" s="71"/>
      <c r="U988" s="68"/>
    </row>
    <row r="989" spans="2:21">
      <c r="B989" s="62"/>
      <c r="C989" s="62"/>
      <c r="D989" s="80"/>
      <c r="E989" s="80"/>
      <c r="F989" s="81"/>
      <c r="G989" s="72"/>
      <c r="H989" s="76"/>
      <c r="I989" s="62"/>
      <c r="J989" s="62"/>
      <c r="K989" s="54"/>
      <c r="L989" s="74"/>
      <c r="M989" s="62"/>
      <c r="N989" s="62"/>
      <c r="O989" s="62"/>
      <c r="P989" s="77"/>
      <c r="Q989" s="62"/>
      <c r="R989" s="71"/>
      <c r="S989" s="71"/>
      <c r="T989" s="71"/>
      <c r="U989" s="68"/>
    </row>
    <row r="990" spans="2:21">
      <c r="B990" s="62"/>
      <c r="C990" s="62"/>
      <c r="D990" s="80"/>
      <c r="E990" s="80"/>
      <c r="F990" s="81"/>
      <c r="G990" s="72"/>
      <c r="H990" s="76"/>
      <c r="I990" s="62"/>
      <c r="J990" s="62"/>
      <c r="K990" s="54"/>
      <c r="L990" s="74"/>
      <c r="M990" s="62"/>
      <c r="N990" s="62"/>
      <c r="O990" s="62"/>
      <c r="P990" s="77"/>
      <c r="Q990" s="62"/>
      <c r="R990" s="71"/>
      <c r="S990" s="71"/>
      <c r="T990" s="71"/>
      <c r="U990" s="68"/>
    </row>
    <row r="991" spans="2:21">
      <c r="B991" s="62"/>
      <c r="C991" s="62"/>
      <c r="D991" s="80"/>
      <c r="E991" s="80"/>
      <c r="F991" s="81"/>
      <c r="G991" s="72"/>
      <c r="H991" s="76"/>
      <c r="I991" s="62"/>
      <c r="J991" s="62"/>
      <c r="K991" s="54"/>
      <c r="L991" s="74"/>
      <c r="M991" s="62"/>
      <c r="N991" s="62"/>
      <c r="O991" s="62"/>
      <c r="P991" s="77"/>
      <c r="Q991" s="62"/>
      <c r="R991" s="71"/>
      <c r="S991" s="71"/>
      <c r="T991" s="71"/>
      <c r="U991" s="68"/>
    </row>
    <row r="992" spans="2:21">
      <c r="B992" s="62"/>
      <c r="C992" s="62"/>
      <c r="D992" s="80"/>
      <c r="E992" s="80"/>
      <c r="F992" s="81"/>
      <c r="G992" s="72"/>
      <c r="H992" s="76"/>
      <c r="I992" s="62"/>
      <c r="J992" s="62"/>
      <c r="K992" s="54"/>
      <c r="L992" s="74"/>
      <c r="M992" s="62"/>
      <c r="N992" s="62"/>
      <c r="O992" s="62"/>
      <c r="P992" s="77"/>
      <c r="Q992" s="62"/>
      <c r="R992" s="71"/>
      <c r="S992" s="71"/>
      <c r="T992" s="71"/>
      <c r="U992" s="68"/>
    </row>
    <row r="993" spans="2:21">
      <c r="B993" s="62"/>
      <c r="C993" s="62"/>
      <c r="D993" s="80"/>
      <c r="E993" s="80"/>
      <c r="F993" s="81"/>
      <c r="G993" s="72"/>
      <c r="H993" s="76"/>
      <c r="I993" s="62"/>
      <c r="J993" s="62"/>
      <c r="K993" s="54"/>
      <c r="L993" s="74"/>
      <c r="M993" s="62"/>
      <c r="N993" s="62"/>
      <c r="O993" s="62"/>
      <c r="P993" s="77"/>
      <c r="Q993" s="62"/>
      <c r="R993" s="71"/>
      <c r="S993" s="71"/>
      <c r="T993" s="71"/>
      <c r="U993" s="68"/>
    </row>
    <row r="994" spans="2:21">
      <c r="B994" s="62"/>
      <c r="C994" s="62"/>
      <c r="D994" s="80"/>
      <c r="E994" s="80"/>
      <c r="F994" s="81"/>
      <c r="G994" s="72"/>
      <c r="H994" s="76"/>
      <c r="I994" s="62"/>
      <c r="J994" s="62"/>
      <c r="K994" s="54"/>
      <c r="L994" s="74"/>
      <c r="M994" s="62"/>
      <c r="N994" s="62"/>
      <c r="O994" s="62"/>
      <c r="P994" s="77"/>
      <c r="Q994" s="62"/>
      <c r="R994" s="71"/>
      <c r="S994" s="71"/>
      <c r="T994" s="71"/>
      <c r="U994" s="68"/>
    </row>
    <row r="995" spans="2:21">
      <c r="B995" s="62"/>
      <c r="C995" s="62"/>
      <c r="D995" s="80"/>
      <c r="E995" s="80"/>
      <c r="F995" s="81"/>
      <c r="G995" s="72"/>
      <c r="H995" s="76"/>
      <c r="I995" s="62"/>
      <c r="J995" s="62"/>
      <c r="K995" s="54"/>
      <c r="L995" s="74"/>
      <c r="M995" s="62"/>
      <c r="N995" s="62"/>
      <c r="O995" s="62"/>
      <c r="P995" s="77"/>
      <c r="Q995" s="62"/>
      <c r="R995" s="71"/>
      <c r="S995" s="71"/>
      <c r="T995" s="71"/>
      <c r="U995" s="68"/>
    </row>
    <row r="996" spans="2:21">
      <c r="B996" s="62"/>
      <c r="C996" s="62"/>
      <c r="D996" s="80"/>
      <c r="E996" s="80"/>
      <c r="F996" s="81"/>
      <c r="G996" s="72"/>
      <c r="H996" s="76"/>
      <c r="I996" s="62"/>
      <c r="J996" s="62"/>
      <c r="K996" s="54"/>
      <c r="L996" s="74"/>
      <c r="M996" s="62"/>
      <c r="N996" s="62"/>
      <c r="O996" s="62"/>
      <c r="P996" s="77"/>
      <c r="Q996" s="62"/>
      <c r="R996" s="71"/>
      <c r="S996" s="71"/>
      <c r="T996" s="71"/>
      <c r="U996" s="68"/>
    </row>
    <row r="997" spans="2:21">
      <c r="B997" s="62"/>
      <c r="C997" s="62"/>
      <c r="D997" s="80"/>
      <c r="E997" s="80"/>
      <c r="F997" s="81"/>
      <c r="G997" s="72"/>
      <c r="H997" s="76"/>
      <c r="I997" s="62"/>
      <c r="J997" s="62"/>
      <c r="K997" s="54"/>
      <c r="L997" s="74"/>
      <c r="M997" s="62"/>
      <c r="N997" s="62"/>
      <c r="O997" s="62"/>
      <c r="P997" s="77"/>
      <c r="Q997" s="62"/>
      <c r="R997" s="71"/>
      <c r="S997" s="71"/>
      <c r="T997" s="71"/>
      <c r="U997" s="68"/>
    </row>
    <row r="998" spans="2:21">
      <c r="B998" s="62"/>
      <c r="C998" s="62"/>
      <c r="D998" s="80"/>
      <c r="E998" s="80"/>
      <c r="F998" s="81"/>
      <c r="G998" s="72"/>
      <c r="H998" s="76"/>
      <c r="I998" s="62"/>
      <c r="J998" s="62"/>
      <c r="K998" s="54"/>
      <c r="L998" s="74"/>
      <c r="M998" s="62"/>
      <c r="N998" s="62"/>
      <c r="O998" s="62"/>
      <c r="P998" s="77"/>
      <c r="Q998" s="62"/>
      <c r="R998" s="71"/>
      <c r="S998" s="71"/>
      <c r="T998" s="71"/>
      <c r="U998" s="68"/>
    </row>
    <row r="999" spans="2:21">
      <c r="B999" s="62"/>
      <c r="C999" s="62"/>
      <c r="D999" s="80"/>
      <c r="E999" s="80"/>
      <c r="F999" s="81"/>
      <c r="G999" s="72"/>
      <c r="H999" s="76"/>
      <c r="I999" s="62"/>
      <c r="J999" s="62"/>
      <c r="K999" s="54"/>
      <c r="L999" s="74"/>
      <c r="M999" s="62"/>
      <c r="N999" s="62"/>
      <c r="O999" s="62"/>
      <c r="P999" s="77"/>
      <c r="Q999" s="62"/>
      <c r="R999" s="71"/>
      <c r="S999" s="71"/>
      <c r="T999" s="71"/>
      <c r="U999" s="68"/>
    </row>
    <row r="1000" spans="2:21">
      <c r="B1000" s="62"/>
      <c r="C1000" s="62"/>
      <c r="D1000" s="80"/>
      <c r="E1000" s="80"/>
      <c r="F1000" s="81"/>
      <c r="G1000" s="72"/>
      <c r="H1000" s="76"/>
      <c r="I1000" s="62"/>
      <c r="J1000" s="62"/>
      <c r="K1000" s="54"/>
      <c r="L1000" s="74"/>
      <c r="M1000" s="62"/>
      <c r="N1000" s="62"/>
      <c r="O1000" s="62"/>
      <c r="P1000" s="77"/>
      <c r="Q1000" s="62"/>
      <c r="R1000" s="71"/>
      <c r="S1000" s="71"/>
      <c r="T1000" s="71"/>
      <c r="U1000" s="68"/>
    </row>
    <row r="1001" spans="2:21">
      <c r="B1001" s="62"/>
      <c r="C1001" s="62"/>
      <c r="D1001" s="80"/>
      <c r="E1001" s="80"/>
      <c r="F1001" s="81"/>
      <c r="G1001" s="72"/>
      <c r="H1001" s="76"/>
      <c r="I1001" s="62"/>
      <c r="J1001" s="62"/>
      <c r="K1001" s="54"/>
      <c r="L1001" s="74"/>
      <c r="M1001" s="62"/>
      <c r="N1001" s="62"/>
      <c r="O1001" s="62"/>
      <c r="P1001" s="77"/>
      <c r="Q1001" s="62"/>
      <c r="R1001" s="71"/>
      <c r="S1001" s="71"/>
      <c r="T1001" s="71"/>
      <c r="U1001" s="68"/>
    </row>
    <row r="1002" spans="2:21">
      <c r="B1002" s="62"/>
      <c r="C1002" s="62"/>
      <c r="D1002" s="80"/>
      <c r="E1002" s="80"/>
      <c r="F1002" s="81"/>
      <c r="G1002" s="72"/>
      <c r="H1002" s="76"/>
      <c r="I1002" s="62"/>
      <c r="J1002" s="62"/>
      <c r="K1002" s="54"/>
      <c r="L1002" s="74"/>
      <c r="M1002" s="62"/>
      <c r="N1002" s="62"/>
      <c r="O1002" s="62"/>
      <c r="P1002" s="77"/>
      <c r="Q1002" s="62"/>
      <c r="R1002" s="71"/>
      <c r="S1002" s="71"/>
      <c r="T1002" s="71"/>
      <c r="U1002" s="68"/>
    </row>
    <row r="1003" spans="2:21">
      <c r="B1003" s="62"/>
      <c r="C1003" s="62"/>
      <c r="D1003" s="80"/>
      <c r="E1003" s="80"/>
      <c r="F1003" s="81"/>
      <c r="G1003" s="72"/>
      <c r="H1003" s="76"/>
      <c r="I1003" s="62"/>
      <c r="J1003" s="62"/>
      <c r="K1003" s="54"/>
      <c r="L1003" s="74"/>
      <c r="M1003" s="62"/>
      <c r="N1003" s="62"/>
      <c r="O1003" s="62"/>
      <c r="P1003" s="77"/>
      <c r="Q1003" s="62"/>
      <c r="R1003" s="71"/>
      <c r="S1003" s="71"/>
      <c r="T1003" s="71"/>
      <c r="U1003" s="68"/>
    </row>
    <row r="1004" spans="2:21">
      <c r="B1004" s="62"/>
      <c r="C1004" s="62"/>
      <c r="D1004" s="80"/>
      <c r="E1004" s="80"/>
      <c r="F1004" s="81"/>
      <c r="G1004" s="72"/>
      <c r="H1004" s="76"/>
      <c r="I1004" s="62"/>
      <c r="J1004" s="62"/>
      <c r="K1004" s="54"/>
      <c r="L1004" s="74"/>
      <c r="M1004" s="62"/>
      <c r="N1004" s="62"/>
      <c r="O1004" s="62"/>
      <c r="P1004" s="77"/>
      <c r="Q1004" s="62"/>
      <c r="R1004" s="71"/>
      <c r="S1004" s="71"/>
      <c r="T1004" s="71"/>
      <c r="U1004" s="68"/>
    </row>
    <row r="1005" spans="2:21">
      <c r="B1005" s="62"/>
      <c r="C1005" s="62"/>
      <c r="D1005" s="80"/>
      <c r="E1005" s="80"/>
      <c r="F1005" s="81"/>
      <c r="G1005" s="72"/>
      <c r="H1005" s="76"/>
      <c r="I1005" s="62"/>
      <c r="J1005" s="62"/>
      <c r="K1005" s="54"/>
      <c r="L1005" s="74"/>
      <c r="M1005" s="62"/>
      <c r="N1005" s="62"/>
      <c r="O1005" s="62"/>
      <c r="P1005" s="77"/>
      <c r="Q1005" s="62"/>
      <c r="R1005" s="71"/>
      <c r="S1005" s="71"/>
      <c r="T1005" s="71"/>
      <c r="U1005" s="68"/>
    </row>
    <row r="1006" spans="2:21">
      <c r="B1006" s="62"/>
      <c r="C1006" s="62"/>
      <c r="D1006" s="80"/>
      <c r="E1006" s="80"/>
      <c r="F1006" s="81"/>
      <c r="G1006" s="72"/>
      <c r="H1006" s="76"/>
      <c r="I1006" s="62"/>
      <c r="J1006" s="62"/>
      <c r="K1006" s="54"/>
      <c r="L1006" s="74"/>
      <c r="M1006" s="62"/>
      <c r="N1006" s="62"/>
      <c r="O1006" s="62"/>
      <c r="P1006" s="77"/>
      <c r="Q1006" s="62"/>
      <c r="R1006" s="71"/>
      <c r="S1006" s="71"/>
      <c r="T1006" s="71"/>
      <c r="U1006" s="68"/>
    </row>
    <row r="1007" spans="2:21">
      <c r="B1007" s="62"/>
      <c r="C1007" s="62"/>
      <c r="D1007" s="80"/>
      <c r="E1007" s="80"/>
      <c r="F1007" s="81"/>
      <c r="G1007" s="72"/>
      <c r="H1007" s="76"/>
      <c r="I1007" s="62"/>
      <c r="J1007" s="62"/>
      <c r="K1007" s="54"/>
      <c r="L1007" s="74"/>
      <c r="M1007" s="62"/>
      <c r="N1007" s="62"/>
      <c r="O1007" s="62"/>
      <c r="P1007" s="77"/>
      <c r="Q1007" s="62"/>
      <c r="R1007" s="71"/>
      <c r="S1007" s="71"/>
      <c r="T1007" s="71"/>
      <c r="U1007" s="68"/>
    </row>
    <row r="1008" spans="2:21">
      <c r="B1008" s="62"/>
      <c r="C1008" s="62"/>
      <c r="D1008" s="80"/>
      <c r="E1008" s="80"/>
      <c r="F1008" s="81"/>
      <c r="G1008" s="72"/>
      <c r="H1008" s="76"/>
      <c r="I1008" s="62"/>
      <c r="J1008" s="62"/>
      <c r="K1008" s="54"/>
      <c r="L1008" s="74"/>
      <c r="M1008" s="62"/>
      <c r="N1008" s="62"/>
      <c r="O1008" s="62"/>
      <c r="P1008" s="77"/>
      <c r="Q1008" s="62"/>
      <c r="R1008" s="71"/>
      <c r="S1008" s="71"/>
      <c r="T1008" s="71"/>
      <c r="U1008" s="68"/>
    </row>
    <row r="1009" spans="2:21">
      <c r="B1009" s="62"/>
      <c r="C1009" s="62"/>
      <c r="D1009" s="80"/>
      <c r="E1009" s="80"/>
      <c r="F1009" s="81"/>
      <c r="G1009" s="72"/>
      <c r="H1009" s="76"/>
      <c r="I1009" s="62"/>
      <c r="J1009" s="62"/>
      <c r="K1009" s="54"/>
      <c r="L1009" s="74"/>
      <c r="M1009" s="62"/>
      <c r="N1009" s="62"/>
      <c r="O1009" s="62"/>
      <c r="P1009" s="77"/>
      <c r="Q1009" s="62"/>
      <c r="R1009" s="71"/>
      <c r="S1009" s="71"/>
      <c r="T1009" s="71"/>
      <c r="U1009" s="68"/>
    </row>
    <row r="1010" spans="2:21">
      <c r="B1010" s="62"/>
      <c r="C1010" s="62"/>
      <c r="D1010" s="80"/>
      <c r="E1010" s="80"/>
      <c r="F1010" s="81"/>
      <c r="G1010" s="72"/>
      <c r="H1010" s="76"/>
      <c r="I1010" s="62"/>
      <c r="J1010" s="62"/>
      <c r="K1010" s="54"/>
      <c r="L1010" s="74"/>
      <c r="M1010" s="62"/>
      <c r="N1010" s="62"/>
      <c r="O1010" s="62"/>
      <c r="P1010" s="77"/>
      <c r="Q1010" s="62"/>
      <c r="R1010" s="71"/>
      <c r="S1010" s="71"/>
      <c r="T1010" s="71"/>
      <c r="U1010" s="68"/>
    </row>
    <row r="1011" spans="2:21">
      <c r="B1011" s="62"/>
      <c r="C1011" s="62"/>
      <c r="D1011" s="80"/>
      <c r="E1011" s="80"/>
      <c r="F1011" s="81"/>
      <c r="G1011" s="72"/>
      <c r="H1011" s="76"/>
      <c r="I1011" s="62"/>
      <c r="J1011" s="62"/>
      <c r="K1011" s="54"/>
      <c r="L1011" s="74"/>
      <c r="M1011" s="62"/>
      <c r="N1011" s="62"/>
      <c r="O1011" s="62"/>
      <c r="P1011" s="77"/>
      <c r="Q1011" s="62"/>
      <c r="R1011" s="71"/>
      <c r="S1011" s="71"/>
      <c r="T1011" s="71"/>
      <c r="U1011" s="68"/>
    </row>
    <row r="1012" spans="2:21">
      <c r="B1012" s="62"/>
      <c r="C1012" s="62"/>
      <c r="D1012" s="80"/>
      <c r="E1012" s="80"/>
      <c r="F1012" s="81"/>
      <c r="G1012" s="72"/>
      <c r="H1012" s="76"/>
      <c r="I1012" s="62"/>
      <c r="J1012" s="62"/>
      <c r="K1012" s="54"/>
      <c r="L1012" s="74"/>
      <c r="M1012" s="62"/>
      <c r="N1012" s="62"/>
      <c r="O1012" s="62"/>
      <c r="P1012" s="77"/>
      <c r="Q1012" s="62"/>
      <c r="R1012" s="71"/>
      <c r="S1012" s="71"/>
      <c r="T1012" s="71"/>
      <c r="U1012" s="68"/>
    </row>
    <row r="1013" spans="2:21">
      <c r="B1013" s="62"/>
      <c r="C1013" s="62"/>
      <c r="D1013" s="80"/>
      <c r="E1013" s="80"/>
      <c r="F1013" s="81"/>
      <c r="G1013" s="72"/>
      <c r="H1013" s="76"/>
      <c r="I1013" s="62"/>
      <c r="J1013" s="62"/>
      <c r="K1013" s="54"/>
      <c r="L1013" s="74"/>
      <c r="M1013" s="62"/>
      <c r="N1013" s="62"/>
      <c r="O1013" s="62"/>
      <c r="P1013" s="77"/>
      <c r="Q1013" s="62"/>
      <c r="R1013" s="71"/>
      <c r="S1013" s="71"/>
      <c r="T1013" s="71"/>
      <c r="U1013" s="68"/>
    </row>
    <row r="1014" spans="2:21">
      <c r="B1014" s="62"/>
      <c r="C1014" s="62"/>
      <c r="D1014" s="80"/>
      <c r="E1014" s="80"/>
      <c r="F1014" s="81"/>
      <c r="G1014" s="72"/>
      <c r="H1014" s="76"/>
      <c r="I1014" s="62"/>
      <c r="J1014" s="62"/>
      <c r="K1014" s="54"/>
      <c r="L1014" s="74"/>
      <c r="M1014" s="62"/>
      <c r="N1014" s="62"/>
      <c r="O1014" s="62"/>
      <c r="P1014" s="77"/>
      <c r="Q1014" s="62"/>
      <c r="R1014" s="71"/>
      <c r="S1014" s="71"/>
      <c r="T1014" s="71"/>
      <c r="U1014" s="68"/>
    </row>
    <row r="1015" spans="2:21">
      <c r="B1015" s="62"/>
      <c r="C1015" s="62"/>
      <c r="D1015" s="80"/>
      <c r="E1015" s="80"/>
      <c r="F1015" s="81"/>
      <c r="G1015" s="72"/>
      <c r="H1015" s="76"/>
      <c r="I1015" s="62"/>
      <c r="J1015" s="62"/>
      <c r="K1015" s="54"/>
      <c r="L1015" s="74"/>
      <c r="M1015" s="62"/>
      <c r="N1015" s="62"/>
      <c r="O1015" s="62"/>
      <c r="P1015" s="77"/>
      <c r="Q1015" s="62"/>
      <c r="R1015" s="71"/>
      <c r="S1015" s="71"/>
      <c r="T1015" s="71"/>
      <c r="U1015" s="68"/>
    </row>
    <row r="1016" spans="2:21">
      <c r="B1016" s="62"/>
      <c r="C1016" s="62"/>
      <c r="D1016" s="80"/>
      <c r="E1016" s="80"/>
      <c r="F1016" s="81"/>
      <c r="G1016" s="72"/>
      <c r="H1016" s="76"/>
      <c r="I1016" s="62"/>
      <c r="J1016" s="62"/>
      <c r="K1016" s="54"/>
      <c r="L1016" s="74"/>
      <c r="M1016" s="62"/>
      <c r="N1016" s="62"/>
      <c r="O1016" s="62"/>
      <c r="P1016" s="77"/>
      <c r="Q1016" s="62"/>
      <c r="R1016" s="71"/>
      <c r="S1016" s="71"/>
      <c r="T1016" s="71"/>
      <c r="U1016" s="68"/>
    </row>
    <row r="1017" spans="2:21">
      <c r="B1017" s="62"/>
      <c r="C1017" s="62"/>
      <c r="D1017" s="80"/>
      <c r="E1017" s="80"/>
      <c r="F1017" s="81"/>
      <c r="G1017" s="72"/>
      <c r="H1017" s="76"/>
      <c r="I1017" s="62"/>
      <c r="J1017" s="62"/>
      <c r="K1017" s="54"/>
      <c r="L1017" s="74"/>
      <c r="M1017" s="62"/>
      <c r="N1017" s="62"/>
      <c r="O1017" s="62"/>
      <c r="P1017" s="77"/>
      <c r="Q1017" s="62"/>
      <c r="R1017" s="71"/>
      <c r="S1017" s="71"/>
      <c r="T1017" s="71"/>
      <c r="U1017" s="68"/>
    </row>
    <row r="1018" spans="2:21">
      <c r="B1018" s="62"/>
      <c r="C1018" s="62"/>
      <c r="D1018" s="80"/>
      <c r="E1018" s="80"/>
      <c r="F1018" s="81"/>
      <c r="G1018" s="72"/>
      <c r="H1018" s="76"/>
      <c r="I1018" s="62"/>
      <c r="J1018" s="62"/>
      <c r="K1018" s="54"/>
      <c r="L1018" s="74"/>
      <c r="M1018" s="62"/>
      <c r="N1018" s="62"/>
      <c r="O1018" s="62"/>
      <c r="P1018" s="77"/>
      <c r="Q1018" s="62"/>
      <c r="R1018" s="71"/>
      <c r="S1018" s="71"/>
      <c r="T1018" s="71"/>
      <c r="U1018" s="68"/>
    </row>
    <row r="1019" spans="2:21">
      <c r="B1019" s="62"/>
      <c r="C1019" s="62"/>
      <c r="D1019" s="80"/>
      <c r="E1019" s="80"/>
      <c r="F1019" s="81"/>
      <c r="G1019" s="72"/>
      <c r="H1019" s="76"/>
      <c r="I1019" s="62"/>
      <c r="J1019" s="62"/>
      <c r="K1019" s="54"/>
      <c r="L1019" s="74"/>
      <c r="M1019" s="62"/>
      <c r="N1019" s="62"/>
      <c r="O1019" s="62"/>
      <c r="P1019" s="77"/>
      <c r="Q1019" s="62"/>
      <c r="R1019" s="71"/>
      <c r="S1019" s="71"/>
      <c r="T1019" s="71"/>
      <c r="U1019" s="68"/>
    </row>
    <row r="1020" spans="2:21">
      <c r="B1020" s="62"/>
      <c r="C1020" s="62"/>
      <c r="D1020" s="80"/>
      <c r="E1020" s="80"/>
      <c r="F1020" s="81"/>
      <c r="G1020" s="72"/>
      <c r="H1020" s="76"/>
      <c r="I1020" s="62"/>
      <c r="J1020" s="62"/>
      <c r="K1020" s="54"/>
      <c r="L1020" s="74"/>
      <c r="M1020" s="62"/>
      <c r="N1020" s="62"/>
      <c r="O1020" s="62"/>
      <c r="P1020" s="77"/>
      <c r="Q1020" s="62"/>
      <c r="R1020" s="71"/>
      <c r="S1020" s="71"/>
      <c r="T1020" s="71"/>
      <c r="U1020" s="68"/>
    </row>
    <row r="1021" spans="2:21">
      <c r="B1021" s="62"/>
      <c r="C1021" s="62"/>
      <c r="D1021" s="80"/>
      <c r="E1021" s="80"/>
      <c r="F1021" s="81"/>
      <c r="G1021" s="72"/>
      <c r="H1021" s="76"/>
      <c r="I1021" s="62"/>
      <c r="J1021" s="62"/>
      <c r="K1021" s="54"/>
      <c r="L1021" s="74"/>
      <c r="M1021" s="62"/>
      <c r="N1021" s="62"/>
      <c r="O1021" s="62"/>
      <c r="P1021" s="77"/>
      <c r="Q1021" s="62"/>
      <c r="R1021" s="71"/>
      <c r="S1021" s="71"/>
      <c r="T1021" s="71"/>
      <c r="U1021" s="68"/>
    </row>
    <row r="1022" spans="2:21">
      <c r="B1022" s="62"/>
      <c r="C1022" s="62"/>
      <c r="D1022" s="80"/>
      <c r="E1022" s="80"/>
      <c r="F1022" s="81"/>
      <c r="G1022" s="72"/>
      <c r="H1022" s="76"/>
      <c r="I1022" s="62"/>
      <c r="J1022" s="62"/>
      <c r="K1022" s="54"/>
      <c r="L1022" s="74"/>
      <c r="M1022" s="62"/>
      <c r="N1022" s="62"/>
      <c r="O1022" s="62"/>
      <c r="P1022" s="77"/>
      <c r="Q1022" s="62"/>
      <c r="R1022" s="71"/>
      <c r="S1022" s="71"/>
      <c r="T1022" s="71"/>
      <c r="U1022" s="68"/>
    </row>
    <row r="1023" spans="2:21">
      <c r="B1023" s="62"/>
      <c r="C1023" s="62"/>
      <c r="D1023" s="80"/>
      <c r="E1023" s="80"/>
      <c r="F1023" s="81"/>
      <c r="G1023" s="72"/>
      <c r="H1023" s="76"/>
      <c r="I1023" s="62"/>
      <c r="J1023" s="62"/>
      <c r="K1023" s="54"/>
      <c r="L1023" s="74"/>
      <c r="M1023" s="62"/>
      <c r="N1023" s="62"/>
      <c r="O1023" s="62"/>
      <c r="P1023" s="77"/>
      <c r="Q1023" s="62"/>
      <c r="R1023" s="71"/>
      <c r="S1023" s="71"/>
      <c r="T1023" s="71"/>
      <c r="U1023" s="68"/>
    </row>
    <row r="1024" spans="2:21">
      <c r="B1024" s="62"/>
      <c r="C1024" s="62"/>
      <c r="D1024" s="80"/>
      <c r="E1024" s="80"/>
      <c r="F1024" s="81"/>
      <c r="G1024" s="72"/>
      <c r="H1024" s="76"/>
      <c r="I1024" s="62"/>
      <c r="J1024" s="62"/>
      <c r="K1024" s="54"/>
      <c r="L1024" s="74"/>
      <c r="M1024" s="62"/>
      <c r="N1024" s="62"/>
      <c r="O1024" s="62"/>
      <c r="P1024" s="77"/>
      <c r="Q1024" s="62"/>
      <c r="R1024" s="71"/>
      <c r="S1024" s="71"/>
      <c r="T1024" s="71"/>
      <c r="U1024" s="68"/>
    </row>
    <row r="1025" spans="2:21">
      <c r="B1025" s="62"/>
      <c r="C1025" s="62"/>
      <c r="D1025" s="80"/>
      <c r="E1025" s="80"/>
      <c r="F1025" s="81"/>
      <c r="G1025" s="72"/>
      <c r="H1025" s="76"/>
      <c r="I1025" s="62"/>
      <c r="J1025" s="62"/>
      <c r="K1025" s="54"/>
      <c r="L1025" s="74"/>
      <c r="M1025" s="62"/>
      <c r="N1025" s="62"/>
      <c r="O1025" s="62"/>
      <c r="P1025" s="77"/>
      <c r="Q1025" s="62"/>
      <c r="R1025" s="71"/>
      <c r="S1025" s="71"/>
      <c r="T1025" s="71"/>
      <c r="U1025" s="68"/>
    </row>
    <row r="1026" spans="2:21">
      <c r="B1026" s="62"/>
      <c r="C1026" s="62"/>
      <c r="D1026" s="80"/>
      <c r="E1026" s="80"/>
      <c r="F1026" s="81"/>
      <c r="G1026" s="72"/>
      <c r="H1026" s="76"/>
      <c r="I1026" s="62"/>
      <c r="J1026" s="62"/>
      <c r="K1026" s="54"/>
      <c r="L1026" s="74"/>
      <c r="M1026" s="62"/>
      <c r="N1026" s="62"/>
      <c r="O1026" s="62"/>
      <c r="P1026" s="77"/>
      <c r="Q1026" s="62"/>
      <c r="R1026" s="71"/>
      <c r="S1026" s="71"/>
      <c r="T1026" s="71"/>
      <c r="U1026" s="68"/>
    </row>
    <row r="1027" spans="2:21">
      <c r="B1027" s="62"/>
      <c r="C1027" s="62"/>
      <c r="D1027" s="80"/>
      <c r="E1027" s="80"/>
      <c r="F1027" s="81"/>
      <c r="G1027" s="72"/>
      <c r="H1027" s="76"/>
      <c r="I1027" s="62"/>
      <c r="J1027" s="62"/>
      <c r="K1027" s="54"/>
      <c r="L1027" s="74"/>
      <c r="M1027" s="62"/>
      <c r="N1027" s="62"/>
      <c r="O1027" s="62"/>
      <c r="P1027" s="77"/>
      <c r="Q1027" s="62"/>
      <c r="R1027" s="71"/>
      <c r="S1027" s="71"/>
      <c r="T1027" s="71"/>
      <c r="U1027" s="68"/>
    </row>
    <row r="1028" spans="2:21">
      <c r="B1028" s="62"/>
      <c r="C1028" s="62"/>
      <c r="D1028" s="80"/>
      <c r="E1028" s="80"/>
      <c r="F1028" s="81"/>
      <c r="G1028" s="72"/>
      <c r="H1028" s="76"/>
      <c r="I1028" s="62"/>
      <c r="J1028" s="62"/>
      <c r="K1028" s="54"/>
      <c r="L1028" s="74"/>
      <c r="M1028" s="62"/>
      <c r="N1028" s="62"/>
      <c r="O1028" s="62"/>
      <c r="P1028" s="77"/>
      <c r="Q1028" s="62"/>
      <c r="R1028" s="71"/>
      <c r="S1028" s="71"/>
      <c r="T1028" s="71"/>
      <c r="U1028" s="68"/>
    </row>
    <row r="1029" spans="2:21">
      <c r="B1029" s="62"/>
      <c r="C1029" s="62"/>
      <c r="D1029" s="80"/>
      <c r="E1029" s="80"/>
      <c r="F1029" s="81"/>
      <c r="G1029" s="72"/>
      <c r="H1029" s="76"/>
      <c r="I1029" s="62"/>
      <c r="J1029" s="62"/>
      <c r="K1029" s="54"/>
      <c r="L1029" s="74"/>
      <c r="M1029" s="62"/>
      <c r="N1029" s="62"/>
      <c r="O1029" s="62"/>
      <c r="P1029" s="77"/>
      <c r="Q1029" s="62"/>
      <c r="R1029" s="71"/>
      <c r="S1029" s="71"/>
      <c r="T1029" s="71"/>
      <c r="U1029" s="68"/>
    </row>
    <row r="1030" spans="2:21">
      <c r="B1030" s="62"/>
      <c r="C1030" s="62"/>
      <c r="D1030" s="80"/>
      <c r="E1030" s="80"/>
      <c r="F1030" s="81"/>
      <c r="G1030" s="72"/>
      <c r="H1030" s="76"/>
      <c r="I1030" s="62"/>
      <c r="J1030" s="62"/>
      <c r="K1030" s="54"/>
      <c r="L1030" s="74"/>
      <c r="M1030" s="62"/>
      <c r="N1030" s="62"/>
      <c r="O1030" s="62"/>
      <c r="P1030" s="77"/>
      <c r="Q1030" s="62"/>
      <c r="R1030" s="71"/>
      <c r="S1030" s="71"/>
      <c r="T1030" s="71"/>
      <c r="U1030" s="68"/>
    </row>
    <row r="1031" spans="2:21">
      <c r="B1031" s="62"/>
      <c r="C1031" s="62"/>
      <c r="D1031" s="80"/>
      <c r="E1031" s="80"/>
      <c r="F1031" s="81"/>
      <c r="G1031" s="72"/>
      <c r="H1031" s="76"/>
      <c r="I1031" s="62"/>
      <c r="J1031" s="62"/>
      <c r="K1031" s="54"/>
      <c r="L1031" s="74"/>
      <c r="M1031" s="62"/>
      <c r="N1031" s="62"/>
      <c r="O1031" s="62"/>
      <c r="P1031" s="77"/>
      <c r="Q1031" s="62"/>
      <c r="R1031" s="71"/>
      <c r="S1031" s="71"/>
      <c r="T1031" s="71"/>
      <c r="U1031" s="68"/>
    </row>
    <row r="1032" spans="2:21">
      <c r="B1032" s="62"/>
      <c r="C1032" s="62"/>
      <c r="D1032" s="80"/>
      <c r="E1032" s="80"/>
      <c r="F1032" s="81"/>
      <c r="G1032" s="72"/>
      <c r="H1032" s="76"/>
      <c r="I1032" s="62"/>
      <c r="J1032" s="62"/>
      <c r="K1032" s="54"/>
      <c r="L1032" s="74"/>
      <c r="M1032" s="62"/>
      <c r="N1032" s="62"/>
      <c r="O1032" s="62"/>
      <c r="P1032" s="77"/>
      <c r="Q1032" s="62"/>
      <c r="R1032" s="71"/>
      <c r="S1032" s="71"/>
      <c r="T1032" s="71"/>
      <c r="U1032" s="68"/>
    </row>
    <row r="1033" spans="2:21">
      <c r="B1033" s="62"/>
      <c r="C1033" s="62"/>
      <c r="D1033" s="80"/>
      <c r="E1033" s="80"/>
      <c r="F1033" s="81"/>
      <c r="G1033" s="72"/>
      <c r="H1033" s="76"/>
      <c r="I1033" s="62"/>
      <c r="J1033" s="62"/>
      <c r="K1033" s="54"/>
      <c r="L1033" s="74"/>
      <c r="M1033" s="62"/>
      <c r="N1033" s="62"/>
      <c r="O1033" s="62"/>
      <c r="P1033" s="77"/>
      <c r="Q1033" s="62"/>
      <c r="R1033" s="71"/>
      <c r="S1033" s="71"/>
      <c r="T1033" s="71"/>
      <c r="U1033" s="68"/>
    </row>
    <row r="1034" spans="2:21">
      <c r="B1034" s="62"/>
      <c r="C1034" s="62"/>
      <c r="D1034" s="80"/>
      <c r="E1034" s="80"/>
      <c r="F1034" s="81"/>
      <c r="G1034" s="72"/>
      <c r="H1034" s="76"/>
      <c r="I1034" s="62"/>
      <c r="J1034" s="62"/>
      <c r="K1034" s="54"/>
      <c r="L1034" s="74"/>
      <c r="M1034" s="62"/>
      <c r="N1034" s="62"/>
      <c r="O1034" s="62"/>
      <c r="P1034" s="77"/>
      <c r="Q1034" s="62"/>
      <c r="R1034" s="71"/>
      <c r="S1034" s="71"/>
      <c r="T1034" s="71"/>
      <c r="U1034" s="68"/>
    </row>
    <row r="1035" spans="2:21">
      <c r="B1035" s="62"/>
      <c r="C1035" s="62"/>
      <c r="D1035" s="80"/>
      <c r="E1035" s="80"/>
      <c r="F1035" s="81"/>
      <c r="G1035" s="72"/>
      <c r="H1035" s="76"/>
      <c r="I1035" s="62"/>
      <c r="J1035" s="62"/>
      <c r="K1035" s="54"/>
      <c r="L1035" s="74"/>
      <c r="M1035" s="62"/>
      <c r="N1035" s="62"/>
      <c r="O1035" s="62"/>
      <c r="P1035" s="77"/>
      <c r="Q1035" s="62"/>
      <c r="R1035" s="71"/>
      <c r="S1035" s="71"/>
      <c r="T1035" s="71"/>
      <c r="U1035" s="68"/>
    </row>
    <row r="1036" spans="2:21">
      <c r="B1036" s="62"/>
      <c r="C1036" s="62"/>
      <c r="D1036" s="80"/>
      <c r="E1036" s="80"/>
      <c r="F1036" s="81"/>
      <c r="G1036" s="72"/>
      <c r="H1036" s="76"/>
      <c r="I1036" s="62"/>
      <c r="J1036" s="62"/>
      <c r="K1036" s="54"/>
      <c r="L1036" s="74"/>
      <c r="M1036" s="62"/>
      <c r="N1036" s="62"/>
      <c r="O1036" s="62"/>
      <c r="P1036" s="77"/>
      <c r="Q1036" s="62"/>
      <c r="R1036" s="71"/>
      <c r="S1036" s="71"/>
      <c r="T1036" s="71"/>
      <c r="U1036" s="68"/>
    </row>
    <row r="1037" spans="2:21">
      <c r="B1037" s="62"/>
      <c r="C1037" s="62"/>
      <c r="D1037" s="80"/>
      <c r="E1037" s="80"/>
      <c r="F1037" s="81"/>
      <c r="G1037" s="72"/>
      <c r="H1037" s="76"/>
      <c r="I1037" s="62"/>
      <c r="J1037" s="62"/>
      <c r="K1037" s="54"/>
      <c r="L1037" s="74"/>
      <c r="M1037" s="62"/>
      <c r="N1037" s="62"/>
      <c r="O1037" s="62"/>
      <c r="P1037" s="77"/>
      <c r="Q1037" s="62"/>
      <c r="R1037" s="71"/>
      <c r="S1037" s="71"/>
      <c r="T1037" s="71"/>
      <c r="U1037" s="68"/>
    </row>
    <row r="1038" spans="2:21">
      <c r="B1038" s="62"/>
      <c r="C1038" s="62"/>
      <c r="D1038" s="80"/>
      <c r="E1038" s="80"/>
      <c r="F1038" s="81"/>
      <c r="G1038" s="72"/>
      <c r="H1038" s="76"/>
      <c r="I1038" s="62"/>
      <c r="J1038" s="62"/>
      <c r="K1038" s="54"/>
      <c r="L1038" s="74"/>
      <c r="M1038" s="62"/>
      <c r="N1038" s="62"/>
      <c r="O1038" s="62"/>
      <c r="P1038" s="77"/>
      <c r="Q1038" s="62"/>
      <c r="R1038" s="71"/>
      <c r="S1038" s="71"/>
      <c r="T1038" s="71"/>
      <c r="U1038" s="68"/>
    </row>
    <row r="1039" spans="2:21">
      <c r="B1039" s="62"/>
      <c r="C1039" s="62"/>
      <c r="D1039" s="80"/>
      <c r="E1039" s="80"/>
      <c r="F1039" s="81"/>
      <c r="G1039" s="72"/>
      <c r="H1039" s="76"/>
      <c r="I1039" s="62"/>
      <c r="J1039" s="62"/>
      <c r="K1039" s="54"/>
      <c r="L1039" s="74"/>
      <c r="M1039" s="62"/>
      <c r="N1039" s="62"/>
      <c r="O1039" s="62"/>
      <c r="P1039" s="77"/>
      <c r="Q1039" s="62"/>
      <c r="R1039" s="71"/>
      <c r="S1039" s="71"/>
      <c r="T1039" s="71"/>
      <c r="U1039" s="68"/>
    </row>
    <row r="1040" spans="2:21">
      <c r="B1040" s="62"/>
      <c r="C1040" s="62"/>
      <c r="D1040" s="80"/>
      <c r="E1040" s="80"/>
      <c r="F1040" s="81"/>
      <c r="G1040" s="72"/>
      <c r="H1040" s="76"/>
      <c r="I1040" s="62"/>
      <c r="J1040" s="62"/>
      <c r="K1040" s="54"/>
      <c r="L1040" s="74"/>
      <c r="M1040" s="62"/>
      <c r="N1040" s="62"/>
      <c r="O1040" s="62"/>
      <c r="P1040" s="77"/>
      <c r="Q1040" s="62"/>
      <c r="R1040" s="71"/>
      <c r="S1040" s="71"/>
      <c r="T1040" s="71"/>
      <c r="U1040" s="68"/>
    </row>
    <row r="1041" spans="2:21">
      <c r="B1041" s="62"/>
      <c r="C1041" s="62"/>
      <c r="D1041" s="80"/>
      <c r="E1041" s="80"/>
      <c r="F1041" s="81"/>
      <c r="G1041" s="72"/>
      <c r="H1041" s="76"/>
      <c r="I1041" s="62"/>
      <c r="J1041" s="62"/>
      <c r="K1041" s="54"/>
      <c r="L1041" s="74"/>
      <c r="M1041" s="62"/>
      <c r="N1041" s="62"/>
      <c r="O1041" s="62"/>
      <c r="P1041" s="77"/>
      <c r="Q1041" s="62"/>
      <c r="R1041" s="71"/>
      <c r="S1041" s="71"/>
      <c r="T1041" s="71"/>
      <c r="U1041" s="68"/>
    </row>
    <row r="1042" spans="2:21">
      <c r="B1042" s="62"/>
      <c r="C1042" s="62"/>
      <c r="D1042" s="80"/>
      <c r="E1042" s="80"/>
      <c r="F1042" s="81"/>
      <c r="G1042" s="72"/>
      <c r="H1042" s="76"/>
      <c r="I1042" s="62"/>
      <c r="J1042" s="62"/>
      <c r="K1042" s="54"/>
      <c r="L1042" s="74"/>
      <c r="M1042" s="62"/>
      <c r="N1042" s="62"/>
      <c r="O1042" s="62"/>
      <c r="P1042" s="77"/>
      <c r="Q1042" s="62"/>
      <c r="R1042" s="71"/>
      <c r="S1042" s="71"/>
      <c r="T1042" s="71"/>
      <c r="U1042" s="68"/>
    </row>
    <row r="1043" spans="2:21">
      <c r="B1043" s="62"/>
      <c r="C1043" s="62"/>
      <c r="D1043" s="80"/>
      <c r="E1043" s="80"/>
      <c r="F1043" s="81"/>
      <c r="G1043" s="72"/>
      <c r="H1043" s="76"/>
      <c r="I1043" s="62"/>
      <c r="J1043" s="62"/>
      <c r="K1043" s="54"/>
      <c r="L1043" s="74"/>
      <c r="M1043" s="62"/>
      <c r="N1043" s="62"/>
      <c r="O1043" s="62"/>
      <c r="P1043" s="77"/>
      <c r="Q1043" s="62"/>
      <c r="R1043" s="71"/>
      <c r="S1043" s="71"/>
      <c r="T1043" s="71"/>
      <c r="U1043" s="68"/>
    </row>
    <row r="1044" spans="2:21">
      <c r="B1044" s="62"/>
      <c r="C1044" s="62"/>
      <c r="D1044" s="80"/>
      <c r="E1044" s="80"/>
      <c r="F1044" s="81"/>
      <c r="G1044" s="72"/>
      <c r="H1044" s="76"/>
      <c r="I1044" s="62"/>
      <c r="J1044" s="62"/>
      <c r="K1044" s="54"/>
      <c r="L1044" s="74"/>
      <c r="M1044" s="62"/>
      <c r="N1044" s="62"/>
      <c r="O1044" s="62"/>
      <c r="P1044" s="77"/>
      <c r="Q1044" s="62"/>
      <c r="R1044" s="71"/>
      <c r="S1044" s="71"/>
      <c r="T1044" s="71"/>
      <c r="U1044" s="68"/>
    </row>
    <row r="1045" spans="2:21">
      <c r="B1045" s="62"/>
      <c r="C1045" s="62"/>
      <c r="D1045" s="80"/>
      <c r="E1045" s="80"/>
      <c r="F1045" s="81"/>
      <c r="G1045" s="72"/>
      <c r="H1045" s="76"/>
      <c r="I1045" s="62"/>
      <c r="J1045" s="62"/>
      <c r="K1045" s="54"/>
      <c r="L1045" s="74"/>
      <c r="M1045" s="62"/>
      <c r="N1045" s="62"/>
      <c r="O1045" s="62"/>
      <c r="P1045" s="77"/>
      <c r="Q1045" s="62"/>
      <c r="R1045" s="71"/>
      <c r="S1045" s="71"/>
      <c r="T1045" s="71"/>
      <c r="U1045" s="68"/>
    </row>
    <row r="1046" spans="2:21">
      <c r="B1046" s="62"/>
      <c r="C1046" s="62"/>
      <c r="D1046" s="80"/>
      <c r="E1046" s="80"/>
      <c r="F1046" s="81"/>
      <c r="G1046" s="72"/>
      <c r="H1046" s="76"/>
      <c r="I1046" s="62"/>
      <c r="J1046" s="62"/>
      <c r="K1046" s="54"/>
      <c r="L1046" s="74"/>
      <c r="M1046" s="62"/>
      <c r="N1046" s="62"/>
      <c r="O1046" s="62"/>
      <c r="P1046" s="77"/>
      <c r="Q1046" s="62"/>
      <c r="R1046" s="71"/>
      <c r="S1046" s="71"/>
      <c r="T1046" s="71"/>
      <c r="U1046" s="68"/>
    </row>
    <row r="1047" spans="2:21">
      <c r="B1047" s="62"/>
      <c r="C1047" s="62"/>
      <c r="D1047" s="80"/>
      <c r="E1047" s="80"/>
      <c r="F1047" s="81"/>
      <c r="G1047" s="72"/>
      <c r="H1047" s="76"/>
      <c r="I1047" s="62"/>
      <c r="J1047" s="62"/>
      <c r="K1047" s="54"/>
      <c r="L1047" s="74"/>
      <c r="M1047" s="62"/>
      <c r="N1047" s="62"/>
      <c r="O1047" s="62"/>
      <c r="P1047" s="77"/>
      <c r="Q1047" s="62"/>
      <c r="R1047" s="71"/>
      <c r="S1047" s="71"/>
      <c r="T1047" s="71"/>
      <c r="U1047" s="68"/>
    </row>
    <row r="1048" spans="2:21">
      <c r="B1048" s="62"/>
      <c r="C1048" s="62"/>
      <c r="D1048" s="80"/>
      <c r="E1048" s="80"/>
      <c r="F1048" s="81"/>
      <c r="G1048" s="72"/>
      <c r="H1048" s="76"/>
      <c r="I1048" s="62"/>
      <c r="J1048" s="62"/>
      <c r="K1048" s="54"/>
      <c r="L1048" s="74"/>
      <c r="M1048" s="62"/>
      <c r="N1048" s="62"/>
      <c r="O1048" s="62"/>
      <c r="P1048" s="77"/>
      <c r="Q1048" s="62"/>
      <c r="R1048" s="71"/>
      <c r="S1048" s="71"/>
      <c r="T1048" s="71"/>
      <c r="U1048" s="68"/>
    </row>
    <row r="1049" spans="2:21">
      <c r="B1049" s="62"/>
      <c r="C1049" s="62"/>
      <c r="D1049" s="80"/>
      <c r="E1049" s="80"/>
      <c r="F1049" s="81"/>
      <c r="G1049" s="72"/>
      <c r="H1049" s="76"/>
      <c r="I1049" s="62"/>
      <c r="J1049" s="62"/>
      <c r="K1049" s="54"/>
      <c r="L1049" s="74"/>
      <c r="M1049" s="62"/>
      <c r="N1049" s="62"/>
      <c r="O1049" s="62"/>
      <c r="P1049" s="77"/>
      <c r="Q1049" s="62"/>
      <c r="R1049" s="71"/>
      <c r="S1049" s="71"/>
      <c r="T1049" s="71"/>
      <c r="U1049" s="68"/>
    </row>
    <row r="1050" spans="2:21">
      <c r="B1050" s="62"/>
      <c r="C1050" s="62"/>
      <c r="D1050" s="80"/>
      <c r="E1050" s="80"/>
      <c r="F1050" s="81"/>
      <c r="G1050" s="72"/>
      <c r="H1050" s="76"/>
      <c r="I1050" s="62"/>
      <c r="J1050" s="62"/>
      <c r="K1050" s="54"/>
      <c r="L1050" s="74"/>
      <c r="M1050" s="62"/>
      <c r="N1050" s="62"/>
      <c r="O1050" s="62"/>
      <c r="P1050" s="77"/>
      <c r="Q1050" s="62"/>
      <c r="R1050" s="71"/>
      <c r="S1050" s="71"/>
      <c r="T1050" s="71"/>
      <c r="U1050" s="68"/>
    </row>
    <row r="1051" spans="2:21">
      <c r="B1051" s="62"/>
      <c r="C1051" s="62"/>
      <c r="D1051" s="80"/>
      <c r="E1051" s="80"/>
      <c r="F1051" s="81"/>
      <c r="G1051" s="72"/>
      <c r="H1051" s="76"/>
      <c r="I1051" s="62"/>
      <c r="J1051" s="62"/>
      <c r="K1051" s="54"/>
      <c r="L1051" s="74"/>
      <c r="M1051" s="62"/>
      <c r="N1051" s="62"/>
      <c r="O1051" s="62"/>
      <c r="P1051" s="77"/>
      <c r="Q1051" s="62"/>
      <c r="R1051" s="71"/>
      <c r="S1051" s="71"/>
      <c r="T1051" s="71"/>
      <c r="U1051" s="68"/>
    </row>
    <row r="1052" spans="2:21">
      <c r="B1052" s="62"/>
      <c r="C1052" s="62"/>
      <c r="D1052" s="80"/>
      <c r="E1052" s="80"/>
      <c r="F1052" s="81"/>
      <c r="G1052" s="72"/>
      <c r="H1052" s="76"/>
      <c r="I1052" s="62"/>
      <c r="J1052" s="62"/>
      <c r="K1052" s="54"/>
      <c r="L1052" s="74"/>
      <c r="M1052" s="62"/>
      <c r="N1052" s="62"/>
      <c r="O1052" s="62"/>
      <c r="P1052" s="77"/>
      <c r="Q1052" s="62"/>
      <c r="R1052" s="71"/>
      <c r="S1052" s="71"/>
      <c r="T1052" s="71"/>
      <c r="U1052" s="68"/>
    </row>
    <row r="1053" spans="2:21">
      <c r="B1053" s="62"/>
      <c r="C1053" s="62"/>
      <c r="D1053" s="80"/>
      <c r="E1053" s="80"/>
      <c r="F1053" s="81"/>
      <c r="G1053" s="72"/>
      <c r="H1053" s="76"/>
      <c r="I1053" s="62"/>
      <c r="J1053" s="62"/>
      <c r="K1053" s="54"/>
      <c r="L1053" s="74"/>
      <c r="M1053" s="62"/>
      <c r="N1053" s="62"/>
      <c r="O1053" s="62"/>
      <c r="P1053" s="77"/>
      <c r="Q1053" s="62"/>
      <c r="R1053" s="71"/>
      <c r="S1053" s="71"/>
      <c r="T1053" s="71"/>
      <c r="U1053" s="68"/>
    </row>
    <row r="1054" spans="2:21">
      <c r="B1054" s="62"/>
      <c r="C1054" s="62"/>
      <c r="D1054" s="80"/>
      <c r="E1054" s="80"/>
      <c r="F1054" s="81"/>
      <c r="G1054" s="72"/>
      <c r="H1054" s="76"/>
      <c r="I1054" s="62"/>
      <c r="J1054" s="62"/>
      <c r="K1054" s="54"/>
      <c r="L1054" s="74"/>
      <c r="M1054" s="62"/>
      <c r="N1054" s="62"/>
      <c r="O1054" s="62"/>
      <c r="P1054" s="77"/>
      <c r="Q1054" s="62"/>
      <c r="R1054" s="71"/>
      <c r="S1054" s="71"/>
      <c r="T1054" s="71"/>
      <c r="U1054" s="68"/>
    </row>
    <row r="1055" spans="2:21">
      <c r="B1055" s="62"/>
      <c r="C1055" s="62"/>
      <c r="D1055" s="80"/>
      <c r="E1055" s="80"/>
      <c r="F1055" s="81"/>
      <c r="G1055" s="72"/>
      <c r="H1055" s="76"/>
      <c r="I1055" s="62"/>
      <c r="J1055" s="62"/>
      <c r="K1055" s="54"/>
      <c r="L1055" s="74"/>
      <c r="M1055" s="62"/>
      <c r="N1055" s="62"/>
      <c r="O1055" s="62"/>
      <c r="P1055" s="77"/>
      <c r="Q1055" s="62"/>
      <c r="R1055" s="71"/>
      <c r="S1055" s="71"/>
      <c r="T1055" s="71"/>
      <c r="U1055" s="68"/>
    </row>
    <row r="1056" spans="2:21">
      <c r="B1056" s="62"/>
      <c r="C1056" s="62"/>
      <c r="D1056" s="80"/>
      <c r="E1056" s="80"/>
      <c r="F1056" s="81"/>
      <c r="G1056" s="72"/>
      <c r="H1056" s="76"/>
      <c r="I1056" s="62"/>
      <c r="J1056" s="62"/>
      <c r="K1056" s="54"/>
      <c r="L1056" s="74"/>
      <c r="M1056" s="62"/>
      <c r="N1056" s="62"/>
      <c r="O1056" s="62"/>
      <c r="P1056" s="77"/>
      <c r="Q1056" s="62"/>
      <c r="R1056" s="71"/>
      <c r="S1056" s="71"/>
      <c r="T1056" s="71"/>
      <c r="U1056" s="68"/>
    </row>
    <row r="1057" spans="2:21">
      <c r="B1057" s="62"/>
      <c r="C1057" s="62"/>
      <c r="D1057" s="80"/>
      <c r="E1057" s="80"/>
      <c r="F1057" s="81"/>
      <c r="G1057" s="72"/>
      <c r="H1057" s="76"/>
      <c r="I1057" s="62"/>
      <c r="J1057" s="62"/>
      <c r="K1057" s="54"/>
      <c r="L1057" s="74"/>
      <c r="M1057" s="62"/>
      <c r="N1057" s="62"/>
      <c r="O1057" s="62"/>
      <c r="P1057" s="77"/>
      <c r="Q1057" s="62"/>
      <c r="R1057" s="71"/>
      <c r="S1057" s="71"/>
      <c r="T1057" s="71"/>
      <c r="U1057" s="68"/>
    </row>
    <row r="1058" spans="2:21">
      <c r="B1058" s="62"/>
      <c r="C1058" s="62"/>
      <c r="D1058" s="80"/>
      <c r="E1058" s="80"/>
      <c r="F1058" s="81"/>
      <c r="G1058" s="72"/>
      <c r="H1058" s="76"/>
      <c r="I1058" s="62"/>
      <c r="J1058" s="62"/>
      <c r="K1058" s="54"/>
      <c r="L1058" s="74"/>
      <c r="M1058" s="62"/>
      <c r="N1058" s="62"/>
      <c r="O1058" s="62"/>
      <c r="P1058" s="77"/>
      <c r="Q1058" s="62"/>
      <c r="R1058" s="71"/>
      <c r="S1058" s="71"/>
      <c r="T1058" s="71"/>
      <c r="U1058" s="68"/>
    </row>
    <row r="1059" spans="2:21">
      <c r="B1059" s="62"/>
      <c r="C1059" s="62"/>
      <c r="D1059" s="80"/>
      <c r="E1059" s="80"/>
      <c r="F1059" s="81"/>
      <c r="G1059" s="72"/>
      <c r="H1059" s="76"/>
      <c r="I1059" s="62"/>
      <c r="J1059" s="62"/>
      <c r="K1059" s="54"/>
      <c r="L1059" s="74"/>
      <c r="M1059" s="62"/>
      <c r="N1059" s="62"/>
      <c r="O1059" s="62"/>
      <c r="P1059" s="77"/>
      <c r="Q1059" s="62"/>
      <c r="R1059" s="71"/>
      <c r="S1059" s="71"/>
      <c r="T1059" s="71"/>
      <c r="U1059" s="68"/>
    </row>
    <row r="1060" spans="2:21">
      <c r="B1060" s="62"/>
      <c r="C1060" s="62"/>
      <c r="D1060" s="80"/>
      <c r="E1060" s="80"/>
      <c r="F1060" s="81"/>
      <c r="G1060" s="72"/>
      <c r="H1060" s="76"/>
      <c r="I1060" s="62"/>
      <c r="J1060" s="62"/>
      <c r="K1060" s="54"/>
      <c r="L1060" s="74"/>
      <c r="M1060" s="62"/>
      <c r="N1060" s="62"/>
      <c r="O1060" s="62"/>
      <c r="P1060" s="77"/>
      <c r="Q1060" s="62"/>
      <c r="R1060" s="71"/>
      <c r="S1060" s="71"/>
      <c r="T1060" s="71"/>
      <c r="U1060" s="68"/>
    </row>
    <row r="1061" spans="2:21">
      <c r="B1061" s="62"/>
      <c r="C1061" s="62"/>
      <c r="D1061" s="80"/>
      <c r="E1061" s="80"/>
      <c r="F1061" s="81"/>
      <c r="G1061" s="72"/>
      <c r="H1061" s="76"/>
      <c r="I1061" s="62"/>
      <c r="J1061" s="62"/>
      <c r="K1061" s="54"/>
      <c r="L1061" s="74"/>
      <c r="M1061" s="62"/>
      <c r="N1061" s="62"/>
      <c r="O1061" s="62"/>
      <c r="P1061" s="77"/>
      <c r="Q1061" s="62"/>
      <c r="R1061" s="71"/>
      <c r="S1061" s="71"/>
      <c r="T1061" s="71"/>
      <c r="U1061" s="68"/>
    </row>
    <row r="1062" spans="2:21">
      <c r="B1062" s="62"/>
      <c r="C1062" s="62"/>
      <c r="D1062" s="80"/>
      <c r="E1062" s="80"/>
      <c r="F1062" s="81"/>
      <c r="G1062" s="72"/>
      <c r="H1062" s="76"/>
      <c r="I1062" s="62"/>
      <c r="J1062" s="62"/>
      <c r="K1062" s="54"/>
      <c r="L1062" s="74"/>
      <c r="M1062" s="62"/>
      <c r="N1062" s="62"/>
      <c r="O1062" s="62"/>
      <c r="P1062" s="77"/>
      <c r="Q1062" s="62"/>
      <c r="R1062" s="71"/>
      <c r="S1062" s="71"/>
      <c r="T1062" s="71"/>
      <c r="U1062" s="68"/>
    </row>
    <row r="1063" spans="2:21">
      <c r="B1063" s="62"/>
      <c r="C1063" s="62"/>
      <c r="D1063" s="80"/>
      <c r="E1063" s="80"/>
      <c r="F1063" s="81"/>
      <c r="G1063" s="72"/>
      <c r="H1063" s="76"/>
      <c r="I1063" s="62"/>
      <c r="J1063" s="62"/>
      <c r="K1063" s="54"/>
      <c r="L1063" s="74"/>
      <c r="M1063" s="62"/>
      <c r="N1063" s="62"/>
      <c r="O1063" s="62"/>
      <c r="P1063" s="77"/>
      <c r="Q1063" s="62"/>
      <c r="R1063" s="71"/>
      <c r="S1063" s="71"/>
      <c r="T1063" s="71"/>
      <c r="U1063" s="68"/>
    </row>
    <row r="1064" spans="2:21">
      <c r="B1064" s="62"/>
      <c r="C1064" s="62"/>
      <c r="D1064" s="80"/>
      <c r="E1064" s="80"/>
      <c r="F1064" s="81"/>
      <c r="G1064" s="72"/>
      <c r="H1064" s="76"/>
      <c r="I1064" s="62"/>
      <c r="J1064" s="62"/>
      <c r="K1064" s="54"/>
      <c r="L1064" s="74"/>
      <c r="M1064" s="62"/>
      <c r="N1064" s="62"/>
      <c r="O1064" s="62"/>
      <c r="P1064" s="77"/>
      <c r="Q1064" s="62"/>
      <c r="R1064" s="71"/>
      <c r="S1064" s="71"/>
      <c r="T1064" s="71"/>
      <c r="U1064" s="68"/>
    </row>
    <row r="1065" spans="2:21">
      <c r="B1065" s="62"/>
      <c r="C1065" s="62"/>
      <c r="D1065" s="80"/>
      <c r="E1065" s="80"/>
      <c r="F1065" s="81"/>
      <c r="G1065" s="72"/>
      <c r="H1065" s="76"/>
      <c r="I1065" s="62"/>
      <c r="J1065" s="62"/>
      <c r="K1065" s="54"/>
      <c r="L1065" s="74"/>
      <c r="M1065" s="62"/>
      <c r="N1065" s="62"/>
      <c r="O1065" s="62"/>
      <c r="P1065" s="77"/>
      <c r="Q1065" s="62"/>
      <c r="R1065" s="71"/>
      <c r="S1065" s="71"/>
      <c r="T1065" s="71"/>
      <c r="U1065" s="68"/>
    </row>
    <row r="1066" spans="2:21">
      <c r="B1066" s="62"/>
      <c r="C1066" s="62"/>
      <c r="D1066" s="80"/>
      <c r="E1066" s="80"/>
      <c r="F1066" s="81"/>
      <c r="G1066" s="72"/>
      <c r="H1066" s="76"/>
      <c r="I1066" s="62"/>
      <c r="J1066" s="62"/>
      <c r="K1066" s="54"/>
      <c r="L1066" s="74"/>
      <c r="M1066" s="62"/>
      <c r="N1066" s="62"/>
      <c r="O1066" s="62"/>
      <c r="P1066" s="77"/>
      <c r="Q1066" s="62"/>
      <c r="R1066" s="71"/>
      <c r="S1066" s="71"/>
      <c r="T1066" s="71"/>
      <c r="U1066" s="68"/>
    </row>
    <row r="1067" spans="2:21">
      <c r="B1067" s="62"/>
      <c r="C1067" s="62"/>
      <c r="D1067" s="80"/>
      <c r="E1067" s="80"/>
      <c r="F1067" s="81"/>
      <c r="G1067" s="72"/>
      <c r="H1067" s="76"/>
      <c r="I1067" s="62"/>
      <c r="J1067" s="62"/>
      <c r="K1067" s="54"/>
      <c r="L1067" s="74"/>
      <c r="M1067" s="62"/>
      <c r="N1067" s="62"/>
      <c r="O1067" s="62"/>
      <c r="P1067" s="77"/>
      <c r="Q1067" s="62"/>
      <c r="R1067" s="71"/>
      <c r="S1067" s="71"/>
      <c r="T1067" s="71"/>
      <c r="U1067" s="68"/>
    </row>
    <row r="1068" spans="2:21">
      <c r="B1068" s="62"/>
      <c r="C1068" s="62"/>
      <c r="D1068" s="80"/>
      <c r="E1068" s="80"/>
      <c r="F1068" s="81"/>
      <c r="G1068" s="72"/>
      <c r="H1068" s="76"/>
      <c r="I1068" s="62"/>
      <c r="J1068" s="62"/>
      <c r="K1068" s="54"/>
      <c r="L1068" s="74"/>
      <c r="M1068" s="62"/>
      <c r="N1068" s="62"/>
      <c r="O1068" s="62"/>
      <c r="P1068" s="77"/>
      <c r="Q1068" s="62"/>
      <c r="R1068" s="71"/>
      <c r="S1068" s="71"/>
      <c r="T1068" s="71"/>
      <c r="U1068" s="68"/>
    </row>
    <row r="1069" spans="2:21">
      <c r="B1069" s="62"/>
      <c r="C1069" s="62"/>
      <c r="D1069" s="80"/>
      <c r="E1069" s="80"/>
      <c r="F1069" s="81"/>
      <c r="G1069" s="72"/>
      <c r="H1069" s="76"/>
      <c r="I1069" s="62"/>
      <c r="J1069" s="62"/>
      <c r="K1069" s="54"/>
      <c r="L1069" s="74"/>
      <c r="M1069" s="62"/>
      <c r="N1069" s="62"/>
      <c r="O1069" s="62"/>
      <c r="P1069" s="77"/>
      <c r="Q1069" s="62"/>
      <c r="R1069" s="71"/>
      <c r="S1069" s="71"/>
      <c r="T1069" s="71"/>
      <c r="U1069" s="68"/>
    </row>
    <row r="1070" spans="2:21">
      <c r="B1070" s="62"/>
      <c r="C1070" s="62"/>
      <c r="D1070" s="80"/>
      <c r="E1070" s="80"/>
      <c r="F1070" s="81"/>
      <c r="G1070" s="72"/>
      <c r="H1070" s="76"/>
      <c r="I1070" s="62"/>
      <c r="J1070" s="62"/>
      <c r="K1070" s="54"/>
      <c r="L1070" s="74"/>
      <c r="M1070" s="62"/>
      <c r="N1070" s="62"/>
      <c r="O1070" s="62"/>
      <c r="P1070" s="77"/>
      <c r="Q1070" s="62"/>
      <c r="R1070" s="71"/>
      <c r="S1070" s="71"/>
      <c r="T1070" s="71"/>
      <c r="U1070" s="68"/>
    </row>
    <row r="1071" spans="2:21">
      <c r="B1071" s="62"/>
      <c r="C1071" s="62"/>
      <c r="D1071" s="80"/>
      <c r="E1071" s="80"/>
      <c r="F1071" s="81"/>
      <c r="G1071" s="72"/>
      <c r="H1071" s="76"/>
      <c r="I1071" s="62"/>
      <c r="J1071" s="62"/>
      <c r="K1071" s="54"/>
      <c r="L1071" s="74"/>
      <c r="M1071" s="62"/>
      <c r="N1071" s="62"/>
      <c r="O1071" s="62"/>
      <c r="P1071" s="77"/>
      <c r="Q1071" s="62"/>
      <c r="R1071" s="71"/>
      <c r="S1071" s="71"/>
      <c r="T1071" s="71"/>
      <c r="U1071" s="68"/>
    </row>
    <row r="1072" spans="2:21">
      <c r="B1072" s="62"/>
      <c r="C1072" s="62"/>
      <c r="D1072" s="80"/>
      <c r="E1072" s="80"/>
      <c r="F1072" s="81"/>
      <c r="G1072" s="72"/>
      <c r="H1072" s="76"/>
      <c r="I1072" s="62"/>
      <c r="J1072" s="62"/>
      <c r="K1072" s="54"/>
      <c r="L1072" s="74"/>
      <c r="M1072" s="62"/>
      <c r="N1072" s="62"/>
      <c r="O1072" s="62"/>
      <c r="P1072" s="77"/>
      <c r="Q1072" s="62"/>
      <c r="R1072" s="71"/>
      <c r="S1072" s="71"/>
      <c r="T1072" s="71"/>
      <c r="U1072" s="68"/>
    </row>
    <row r="1073" spans="2:21">
      <c r="B1073" s="62"/>
      <c r="C1073" s="62"/>
      <c r="D1073" s="80"/>
      <c r="E1073" s="80"/>
      <c r="F1073" s="81"/>
      <c r="G1073" s="72"/>
      <c r="H1073" s="76"/>
      <c r="I1073" s="62"/>
      <c r="J1073" s="62"/>
      <c r="K1073" s="54"/>
      <c r="L1073" s="74"/>
      <c r="M1073" s="62"/>
      <c r="N1073" s="62"/>
      <c r="O1073" s="62"/>
      <c r="P1073" s="77"/>
      <c r="Q1073" s="62"/>
      <c r="R1073" s="71"/>
      <c r="S1073" s="71"/>
      <c r="T1073" s="71"/>
      <c r="U1073" s="68"/>
    </row>
    <row r="1074" spans="2:21">
      <c r="B1074" s="62"/>
      <c r="C1074" s="62"/>
      <c r="D1074" s="80"/>
      <c r="E1074" s="80"/>
      <c r="F1074" s="81"/>
      <c r="G1074" s="72"/>
      <c r="H1074" s="76"/>
      <c r="I1074" s="62"/>
      <c r="J1074" s="62"/>
      <c r="K1074" s="54"/>
      <c r="L1074" s="74"/>
      <c r="M1074" s="62"/>
      <c r="N1074" s="62"/>
      <c r="O1074" s="62"/>
      <c r="P1074" s="77"/>
      <c r="Q1074" s="62"/>
      <c r="R1074" s="71"/>
      <c r="S1074" s="71"/>
      <c r="T1074" s="71"/>
      <c r="U1074" s="68"/>
    </row>
    <row r="1075" spans="2:21">
      <c r="B1075" s="62"/>
      <c r="C1075" s="62"/>
      <c r="D1075" s="80"/>
      <c r="E1075" s="80"/>
      <c r="F1075" s="81"/>
      <c r="G1075" s="72"/>
      <c r="H1075" s="76"/>
      <c r="I1075" s="62"/>
      <c r="J1075" s="62"/>
      <c r="K1075" s="54"/>
      <c r="L1075" s="74"/>
      <c r="M1075" s="62"/>
      <c r="N1075" s="62"/>
      <c r="O1075" s="62"/>
      <c r="P1075" s="77"/>
      <c r="Q1075" s="62"/>
      <c r="R1075" s="71"/>
      <c r="S1075" s="71"/>
      <c r="T1075" s="71"/>
      <c r="U1075" s="68"/>
    </row>
    <row r="1076" spans="2:21">
      <c r="B1076" s="62"/>
      <c r="C1076" s="62"/>
      <c r="D1076" s="80"/>
      <c r="E1076" s="80"/>
      <c r="F1076" s="81"/>
      <c r="G1076" s="72"/>
      <c r="H1076" s="76"/>
      <c r="I1076" s="62"/>
      <c r="J1076" s="62"/>
      <c r="K1076" s="54"/>
      <c r="L1076" s="74"/>
      <c r="M1076" s="62"/>
      <c r="N1076" s="62"/>
      <c r="O1076" s="62"/>
      <c r="P1076" s="77"/>
      <c r="Q1076" s="62"/>
      <c r="R1076" s="71"/>
      <c r="S1076" s="71"/>
      <c r="T1076" s="71"/>
      <c r="U1076" s="68"/>
    </row>
    <row r="1077" spans="2:21">
      <c r="B1077" s="62"/>
      <c r="C1077" s="62"/>
      <c r="D1077" s="80"/>
      <c r="E1077" s="80"/>
      <c r="F1077" s="81"/>
      <c r="G1077" s="72"/>
      <c r="H1077" s="76"/>
      <c r="I1077" s="62"/>
      <c r="J1077" s="62"/>
      <c r="K1077" s="54"/>
      <c r="L1077" s="74"/>
      <c r="M1077" s="62"/>
      <c r="N1077" s="62"/>
      <c r="O1077" s="62"/>
      <c r="P1077" s="77"/>
      <c r="Q1077" s="62"/>
      <c r="R1077" s="71"/>
      <c r="S1077" s="71"/>
      <c r="T1077" s="71"/>
      <c r="U1077" s="68"/>
    </row>
    <row r="1078" spans="2:21">
      <c r="B1078" s="62"/>
      <c r="C1078" s="62"/>
      <c r="D1078" s="80"/>
      <c r="E1078" s="80"/>
      <c r="F1078" s="81"/>
      <c r="G1078" s="72"/>
      <c r="H1078" s="76"/>
      <c r="I1078" s="62"/>
      <c r="J1078" s="62"/>
      <c r="K1078" s="54"/>
      <c r="L1078" s="74"/>
      <c r="M1078" s="62"/>
      <c r="N1078" s="62"/>
      <c r="O1078" s="62"/>
      <c r="P1078" s="77"/>
      <c r="Q1078" s="62"/>
      <c r="R1078" s="71"/>
      <c r="S1078" s="71"/>
      <c r="T1078" s="71"/>
      <c r="U1078" s="68"/>
    </row>
    <row r="1079" spans="2:21">
      <c r="B1079" s="62"/>
      <c r="C1079" s="62"/>
      <c r="D1079" s="80"/>
      <c r="E1079" s="80"/>
      <c r="F1079" s="81"/>
      <c r="G1079" s="72"/>
      <c r="H1079" s="76"/>
      <c r="I1079" s="62"/>
      <c r="J1079" s="62"/>
      <c r="K1079" s="54"/>
      <c r="L1079" s="74"/>
      <c r="M1079" s="62"/>
      <c r="N1079" s="62"/>
      <c r="O1079" s="62"/>
      <c r="P1079" s="77"/>
      <c r="Q1079" s="62"/>
      <c r="R1079" s="71"/>
      <c r="S1079" s="71"/>
      <c r="T1079" s="71"/>
      <c r="U1079" s="68"/>
    </row>
    <row r="1080" spans="2:21">
      <c r="B1080" s="62"/>
      <c r="C1080" s="62"/>
      <c r="D1080" s="80"/>
      <c r="E1080" s="80"/>
      <c r="F1080" s="81"/>
      <c r="G1080" s="72"/>
      <c r="H1080" s="76"/>
      <c r="I1080" s="62"/>
      <c r="J1080" s="62"/>
      <c r="K1080" s="54"/>
      <c r="L1080" s="74"/>
      <c r="M1080" s="62"/>
      <c r="N1080" s="62"/>
      <c r="O1080" s="62"/>
      <c r="P1080" s="77"/>
      <c r="Q1080" s="62"/>
      <c r="R1080" s="71"/>
      <c r="S1080" s="71"/>
      <c r="T1080" s="71"/>
      <c r="U1080" s="68"/>
    </row>
    <row r="1081" spans="2:21">
      <c r="B1081" s="62"/>
      <c r="C1081" s="62"/>
      <c r="D1081" s="80"/>
      <c r="E1081" s="80"/>
      <c r="F1081" s="81"/>
      <c r="G1081" s="72"/>
      <c r="H1081" s="76"/>
      <c r="I1081" s="62"/>
      <c r="J1081" s="62"/>
      <c r="K1081" s="54"/>
      <c r="L1081" s="74"/>
      <c r="M1081" s="62"/>
      <c r="N1081" s="62"/>
      <c r="O1081" s="62"/>
      <c r="P1081" s="77"/>
      <c r="Q1081" s="62"/>
      <c r="R1081" s="71"/>
      <c r="S1081" s="71"/>
      <c r="T1081" s="71"/>
      <c r="U1081" s="68"/>
    </row>
    <row r="1082" spans="2:21">
      <c r="B1082" s="62"/>
      <c r="C1082" s="62"/>
      <c r="D1082" s="80"/>
      <c r="E1082" s="80"/>
      <c r="F1082" s="81"/>
      <c r="G1082" s="72"/>
      <c r="H1082" s="76"/>
      <c r="I1082" s="62"/>
      <c r="J1082" s="62"/>
      <c r="K1082" s="54"/>
      <c r="L1082" s="74"/>
      <c r="M1082" s="62"/>
      <c r="N1082" s="62"/>
      <c r="O1082" s="62"/>
      <c r="P1082" s="77"/>
      <c r="Q1082" s="62"/>
      <c r="R1082" s="71"/>
      <c r="S1082" s="71"/>
      <c r="T1082" s="71"/>
      <c r="U1082" s="68"/>
    </row>
    <row r="1083" spans="2:21">
      <c r="B1083" s="62"/>
      <c r="C1083" s="62"/>
      <c r="D1083" s="80"/>
      <c r="E1083" s="80"/>
      <c r="F1083" s="81"/>
      <c r="G1083" s="72"/>
      <c r="H1083" s="76"/>
      <c r="I1083" s="62"/>
      <c r="J1083" s="62"/>
      <c r="K1083" s="54"/>
      <c r="L1083" s="74"/>
      <c r="M1083" s="62"/>
      <c r="N1083" s="62"/>
      <c r="O1083" s="62"/>
      <c r="P1083" s="77"/>
      <c r="Q1083" s="62"/>
      <c r="R1083" s="71"/>
      <c r="S1083" s="71"/>
      <c r="T1083" s="71"/>
      <c r="U1083" s="68"/>
    </row>
    <row r="1084" spans="2:21">
      <c r="B1084" s="62"/>
      <c r="C1084" s="62"/>
      <c r="D1084" s="80"/>
      <c r="E1084" s="80"/>
      <c r="F1084" s="81"/>
      <c r="G1084" s="72"/>
      <c r="H1084" s="76"/>
      <c r="I1084" s="62"/>
      <c r="J1084" s="62"/>
      <c r="K1084" s="54"/>
      <c r="L1084" s="74"/>
      <c r="M1084" s="62"/>
      <c r="N1084" s="62"/>
      <c r="O1084" s="62"/>
      <c r="P1084" s="77"/>
      <c r="Q1084" s="62"/>
      <c r="R1084" s="71"/>
      <c r="S1084" s="71"/>
      <c r="T1084" s="71"/>
      <c r="U1084" s="68"/>
    </row>
    <row r="1085" spans="2:21">
      <c r="B1085" s="62"/>
      <c r="C1085" s="62"/>
      <c r="D1085" s="80"/>
      <c r="E1085" s="80"/>
      <c r="F1085" s="81"/>
      <c r="G1085" s="72"/>
      <c r="H1085" s="76"/>
      <c r="I1085" s="62"/>
      <c r="J1085" s="62"/>
      <c r="K1085" s="54"/>
      <c r="L1085" s="74"/>
      <c r="M1085" s="62"/>
      <c r="N1085" s="62"/>
      <c r="O1085" s="62"/>
      <c r="P1085" s="77"/>
      <c r="Q1085" s="62"/>
      <c r="R1085" s="71"/>
      <c r="S1085" s="71"/>
      <c r="T1085" s="71"/>
      <c r="U1085" s="68"/>
    </row>
    <row r="1086" spans="2:21">
      <c r="B1086" s="62"/>
      <c r="C1086" s="62"/>
      <c r="D1086" s="80"/>
      <c r="E1086" s="80"/>
      <c r="F1086" s="81"/>
      <c r="G1086" s="72"/>
      <c r="H1086" s="76"/>
      <c r="I1086" s="62"/>
      <c r="J1086" s="62"/>
      <c r="K1086" s="54"/>
      <c r="L1086" s="74"/>
      <c r="M1086" s="62"/>
      <c r="N1086" s="62"/>
      <c r="O1086" s="62"/>
      <c r="P1086" s="77"/>
      <c r="Q1086" s="62"/>
      <c r="R1086" s="71"/>
      <c r="S1086" s="71"/>
      <c r="T1086" s="71"/>
      <c r="U1086" s="68"/>
    </row>
    <row r="1087" spans="2:21">
      <c r="B1087" s="62"/>
      <c r="C1087" s="62"/>
      <c r="D1087" s="80"/>
      <c r="E1087" s="80"/>
      <c r="F1087" s="81"/>
      <c r="G1087" s="72"/>
      <c r="H1087" s="76"/>
      <c r="I1087" s="62"/>
      <c r="J1087" s="62"/>
      <c r="K1087" s="54"/>
      <c r="L1087" s="74"/>
      <c r="M1087" s="62"/>
      <c r="N1087" s="62"/>
      <c r="O1087" s="62"/>
      <c r="P1087" s="77"/>
      <c r="Q1087" s="62"/>
      <c r="R1087" s="71"/>
      <c r="S1087" s="71"/>
      <c r="T1087" s="71"/>
      <c r="U1087" s="68"/>
    </row>
    <row r="1088" spans="2:21">
      <c r="B1088" s="62"/>
      <c r="C1088" s="62"/>
      <c r="D1088" s="80"/>
      <c r="E1088" s="80"/>
      <c r="F1088" s="81"/>
      <c r="G1088" s="72"/>
      <c r="H1088" s="76"/>
      <c r="I1088" s="62"/>
      <c r="J1088" s="62"/>
      <c r="K1088" s="54"/>
      <c r="L1088" s="74"/>
      <c r="M1088" s="62"/>
      <c r="N1088" s="62"/>
      <c r="O1088" s="62"/>
      <c r="P1088" s="77"/>
      <c r="Q1088" s="62"/>
      <c r="R1088" s="71"/>
      <c r="S1088" s="71"/>
      <c r="T1088" s="71"/>
      <c r="U1088" s="68"/>
    </row>
    <row r="1089" spans="2:21">
      <c r="B1089" s="62"/>
      <c r="C1089" s="62"/>
      <c r="D1089" s="80"/>
      <c r="E1089" s="80"/>
      <c r="F1089" s="81"/>
      <c r="G1089" s="72"/>
      <c r="H1089" s="76"/>
      <c r="I1089" s="62"/>
      <c r="J1089" s="62"/>
      <c r="K1089" s="54"/>
      <c r="L1089" s="74"/>
      <c r="M1089" s="62"/>
      <c r="N1089" s="62"/>
      <c r="O1089" s="62"/>
      <c r="P1089" s="77"/>
      <c r="Q1089" s="62"/>
      <c r="R1089" s="71"/>
      <c r="S1089" s="71"/>
      <c r="T1089" s="71"/>
      <c r="U1089" s="68"/>
    </row>
    <row r="1090" spans="2:21">
      <c r="B1090" s="62"/>
      <c r="C1090" s="62"/>
      <c r="D1090" s="80"/>
      <c r="E1090" s="80"/>
      <c r="F1090" s="81"/>
      <c r="G1090" s="72"/>
      <c r="H1090" s="76"/>
      <c r="I1090" s="62"/>
      <c r="J1090" s="62"/>
      <c r="K1090" s="54"/>
      <c r="L1090" s="74"/>
      <c r="M1090" s="62"/>
      <c r="N1090" s="62"/>
      <c r="O1090" s="62"/>
      <c r="P1090" s="77"/>
      <c r="Q1090" s="62"/>
      <c r="R1090" s="71"/>
      <c r="S1090" s="71"/>
      <c r="T1090" s="71"/>
      <c r="U1090" s="68"/>
    </row>
    <row r="1091" spans="2:21">
      <c r="B1091" s="62"/>
      <c r="C1091" s="62"/>
      <c r="D1091" s="80"/>
      <c r="E1091" s="80"/>
      <c r="F1091" s="81"/>
      <c r="G1091" s="72"/>
      <c r="H1091" s="76"/>
      <c r="I1091" s="62"/>
      <c r="J1091" s="62"/>
      <c r="K1091" s="54"/>
      <c r="L1091" s="74"/>
      <c r="M1091" s="62"/>
      <c r="N1091" s="62"/>
      <c r="O1091" s="62"/>
      <c r="P1091" s="77"/>
      <c r="Q1091" s="62"/>
      <c r="R1091" s="71"/>
      <c r="S1091" s="71"/>
      <c r="T1091" s="71"/>
      <c r="U1091" s="68"/>
    </row>
    <row r="1092" spans="2:21">
      <c r="B1092" s="62"/>
      <c r="C1092" s="62"/>
      <c r="D1092" s="80"/>
      <c r="E1092" s="80"/>
      <c r="F1092" s="81"/>
      <c r="G1092" s="72"/>
      <c r="H1092" s="76"/>
      <c r="I1092" s="62"/>
      <c r="J1092" s="62"/>
      <c r="K1092" s="54"/>
      <c r="L1092" s="74"/>
      <c r="M1092" s="62"/>
      <c r="N1092" s="62"/>
      <c r="O1092" s="62"/>
      <c r="P1092" s="77"/>
      <c r="Q1092" s="62"/>
      <c r="R1092" s="71"/>
      <c r="S1092" s="71"/>
      <c r="T1092" s="71"/>
      <c r="U1092" s="68"/>
    </row>
    <row r="1093" spans="2:21">
      <c r="B1093" s="62"/>
      <c r="C1093" s="62"/>
      <c r="D1093" s="80"/>
      <c r="E1093" s="80"/>
      <c r="F1093" s="81"/>
      <c r="G1093" s="72"/>
      <c r="H1093" s="76"/>
      <c r="I1093" s="62"/>
      <c r="J1093" s="62"/>
      <c r="K1093" s="54"/>
      <c r="L1093" s="74"/>
      <c r="M1093" s="62"/>
      <c r="N1093" s="62"/>
      <c r="O1093" s="62"/>
      <c r="P1093" s="77"/>
      <c r="Q1093" s="62"/>
      <c r="R1093" s="71"/>
      <c r="S1093" s="71"/>
      <c r="T1093" s="71"/>
      <c r="U1093" s="68"/>
    </row>
    <row r="1094" spans="2:21">
      <c r="B1094" s="62"/>
      <c r="C1094" s="62"/>
      <c r="D1094" s="80"/>
      <c r="E1094" s="80"/>
      <c r="F1094" s="81"/>
      <c r="G1094" s="72"/>
      <c r="H1094" s="76"/>
      <c r="I1094" s="62"/>
      <c r="J1094" s="62"/>
      <c r="K1094" s="54"/>
      <c r="L1094" s="74"/>
      <c r="M1094" s="62"/>
      <c r="N1094" s="62"/>
      <c r="O1094" s="62"/>
      <c r="P1094" s="77"/>
      <c r="Q1094" s="62"/>
      <c r="R1094" s="71"/>
      <c r="S1094" s="71"/>
      <c r="T1094" s="71"/>
      <c r="U1094" s="68"/>
    </row>
    <row r="1095" spans="2:21">
      <c r="B1095" s="62"/>
      <c r="C1095" s="62"/>
      <c r="D1095" s="80"/>
      <c r="E1095" s="80"/>
      <c r="F1095" s="81"/>
      <c r="G1095" s="72"/>
      <c r="H1095" s="76"/>
      <c r="I1095" s="62"/>
      <c r="J1095" s="62"/>
      <c r="K1095" s="54"/>
      <c r="L1095" s="74"/>
      <c r="M1095" s="62"/>
      <c r="N1095" s="62"/>
      <c r="O1095" s="62"/>
      <c r="P1095" s="77"/>
      <c r="Q1095" s="62"/>
      <c r="R1095" s="71"/>
      <c r="S1095" s="71"/>
      <c r="T1095" s="71"/>
      <c r="U1095" s="68"/>
    </row>
    <row r="1096" spans="2:21">
      <c r="B1096" s="62"/>
      <c r="C1096" s="62"/>
      <c r="D1096" s="80"/>
      <c r="E1096" s="80"/>
      <c r="F1096" s="81"/>
      <c r="G1096" s="72"/>
      <c r="H1096" s="76"/>
      <c r="I1096" s="62"/>
      <c r="J1096" s="62"/>
      <c r="K1096" s="54"/>
      <c r="L1096" s="74"/>
      <c r="M1096" s="62"/>
      <c r="N1096" s="62"/>
      <c r="O1096" s="62"/>
      <c r="P1096" s="77"/>
      <c r="Q1096" s="62"/>
      <c r="R1096" s="71"/>
      <c r="S1096" s="71"/>
      <c r="T1096" s="71"/>
      <c r="U1096" s="68"/>
    </row>
    <row r="1097" spans="2:21">
      <c r="B1097" s="62"/>
      <c r="C1097" s="62"/>
      <c r="D1097" s="80"/>
      <c r="E1097" s="80"/>
      <c r="F1097" s="81"/>
      <c r="G1097" s="72"/>
      <c r="H1097" s="76"/>
      <c r="I1097" s="62"/>
      <c r="J1097" s="62"/>
      <c r="K1097" s="54"/>
      <c r="L1097" s="74"/>
      <c r="M1097" s="62"/>
      <c r="N1097" s="62"/>
      <c r="O1097" s="62"/>
      <c r="P1097" s="77"/>
      <c r="Q1097" s="62"/>
      <c r="R1097" s="71"/>
      <c r="S1097" s="71"/>
      <c r="T1097" s="71"/>
      <c r="U1097" s="68"/>
    </row>
    <row r="1098" spans="2:21">
      <c r="B1098" s="62"/>
      <c r="C1098" s="62"/>
      <c r="D1098" s="80"/>
      <c r="E1098" s="80"/>
      <c r="F1098" s="81"/>
      <c r="G1098" s="72"/>
      <c r="H1098" s="76"/>
      <c r="I1098" s="62"/>
      <c r="J1098" s="62"/>
      <c r="K1098" s="54"/>
      <c r="L1098" s="74"/>
      <c r="M1098" s="62"/>
      <c r="N1098" s="62"/>
      <c r="O1098" s="62"/>
      <c r="P1098" s="77"/>
      <c r="Q1098" s="62"/>
      <c r="R1098" s="71"/>
      <c r="S1098" s="71"/>
      <c r="T1098" s="71"/>
      <c r="U1098" s="68"/>
    </row>
    <row r="1099" spans="2:21">
      <c r="B1099" s="62"/>
      <c r="C1099" s="62"/>
      <c r="D1099" s="80"/>
      <c r="E1099" s="80"/>
      <c r="F1099" s="81"/>
      <c r="G1099" s="72"/>
      <c r="H1099" s="76"/>
      <c r="I1099" s="62"/>
      <c r="J1099" s="62"/>
      <c r="K1099" s="54"/>
      <c r="L1099" s="74"/>
      <c r="M1099" s="62"/>
      <c r="N1099" s="62"/>
      <c r="O1099" s="62"/>
      <c r="P1099" s="77"/>
      <c r="Q1099" s="62"/>
      <c r="R1099" s="71"/>
      <c r="S1099" s="71"/>
      <c r="T1099" s="71"/>
      <c r="U1099" s="68"/>
    </row>
    <row r="1100" spans="2:21">
      <c r="B1100" s="62"/>
      <c r="C1100" s="62"/>
      <c r="D1100" s="80"/>
      <c r="E1100" s="80"/>
      <c r="F1100" s="81"/>
      <c r="G1100" s="72"/>
      <c r="H1100" s="76"/>
      <c r="I1100" s="62"/>
      <c r="J1100" s="62"/>
      <c r="K1100" s="54"/>
      <c r="L1100" s="74"/>
      <c r="M1100" s="62"/>
      <c r="N1100" s="62"/>
      <c r="O1100" s="62"/>
      <c r="P1100" s="77"/>
      <c r="Q1100" s="62"/>
      <c r="R1100" s="71"/>
      <c r="S1100" s="71"/>
      <c r="T1100" s="71"/>
      <c r="U1100" s="68"/>
    </row>
    <row r="1101" spans="2:21">
      <c r="B1101" s="62"/>
      <c r="C1101" s="62"/>
      <c r="D1101" s="80"/>
      <c r="E1101" s="80"/>
      <c r="F1101" s="81"/>
      <c r="G1101" s="72"/>
      <c r="H1101" s="76"/>
      <c r="I1101" s="62"/>
      <c r="J1101" s="62"/>
      <c r="K1101" s="54"/>
      <c r="L1101" s="74"/>
      <c r="M1101" s="62"/>
      <c r="N1101" s="62"/>
      <c r="O1101" s="62"/>
      <c r="P1101" s="77"/>
      <c r="Q1101" s="62"/>
      <c r="R1101" s="71"/>
      <c r="S1101" s="71"/>
      <c r="T1101" s="71"/>
      <c r="U1101" s="68"/>
    </row>
    <row r="1102" spans="2:21">
      <c r="B1102" s="62"/>
      <c r="C1102" s="62"/>
      <c r="D1102" s="80"/>
      <c r="E1102" s="80"/>
      <c r="F1102" s="81"/>
      <c r="G1102" s="72"/>
      <c r="H1102" s="76"/>
      <c r="I1102" s="62"/>
      <c r="J1102" s="62"/>
      <c r="K1102" s="54"/>
      <c r="L1102" s="74"/>
      <c r="M1102" s="62"/>
      <c r="N1102" s="62"/>
      <c r="O1102" s="62"/>
      <c r="P1102" s="77"/>
      <c r="Q1102" s="62"/>
      <c r="R1102" s="71"/>
      <c r="S1102" s="71"/>
      <c r="T1102" s="71"/>
      <c r="U1102" s="68"/>
    </row>
    <row r="1103" spans="2:21">
      <c r="B1103" s="62"/>
      <c r="C1103" s="62"/>
      <c r="D1103" s="80"/>
      <c r="E1103" s="80"/>
      <c r="F1103" s="81"/>
      <c r="G1103" s="72"/>
      <c r="H1103" s="76"/>
      <c r="I1103" s="62"/>
      <c r="J1103" s="62"/>
      <c r="K1103" s="54"/>
      <c r="L1103" s="74"/>
      <c r="M1103" s="62"/>
      <c r="N1103" s="62"/>
      <c r="O1103" s="62"/>
      <c r="P1103" s="77"/>
      <c r="Q1103" s="62"/>
      <c r="R1103" s="71"/>
      <c r="S1103" s="71"/>
      <c r="T1103" s="71"/>
      <c r="U1103" s="68"/>
    </row>
    <row r="1104" spans="2:21">
      <c r="B1104" s="62"/>
      <c r="C1104" s="62"/>
      <c r="D1104" s="80"/>
      <c r="E1104" s="80"/>
      <c r="F1104" s="81"/>
      <c r="G1104" s="72"/>
      <c r="H1104" s="76"/>
      <c r="I1104" s="62"/>
      <c r="J1104" s="62"/>
      <c r="K1104" s="54"/>
      <c r="L1104" s="74"/>
      <c r="M1104" s="62"/>
      <c r="N1104" s="62"/>
      <c r="O1104" s="62"/>
      <c r="P1104" s="77"/>
      <c r="Q1104" s="62"/>
      <c r="R1104" s="71"/>
      <c r="S1104" s="71"/>
      <c r="T1104" s="71"/>
      <c r="U1104" s="68"/>
    </row>
    <row r="1105" spans="2:21">
      <c r="B1105" s="62"/>
      <c r="C1105" s="62"/>
      <c r="D1105" s="80"/>
      <c r="E1105" s="80"/>
      <c r="F1105" s="81"/>
      <c r="G1105" s="72"/>
      <c r="H1105" s="76"/>
      <c r="I1105" s="62"/>
      <c r="J1105" s="62"/>
      <c r="K1105" s="54"/>
      <c r="L1105" s="74"/>
      <c r="M1105" s="62"/>
      <c r="N1105" s="62"/>
      <c r="O1105" s="62"/>
      <c r="P1105" s="77"/>
      <c r="Q1105" s="62"/>
      <c r="R1105" s="71"/>
      <c r="S1105" s="71"/>
      <c r="T1105" s="71"/>
      <c r="U1105" s="68"/>
    </row>
    <row r="1106" spans="2:21">
      <c r="B1106" s="62"/>
      <c r="C1106" s="62"/>
      <c r="D1106" s="80"/>
      <c r="E1106" s="80"/>
      <c r="F1106" s="81"/>
      <c r="G1106" s="72"/>
      <c r="H1106" s="76"/>
      <c r="I1106" s="62"/>
      <c r="J1106" s="62"/>
      <c r="K1106" s="54"/>
      <c r="L1106" s="74"/>
      <c r="M1106" s="62"/>
      <c r="N1106" s="62"/>
      <c r="O1106" s="62"/>
      <c r="P1106" s="77"/>
      <c r="Q1106" s="62"/>
      <c r="R1106" s="71"/>
      <c r="S1106" s="71"/>
      <c r="T1106" s="71"/>
      <c r="U1106" s="68"/>
    </row>
    <row r="1107" spans="2:21">
      <c r="B1107" s="62"/>
      <c r="C1107" s="62"/>
      <c r="D1107" s="80"/>
      <c r="E1107" s="80"/>
      <c r="F1107" s="81"/>
      <c r="G1107" s="72"/>
      <c r="H1107" s="76"/>
      <c r="I1107" s="62"/>
      <c r="J1107" s="62"/>
      <c r="K1107" s="54"/>
      <c r="L1107" s="74"/>
      <c r="M1107" s="62"/>
      <c r="N1107" s="62"/>
      <c r="O1107" s="62"/>
      <c r="P1107" s="77"/>
      <c r="Q1107" s="62"/>
      <c r="R1107" s="71"/>
      <c r="S1107" s="71"/>
      <c r="T1107" s="71"/>
      <c r="U1107" s="68"/>
    </row>
    <row r="1108" spans="2:21">
      <c r="B1108" s="62"/>
      <c r="C1108" s="62"/>
      <c r="D1108" s="80"/>
      <c r="E1108" s="80"/>
      <c r="F1108" s="81"/>
      <c r="G1108" s="72"/>
      <c r="H1108" s="76"/>
      <c r="I1108" s="62"/>
      <c r="J1108" s="62"/>
      <c r="K1108" s="54"/>
      <c r="L1108" s="74"/>
      <c r="M1108" s="62"/>
      <c r="N1108" s="62"/>
      <c r="O1108" s="62"/>
      <c r="P1108" s="77"/>
      <c r="Q1108" s="62"/>
      <c r="R1108" s="71"/>
      <c r="S1108" s="71"/>
      <c r="T1108" s="71"/>
      <c r="U1108" s="68"/>
    </row>
    <row r="1109" spans="2:21">
      <c r="B1109" s="62"/>
      <c r="C1109" s="62"/>
      <c r="D1109" s="80"/>
      <c r="E1109" s="80"/>
      <c r="F1109" s="81"/>
      <c r="G1109" s="72"/>
      <c r="H1109" s="76"/>
      <c r="I1109" s="62"/>
      <c r="J1109" s="62"/>
      <c r="K1109" s="54"/>
      <c r="L1109" s="74"/>
      <c r="M1109" s="62"/>
      <c r="N1109" s="62"/>
      <c r="O1109" s="62"/>
      <c r="P1109" s="77"/>
      <c r="Q1109" s="62"/>
      <c r="R1109" s="71"/>
      <c r="S1109" s="71"/>
      <c r="T1109" s="71"/>
      <c r="U1109" s="68"/>
    </row>
    <row r="1110" spans="2:21">
      <c r="B1110" s="62"/>
      <c r="C1110" s="62"/>
      <c r="D1110" s="80"/>
      <c r="E1110" s="80"/>
      <c r="F1110" s="81"/>
      <c r="G1110" s="72"/>
      <c r="H1110" s="76"/>
      <c r="I1110" s="62"/>
      <c r="J1110" s="62"/>
      <c r="K1110" s="54"/>
      <c r="L1110" s="74"/>
      <c r="M1110" s="62"/>
      <c r="N1110" s="62"/>
      <c r="O1110" s="62"/>
      <c r="P1110" s="77"/>
      <c r="Q1110" s="62"/>
      <c r="R1110" s="71"/>
      <c r="S1110" s="71"/>
      <c r="T1110" s="71"/>
      <c r="U1110" s="68"/>
    </row>
    <row r="1111" spans="2:21">
      <c r="B1111" s="62"/>
      <c r="C1111" s="62"/>
      <c r="D1111" s="80"/>
      <c r="E1111" s="80"/>
      <c r="F1111" s="81"/>
      <c r="G1111" s="72"/>
      <c r="H1111" s="76"/>
      <c r="I1111" s="62"/>
      <c r="J1111" s="62"/>
      <c r="K1111" s="54"/>
      <c r="L1111" s="74"/>
      <c r="M1111" s="62"/>
      <c r="N1111" s="62"/>
      <c r="O1111" s="62"/>
      <c r="P1111" s="77"/>
      <c r="Q1111" s="62"/>
      <c r="R1111" s="71"/>
      <c r="S1111" s="71"/>
      <c r="T1111" s="71"/>
      <c r="U1111" s="68"/>
    </row>
    <row r="1112" spans="2:21">
      <c r="B1112" s="62"/>
      <c r="C1112" s="62"/>
      <c r="D1112" s="80"/>
      <c r="E1112" s="80"/>
      <c r="F1112" s="81"/>
      <c r="G1112" s="72"/>
      <c r="H1112" s="76"/>
      <c r="I1112" s="62"/>
      <c r="J1112" s="62"/>
      <c r="K1112" s="54"/>
      <c r="L1112" s="74"/>
      <c r="M1112" s="62"/>
      <c r="N1112" s="62"/>
      <c r="O1112" s="62"/>
      <c r="P1112" s="77"/>
      <c r="Q1112" s="62"/>
      <c r="R1112" s="71"/>
      <c r="S1112" s="71"/>
      <c r="T1112" s="71"/>
      <c r="U1112" s="68"/>
    </row>
    <row r="1113" spans="2:21">
      <c r="B1113" s="62"/>
      <c r="C1113" s="62"/>
      <c r="D1113" s="80"/>
      <c r="E1113" s="80"/>
      <c r="F1113" s="81"/>
      <c r="G1113" s="72"/>
      <c r="H1113" s="76"/>
      <c r="I1113" s="62"/>
      <c r="J1113" s="62"/>
      <c r="K1113" s="54"/>
      <c r="L1113" s="74"/>
      <c r="M1113" s="62"/>
      <c r="N1113" s="62"/>
      <c r="O1113" s="62"/>
      <c r="P1113" s="77"/>
      <c r="Q1113" s="62"/>
      <c r="R1113" s="71"/>
      <c r="S1113" s="71"/>
      <c r="T1113" s="71"/>
      <c r="U1113" s="68"/>
    </row>
    <row r="1114" spans="2:21">
      <c r="B1114" s="62"/>
      <c r="C1114" s="62"/>
      <c r="D1114" s="80"/>
      <c r="E1114" s="80"/>
      <c r="F1114" s="81"/>
      <c r="G1114" s="72"/>
      <c r="H1114" s="76"/>
      <c r="I1114" s="62"/>
      <c r="J1114" s="62"/>
      <c r="K1114" s="54"/>
      <c r="L1114" s="74"/>
      <c r="M1114" s="62"/>
      <c r="N1114" s="62"/>
      <c r="O1114" s="62"/>
      <c r="P1114" s="77"/>
      <c r="Q1114" s="62"/>
      <c r="R1114" s="71"/>
      <c r="S1114" s="71"/>
      <c r="T1114" s="71"/>
      <c r="U1114" s="68"/>
    </row>
    <row r="1115" spans="2:21">
      <c r="B1115" s="62"/>
      <c r="C1115" s="62"/>
      <c r="D1115" s="80"/>
      <c r="E1115" s="80"/>
      <c r="F1115" s="81"/>
      <c r="G1115" s="72"/>
      <c r="H1115" s="76"/>
      <c r="I1115" s="62"/>
      <c r="J1115" s="62"/>
      <c r="K1115" s="54"/>
      <c r="L1115" s="74"/>
      <c r="M1115" s="62"/>
      <c r="N1115" s="62"/>
      <c r="O1115" s="62"/>
      <c r="P1115" s="77"/>
      <c r="Q1115" s="62"/>
      <c r="R1115" s="71"/>
      <c r="S1115" s="71"/>
      <c r="T1115" s="71"/>
      <c r="U1115" s="68"/>
    </row>
    <row r="1116" spans="2:21">
      <c r="B1116" s="62"/>
      <c r="C1116" s="62"/>
      <c r="D1116" s="80"/>
      <c r="E1116" s="80"/>
      <c r="F1116" s="81"/>
      <c r="G1116" s="72"/>
      <c r="H1116" s="76"/>
      <c r="I1116" s="62"/>
      <c r="J1116" s="62"/>
      <c r="K1116" s="54"/>
      <c r="L1116" s="74"/>
      <c r="M1116" s="62"/>
      <c r="N1116" s="62"/>
      <c r="O1116" s="62"/>
      <c r="P1116" s="77"/>
      <c r="Q1116" s="62"/>
      <c r="R1116" s="71"/>
      <c r="S1116" s="71"/>
      <c r="T1116" s="71"/>
      <c r="U1116" s="68"/>
    </row>
    <row r="1117" spans="2:21">
      <c r="B1117" s="62"/>
      <c r="C1117" s="62"/>
      <c r="D1117" s="80"/>
      <c r="E1117" s="80"/>
      <c r="F1117" s="81"/>
      <c r="G1117" s="72"/>
      <c r="H1117" s="76"/>
      <c r="I1117" s="62"/>
      <c r="J1117" s="62"/>
      <c r="K1117" s="54"/>
      <c r="L1117" s="74"/>
      <c r="M1117" s="62"/>
      <c r="N1117" s="62"/>
      <c r="O1117" s="62"/>
      <c r="P1117" s="77"/>
      <c r="Q1117" s="62"/>
      <c r="R1117" s="71"/>
      <c r="S1117" s="71"/>
      <c r="T1117" s="71"/>
      <c r="U1117" s="68"/>
    </row>
    <row r="1118" spans="2:21">
      <c r="B1118" s="62"/>
      <c r="C1118" s="62"/>
      <c r="D1118" s="80"/>
      <c r="E1118" s="80"/>
      <c r="F1118" s="81"/>
      <c r="G1118" s="72"/>
      <c r="H1118" s="76"/>
      <c r="I1118" s="62"/>
      <c r="J1118" s="62"/>
      <c r="K1118" s="54"/>
      <c r="L1118" s="74"/>
      <c r="M1118" s="62"/>
      <c r="N1118" s="62"/>
      <c r="O1118" s="62"/>
      <c r="P1118" s="77"/>
      <c r="Q1118" s="62"/>
      <c r="R1118" s="71"/>
      <c r="S1118" s="71"/>
      <c r="T1118" s="71"/>
      <c r="U1118" s="68"/>
    </row>
    <row r="1119" spans="2:21">
      <c r="B1119" s="62"/>
      <c r="C1119" s="62"/>
      <c r="D1119" s="80"/>
      <c r="E1119" s="80"/>
      <c r="F1119" s="81"/>
      <c r="G1119" s="72"/>
      <c r="H1119" s="76"/>
      <c r="I1119" s="62"/>
      <c r="J1119" s="62"/>
      <c r="K1119" s="54"/>
      <c r="L1119" s="74"/>
      <c r="M1119" s="62"/>
      <c r="N1119" s="62"/>
      <c r="O1119" s="62"/>
      <c r="P1119" s="77"/>
      <c r="Q1119" s="62"/>
      <c r="R1119" s="71"/>
      <c r="S1119" s="71"/>
      <c r="T1119" s="71"/>
      <c r="U1119" s="68"/>
    </row>
    <row r="1120" spans="2:21">
      <c r="B1120" s="62"/>
      <c r="C1120" s="62"/>
      <c r="D1120" s="80"/>
      <c r="E1120" s="80"/>
      <c r="F1120" s="81"/>
      <c r="G1120" s="72"/>
      <c r="H1120" s="76"/>
      <c r="I1120" s="62"/>
      <c r="J1120" s="62"/>
      <c r="K1120" s="54"/>
      <c r="L1120" s="74"/>
      <c r="M1120" s="62"/>
      <c r="N1120" s="62"/>
      <c r="O1120" s="62"/>
      <c r="P1120" s="77"/>
      <c r="Q1120" s="62"/>
      <c r="R1120" s="71"/>
      <c r="S1120" s="71"/>
      <c r="T1120" s="71"/>
      <c r="U1120" s="68"/>
    </row>
    <row r="1121" spans="2:21">
      <c r="B1121" s="62"/>
      <c r="C1121" s="62"/>
      <c r="D1121" s="80"/>
      <c r="E1121" s="80"/>
      <c r="F1121" s="81"/>
      <c r="G1121" s="72"/>
      <c r="H1121" s="76"/>
      <c r="I1121" s="62"/>
      <c r="J1121" s="62"/>
      <c r="K1121" s="54"/>
      <c r="L1121" s="74"/>
      <c r="M1121" s="62"/>
      <c r="N1121" s="62"/>
      <c r="O1121" s="62"/>
      <c r="P1121" s="77"/>
      <c r="Q1121" s="62"/>
      <c r="R1121" s="71"/>
      <c r="S1121" s="71"/>
      <c r="T1121" s="71"/>
      <c r="U1121" s="68"/>
    </row>
    <row r="1122" spans="2:21">
      <c r="B1122" s="62"/>
      <c r="C1122" s="62"/>
      <c r="D1122" s="80"/>
      <c r="E1122" s="80"/>
      <c r="F1122" s="81"/>
      <c r="G1122" s="72"/>
      <c r="H1122" s="76"/>
      <c r="I1122" s="62"/>
      <c r="J1122" s="62"/>
      <c r="K1122" s="54"/>
      <c r="L1122" s="74"/>
      <c r="M1122" s="62"/>
      <c r="N1122" s="62"/>
      <c r="O1122" s="62"/>
      <c r="P1122" s="77"/>
      <c r="Q1122" s="62"/>
      <c r="R1122" s="71"/>
      <c r="S1122" s="71"/>
      <c r="T1122" s="71"/>
      <c r="U1122" s="68"/>
    </row>
    <row r="1123" spans="2:21">
      <c r="B1123" s="62"/>
      <c r="C1123" s="62"/>
      <c r="D1123" s="80"/>
      <c r="E1123" s="80"/>
      <c r="F1123" s="81"/>
      <c r="G1123" s="72"/>
      <c r="H1123" s="76"/>
      <c r="I1123" s="62"/>
      <c r="J1123" s="62"/>
      <c r="K1123" s="54"/>
      <c r="L1123" s="74"/>
      <c r="M1123" s="62"/>
      <c r="N1123" s="62"/>
      <c r="O1123" s="62"/>
      <c r="P1123" s="77"/>
      <c r="Q1123" s="62"/>
      <c r="R1123" s="71"/>
      <c r="S1123" s="71"/>
      <c r="T1123" s="71"/>
      <c r="U1123" s="68"/>
    </row>
    <row r="1124" spans="2:21">
      <c r="B1124" s="62"/>
      <c r="C1124" s="62"/>
      <c r="D1124" s="80"/>
      <c r="E1124" s="80"/>
      <c r="F1124" s="81"/>
      <c r="G1124" s="72"/>
      <c r="H1124" s="76"/>
      <c r="I1124" s="62"/>
      <c r="J1124" s="62"/>
      <c r="K1124" s="54"/>
      <c r="L1124" s="74"/>
      <c r="M1124" s="62"/>
      <c r="N1124" s="62"/>
      <c r="O1124" s="62"/>
      <c r="P1124" s="77"/>
      <c r="Q1124" s="62"/>
      <c r="R1124" s="71"/>
      <c r="S1124" s="71"/>
      <c r="T1124" s="71"/>
      <c r="U1124" s="68"/>
    </row>
    <row r="1125" spans="2:21">
      <c r="B1125" s="62"/>
      <c r="C1125" s="62"/>
      <c r="D1125" s="80"/>
      <c r="E1125" s="80"/>
      <c r="F1125" s="81"/>
      <c r="G1125" s="72"/>
      <c r="H1125" s="76"/>
      <c r="I1125" s="62"/>
      <c r="J1125" s="62"/>
      <c r="K1125" s="54"/>
      <c r="L1125" s="74"/>
      <c r="M1125" s="62"/>
      <c r="N1125" s="62"/>
      <c r="O1125" s="62"/>
      <c r="P1125" s="77"/>
      <c r="Q1125" s="62"/>
      <c r="R1125" s="71"/>
      <c r="S1125" s="71"/>
      <c r="T1125" s="71"/>
      <c r="U1125" s="68"/>
    </row>
    <row r="1126" spans="2:21">
      <c r="B1126" s="62"/>
      <c r="C1126" s="62"/>
      <c r="D1126" s="80"/>
      <c r="E1126" s="80"/>
      <c r="F1126" s="81"/>
      <c r="G1126" s="72"/>
      <c r="H1126" s="76"/>
      <c r="I1126" s="62"/>
      <c r="J1126" s="62"/>
      <c r="K1126" s="54"/>
      <c r="L1126" s="74"/>
      <c r="M1126" s="62"/>
      <c r="N1126" s="62"/>
      <c r="O1126" s="62"/>
      <c r="P1126" s="77"/>
      <c r="Q1126" s="62"/>
      <c r="R1126" s="71"/>
      <c r="S1126" s="71"/>
      <c r="T1126" s="71"/>
      <c r="U1126" s="68"/>
    </row>
    <row r="1127" spans="2:21">
      <c r="B1127" s="62"/>
      <c r="C1127" s="62"/>
      <c r="D1127" s="80"/>
      <c r="E1127" s="80"/>
      <c r="F1127" s="81"/>
      <c r="G1127" s="72"/>
      <c r="H1127" s="76"/>
      <c r="I1127" s="62"/>
      <c r="J1127" s="62"/>
      <c r="K1127" s="54"/>
      <c r="L1127" s="74"/>
      <c r="M1127" s="62"/>
      <c r="N1127" s="62"/>
      <c r="O1127" s="62"/>
      <c r="P1127" s="77"/>
      <c r="Q1127" s="62"/>
      <c r="R1127" s="71"/>
      <c r="S1127" s="71"/>
      <c r="T1127" s="71"/>
      <c r="U1127" s="68"/>
    </row>
    <row r="1128" spans="2:21">
      <c r="B1128" s="62"/>
      <c r="C1128" s="62"/>
      <c r="D1128" s="80"/>
      <c r="E1128" s="80"/>
      <c r="F1128" s="81"/>
      <c r="G1128" s="72"/>
      <c r="H1128" s="76"/>
      <c r="I1128" s="62"/>
      <c r="J1128" s="62"/>
      <c r="K1128" s="54"/>
      <c r="L1128" s="74"/>
      <c r="M1128" s="62"/>
      <c r="N1128" s="62"/>
      <c r="O1128" s="62"/>
      <c r="P1128" s="77"/>
      <c r="Q1128" s="62"/>
      <c r="R1128" s="71"/>
      <c r="S1128" s="71"/>
      <c r="T1128" s="71"/>
      <c r="U1128" s="68"/>
    </row>
    <row r="1129" spans="2:21">
      <c r="B1129" s="62"/>
      <c r="C1129" s="62"/>
      <c r="D1129" s="80"/>
      <c r="E1129" s="80"/>
      <c r="F1129" s="81"/>
      <c r="G1129" s="72"/>
      <c r="H1129" s="76"/>
      <c r="I1129" s="62"/>
      <c r="J1129" s="62"/>
      <c r="K1129" s="54"/>
      <c r="L1129" s="74"/>
      <c r="M1129" s="62"/>
      <c r="N1129" s="62"/>
      <c r="O1129" s="62"/>
      <c r="P1129" s="77"/>
      <c r="Q1129" s="62"/>
      <c r="R1129" s="71"/>
      <c r="S1129" s="71"/>
      <c r="T1129" s="71"/>
      <c r="U1129" s="68"/>
    </row>
    <row r="1130" spans="2:21">
      <c r="B1130" s="62"/>
      <c r="C1130" s="62"/>
      <c r="D1130" s="80"/>
      <c r="E1130" s="80"/>
      <c r="F1130" s="81"/>
      <c r="G1130" s="72"/>
      <c r="H1130" s="76"/>
      <c r="I1130" s="62"/>
      <c r="J1130" s="62"/>
      <c r="K1130" s="54"/>
      <c r="L1130" s="74"/>
      <c r="M1130" s="62"/>
      <c r="N1130" s="62"/>
      <c r="O1130" s="62"/>
      <c r="P1130" s="77"/>
      <c r="Q1130" s="62"/>
      <c r="R1130" s="71"/>
      <c r="S1130" s="71"/>
      <c r="T1130" s="71"/>
      <c r="U1130" s="68"/>
    </row>
    <row r="1131" spans="2:21">
      <c r="B1131" s="62"/>
      <c r="C1131" s="62"/>
      <c r="D1131" s="80"/>
      <c r="E1131" s="80"/>
      <c r="F1131" s="81"/>
      <c r="G1131" s="72"/>
      <c r="H1131" s="76"/>
      <c r="I1131" s="62"/>
      <c r="J1131" s="62"/>
      <c r="K1131" s="54"/>
      <c r="L1131" s="74"/>
      <c r="M1131" s="62"/>
      <c r="N1131" s="62"/>
      <c r="O1131" s="62"/>
      <c r="P1131" s="77"/>
      <c r="Q1131" s="62"/>
      <c r="R1131" s="71"/>
      <c r="S1131" s="71"/>
      <c r="T1131" s="71"/>
      <c r="U1131" s="68"/>
    </row>
    <row r="1132" spans="2:21">
      <c r="B1132" s="62"/>
      <c r="C1132" s="62"/>
      <c r="D1132" s="80"/>
      <c r="E1132" s="80"/>
      <c r="F1132" s="81"/>
      <c r="G1132" s="72"/>
      <c r="H1132" s="76"/>
      <c r="I1132" s="62"/>
      <c r="J1132" s="62"/>
      <c r="K1132" s="54"/>
      <c r="L1132" s="74"/>
      <c r="M1132" s="62"/>
      <c r="N1132" s="62"/>
      <c r="O1132" s="62"/>
      <c r="P1132" s="77"/>
      <c r="Q1132" s="62"/>
      <c r="R1132" s="71"/>
      <c r="S1132" s="71"/>
      <c r="T1132" s="71"/>
      <c r="U1132" s="68"/>
    </row>
    <row r="1133" spans="2:21">
      <c r="B1133" s="62"/>
      <c r="C1133" s="62"/>
      <c r="D1133" s="80"/>
      <c r="E1133" s="80"/>
      <c r="F1133" s="81"/>
      <c r="G1133" s="72"/>
      <c r="H1133" s="76"/>
      <c r="I1133" s="62"/>
      <c r="J1133" s="62"/>
      <c r="K1133" s="54"/>
      <c r="L1133" s="74"/>
      <c r="M1133" s="62"/>
      <c r="N1133" s="62"/>
      <c r="O1133" s="62"/>
      <c r="P1133" s="77"/>
      <c r="Q1133" s="62"/>
      <c r="R1133" s="71"/>
      <c r="S1133" s="71"/>
      <c r="T1133" s="71"/>
      <c r="U1133" s="68"/>
    </row>
    <row r="1134" spans="2:21">
      <c r="B1134" s="62"/>
      <c r="C1134" s="62"/>
      <c r="D1134" s="80"/>
      <c r="E1134" s="80"/>
      <c r="F1134" s="81"/>
      <c r="G1134" s="72"/>
      <c r="H1134" s="76"/>
      <c r="I1134" s="62"/>
      <c r="J1134" s="62"/>
      <c r="K1134" s="54"/>
      <c r="L1134" s="74"/>
      <c r="M1134" s="62"/>
      <c r="N1134" s="62"/>
      <c r="O1134" s="62"/>
      <c r="P1134" s="77"/>
      <c r="Q1134" s="62"/>
      <c r="R1134" s="71"/>
      <c r="S1134" s="71"/>
      <c r="T1134" s="71"/>
      <c r="U1134" s="68"/>
    </row>
    <row r="1135" spans="2:21">
      <c r="B1135" s="62"/>
      <c r="C1135" s="62"/>
      <c r="D1135" s="80"/>
      <c r="E1135" s="80"/>
      <c r="F1135" s="81"/>
      <c r="G1135" s="72"/>
      <c r="H1135" s="76"/>
      <c r="I1135" s="62"/>
      <c r="J1135" s="62"/>
      <c r="K1135" s="54"/>
      <c r="L1135" s="74"/>
      <c r="M1135" s="62"/>
      <c r="N1135" s="62"/>
      <c r="O1135" s="62"/>
      <c r="P1135" s="77"/>
      <c r="Q1135" s="62"/>
      <c r="R1135" s="71"/>
      <c r="S1135" s="71"/>
      <c r="T1135" s="71"/>
      <c r="U1135" s="68"/>
    </row>
    <row r="1136" spans="2:21">
      <c r="B1136" s="62"/>
      <c r="C1136" s="62"/>
      <c r="D1136" s="80"/>
      <c r="E1136" s="80"/>
      <c r="F1136" s="81"/>
      <c r="G1136" s="72"/>
      <c r="H1136" s="76"/>
      <c r="I1136" s="62"/>
      <c r="J1136" s="62"/>
      <c r="K1136" s="54"/>
      <c r="L1136" s="74"/>
      <c r="M1136" s="62"/>
      <c r="N1136" s="62"/>
      <c r="O1136" s="62"/>
      <c r="P1136" s="77"/>
      <c r="Q1136" s="62"/>
      <c r="R1136" s="71"/>
      <c r="S1136" s="71"/>
      <c r="T1136" s="71"/>
      <c r="U1136" s="68"/>
    </row>
    <row r="1137" spans="2:21">
      <c r="B1137" s="62"/>
      <c r="C1137" s="62"/>
      <c r="D1137" s="80"/>
      <c r="E1137" s="80"/>
      <c r="F1137" s="81"/>
      <c r="G1137" s="72"/>
      <c r="H1137" s="76"/>
      <c r="I1137" s="62"/>
      <c r="J1137" s="62"/>
      <c r="K1137" s="54"/>
      <c r="L1137" s="74"/>
      <c r="M1137" s="62"/>
      <c r="N1137" s="62"/>
      <c r="O1137" s="62"/>
      <c r="P1137" s="77"/>
      <c r="Q1137" s="62"/>
      <c r="R1137" s="71"/>
      <c r="S1137" s="71"/>
      <c r="T1137" s="71"/>
      <c r="U1137" s="68"/>
    </row>
    <row r="1138" spans="2:21">
      <c r="B1138" s="62"/>
      <c r="C1138" s="62"/>
      <c r="D1138" s="80"/>
      <c r="E1138" s="80"/>
      <c r="F1138" s="81"/>
      <c r="G1138" s="72"/>
      <c r="H1138" s="76"/>
      <c r="I1138" s="62"/>
      <c r="J1138" s="62"/>
      <c r="K1138" s="54"/>
      <c r="L1138" s="74"/>
      <c r="M1138" s="62"/>
      <c r="N1138" s="62"/>
      <c r="O1138" s="62"/>
      <c r="P1138" s="77"/>
      <c r="Q1138" s="62"/>
      <c r="R1138" s="71"/>
      <c r="S1138" s="71"/>
      <c r="T1138" s="71"/>
      <c r="U1138" s="68"/>
    </row>
    <row r="1139" spans="2:21">
      <c r="B1139" s="62"/>
      <c r="C1139" s="62"/>
      <c r="D1139" s="80"/>
      <c r="E1139" s="80"/>
      <c r="F1139" s="81"/>
      <c r="G1139" s="72"/>
      <c r="H1139" s="76"/>
      <c r="I1139" s="62"/>
      <c r="J1139" s="62"/>
      <c r="K1139" s="54"/>
      <c r="L1139" s="74"/>
      <c r="M1139" s="62"/>
      <c r="N1139" s="62"/>
      <c r="O1139" s="62"/>
      <c r="P1139" s="77"/>
      <c r="Q1139" s="62"/>
      <c r="R1139" s="71"/>
      <c r="S1139" s="71"/>
      <c r="T1139" s="71"/>
      <c r="U1139" s="68"/>
    </row>
    <row r="1140" spans="2:21">
      <c r="B1140" s="62"/>
      <c r="C1140" s="62"/>
      <c r="D1140" s="80"/>
      <c r="E1140" s="80"/>
      <c r="F1140" s="81"/>
      <c r="G1140" s="72"/>
      <c r="H1140" s="76"/>
      <c r="I1140" s="62"/>
      <c r="J1140" s="62"/>
      <c r="K1140" s="54"/>
      <c r="L1140" s="74"/>
      <c r="M1140" s="62"/>
      <c r="N1140" s="62"/>
      <c r="O1140" s="62"/>
      <c r="P1140" s="77"/>
      <c r="Q1140" s="62"/>
      <c r="R1140" s="71"/>
      <c r="S1140" s="71"/>
      <c r="T1140" s="71"/>
      <c r="U1140" s="68"/>
    </row>
    <row r="1141" spans="2:21">
      <c r="B1141" s="62"/>
      <c r="C1141" s="62"/>
      <c r="D1141" s="80"/>
      <c r="E1141" s="80"/>
      <c r="F1141" s="81"/>
      <c r="G1141" s="72"/>
      <c r="H1141" s="76"/>
      <c r="I1141" s="62"/>
      <c r="J1141" s="62"/>
      <c r="K1141" s="54"/>
      <c r="L1141" s="74"/>
      <c r="M1141" s="62"/>
      <c r="N1141" s="62"/>
      <c r="O1141" s="62"/>
      <c r="P1141" s="77"/>
      <c r="Q1141" s="62"/>
      <c r="R1141" s="71"/>
      <c r="S1141" s="71"/>
      <c r="T1141" s="71"/>
      <c r="U1141" s="68"/>
    </row>
    <row r="1142" spans="2:21">
      <c r="B1142" s="62"/>
      <c r="C1142" s="62"/>
      <c r="D1142" s="80"/>
      <c r="E1142" s="80"/>
      <c r="F1142" s="81"/>
      <c r="G1142" s="72"/>
      <c r="H1142" s="76"/>
      <c r="I1142" s="62"/>
      <c r="J1142" s="62"/>
      <c r="K1142" s="54"/>
      <c r="L1142" s="74"/>
      <c r="M1142" s="62"/>
      <c r="N1142" s="62"/>
      <c r="O1142" s="62"/>
      <c r="P1142" s="77"/>
      <c r="Q1142" s="62"/>
      <c r="R1142" s="71"/>
      <c r="S1142" s="71"/>
      <c r="T1142" s="71"/>
      <c r="U1142" s="68"/>
    </row>
    <row r="1143" spans="2:21">
      <c r="B1143" s="62"/>
      <c r="C1143" s="62"/>
      <c r="D1143" s="80"/>
      <c r="E1143" s="80"/>
      <c r="F1143" s="81"/>
      <c r="G1143" s="72"/>
      <c r="H1143" s="76"/>
      <c r="I1143" s="62"/>
      <c r="J1143" s="62"/>
      <c r="K1143" s="54"/>
      <c r="L1143" s="74"/>
      <c r="M1143" s="62"/>
      <c r="N1143" s="62"/>
      <c r="O1143" s="62"/>
      <c r="P1143" s="77"/>
      <c r="Q1143" s="62"/>
      <c r="R1143" s="71"/>
      <c r="S1143" s="71"/>
      <c r="T1143" s="71"/>
      <c r="U1143" s="68"/>
    </row>
    <row r="1144" spans="2:21">
      <c r="B1144" s="62"/>
      <c r="C1144" s="62"/>
      <c r="D1144" s="80"/>
      <c r="E1144" s="80"/>
      <c r="F1144" s="81"/>
      <c r="G1144" s="72"/>
      <c r="H1144" s="76"/>
      <c r="I1144" s="62"/>
      <c r="J1144" s="62"/>
      <c r="K1144" s="54"/>
      <c r="L1144" s="74"/>
      <c r="M1144" s="62"/>
      <c r="N1144" s="62"/>
      <c r="O1144" s="62"/>
      <c r="P1144" s="77"/>
      <c r="Q1144" s="62"/>
      <c r="R1144" s="71"/>
      <c r="S1144" s="71"/>
      <c r="T1144" s="71"/>
      <c r="U1144" s="68"/>
    </row>
    <row r="1145" spans="2:21">
      <c r="B1145" s="62"/>
      <c r="C1145" s="62"/>
      <c r="D1145" s="80"/>
      <c r="E1145" s="80"/>
      <c r="F1145" s="81"/>
      <c r="G1145" s="72"/>
      <c r="H1145" s="76"/>
      <c r="I1145" s="62"/>
      <c r="J1145" s="62"/>
      <c r="K1145" s="54"/>
      <c r="L1145" s="74"/>
      <c r="M1145" s="62"/>
      <c r="N1145" s="62"/>
      <c r="O1145" s="62"/>
      <c r="P1145" s="77"/>
      <c r="Q1145" s="62"/>
      <c r="R1145" s="71"/>
      <c r="S1145" s="71"/>
      <c r="T1145" s="71"/>
      <c r="U1145" s="68"/>
    </row>
    <row r="1146" spans="2:21">
      <c r="B1146" s="62"/>
      <c r="C1146" s="62"/>
      <c r="D1146" s="80"/>
      <c r="E1146" s="80"/>
      <c r="F1146" s="81"/>
      <c r="G1146" s="72"/>
      <c r="H1146" s="76"/>
      <c r="I1146" s="62"/>
      <c r="J1146" s="62"/>
      <c r="K1146" s="54"/>
      <c r="L1146" s="74"/>
      <c r="M1146" s="62"/>
      <c r="N1146" s="62"/>
      <c r="O1146" s="62"/>
      <c r="P1146" s="77"/>
      <c r="Q1146" s="62"/>
      <c r="R1146" s="71"/>
      <c r="S1146" s="71"/>
      <c r="T1146" s="71"/>
      <c r="U1146" s="68"/>
    </row>
    <row r="1147" spans="2:21">
      <c r="B1147" s="62"/>
      <c r="C1147" s="62"/>
      <c r="D1147" s="80"/>
      <c r="E1147" s="80"/>
      <c r="F1147" s="81"/>
      <c r="G1147" s="72"/>
      <c r="H1147" s="76"/>
      <c r="I1147" s="62"/>
      <c r="J1147" s="62"/>
      <c r="K1147" s="54"/>
      <c r="L1147" s="74"/>
      <c r="M1147" s="62"/>
      <c r="N1147" s="62"/>
      <c r="O1147" s="62"/>
      <c r="P1147" s="77"/>
      <c r="Q1147" s="62"/>
      <c r="R1147" s="71"/>
      <c r="S1147" s="71"/>
      <c r="T1147" s="71"/>
      <c r="U1147" s="68"/>
    </row>
    <row r="1148" spans="2:21">
      <c r="B1148" s="62"/>
      <c r="C1148" s="62"/>
      <c r="D1148" s="80"/>
      <c r="E1148" s="80"/>
      <c r="F1148" s="81"/>
      <c r="G1148" s="72"/>
      <c r="H1148" s="76"/>
      <c r="I1148" s="62"/>
      <c r="J1148" s="62"/>
      <c r="K1148" s="54"/>
      <c r="L1148" s="74"/>
      <c r="M1148" s="62"/>
      <c r="N1148" s="62"/>
      <c r="O1148" s="62"/>
      <c r="P1148" s="77"/>
      <c r="Q1148" s="62"/>
      <c r="R1148" s="71"/>
      <c r="S1148" s="71"/>
      <c r="T1148" s="71"/>
      <c r="U1148" s="68"/>
    </row>
    <row r="1149" spans="2:21">
      <c r="B1149" s="62"/>
      <c r="C1149" s="62"/>
      <c r="D1149" s="80"/>
      <c r="E1149" s="80"/>
      <c r="F1149" s="81"/>
      <c r="G1149" s="72"/>
      <c r="H1149" s="76"/>
      <c r="I1149" s="62"/>
      <c r="J1149" s="62"/>
      <c r="K1149" s="54"/>
      <c r="L1149" s="74"/>
      <c r="M1149" s="62"/>
      <c r="N1149" s="62"/>
      <c r="O1149" s="62"/>
      <c r="P1149" s="77"/>
      <c r="Q1149" s="62"/>
      <c r="R1149" s="71"/>
      <c r="S1149" s="71"/>
      <c r="T1149" s="71"/>
      <c r="U1149" s="68"/>
    </row>
    <row r="1150" spans="2:21">
      <c r="B1150" s="62"/>
      <c r="C1150" s="62"/>
      <c r="D1150" s="80"/>
      <c r="E1150" s="80"/>
      <c r="F1150" s="81"/>
      <c r="G1150" s="72"/>
      <c r="H1150" s="76"/>
      <c r="I1150" s="62"/>
      <c r="J1150" s="62"/>
      <c r="K1150" s="54"/>
      <c r="L1150" s="74"/>
      <c r="M1150" s="62"/>
      <c r="N1150" s="62"/>
      <c r="O1150" s="62"/>
      <c r="P1150" s="77"/>
      <c r="Q1150" s="62"/>
      <c r="R1150" s="71"/>
      <c r="S1150" s="71"/>
      <c r="T1150" s="71"/>
      <c r="U1150" s="68"/>
    </row>
    <row r="1151" spans="2:21">
      <c r="B1151" s="62"/>
      <c r="C1151" s="62"/>
      <c r="D1151" s="80"/>
      <c r="E1151" s="80"/>
      <c r="F1151" s="81"/>
      <c r="G1151" s="72"/>
      <c r="H1151" s="76"/>
      <c r="I1151" s="62"/>
      <c r="J1151" s="62"/>
      <c r="K1151" s="54"/>
      <c r="L1151" s="74"/>
      <c r="M1151" s="62"/>
      <c r="N1151" s="62"/>
      <c r="O1151" s="62"/>
      <c r="P1151" s="77"/>
      <c r="Q1151" s="62"/>
      <c r="R1151" s="71"/>
      <c r="S1151" s="71"/>
      <c r="T1151" s="71"/>
      <c r="U1151" s="68"/>
    </row>
    <row r="1152" spans="2:21">
      <c r="B1152" s="62"/>
      <c r="C1152" s="62"/>
      <c r="D1152" s="80"/>
      <c r="E1152" s="80"/>
      <c r="F1152" s="81"/>
      <c r="G1152" s="72"/>
      <c r="H1152" s="76"/>
      <c r="I1152" s="62"/>
      <c r="J1152" s="62"/>
      <c r="K1152" s="54"/>
      <c r="L1152" s="74"/>
      <c r="M1152" s="62"/>
      <c r="N1152" s="62"/>
      <c r="O1152" s="62"/>
      <c r="P1152" s="77"/>
      <c r="Q1152" s="62"/>
      <c r="R1152" s="71"/>
      <c r="S1152" s="71"/>
      <c r="T1152" s="71"/>
      <c r="U1152" s="68"/>
    </row>
    <row r="1153" spans="2:21">
      <c r="B1153" s="62"/>
      <c r="C1153" s="62"/>
      <c r="D1153" s="80"/>
      <c r="E1153" s="80"/>
      <c r="F1153" s="81"/>
      <c r="G1153" s="72"/>
      <c r="H1153" s="76"/>
      <c r="I1153" s="62"/>
      <c r="J1153" s="62"/>
      <c r="K1153" s="54"/>
      <c r="L1153" s="74"/>
      <c r="M1153" s="62"/>
      <c r="N1153" s="62"/>
      <c r="O1153" s="62"/>
      <c r="P1153" s="77"/>
      <c r="Q1153" s="62"/>
      <c r="R1153" s="71"/>
      <c r="S1153" s="71"/>
      <c r="T1153" s="71"/>
      <c r="U1153" s="68"/>
    </row>
    <row r="1154" spans="2:21">
      <c r="B1154" s="62"/>
      <c r="C1154" s="62"/>
      <c r="D1154" s="80"/>
      <c r="E1154" s="80"/>
      <c r="F1154" s="81"/>
      <c r="G1154" s="72"/>
      <c r="H1154" s="76"/>
      <c r="I1154" s="62"/>
      <c r="J1154" s="62"/>
      <c r="K1154" s="54"/>
      <c r="L1154" s="74"/>
      <c r="M1154" s="62"/>
      <c r="N1154" s="62"/>
      <c r="O1154" s="62"/>
      <c r="P1154" s="77"/>
      <c r="Q1154" s="62"/>
      <c r="R1154" s="71"/>
      <c r="S1154" s="71"/>
      <c r="T1154" s="71"/>
      <c r="U1154" s="68"/>
    </row>
    <row r="1155" spans="2:21">
      <c r="B1155" s="62"/>
      <c r="C1155" s="62"/>
      <c r="D1155" s="80"/>
      <c r="E1155" s="80"/>
      <c r="F1155" s="81"/>
      <c r="G1155" s="72"/>
      <c r="H1155" s="76"/>
      <c r="I1155" s="62"/>
      <c r="J1155" s="62"/>
      <c r="K1155" s="54"/>
      <c r="L1155" s="74"/>
      <c r="M1155" s="62"/>
      <c r="N1155" s="62"/>
      <c r="O1155" s="62"/>
      <c r="P1155" s="77"/>
      <c r="Q1155" s="62"/>
      <c r="R1155" s="71"/>
      <c r="S1155" s="71"/>
      <c r="T1155" s="71"/>
      <c r="U1155" s="68"/>
    </row>
    <row r="1156" spans="2:21">
      <c r="B1156" s="62"/>
      <c r="C1156" s="62"/>
      <c r="D1156" s="80"/>
      <c r="E1156" s="80"/>
      <c r="F1156" s="81"/>
      <c r="G1156" s="72"/>
      <c r="H1156" s="76"/>
      <c r="I1156" s="62"/>
      <c r="J1156" s="62"/>
      <c r="K1156" s="54"/>
      <c r="L1156" s="74"/>
      <c r="M1156" s="62"/>
      <c r="N1156" s="62"/>
      <c r="O1156" s="62"/>
      <c r="P1156" s="77"/>
      <c r="Q1156" s="62"/>
      <c r="R1156" s="71"/>
      <c r="S1156" s="71"/>
      <c r="T1156" s="71"/>
      <c r="U1156" s="68"/>
    </row>
    <row r="1157" spans="2:21">
      <c r="B1157" s="62"/>
      <c r="C1157" s="62"/>
      <c r="D1157" s="80"/>
      <c r="E1157" s="80"/>
      <c r="F1157" s="81"/>
      <c r="G1157" s="72"/>
      <c r="H1157" s="76"/>
      <c r="I1157" s="62"/>
      <c r="J1157" s="62"/>
      <c r="K1157" s="54"/>
      <c r="L1157" s="74"/>
      <c r="M1157" s="62"/>
      <c r="N1157" s="62"/>
      <c r="O1157" s="62"/>
      <c r="P1157" s="77"/>
      <c r="Q1157" s="62"/>
      <c r="R1157" s="71"/>
      <c r="S1157" s="71"/>
      <c r="T1157" s="71"/>
      <c r="U1157" s="68"/>
    </row>
    <row r="1158" spans="2:21">
      <c r="B1158" s="62"/>
      <c r="C1158" s="62"/>
      <c r="D1158" s="80"/>
      <c r="E1158" s="80"/>
      <c r="F1158" s="81"/>
      <c r="G1158" s="72"/>
      <c r="H1158" s="76"/>
      <c r="I1158" s="62"/>
      <c r="J1158" s="62"/>
      <c r="K1158" s="54"/>
      <c r="L1158" s="74"/>
      <c r="M1158" s="62"/>
      <c r="N1158" s="62"/>
      <c r="O1158" s="62"/>
      <c r="P1158" s="77"/>
      <c r="Q1158" s="62"/>
      <c r="R1158" s="71"/>
      <c r="S1158" s="71"/>
      <c r="T1158" s="71"/>
      <c r="U1158" s="68"/>
    </row>
    <row r="1159" spans="2:21">
      <c r="B1159" s="62"/>
      <c r="C1159" s="62"/>
      <c r="D1159" s="80"/>
      <c r="E1159" s="80"/>
      <c r="F1159" s="81"/>
      <c r="G1159" s="72"/>
      <c r="H1159" s="76"/>
      <c r="I1159" s="62"/>
      <c r="J1159" s="62"/>
      <c r="K1159" s="54"/>
      <c r="L1159" s="74"/>
      <c r="M1159" s="62"/>
      <c r="N1159" s="62"/>
      <c r="O1159" s="62"/>
      <c r="P1159" s="77"/>
      <c r="Q1159" s="62"/>
      <c r="R1159" s="71"/>
      <c r="S1159" s="71"/>
      <c r="T1159" s="71"/>
      <c r="U1159" s="68"/>
    </row>
    <row r="1160" spans="2:21">
      <c r="B1160" s="62"/>
      <c r="C1160" s="62"/>
      <c r="D1160" s="80"/>
      <c r="E1160" s="80"/>
      <c r="F1160" s="81"/>
      <c r="G1160" s="72"/>
      <c r="H1160" s="76"/>
      <c r="I1160" s="62"/>
      <c r="J1160" s="62"/>
      <c r="K1160" s="54"/>
      <c r="L1160" s="74"/>
      <c r="M1160" s="62"/>
      <c r="N1160" s="62"/>
      <c r="O1160" s="62"/>
      <c r="P1160" s="77"/>
      <c r="Q1160" s="62"/>
      <c r="R1160" s="71"/>
      <c r="S1160" s="71"/>
      <c r="T1160" s="71"/>
      <c r="U1160" s="68"/>
    </row>
    <row r="1161" spans="2:21">
      <c r="B1161" s="62"/>
      <c r="C1161" s="62"/>
      <c r="D1161" s="80"/>
      <c r="E1161" s="80"/>
      <c r="F1161" s="81"/>
      <c r="G1161" s="72"/>
      <c r="H1161" s="76"/>
      <c r="I1161" s="62"/>
      <c r="J1161" s="62"/>
      <c r="K1161" s="54"/>
      <c r="L1161" s="74"/>
      <c r="M1161" s="62"/>
      <c r="N1161" s="62"/>
      <c r="O1161" s="62"/>
      <c r="P1161" s="77"/>
      <c r="Q1161" s="62"/>
      <c r="R1161" s="71"/>
      <c r="S1161" s="71"/>
      <c r="T1161" s="71"/>
      <c r="U1161" s="68"/>
    </row>
    <row r="1162" spans="2:21">
      <c r="B1162" s="62"/>
      <c r="C1162" s="62"/>
      <c r="D1162" s="80"/>
      <c r="E1162" s="80"/>
      <c r="F1162" s="81"/>
      <c r="G1162" s="72"/>
      <c r="H1162" s="76"/>
      <c r="I1162" s="62"/>
      <c r="J1162" s="62"/>
      <c r="K1162" s="54"/>
      <c r="L1162" s="74"/>
      <c r="M1162" s="62"/>
      <c r="N1162" s="62"/>
      <c r="O1162" s="62"/>
      <c r="P1162" s="77"/>
      <c r="Q1162" s="62"/>
      <c r="R1162" s="71"/>
      <c r="S1162" s="71"/>
      <c r="T1162" s="71"/>
      <c r="U1162" s="68"/>
    </row>
    <row r="1163" spans="2:21">
      <c r="B1163" s="62"/>
      <c r="C1163" s="62"/>
      <c r="D1163" s="80"/>
      <c r="E1163" s="80"/>
      <c r="F1163" s="81"/>
      <c r="G1163" s="72"/>
      <c r="H1163" s="76"/>
      <c r="I1163" s="62"/>
      <c r="J1163" s="62"/>
      <c r="K1163" s="54"/>
      <c r="L1163" s="74"/>
      <c r="M1163" s="62"/>
      <c r="N1163" s="62"/>
      <c r="O1163" s="62"/>
      <c r="P1163" s="77"/>
      <c r="Q1163" s="62"/>
      <c r="R1163" s="71"/>
      <c r="S1163" s="71"/>
      <c r="T1163" s="71"/>
      <c r="U1163" s="68"/>
    </row>
    <row r="1164" spans="2:21">
      <c r="B1164" s="62"/>
      <c r="C1164" s="62"/>
      <c r="D1164" s="80"/>
      <c r="E1164" s="80"/>
      <c r="F1164" s="81"/>
      <c r="G1164" s="72"/>
      <c r="H1164" s="76"/>
      <c r="I1164" s="62"/>
      <c r="J1164" s="62"/>
      <c r="K1164" s="54"/>
      <c r="L1164" s="74"/>
      <c r="M1164" s="62"/>
      <c r="N1164" s="62"/>
      <c r="O1164" s="62"/>
      <c r="P1164" s="77"/>
      <c r="Q1164" s="62"/>
      <c r="R1164" s="71"/>
      <c r="S1164" s="71"/>
      <c r="T1164" s="71"/>
      <c r="U1164" s="68"/>
    </row>
    <row r="1165" spans="2:21">
      <c r="B1165" s="62"/>
      <c r="C1165" s="62"/>
      <c r="D1165" s="80"/>
      <c r="E1165" s="80"/>
      <c r="F1165" s="81"/>
      <c r="G1165" s="72"/>
      <c r="H1165" s="76"/>
      <c r="I1165" s="62"/>
      <c r="J1165" s="62"/>
      <c r="K1165" s="54"/>
      <c r="L1165" s="74"/>
      <c r="M1165" s="62"/>
      <c r="N1165" s="62"/>
      <c r="O1165" s="62"/>
      <c r="P1165" s="77"/>
      <c r="Q1165" s="62"/>
      <c r="R1165" s="71"/>
      <c r="S1165" s="71"/>
      <c r="T1165" s="71"/>
      <c r="U1165" s="68"/>
    </row>
    <row r="1166" spans="2:21">
      <c r="B1166" s="62"/>
      <c r="C1166" s="62"/>
      <c r="D1166" s="80"/>
      <c r="E1166" s="80"/>
      <c r="F1166" s="81"/>
      <c r="G1166" s="72"/>
      <c r="H1166" s="76"/>
      <c r="I1166" s="62"/>
      <c r="J1166" s="62"/>
      <c r="K1166" s="54"/>
      <c r="L1166" s="74"/>
      <c r="M1166" s="62"/>
      <c r="N1166" s="62"/>
      <c r="O1166" s="62"/>
      <c r="P1166" s="77"/>
      <c r="Q1166" s="62"/>
      <c r="R1166" s="71"/>
      <c r="S1166" s="71"/>
      <c r="T1166" s="71"/>
      <c r="U1166" s="68"/>
    </row>
    <row r="1167" spans="2:21">
      <c r="B1167" s="62"/>
      <c r="C1167" s="62"/>
      <c r="D1167" s="80"/>
      <c r="E1167" s="80"/>
      <c r="F1167" s="81"/>
      <c r="G1167" s="72"/>
      <c r="H1167" s="76"/>
      <c r="I1167" s="62"/>
      <c r="J1167" s="62"/>
      <c r="K1167" s="54"/>
      <c r="L1167" s="74"/>
      <c r="M1167" s="62"/>
      <c r="N1167" s="62"/>
      <c r="O1167" s="62"/>
      <c r="P1167" s="77"/>
      <c r="Q1167" s="62"/>
      <c r="R1167" s="71"/>
      <c r="S1167" s="71"/>
      <c r="T1167" s="71"/>
      <c r="U1167" s="68"/>
    </row>
    <row r="1168" spans="2:21">
      <c r="B1168" s="62"/>
      <c r="C1168" s="62"/>
      <c r="D1168" s="80"/>
      <c r="E1168" s="80"/>
      <c r="F1168" s="81"/>
      <c r="G1168" s="72"/>
      <c r="H1168" s="76"/>
      <c r="I1168" s="62"/>
      <c r="J1168" s="62"/>
      <c r="K1168" s="54"/>
      <c r="L1168" s="74"/>
      <c r="M1168" s="62"/>
      <c r="N1168" s="62"/>
      <c r="O1168" s="62"/>
      <c r="P1168" s="77"/>
      <c r="Q1168" s="62"/>
      <c r="R1168" s="71"/>
      <c r="S1168" s="71"/>
      <c r="T1168" s="71"/>
      <c r="U1168" s="68"/>
    </row>
    <row r="1169" spans="2:21">
      <c r="B1169" s="62"/>
      <c r="C1169" s="62"/>
      <c r="D1169" s="80"/>
      <c r="E1169" s="80"/>
      <c r="F1169" s="81"/>
      <c r="G1169" s="72"/>
      <c r="H1169" s="76"/>
      <c r="I1169" s="62"/>
      <c r="J1169" s="62"/>
      <c r="K1169" s="54"/>
      <c r="L1169" s="74"/>
      <c r="M1169" s="62"/>
      <c r="N1169" s="62"/>
      <c r="O1169" s="62"/>
      <c r="P1169" s="77"/>
      <c r="Q1169" s="62"/>
      <c r="R1169" s="71"/>
      <c r="S1169" s="71"/>
      <c r="T1169" s="71"/>
      <c r="U1169" s="68"/>
    </row>
    <row r="1170" spans="2:21">
      <c r="B1170" s="62"/>
      <c r="C1170" s="62"/>
      <c r="D1170" s="80"/>
      <c r="E1170" s="80"/>
      <c r="F1170" s="81"/>
      <c r="G1170" s="72"/>
      <c r="H1170" s="76"/>
      <c r="I1170" s="62"/>
      <c r="J1170" s="62"/>
      <c r="K1170" s="54"/>
      <c r="L1170" s="74"/>
      <c r="M1170" s="62"/>
      <c r="N1170" s="62"/>
      <c r="O1170" s="62"/>
      <c r="P1170" s="77"/>
      <c r="Q1170" s="62"/>
      <c r="R1170" s="71"/>
      <c r="S1170" s="71"/>
      <c r="T1170" s="71"/>
      <c r="U1170" s="68"/>
    </row>
    <row r="1171" spans="2:21">
      <c r="B1171" s="62"/>
      <c r="C1171" s="62"/>
      <c r="D1171" s="80"/>
      <c r="E1171" s="80"/>
      <c r="F1171" s="81"/>
      <c r="G1171" s="72"/>
      <c r="H1171" s="76"/>
      <c r="I1171" s="62"/>
      <c r="J1171" s="62"/>
      <c r="K1171" s="54"/>
      <c r="L1171" s="74"/>
      <c r="M1171" s="62"/>
      <c r="N1171" s="62"/>
      <c r="O1171" s="62"/>
      <c r="P1171" s="77"/>
      <c r="Q1171" s="62"/>
      <c r="R1171" s="71"/>
      <c r="S1171" s="71"/>
      <c r="T1171" s="71"/>
      <c r="U1171" s="68"/>
    </row>
    <row r="1172" spans="2:21">
      <c r="B1172" s="62"/>
      <c r="C1172" s="62"/>
      <c r="D1172" s="80"/>
      <c r="E1172" s="80"/>
      <c r="F1172" s="81"/>
      <c r="G1172" s="72"/>
      <c r="H1172" s="76"/>
      <c r="I1172" s="62"/>
      <c r="J1172" s="62"/>
      <c r="K1172" s="54"/>
      <c r="L1172" s="74"/>
      <c r="M1172" s="62"/>
      <c r="N1172" s="62"/>
      <c r="O1172" s="62"/>
      <c r="P1172" s="77"/>
      <c r="Q1172" s="62"/>
      <c r="R1172" s="71"/>
      <c r="S1172" s="71"/>
      <c r="T1172" s="71"/>
      <c r="U1172" s="68"/>
    </row>
    <row r="1173" spans="2:21">
      <c r="B1173" s="62"/>
      <c r="C1173" s="62"/>
      <c r="D1173" s="80"/>
      <c r="E1173" s="80"/>
      <c r="F1173" s="81"/>
      <c r="G1173" s="72"/>
      <c r="H1173" s="76"/>
      <c r="I1173" s="62"/>
      <c r="J1173" s="62"/>
      <c r="K1173" s="54"/>
      <c r="L1173" s="74"/>
      <c r="M1173" s="62"/>
      <c r="N1173" s="62"/>
      <c r="O1173" s="62"/>
      <c r="P1173" s="77"/>
      <c r="Q1173" s="62"/>
      <c r="R1173" s="71"/>
      <c r="S1173" s="71"/>
      <c r="T1173" s="71"/>
      <c r="U1173" s="68"/>
    </row>
    <row r="1174" spans="2:21">
      <c r="B1174" s="62"/>
      <c r="C1174" s="62"/>
      <c r="D1174" s="80"/>
      <c r="E1174" s="80"/>
      <c r="F1174" s="81"/>
      <c r="G1174" s="72"/>
      <c r="H1174" s="76"/>
      <c r="I1174" s="62"/>
      <c r="J1174" s="62"/>
      <c r="K1174" s="54"/>
      <c r="L1174" s="74"/>
      <c r="M1174" s="62"/>
      <c r="N1174" s="62"/>
      <c r="O1174" s="62"/>
      <c r="P1174" s="77"/>
      <c r="Q1174" s="62"/>
      <c r="R1174" s="71"/>
      <c r="S1174" s="71"/>
      <c r="T1174" s="71"/>
      <c r="U1174" s="68"/>
    </row>
    <row r="1175" spans="2:21">
      <c r="B1175" s="62"/>
      <c r="C1175" s="62"/>
      <c r="D1175" s="80"/>
      <c r="E1175" s="80"/>
      <c r="F1175" s="81"/>
      <c r="G1175" s="72"/>
      <c r="H1175" s="76"/>
      <c r="I1175" s="62"/>
      <c r="J1175" s="62"/>
      <c r="K1175" s="54"/>
      <c r="L1175" s="74"/>
      <c r="M1175" s="62"/>
      <c r="N1175" s="62"/>
      <c r="O1175" s="62"/>
      <c r="P1175" s="77"/>
      <c r="Q1175" s="62"/>
      <c r="R1175" s="71"/>
      <c r="S1175" s="71"/>
      <c r="T1175" s="71"/>
      <c r="U1175" s="68"/>
    </row>
    <row r="1176" spans="2:21">
      <c r="B1176" s="62"/>
      <c r="C1176" s="62"/>
      <c r="D1176" s="80"/>
      <c r="E1176" s="80"/>
      <c r="F1176" s="81"/>
      <c r="G1176" s="72"/>
      <c r="H1176" s="76"/>
      <c r="I1176" s="62"/>
      <c r="J1176" s="62"/>
      <c r="K1176" s="54"/>
      <c r="L1176" s="74"/>
      <c r="M1176" s="62"/>
      <c r="N1176" s="62"/>
      <c r="O1176" s="62"/>
      <c r="P1176" s="77"/>
      <c r="Q1176" s="62"/>
      <c r="R1176" s="71"/>
      <c r="S1176" s="71"/>
      <c r="T1176" s="71"/>
      <c r="U1176" s="68"/>
    </row>
    <row r="1177" spans="2:21">
      <c r="B1177" s="62"/>
      <c r="C1177" s="62"/>
      <c r="D1177" s="80"/>
      <c r="E1177" s="80"/>
      <c r="F1177" s="81"/>
      <c r="G1177" s="72"/>
      <c r="H1177" s="76"/>
      <c r="I1177" s="62"/>
      <c r="J1177" s="62"/>
      <c r="K1177" s="54"/>
      <c r="L1177" s="74"/>
      <c r="M1177" s="62"/>
      <c r="N1177" s="62"/>
      <c r="O1177" s="62"/>
      <c r="P1177" s="77"/>
      <c r="Q1177" s="62"/>
      <c r="R1177" s="71"/>
      <c r="S1177" s="71"/>
      <c r="T1177" s="71"/>
      <c r="U1177" s="68"/>
    </row>
    <row r="1178" spans="2:21">
      <c r="B1178" s="62"/>
      <c r="C1178" s="62"/>
      <c r="D1178" s="80"/>
      <c r="E1178" s="80"/>
      <c r="F1178" s="81"/>
      <c r="G1178" s="72"/>
      <c r="H1178" s="76"/>
      <c r="I1178" s="62"/>
      <c r="J1178" s="62"/>
      <c r="K1178" s="54"/>
      <c r="L1178" s="74"/>
      <c r="M1178" s="62"/>
      <c r="N1178" s="62"/>
      <c r="O1178" s="62"/>
      <c r="P1178" s="77"/>
      <c r="Q1178" s="62"/>
      <c r="R1178" s="71"/>
      <c r="S1178" s="71"/>
      <c r="T1178" s="71"/>
      <c r="U1178" s="68"/>
    </row>
    <row r="1179" spans="2:21">
      <c r="B1179" s="62"/>
      <c r="C1179" s="62"/>
      <c r="D1179" s="80"/>
      <c r="E1179" s="80"/>
      <c r="F1179" s="81"/>
      <c r="G1179" s="72"/>
      <c r="H1179" s="76"/>
      <c r="I1179" s="62"/>
      <c r="J1179" s="62"/>
      <c r="K1179" s="54"/>
      <c r="L1179" s="74"/>
      <c r="M1179" s="62"/>
      <c r="N1179" s="62"/>
      <c r="O1179" s="62"/>
      <c r="P1179" s="77"/>
      <c r="Q1179" s="62"/>
      <c r="R1179" s="71"/>
      <c r="S1179" s="71"/>
      <c r="T1179" s="71"/>
      <c r="U1179" s="68"/>
    </row>
    <row r="1180" spans="2:21">
      <c r="B1180" s="62"/>
      <c r="C1180" s="62"/>
      <c r="D1180" s="80"/>
      <c r="E1180" s="80"/>
      <c r="F1180" s="81"/>
      <c r="G1180" s="72"/>
      <c r="H1180" s="76"/>
      <c r="I1180" s="62"/>
      <c r="J1180" s="62"/>
      <c r="K1180" s="54"/>
      <c r="L1180" s="74"/>
      <c r="M1180" s="62"/>
      <c r="N1180" s="62"/>
      <c r="O1180" s="62"/>
      <c r="P1180" s="77"/>
      <c r="Q1180" s="62"/>
      <c r="R1180" s="71"/>
      <c r="S1180" s="71"/>
      <c r="T1180" s="71"/>
      <c r="U1180" s="68"/>
    </row>
    <row r="1181" spans="2:21">
      <c r="B1181" s="62"/>
      <c r="C1181" s="62"/>
      <c r="D1181" s="80"/>
      <c r="E1181" s="80"/>
      <c r="F1181" s="81"/>
      <c r="G1181" s="72"/>
      <c r="H1181" s="76"/>
      <c r="I1181" s="62"/>
      <c r="J1181" s="62"/>
      <c r="K1181" s="54"/>
      <c r="L1181" s="74"/>
      <c r="M1181" s="62"/>
      <c r="N1181" s="62"/>
      <c r="O1181" s="62"/>
      <c r="P1181" s="77"/>
      <c r="Q1181" s="62"/>
      <c r="R1181" s="71"/>
      <c r="S1181" s="71"/>
      <c r="T1181" s="71"/>
      <c r="U1181" s="68"/>
    </row>
    <row r="1182" spans="2:21">
      <c r="B1182" s="62"/>
      <c r="C1182" s="62"/>
      <c r="D1182" s="80"/>
      <c r="E1182" s="80"/>
      <c r="F1182" s="81"/>
      <c r="G1182" s="72"/>
      <c r="H1182" s="76"/>
      <c r="I1182" s="62"/>
      <c r="J1182" s="62"/>
      <c r="K1182" s="54"/>
      <c r="L1182" s="74"/>
      <c r="M1182" s="62"/>
      <c r="N1182" s="62"/>
      <c r="O1182" s="62"/>
      <c r="P1182" s="77"/>
      <c r="Q1182" s="62"/>
      <c r="R1182" s="71"/>
      <c r="S1182" s="71"/>
      <c r="T1182" s="71"/>
      <c r="U1182" s="68"/>
    </row>
    <row r="1183" spans="2:21">
      <c r="B1183" s="62"/>
      <c r="C1183" s="62"/>
      <c r="D1183" s="80"/>
      <c r="E1183" s="80"/>
      <c r="F1183" s="81"/>
      <c r="G1183" s="72"/>
      <c r="H1183" s="76"/>
      <c r="I1183" s="62"/>
      <c r="J1183" s="62"/>
      <c r="K1183" s="54"/>
      <c r="L1183" s="74"/>
      <c r="M1183" s="62"/>
      <c r="N1183" s="62"/>
      <c r="O1183" s="62"/>
      <c r="P1183" s="77"/>
      <c r="Q1183" s="62"/>
      <c r="R1183" s="71"/>
      <c r="S1183" s="71"/>
      <c r="T1183" s="71"/>
      <c r="U1183" s="68"/>
    </row>
    <row r="1184" spans="2:21">
      <c r="B1184" s="62"/>
      <c r="C1184" s="62"/>
      <c r="D1184" s="80"/>
      <c r="E1184" s="80"/>
      <c r="F1184" s="81"/>
      <c r="G1184" s="72"/>
      <c r="H1184" s="76"/>
      <c r="I1184" s="62"/>
      <c r="J1184" s="62"/>
      <c r="K1184" s="54"/>
      <c r="L1184" s="74"/>
      <c r="M1184" s="62"/>
      <c r="N1184" s="62"/>
      <c r="O1184" s="62"/>
      <c r="P1184" s="77"/>
      <c r="Q1184" s="62"/>
      <c r="R1184" s="71"/>
      <c r="S1184" s="71"/>
      <c r="T1184" s="71"/>
      <c r="U1184" s="68"/>
    </row>
    <row r="1185" spans="2:21">
      <c r="B1185" s="62"/>
      <c r="C1185" s="62"/>
      <c r="D1185" s="80"/>
      <c r="E1185" s="80"/>
      <c r="F1185" s="81"/>
      <c r="G1185" s="72"/>
      <c r="H1185" s="76"/>
      <c r="I1185" s="62"/>
      <c r="J1185" s="62"/>
      <c r="K1185" s="54"/>
      <c r="L1185" s="74"/>
      <c r="M1185" s="62"/>
      <c r="N1185" s="62"/>
      <c r="O1185" s="62"/>
      <c r="P1185" s="77"/>
      <c r="Q1185" s="62"/>
      <c r="R1185" s="71"/>
      <c r="S1185" s="71"/>
      <c r="T1185" s="71"/>
      <c r="U1185" s="68"/>
    </row>
    <row r="1186" spans="2:21">
      <c r="B1186" s="62"/>
      <c r="C1186" s="62"/>
      <c r="D1186" s="80"/>
      <c r="E1186" s="80"/>
      <c r="F1186" s="81"/>
      <c r="G1186" s="72"/>
      <c r="H1186" s="76"/>
      <c r="I1186" s="62"/>
      <c r="J1186" s="62"/>
      <c r="K1186" s="54"/>
      <c r="L1186" s="74"/>
      <c r="M1186" s="62"/>
      <c r="N1186" s="62"/>
      <c r="O1186" s="62"/>
      <c r="P1186" s="77"/>
      <c r="Q1186" s="62"/>
      <c r="R1186" s="71"/>
      <c r="S1186" s="71"/>
      <c r="T1186" s="71"/>
      <c r="U1186" s="68"/>
    </row>
    <row r="1187" spans="2:21">
      <c r="B1187" s="62"/>
      <c r="C1187" s="62"/>
      <c r="D1187" s="80"/>
      <c r="E1187" s="80"/>
      <c r="F1187" s="81"/>
      <c r="G1187" s="72"/>
      <c r="H1187" s="76"/>
      <c r="I1187" s="62"/>
      <c r="J1187" s="62"/>
      <c r="K1187" s="54"/>
      <c r="L1187" s="74"/>
      <c r="M1187" s="62"/>
      <c r="N1187" s="62"/>
      <c r="O1187" s="62"/>
      <c r="P1187" s="77"/>
      <c r="Q1187" s="62"/>
      <c r="R1187" s="71"/>
      <c r="S1187" s="71"/>
      <c r="T1187" s="71"/>
      <c r="U1187" s="68"/>
    </row>
    <row r="1188" spans="2:21">
      <c r="B1188" s="62"/>
      <c r="C1188" s="62"/>
      <c r="D1188" s="80"/>
      <c r="E1188" s="80"/>
      <c r="F1188" s="81"/>
      <c r="G1188" s="72"/>
      <c r="H1188" s="76"/>
      <c r="I1188" s="62"/>
      <c r="J1188" s="62"/>
      <c r="K1188" s="54"/>
      <c r="L1188" s="74"/>
      <c r="M1188" s="62"/>
      <c r="N1188" s="62"/>
      <c r="O1188" s="62"/>
      <c r="P1188" s="77"/>
      <c r="Q1188" s="62"/>
      <c r="R1188" s="71"/>
      <c r="S1188" s="71"/>
      <c r="T1188" s="71"/>
      <c r="U1188" s="68"/>
    </row>
    <row r="1189" spans="2:21">
      <c r="B1189" s="62"/>
      <c r="C1189" s="62"/>
      <c r="D1189" s="80"/>
      <c r="E1189" s="80"/>
      <c r="F1189" s="81"/>
      <c r="G1189" s="72"/>
      <c r="H1189" s="76"/>
      <c r="I1189" s="62"/>
      <c r="J1189" s="62"/>
      <c r="K1189" s="54"/>
      <c r="L1189" s="74"/>
      <c r="M1189" s="62"/>
      <c r="N1189" s="62"/>
      <c r="O1189" s="62"/>
      <c r="P1189" s="77"/>
      <c r="Q1189" s="62"/>
      <c r="R1189" s="71"/>
      <c r="S1189" s="71"/>
      <c r="T1189" s="71"/>
      <c r="U1189" s="68"/>
    </row>
    <row r="1190" spans="2:21">
      <c r="B1190" s="62"/>
      <c r="C1190" s="62"/>
      <c r="D1190" s="80"/>
      <c r="E1190" s="80"/>
      <c r="F1190" s="81"/>
      <c r="G1190" s="72"/>
      <c r="H1190" s="76"/>
      <c r="I1190" s="62"/>
      <c r="J1190" s="62"/>
      <c r="K1190" s="54"/>
      <c r="L1190" s="74"/>
      <c r="M1190" s="62"/>
      <c r="N1190" s="62"/>
      <c r="O1190" s="62"/>
      <c r="P1190" s="77"/>
      <c r="Q1190" s="62"/>
      <c r="R1190" s="71"/>
      <c r="S1190" s="71"/>
      <c r="T1190" s="71"/>
      <c r="U1190" s="68"/>
    </row>
    <row r="1191" spans="2:21">
      <c r="B1191" s="62"/>
      <c r="C1191" s="62"/>
      <c r="D1191" s="80"/>
      <c r="E1191" s="80"/>
      <c r="F1191" s="81"/>
      <c r="G1191" s="72"/>
      <c r="H1191" s="76"/>
      <c r="I1191" s="62"/>
      <c r="J1191" s="62"/>
      <c r="K1191" s="54"/>
      <c r="L1191" s="74"/>
      <c r="M1191" s="62"/>
      <c r="N1191" s="62"/>
      <c r="O1191" s="62"/>
      <c r="P1191" s="77"/>
      <c r="Q1191" s="62"/>
      <c r="R1191" s="71"/>
      <c r="S1191" s="71"/>
      <c r="T1191" s="71"/>
      <c r="U1191" s="68"/>
    </row>
    <row r="1192" spans="2:21">
      <c r="B1192" s="62"/>
      <c r="C1192" s="62"/>
      <c r="D1192" s="80"/>
      <c r="E1192" s="80"/>
      <c r="F1192" s="81"/>
      <c r="G1192" s="72"/>
      <c r="H1192" s="76"/>
      <c r="I1192" s="62"/>
      <c r="J1192" s="62"/>
      <c r="K1192" s="54"/>
      <c r="L1192" s="74"/>
      <c r="M1192" s="62"/>
      <c r="N1192" s="62"/>
      <c r="O1192" s="62"/>
      <c r="P1192" s="77"/>
      <c r="Q1192" s="62"/>
      <c r="R1192" s="71"/>
      <c r="S1192" s="71"/>
      <c r="T1192" s="71"/>
      <c r="U1192" s="68"/>
    </row>
    <row r="1193" spans="2:21">
      <c r="B1193" s="62"/>
      <c r="C1193" s="62"/>
      <c r="D1193" s="80"/>
      <c r="E1193" s="80"/>
      <c r="F1193" s="81"/>
      <c r="G1193" s="72"/>
      <c r="H1193" s="76"/>
      <c r="I1193" s="62"/>
      <c r="J1193" s="62"/>
      <c r="K1193" s="54"/>
      <c r="L1193" s="74"/>
      <c r="M1193" s="62"/>
      <c r="N1193" s="62"/>
      <c r="O1193" s="62"/>
      <c r="P1193" s="77"/>
      <c r="Q1193" s="62"/>
      <c r="R1193" s="71"/>
      <c r="S1193" s="71"/>
      <c r="T1193" s="71"/>
      <c r="U1193" s="68"/>
    </row>
    <row r="1194" spans="2:21">
      <c r="B1194" s="62"/>
      <c r="C1194" s="62"/>
      <c r="D1194" s="80"/>
      <c r="E1194" s="80"/>
      <c r="F1194" s="81"/>
      <c r="G1194" s="72"/>
      <c r="H1194" s="76"/>
      <c r="I1194" s="62"/>
      <c r="J1194" s="62"/>
      <c r="K1194" s="54"/>
      <c r="L1194" s="74"/>
      <c r="M1194" s="62"/>
      <c r="N1194" s="62"/>
      <c r="O1194" s="62"/>
      <c r="P1194" s="77"/>
      <c r="Q1194" s="62"/>
      <c r="R1194" s="71"/>
      <c r="S1194" s="71"/>
      <c r="T1194" s="71"/>
      <c r="U1194" s="68"/>
    </row>
    <row r="1195" spans="2:21">
      <c r="B1195" s="62"/>
      <c r="C1195" s="62"/>
      <c r="D1195" s="80"/>
      <c r="E1195" s="80"/>
      <c r="F1195" s="81"/>
      <c r="G1195" s="72"/>
      <c r="H1195" s="76"/>
      <c r="I1195" s="62"/>
      <c r="J1195" s="62"/>
      <c r="K1195" s="54"/>
      <c r="L1195" s="74"/>
      <c r="M1195" s="62"/>
      <c r="N1195" s="62"/>
      <c r="O1195" s="62"/>
      <c r="P1195" s="77"/>
      <c r="Q1195" s="62"/>
      <c r="R1195" s="71"/>
      <c r="S1195" s="71"/>
      <c r="T1195" s="71"/>
      <c r="U1195" s="68"/>
    </row>
    <row r="1196" spans="2:21">
      <c r="B1196" s="62"/>
      <c r="C1196" s="62"/>
      <c r="D1196" s="80"/>
      <c r="E1196" s="80"/>
      <c r="F1196" s="81"/>
      <c r="G1196" s="72"/>
      <c r="H1196" s="76"/>
      <c r="I1196" s="62"/>
      <c r="J1196" s="62"/>
      <c r="K1196" s="54"/>
      <c r="L1196" s="74"/>
      <c r="M1196" s="62"/>
      <c r="N1196" s="62"/>
      <c r="O1196" s="62"/>
      <c r="P1196" s="77"/>
      <c r="Q1196" s="62"/>
      <c r="R1196" s="71"/>
      <c r="S1196" s="71"/>
      <c r="T1196" s="71"/>
      <c r="U1196" s="68"/>
    </row>
    <row r="1197" spans="2:21">
      <c r="B1197" s="62"/>
      <c r="C1197" s="62"/>
      <c r="D1197" s="80"/>
      <c r="E1197" s="80"/>
      <c r="F1197" s="81"/>
      <c r="G1197" s="72"/>
      <c r="H1197" s="76"/>
      <c r="I1197" s="62"/>
      <c r="J1197" s="62"/>
      <c r="K1197" s="54"/>
      <c r="L1197" s="74"/>
      <c r="M1197" s="62"/>
      <c r="N1197" s="62"/>
      <c r="O1197" s="62"/>
      <c r="P1197" s="77"/>
      <c r="Q1197" s="62"/>
      <c r="R1197" s="71"/>
      <c r="S1197" s="71"/>
      <c r="T1197" s="71"/>
      <c r="U1197" s="68"/>
    </row>
    <row r="1198" spans="2:21">
      <c r="B1198" s="62"/>
      <c r="C1198" s="62"/>
      <c r="D1198" s="80"/>
      <c r="E1198" s="80"/>
      <c r="F1198" s="81"/>
      <c r="G1198" s="72"/>
      <c r="H1198" s="76"/>
      <c r="I1198" s="62"/>
      <c r="J1198" s="62"/>
      <c r="K1198" s="54"/>
      <c r="L1198" s="74"/>
      <c r="M1198" s="62"/>
      <c r="N1198" s="62"/>
      <c r="O1198" s="62"/>
      <c r="P1198" s="77"/>
      <c r="Q1198" s="62"/>
      <c r="R1198" s="71"/>
      <c r="S1198" s="71"/>
      <c r="T1198" s="71"/>
      <c r="U1198" s="68"/>
    </row>
    <row r="1199" spans="2:21">
      <c r="B1199" s="62"/>
      <c r="C1199" s="62"/>
      <c r="D1199" s="80"/>
      <c r="E1199" s="80"/>
      <c r="F1199" s="81"/>
      <c r="G1199" s="72"/>
      <c r="H1199" s="76"/>
      <c r="I1199" s="62"/>
      <c r="J1199" s="62"/>
      <c r="K1199" s="54"/>
      <c r="L1199" s="74"/>
      <c r="M1199" s="62"/>
      <c r="N1199" s="62"/>
      <c r="O1199" s="62"/>
      <c r="P1199" s="77"/>
      <c r="Q1199" s="62"/>
      <c r="R1199" s="71"/>
      <c r="S1199" s="71"/>
      <c r="T1199" s="71"/>
      <c r="U1199" s="68"/>
    </row>
    <row r="1200" spans="2:21">
      <c r="B1200" s="62"/>
      <c r="C1200" s="62"/>
      <c r="D1200" s="80"/>
      <c r="E1200" s="80"/>
      <c r="F1200" s="81"/>
      <c r="G1200" s="72"/>
      <c r="H1200" s="76"/>
      <c r="I1200" s="62"/>
      <c r="J1200" s="62"/>
      <c r="K1200" s="54"/>
      <c r="L1200" s="74"/>
      <c r="M1200" s="62"/>
      <c r="N1200" s="62"/>
      <c r="O1200" s="62"/>
      <c r="P1200" s="77"/>
      <c r="Q1200" s="62"/>
      <c r="R1200" s="71"/>
      <c r="S1200" s="71"/>
      <c r="T1200" s="71"/>
      <c r="U1200" s="68"/>
    </row>
    <row r="1201" spans="2:21">
      <c r="B1201" s="62"/>
      <c r="C1201" s="62"/>
      <c r="D1201" s="80"/>
      <c r="E1201" s="80"/>
      <c r="F1201" s="81"/>
      <c r="G1201" s="72"/>
      <c r="H1201" s="76"/>
      <c r="I1201" s="62"/>
      <c r="J1201" s="62"/>
      <c r="K1201" s="54"/>
      <c r="L1201" s="74"/>
      <c r="M1201" s="62"/>
      <c r="N1201" s="62"/>
      <c r="O1201" s="62"/>
      <c r="P1201" s="77"/>
      <c r="Q1201" s="62"/>
      <c r="R1201" s="71"/>
      <c r="S1201" s="71"/>
      <c r="T1201" s="71"/>
      <c r="U1201" s="68"/>
    </row>
    <row r="1202" spans="2:21">
      <c r="B1202" s="62"/>
      <c r="C1202" s="62"/>
      <c r="D1202" s="80"/>
      <c r="E1202" s="80"/>
      <c r="F1202" s="81"/>
      <c r="G1202" s="72"/>
      <c r="H1202" s="76"/>
      <c r="I1202" s="62"/>
      <c r="J1202" s="62"/>
      <c r="K1202" s="54"/>
      <c r="L1202" s="74"/>
      <c r="M1202" s="62"/>
      <c r="N1202" s="62"/>
      <c r="O1202" s="62"/>
      <c r="P1202" s="77"/>
      <c r="Q1202" s="62"/>
      <c r="R1202" s="71"/>
      <c r="S1202" s="71"/>
      <c r="T1202" s="71"/>
      <c r="U1202" s="68"/>
    </row>
    <row r="1203" spans="2:21">
      <c r="B1203" s="62"/>
      <c r="C1203" s="62"/>
      <c r="D1203" s="80"/>
      <c r="E1203" s="80"/>
      <c r="F1203" s="81"/>
      <c r="G1203" s="72"/>
      <c r="H1203" s="76"/>
      <c r="I1203" s="62"/>
      <c r="J1203" s="62"/>
      <c r="K1203" s="54"/>
      <c r="L1203" s="74"/>
      <c r="M1203" s="62"/>
      <c r="N1203" s="62"/>
      <c r="O1203" s="62"/>
      <c r="P1203" s="77"/>
      <c r="Q1203" s="62"/>
      <c r="R1203" s="71"/>
      <c r="S1203" s="71"/>
      <c r="T1203" s="71"/>
      <c r="U1203" s="68"/>
    </row>
    <row r="1204" spans="2:21">
      <c r="B1204" s="62"/>
      <c r="C1204" s="62"/>
      <c r="D1204" s="80"/>
      <c r="E1204" s="80"/>
      <c r="F1204" s="81"/>
      <c r="G1204" s="72"/>
      <c r="H1204" s="76"/>
      <c r="I1204" s="62"/>
      <c r="J1204" s="62"/>
      <c r="K1204" s="54"/>
      <c r="L1204" s="74"/>
      <c r="M1204" s="62"/>
      <c r="N1204" s="62"/>
      <c r="O1204" s="62"/>
      <c r="P1204" s="77"/>
      <c r="Q1204" s="62"/>
      <c r="R1204" s="71"/>
      <c r="S1204" s="71"/>
      <c r="T1204" s="71"/>
      <c r="U1204" s="68"/>
    </row>
    <row r="1205" spans="2:21">
      <c r="B1205" s="62"/>
      <c r="C1205" s="62"/>
      <c r="D1205" s="80"/>
      <c r="E1205" s="80"/>
      <c r="F1205" s="81"/>
      <c r="G1205" s="72"/>
      <c r="H1205" s="76"/>
      <c r="I1205" s="62"/>
      <c r="J1205" s="62"/>
      <c r="K1205" s="54"/>
      <c r="L1205" s="74"/>
      <c r="M1205" s="62"/>
      <c r="N1205" s="62"/>
      <c r="O1205" s="62"/>
      <c r="P1205" s="77"/>
      <c r="Q1205" s="62"/>
      <c r="R1205" s="71"/>
      <c r="S1205" s="71"/>
      <c r="T1205" s="71"/>
      <c r="U1205" s="68"/>
    </row>
    <row r="1206" spans="2:21">
      <c r="B1206" s="62"/>
      <c r="C1206" s="62"/>
      <c r="D1206" s="80"/>
      <c r="E1206" s="80"/>
      <c r="F1206" s="81"/>
      <c r="G1206" s="72"/>
      <c r="H1206" s="76"/>
      <c r="I1206" s="62"/>
      <c r="J1206" s="62"/>
      <c r="K1206" s="54"/>
      <c r="L1206" s="74"/>
      <c r="M1206" s="62"/>
      <c r="N1206" s="62"/>
      <c r="O1206" s="62"/>
      <c r="P1206" s="77"/>
      <c r="Q1206" s="62"/>
      <c r="R1206" s="71"/>
      <c r="S1206" s="71"/>
      <c r="T1206" s="71"/>
      <c r="U1206" s="68"/>
    </row>
    <row r="1207" spans="2:21">
      <c r="B1207" s="62"/>
      <c r="C1207" s="62"/>
      <c r="D1207" s="80"/>
      <c r="E1207" s="80"/>
      <c r="F1207" s="81"/>
      <c r="G1207" s="72"/>
      <c r="H1207" s="76"/>
      <c r="I1207" s="62"/>
      <c r="J1207" s="62"/>
      <c r="K1207" s="54"/>
      <c r="L1207" s="74"/>
      <c r="M1207" s="62"/>
      <c r="N1207" s="62"/>
      <c r="O1207" s="62"/>
      <c r="P1207" s="77"/>
      <c r="Q1207" s="62"/>
      <c r="R1207" s="71"/>
      <c r="S1207" s="71"/>
      <c r="T1207" s="71"/>
      <c r="U1207" s="68"/>
    </row>
    <row r="1208" spans="2:21">
      <c r="B1208" s="62"/>
      <c r="C1208" s="62"/>
      <c r="D1208" s="80"/>
      <c r="E1208" s="80"/>
      <c r="F1208" s="81"/>
      <c r="G1208" s="72"/>
      <c r="H1208" s="76"/>
      <c r="I1208" s="62"/>
      <c r="J1208" s="62"/>
      <c r="K1208" s="54"/>
      <c r="L1208" s="74"/>
      <c r="M1208" s="62"/>
      <c r="N1208" s="62"/>
      <c r="O1208" s="62"/>
      <c r="P1208" s="77"/>
      <c r="Q1208" s="62"/>
      <c r="R1208" s="71"/>
      <c r="S1208" s="71"/>
      <c r="T1208" s="71"/>
      <c r="U1208" s="68"/>
    </row>
    <row r="1209" spans="2:21">
      <c r="B1209" s="62"/>
      <c r="C1209" s="62"/>
      <c r="D1209" s="80"/>
      <c r="E1209" s="80"/>
      <c r="F1209" s="81"/>
      <c r="G1209" s="72"/>
      <c r="H1209" s="76"/>
      <c r="I1209" s="62"/>
      <c r="J1209" s="62"/>
      <c r="K1209" s="54"/>
      <c r="L1209" s="74"/>
      <c r="M1209" s="62"/>
      <c r="N1209" s="62"/>
      <c r="O1209" s="62"/>
      <c r="P1209" s="77"/>
      <c r="Q1209" s="62"/>
      <c r="R1209" s="71"/>
      <c r="S1209" s="71"/>
      <c r="T1209" s="71"/>
      <c r="U1209" s="68"/>
    </row>
    <row r="1210" spans="2:21">
      <c r="B1210" s="62"/>
      <c r="C1210" s="62"/>
      <c r="D1210" s="80"/>
      <c r="E1210" s="80"/>
      <c r="F1210" s="81"/>
      <c r="G1210" s="72"/>
      <c r="H1210" s="76"/>
      <c r="I1210" s="62"/>
      <c r="J1210" s="62"/>
      <c r="K1210" s="54"/>
      <c r="L1210" s="74"/>
      <c r="M1210" s="62"/>
      <c r="N1210" s="62"/>
      <c r="O1210" s="62"/>
      <c r="P1210" s="77"/>
      <c r="Q1210" s="62"/>
      <c r="R1210" s="71"/>
      <c r="S1210" s="71"/>
      <c r="T1210" s="71"/>
      <c r="U1210" s="68"/>
    </row>
    <row r="1211" spans="2:21">
      <c r="B1211" s="62"/>
      <c r="C1211" s="62"/>
      <c r="D1211" s="80"/>
      <c r="E1211" s="80"/>
      <c r="F1211" s="81"/>
      <c r="G1211" s="72"/>
      <c r="H1211" s="76"/>
      <c r="I1211" s="62"/>
      <c r="J1211" s="62"/>
      <c r="K1211" s="54"/>
      <c r="L1211" s="74"/>
      <c r="M1211" s="62"/>
      <c r="N1211" s="62"/>
      <c r="O1211" s="62"/>
      <c r="P1211" s="77"/>
      <c r="Q1211" s="62"/>
      <c r="R1211" s="71"/>
      <c r="S1211" s="71"/>
      <c r="T1211" s="71"/>
      <c r="U1211" s="68"/>
    </row>
    <row r="1212" spans="2:21">
      <c r="B1212" s="62"/>
      <c r="C1212" s="62"/>
      <c r="D1212" s="80"/>
      <c r="E1212" s="80"/>
      <c r="F1212" s="81"/>
      <c r="G1212" s="72"/>
      <c r="H1212" s="76"/>
      <c r="I1212" s="62"/>
      <c r="J1212" s="62"/>
      <c r="K1212" s="54"/>
      <c r="L1212" s="74"/>
      <c r="M1212" s="62"/>
      <c r="N1212" s="62"/>
      <c r="O1212" s="62"/>
      <c r="P1212" s="77"/>
      <c r="Q1212" s="62"/>
      <c r="R1212" s="71"/>
      <c r="S1212" s="71"/>
      <c r="T1212" s="71"/>
      <c r="U1212" s="68"/>
    </row>
    <row r="1213" spans="2:21">
      <c r="B1213" s="62"/>
      <c r="C1213" s="62"/>
      <c r="D1213" s="80"/>
      <c r="E1213" s="80"/>
      <c r="F1213" s="81"/>
      <c r="G1213" s="72"/>
      <c r="H1213" s="76"/>
      <c r="I1213" s="62"/>
      <c r="J1213" s="62"/>
      <c r="K1213" s="54"/>
      <c r="L1213" s="74"/>
      <c r="M1213" s="62"/>
      <c r="N1213" s="62"/>
      <c r="O1213" s="62"/>
      <c r="P1213" s="77"/>
      <c r="Q1213" s="62"/>
      <c r="R1213" s="71"/>
      <c r="S1213" s="71"/>
      <c r="T1213" s="71"/>
      <c r="U1213" s="68"/>
    </row>
    <row r="1214" spans="2:21">
      <c r="B1214" s="62"/>
      <c r="C1214" s="62"/>
      <c r="D1214" s="80"/>
      <c r="E1214" s="80"/>
      <c r="F1214" s="81"/>
      <c r="G1214" s="72"/>
      <c r="H1214" s="76"/>
      <c r="I1214" s="62"/>
      <c r="J1214" s="62"/>
      <c r="K1214" s="54"/>
      <c r="L1214" s="74"/>
      <c r="M1214" s="62"/>
      <c r="N1214" s="62"/>
      <c r="O1214" s="62"/>
      <c r="P1214" s="77"/>
      <c r="Q1214" s="62"/>
      <c r="R1214" s="71"/>
      <c r="S1214" s="71"/>
      <c r="T1214" s="71"/>
      <c r="U1214" s="68"/>
    </row>
    <row r="1215" spans="2:21">
      <c r="B1215" s="62"/>
      <c r="C1215" s="62"/>
      <c r="D1215" s="80"/>
      <c r="E1215" s="80"/>
      <c r="F1215" s="81"/>
      <c r="G1215" s="72"/>
      <c r="H1215" s="76"/>
      <c r="I1215" s="62"/>
      <c r="J1215" s="62"/>
      <c r="K1215" s="54"/>
      <c r="L1215" s="74"/>
      <c r="M1215" s="62"/>
      <c r="N1215" s="62"/>
      <c r="O1215" s="62"/>
      <c r="P1215" s="77"/>
      <c r="Q1215" s="62"/>
      <c r="R1215" s="71"/>
      <c r="S1215" s="71"/>
      <c r="T1215" s="71"/>
      <c r="U1215" s="68"/>
    </row>
    <row r="1216" spans="2:21">
      <c r="B1216" s="62"/>
      <c r="C1216" s="62"/>
      <c r="D1216" s="80"/>
      <c r="E1216" s="80"/>
      <c r="F1216" s="81"/>
      <c r="G1216" s="72"/>
      <c r="H1216" s="76"/>
      <c r="I1216" s="62"/>
      <c r="J1216" s="62"/>
      <c r="K1216" s="54"/>
      <c r="L1216" s="74"/>
      <c r="M1216" s="62"/>
      <c r="N1216" s="62"/>
      <c r="O1216" s="62"/>
      <c r="P1216" s="77"/>
      <c r="Q1216" s="62"/>
      <c r="R1216" s="71"/>
      <c r="S1216" s="71"/>
      <c r="T1216" s="71"/>
      <c r="U1216" s="68"/>
    </row>
    <row r="1217" spans="2:21">
      <c r="B1217" s="62"/>
      <c r="C1217" s="62"/>
      <c r="D1217" s="80"/>
      <c r="E1217" s="80"/>
      <c r="F1217" s="81"/>
      <c r="G1217" s="72"/>
      <c r="H1217" s="76"/>
      <c r="I1217" s="62"/>
      <c r="J1217" s="62"/>
      <c r="K1217" s="54"/>
      <c r="L1217" s="74"/>
      <c r="M1217" s="62"/>
      <c r="N1217" s="62"/>
      <c r="O1217" s="62"/>
      <c r="P1217" s="77"/>
      <c r="Q1217" s="62"/>
      <c r="R1217" s="71"/>
      <c r="S1217" s="71"/>
      <c r="T1217" s="71"/>
      <c r="U1217" s="68"/>
    </row>
    <row r="1218" spans="2:21">
      <c r="B1218" s="62"/>
      <c r="C1218" s="62"/>
      <c r="D1218" s="80"/>
      <c r="E1218" s="80"/>
      <c r="F1218" s="81"/>
      <c r="G1218" s="72"/>
      <c r="H1218" s="76"/>
      <c r="I1218" s="62"/>
      <c r="J1218" s="62"/>
      <c r="K1218" s="54"/>
      <c r="L1218" s="74"/>
      <c r="M1218" s="62"/>
      <c r="N1218" s="62"/>
      <c r="O1218" s="62"/>
      <c r="P1218" s="77"/>
      <c r="Q1218" s="62"/>
      <c r="R1218" s="71"/>
      <c r="S1218" s="71"/>
      <c r="T1218" s="71"/>
      <c r="U1218" s="68"/>
    </row>
    <row r="1219" spans="2:21">
      <c r="B1219" s="62"/>
      <c r="C1219" s="62"/>
      <c r="D1219" s="80"/>
      <c r="E1219" s="80"/>
      <c r="F1219" s="81"/>
      <c r="G1219" s="72"/>
      <c r="H1219" s="76"/>
      <c r="I1219" s="62"/>
      <c r="J1219" s="62"/>
      <c r="K1219" s="54"/>
      <c r="L1219" s="74"/>
      <c r="M1219" s="62"/>
      <c r="N1219" s="62"/>
      <c r="O1219" s="62"/>
      <c r="P1219" s="77"/>
      <c r="Q1219" s="62"/>
      <c r="R1219" s="71"/>
      <c r="S1219" s="71"/>
      <c r="T1219" s="71"/>
      <c r="U1219" s="68"/>
    </row>
    <row r="1220" spans="2:21">
      <c r="B1220" s="62"/>
      <c r="C1220" s="62"/>
      <c r="D1220" s="80"/>
      <c r="E1220" s="80"/>
      <c r="F1220" s="81"/>
      <c r="G1220" s="72"/>
      <c r="H1220" s="76"/>
      <c r="I1220" s="62"/>
      <c r="J1220" s="62"/>
      <c r="K1220" s="54"/>
      <c r="L1220" s="74"/>
      <c r="M1220" s="62"/>
      <c r="N1220" s="62"/>
      <c r="O1220" s="62"/>
      <c r="P1220" s="77"/>
      <c r="Q1220" s="62"/>
      <c r="R1220" s="71"/>
      <c r="S1220" s="71"/>
      <c r="T1220" s="71"/>
      <c r="U1220" s="68"/>
    </row>
    <row r="1221" spans="2:21">
      <c r="B1221" s="62"/>
      <c r="C1221" s="62"/>
      <c r="D1221" s="80"/>
      <c r="E1221" s="80"/>
      <c r="F1221" s="81"/>
      <c r="G1221" s="72"/>
      <c r="H1221" s="76"/>
      <c r="I1221" s="62"/>
      <c r="J1221" s="62"/>
      <c r="K1221" s="54"/>
      <c r="L1221" s="74"/>
      <c r="M1221" s="62"/>
      <c r="N1221" s="62"/>
      <c r="O1221" s="62"/>
      <c r="P1221" s="77"/>
      <c r="Q1221" s="62"/>
      <c r="R1221" s="71"/>
      <c r="S1221" s="71"/>
      <c r="T1221" s="71"/>
      <c r="U1221" s="68"/>
    </row>
    <row r="1222" spans="2:21">
      <c r="B1222" s="62"/>
      <c r="C1222" s="62"/>
      <c r="D1222" s="80"/>
      <c r="E1222" s="80"/>
      <c r="F1222" s="81"/>
      <c r="G1222" s="72"/>
      <c r="H1222" s="76"/>
      <c r="I1222" s="62"/>
      <c r="J1222" s="62"/>
      <c r="K1222" s="54"/>
      <c r="L1222" s="74"/>
      <c r="M1222" s="62"/>
      <c r="N1222" s="62"/>
      <c r="O1222" s="62"/>
      <c r="P1222" s="77"/>
      <c r="Q1222" s="62"/>
      <c r="R1222" s="71"/>
      <c r="S1222" s="71"/>
      <c r="T1222" s="71"/>
      <c r="U1222" s="68"/>
    </row>
    <row r="1223" spans="2:21">
      <c r="B1223" s="62"/>
      <c r="C1223" s="62"/>
      <c r="D1223" s="80"/>
      <c r="E1223" s="80"/>
      <c r="F1223" s="81"/>
      <c r="G1223" s="72"/>
      <c r="H1223" s="76"/>
      <c r="I1223" s="62"/>
      <c r="J1223" s="62"/>
      <c r="K1223" s="54"/>
      <c r="L1223" s="74"/>
      <c r="M1223" s="62"/>
      <c r="N1223" s="62"/>
      <c r="O1223" s="62"/>
      <c r="P1223" s="77"/>
      <c r="Q1223" s="62"/>
      <c r="R1223" s="71"/>
      <c r="S1223" s="71"/>
      <c r="T1223" s="71"/>
      <c r="U1223" s="68"/>
    </row>
    <row r="1224" spans="2:21">
      <c r="B1224" s="62"/>
      <c r="C1224" s="62"/>
      <c r="D1224" s="80"/>
      <c r="E1224" s="80"/>
      <c r="F1224" s="81"/>
      <c r="G1224" s="72"/>
      <c r="H1224" s="76"/>
      <c r="I1224" s="62"/>
      <c r="J1224" s="62"/>
      <c r="K1224" s="54"/>
      <c r="L1224" s="74"/>
      <c r="M1224" s="62"/>
      <c r="N1224" s="62"/>
      <c r="O1224" s="62"/>
      <c r="P1224" s="77"/>
      <c r="Q1224" s="62"/>
      <c r="R1224" s="71"/>
      <c r="S1224" s="71"/>
      <c r="T1224" s="71"/>
      <c r="U1224" s="68"/>
    </row>
    <row r="1225" spans="2:21">
      <c r="B1225" s="62"/>
      <c r="C1225" s="62"/>
      <c r="D1225" s="80"/>
      <c r="E1225" s="80"/>
      <c r="F1225" s="81"/>
      <c r="G1225" s="72"/>
      <c r="H1225" s="76"/>
      <c r="I1225" s="62"/>
      <c r="J1225" s="62"/>
      <c r="K1225" s="54"/>
      <c r="L1225" s="74"/>
      <c r="M1225" s="62"/>
      <c r="N1225" s="62"/>
      <c r="O1225" s="62"/>
      <c r="P1225" s="77"/>
      <c r="Q1225" s="62"/>
      <c r="R1225" s="71"/>
      <c r="S1225" s="71"/>
      <c r="T1225" s="71"/>
      <c r="U1225" s="68"/>
    </row>
    <row r="1226" spans="2:21">
      <c r="B1226" s="62"/>
      <c r="C1226" s="62"/>
      <c r="D1226" s="80"/>
      <c r="E1226" s="80"/>
      <c r="F1226" s="81"/>
      <c r="G1226" s="72"/>
      <c r="H1226" s="76"/>
      <c r="I1226" s="62"/>
      <c r="J1226" s="62"/>
      <c r="K1226" s="54"/>
      <c r="L1226" s="74"/>
      <c r="M1226" s="62"/>
      <c r="N1226" s="62"/>
      <c r="O1226" s="62"/>
      <c r="P1226" s="77"/>
      <c r="Q1226" s="62"/>
      <c r="R1226" s="71"/>
      <c r="S1226" s="71"/>
      <c r="T1226" s="71"/>
      <c r="U1226" s="68"/>
    </row>
    <row r="1227" spans="2:21">
      <c r="B1227" s="62"/>
      <c r="C1227" s="62"/>
      <c r="D1227" s="80"/>
      <c r="E1227" s="80"/>
      <c r="F1227" s="81"/>
      <c r="G1227" s="72"/>
      <c r="H1227" s="76"/>
      <c r="I1227" s="62"/>
      <c r="J1227" s="62"/>
      <c r="K1227" s="54"/>
      <c r="L1227" s="74"/>
      <c r="M1227" s="62"/>
      <c r="N1227" s="62"/>
      <c r="O1227" s="62"/>
      <c r="P1227" s="77"/>
      <c r="Q1227" s="62"/>
      <c r="R1227" s="71"/>
      <c r="S1227" s="71"/>
      <c r="T1227" s="71"/>
      <c r="U1227" s="68"/>
    </row>
    <row r="1228" spans="2:21">
      <c r="B1228" s="62"/>
      <c r="C1228" s="62"/>
      <c r="D1228" s="80"/>
      <c r="E1228" s="80"/>
      <c r="F1228" s="81"/>
      <c r="G1228" s="72"/>
      <c r="H1228" s="76"/>
      <c r="I1228" s="62"/>
      <c r="J1228" s="62"/>
      <c r="K1228" s="54"/>
      <c r="L1228" s="74"/>
      <c r="M1228" s="62"/>
      <c r="N1228" s="62"/>
      <c r="O1228" s="62"/>
      <c r="P1228" s="77"/>
      <c r="Q1228" s="62"/>
      <c r="R1228" s="71"/>
      <c r="S1228" s="71"/>
      <c r="T1228" s="71"/>
      <c r="U1228" s="68"/>
    </row>
    <row r="1229" spans="2:21">
      <c r="B1229" s="62"/>
      <c r="C1229" s="62"/>
      <c r="D1229" s="80"/>
      <c r="E1229" s="80"/>
      <c r="F1229" s="81"/>
      <c r="G1229" s="72"/>
      <c r="H1229" s="76"/>
      <c r="I1229" s="62"/>
      <c r="J1229" s="62"/>
      <c r="K1229" s="54"/>
      <c r="L1229" s="74"/>
      <c r="M1229" s="62"/>
      <c r="N1229" s="62"/>
      <c r="O1229" s="62"/>
      <c r="P1229" s="77"/>
      <c r="Q1229" s="62"/>
      <c r="R1229" s="71"/>
      <c r="S1229" s="71"/>
      <c r="T1229" s="71"/>
      <c r="U1229" s="68"/>
    </row>
    <row r="1230" spans="2:21">
      <c r="B1230" s="62"/>
      <c r="C1230" s="62"/>
      <c r="D1230" s="80"/>
      <c r="E1230" s="80"/>
      <c r="F1230" s="81"/>
      <c r="G1230" s="72"/>
      <c r="H1230" s="76"/>
      <c r="I1230" s="62"/>
      <c r="J1230" s="62"/>
      <c r="K1230" s="54"/>
      <c r="L1230" s="74"/>
      <c r="M1230" s="62"/>
      <c r="N1230" s="62"/>
      <c r="O1230" s="62"/>
      <c r="P1230" s="77"/>
      <c r="Q1230" s="62"/>
      <c r="R1230" s="71"/>
      <c r="S1230" s="71"/>
      <c r="T1230" s="71"/>
      <c r="U1230" s="68"/>
    </row>
    <row r="1231" spans="2:21">
      <c r="B1231" s="62"/>
      <c r="C1231" s="62"/>
      <c r="D1231" s="80"/>
      <c r="E1231" s="80"/>
      <c r="F1231" s="81"/>
      <c r="G1231" s="72"/>
      <c r="H1231" s="76"/>
      <c r="I1231" s="62"/>
      <c r="J1231" s="62"/>
      <c r="K1231" s="54"/>
      <c r="L1231" s="74"/>
      <c r="M1231" s="62"/>
      <c r="N1231" s="62"/>
      <c r="O1231" s="62"/>
      <c r="P1231" s="77"/>
      <c r="Q1231" s="62"/>
      <c r="R1231" s="71"/>
      <c r="S1231" s="71"/>
      <c r="T1231" s="71"/>
      <c r="U1231" s="68"/>
    </row>
    <row r="1232" spans="2:21">
      <c r="B1232" s="62"/>
      <c r="C1232" s="62"/>
      <c r="D1232" s="80"/>
      <c r="E1232" s="80"/>
      <c r="F1232" s="81"/>
      <c r="G1232" s="72"/>
      <c r="H1232" s="76"/>
      <c r="I1232" s="62"/>
      <c r="J1232" s="62"/>
      <c r="K1232" s="54"/>
      <c r="L1232" s="74"/>
      <c r="M1232" s="62"/>
      <c r="N1232" s="62"/>
      <c r="O1232" s="62"/>
      <c r="P1232" s="77"/>
      <c r="Q1232" s="62"/>
      <c r="R1232" s="71"/>
      <c r="S1232" s="71"/>
      <c r="T1232" s="71"/>
      <c r="U1232" s="68"/>
    </row>
    <row r="1233" spans="2:21">
      <c r="B1233" s="62"/>
      <c r="C1233" s="62"/>
      <c r="D1233" s="80"/>
      <c r="E1233" s="80"/>
      <c r="F1233" s="81"/>
      <c r="G1233" s="72"/>
      <c r="H1233" s="76"/>
      <c r="I1233" s="62"/>
      <c r="J1233" s="62"/>
      <c r="K1233" s="54"/>
      <c r="L1233" s="74"/>
      <c r="M1233" s="62"/>
      <c r="N1233" s="62"/>
      <c r="O1233" s="62"/>
      <c r="P1233" s="77"/>
      <c r="Q1233" s="62"/>
      <c r="R1233" s="71"/>
      <c r="S1233" s="71"/>
      <c r="T1233" s="71"/>
      <c r="U1233" s="68"/>
    </row>
    <row r="1234" spans="2:21">
      <c r="B1234" s="62"/>
      <c r="C1234" s="62"/>
      <c r="D1234" s="80"/>
      <c r="E1234" s="80"/>
      <c r="F1234" s="81"/>
      <c r="G1234" s="72"/>
      <c r="H1234" s="76"/>
      <c r="I1234" s="62"/>
      <c r="J1234" s="62"/>
      <c r="K1234" s="54"/>
      <c r="L1234" s="74"/>
      <c r="M1234" s="62"/>
      <c r="N1234" s="62"/>
      <c r="O1234" s="62"/>
      <c r="P1234" s="77"/>
      <c r="Q1234" s="62"/>
      <c r="R1234" s="71"/>
      <c r="S1234" s="71"/>
      <c r="T1234" s="71"/>
      <c r="U1234" s="68"/>
    </row>
    <row r="1235" spans="2:21">
      <c r="B1235" s="62"/>
      <c r="C1235" s="62"/>
      <c r="D1235" s="80"/>
      <c r="E1235" s="80"/>
      <c r="F1235" s="81"/>
      <c r="G1235" s="72"/>
      <c r="H1235" s="76"/>
      <c r="I1235" s="62"/>
      <c r="J1235" s="62"/>
      <c r="K1235" s="54"/>
      <c r="L1235" s="74"/>
      <c r="M1235" s="62"/>
      <c r="N1235" s="62"/>
      <c r="O1235" s="62"/>
      <c r="P1235" s="77"/>
      <c r="Q1235" s="62"/>
      <c r="R1235" s="71"/>
      <c r="S1235" s="71"/>
      <c r="T1235" s="71"/>
      <c r="U1235" s="68"/>
    </row>
    <row r="1236" spans="2:21">
      <c r="B1236" s="62"/>
      <c r="C1236" s="62"/>
      <c r="D1236" s="80"/>
      <c r="E1236" s="80"/>
      <c r="F1236" s="81"/>
      <c r="G1236" s="72"/>
      <c r="H1236" s="76"/>
      <c r="I1236" s="62"/>
      <c r="J1236" s="62"/>
      <c r="K1236" s="54"/>
      <c r="L1236" s="74"/>
      <c r="M1236" s="62"/>
      <c r="N1236" s="62"/>
      <c r="O1236" s="62"/>
      <c r="P1236" s="77"/>
      <c r="Q1236" s="62"/>
      <c r="R1236" s="71"/>
      <c r="S1236" s="71"/>
      <c r="T1236" s="71"/>
      <c r="U1236" s="68"/>
    </row>
    <row r="1237" spans="2:21">
      <c r="B1237" s="62"/>
      <c r="C1237" s="62"/>
      <c r="D1237" s="80"/>
      <c r="E1237" s="80"/>
      <c r="F1237" s="81"/>
      <c r="G1237" s="72"/>
      <c r="H1237" s="76"/>
      <c r="I1237" s="62"/>
      <c r="J1237" s="62"/>
      <c r="K1237" s="54"/>
      <c r="L1237" s="74"/>
      <c r="M1237" s="62"/>
      <c r="N1237" s="62"/>
      <c r="O1237" s="62"/>
      <c r="P1237" s="77"/>
      <c r="Q1237" s="62"/>
      <c r="R1237" s="71"/>
      <c r="S1237" s="71"/>
      <c r="T1237" s="71"/>
      <c r="U1237" s="68"/>
    </row>
    <row r="1238" spans="2:21">
      <c r="B1238" s="62"/>
      <c r="C1238" s="62"/>
      <c r="D1238" s="80"/>
      <c r="E1238" s="80"/>
      <c r="F1238" s="81"/>
      <c r="G1238" s="72"/>
      <c r="H1238" s="76"/>
      <c r="I1238" s="62"/>
      <c r="J1238" s="62"/>
      <c r="K1238" s="54"/>
      <c r="L1238" s="74"/>
      <c r="M1238" s="62"/>
      <c r="N1238" s="62"/>
      <c r="O1238" s="62"/>
      <c r="P1238" s="77"/>
      <c r="Q1238" s="62"/>
      <c r="R1238" s="71"/>
      <c r="S1238" s="71"/>
      <c r="T1238" s="71"/>
      <c r="U1238" s="68"/>
    </row>
    <row r="1239" spans="2:21">
      <c r="B1239" s="62"/>
      <c r="C1239" s="62"/>
      <c r="D1239" s="80"/>
      <c r="E1239" s="80"/>
      <c r="F1239" s="81"/>
      <c r="G1239" s="72"/>
      <c r="H1239" s="76"/>
      <c r="I1239" s="62"/>
      <c r="J1239" s="62"/>
      <c r="K1239" s="54"/>
      <c r="L1239" s="74"/>
      <c r="M1239" s="62"/>
      <c r="N1239" s="62"/>
      <c r="O1239" s="62"/>
      <c r="P1239" s="77"/>
      <c r="Q1239" s="62"/>
      <c r="R1239" s="71"/>
      <c r="S1239" s="71"/>
      <c r="T1239" s="71"/>
      <c r="U1239" s="68"/>
    </row>
    <row r="1240" spans="2:21">
      <c r="B1240" s="62"/>
      <c r="C1240" s="62"/>
      <c r="D1240" s="80"/>
      <c r="E1240" s="80"/>
      <c r="F1240" s="81"/>
      <c r="G1240" s="72"/>
      <c r="H1240" s="76"/>
      <c r="I1240" s="62"/>
      <c r="J1240" s="62"/>
      <c r="K1240" s="54"/>
      <c r="L1240" s="74"/>
      <c r="M1240" s="62"/>
      <c r="N1240" s="62"/>
      <c r="O1240" s="62"/>
      <c r="P1240" s="77"/>
      <c r="Q1240" s="62"/>
      <c r="R1240" s="71"/>
      <c r="S1240" s="71"/>
      <c r="T1240" s="71"/>
      <c r="U1240" s="68"/>
    </row>
    <row r="1241" spans="2:21">
      <c r="B1241" s="62"/>
      <c r="C1241" s="62"/>
      <c r="D1241" s="80"/>
      <c r="E1241" s="80"/>
      <c r="F1241" s="81"/>
      <c r="G1241" s="72"/>
      <c r="H1241" s="76"/>
      <c r="I1241" s="62"/>
      <c r="J1241" s="62"/>
      <c r="K1241" s="54"/>
      <c r="L1241" s="74"/>
      <c r="M1241" s="62"/>
      <c r="N1241" s="62"/>
      <c r="O1241" s="62"/>
      <c r="P1241" s="77"/>
      <c r="Q1241" s="62"/>
      <c r="R1241" s="71"/>
      <c r="S1241" s="71"/>
      <c r="T1241" s="71"/>
      <c r="U1241" s="68"/>
    </row>
    <row r="1242" spans="2:21">
      <c r="B1242" s="62"/>
      <c r="C1242" s="62"/>
      <c r="D1242" s="80"/>
      <c r="E1242" s="80"/>
      <c r="F1242" s="81"/>
      <c r="G1242" s="72"/>
      <c r="H1242" s="76"/>
      <c r="I1242" s="62"/>
      <c r="J1242" s="62"/>
      <c r="K1242" s="54"/>
      <c r="L1242" s="74"/>
      <c r="M1242" s="62"/>
      <c r="N1242" s="62"/>
      <c r="O1242" s="62"/>
      <c r="P1242" s="77"/>
      <c r="Q1242" s="62"/>
      <c r="R1242" s="71"/>
      <c r="S1242" s="71"/>
      <c r="T1242" s="71"/>
      <c r="U1242" s="68"/>
    </row>
    <row r="1243" spans="2:21">
      <c r="B1243" s="62"/>
      <c r="C1243" s="62"/>
      <c r="D1243" s="80"/>
      <c r="E1243" s="80"/>
      <c r="F1243" s="81"/>
      <c r="G1243" s="72"/>
      <c r="H1243" s="76"/>
      <c r="I1243" s="62"/>
      <c r="J1243" s="62"/>
      <c r="K1243" s="54"/>
      <c r="L1243" s="74"/>
      <c r="M1243" s="62"/>
      <c r="N1243" s="62"/>
      <c r="O1243" s="62"/>
      <c r="P1243" s="77"/>
      <c r="Q1243" s="62"/>
      <c r="R1243" s="71"/>
      <c r="S1243" s="71"/>
      <c r="T1243" s="71"/>
      <c r="U1243" s="68"/>
    </row>
    <row r="1244" spans="2:21">
      <c r="B1244" s="62"/>
      <c r="C1244" s="62"/>
      <c r="D1244" s="80"/>
      <c r="E1244" s="80"/>
      <c r="F1244" s="81"/>
      <c r="G1244" s="72"/>
      <c r="H1244" s="76"/>
      <c r="I1244" s="62"/>
      <c r="J1244" s="62"/>
      <c r="K1244" s="54"/>
      <c r="L1244" s="74"/>
      <c r="M1244" s="62"/>
      <c r="N1244" s="62"/>
      <c r="O1244" s="62"/>
      <c r="P1244" s="77"/>
      <c r="Q1244" s="62"/>
      <c r="R1244" s="71"/>
      <c r="S1244" s="71"/>
      <c r="T1244" s="71"/>
      <c r="U1244" s="68"/>
    </row>
    <row r="1245" spans="2:21">
      <c r="B1245" s="62"/>
      <c r="C1245" s="62"/>
      <c r="D1245" s="80"/>
      <c r="E1245" s="80"/>
      <c r="F1245" s="81"/>
      <c r="G1245" s="72"/>
      <c r="H1245" s="76"/>
      <c r="I1245" s="62"/>
      <c r="J1245" s="62"/>
      <c r="K1245" s="54"/>
      <c r="L1245" s="74"/>
      <c r="M1245" s="62"/>
      <c r="N1245" s="62"/>
      <c r="O1245" s="62"/>
      <c r="P1245" s="77"/>
      <c r="Q1245" s="62"/>
      <c r="R1245" s="71"/>
      <c r="S1245" s="71"/>
      <c r="T1245" s="71"/>
      <c r="U1245" s="68"/>
    </row>
    <row r="1246" spans="2:21">
      <c r="B1246" s="62"/>
      <c r="C1246" s="62"/>
      <c r="D1246" s="80"/>
      <c r="E1246" s="80"/>
      <c r="F1246" s="81"/>
      <c r="G1246" s="72"/>
      <c r="H1246" s="76"/>
      <c r="I1246" s="62"/>
      <c r="J1246" s="62"/>
      <c r="K1246" s="54"/>
      <c r="L1246" s="74"/>
      <c r="M1246" s="62"/>
      <c r="N1246" s="62"/>
      <c r="O1246" s="62"/>
      <c r="P1246" s="77"/>
      <c r="Q1246" s="62"/>
      <c r="R1246" s="71"/>
      <c r="S1246" s="71"/>
      <c r="T1246" s="71"/>
      <c r="U1246" s="68"/>
    </row>
    <row r="1247" spans="2:21">
      <c r="B1247" s="62"/>
      <c r="C1247" s="62"/>
      <c r="D1247" s="80"/>
      <c r="E1247" s="80"/>
      <c r="F1247" s="81"/>
      <c r="G1247" s="72"/>
      <c r="H1247" s="76"/>
      <c r="I1247" s="62"/>
      <c r="J1247" s="62"/>
      <c r="K1247" s="54"/>
      <c r="L1247" s="74"/>
      <c r="M1247" s="62"/>
      <c r="N1247" s="62"/>
      <c r="O1247" s="62"/>
      <c r="P1247" s="77"/>
      <c r="Q1247" s="62"/>
      <c r="R1247" s="71"/>
      <c r="S1247" s="71"/>
      <c r="T1247" s="71"/>
      <c r="U1247" s="68"/>
    </row>
    <row r="1248" spans="2:21">
      <c r="B1248" s="62"/>
      <c r="C1248" s="62"/>
      <c r="D1248" s="80"/>
      <c r="E1248" s="80"/>
      <c r="F1248" s="81"/>
      <c r="G1248" s="72"/>
      <c r="H1248" s="76"/>
      <c r="I1248" s="62"/>
      <c r="J1248" s="62"/>
      <c r="K1248" s="54"/>
      <c r="L1248" s="74"/>
      <c r="M1248" s="62"/>
      <c r="N1248" s="62"/>
      <c r="O1248" s="62"/>
      <c r="P1248" s="77"/>
      <c r="Q1248" s="62"/>
      <c r="R1248" s="71"/>
      <c r="S1248" s="71"/>
      <c r="T1248" s="71"/>
      <c r="U1248" s="68"/>
    </row>
    <row r="1249" spans="2:21">
      <c r="B1249" s="62"/>
      <c r="C1249" s="62"/>
      <c r="D1249" s="80"/>
      <c r="E1249" s="80"/>
      <c r="F1249" s="81"/>
      <c r="G1249" s="72"/>
      <c r="H1249" s="76"/>
      <c r="I1249" s="62"/>
      <c r="J1249" s="62"/>
      <c r="K1249" s="54"/>
      <c r="L1249" s="74"/>
      <c r="M1249" s="62"/>
      <c r="N1249" s="62"/>
      <c r="O1249" s="62"/>
      <c r="P1249" s="77"/>
      <c r="Q1249" s="62"/>
      <c r="R1249" s="71"/>
      <c r="S1249" s="71"/>
      <c r="T1249" s="71"/>
      <c r="U1249" s="68"/>
    </row>
    <row r="1250" spans="2:21">
      <c r="B1250" s="62"/>
      <c r="C1250" s="62"/>
      <c r="D1250" s="80"/>
      <c r="E1250" s="80"/>
      <c r="F1250" s="81"/>
      <c r="G1250" s="72"/>
      <c r="H1250" s="76"/>
      <c r="I1250" s="62"/>
      <c r="J1250" s="62"/>
      <c r="K1250" s="54"/>
      <c r="L1250" s="74"/>
      <c r="M1250" s="62"/>
      <c r="N1250" s="62"/>
      <c r="O1250" s="62"/>
      <c r="P1250" s="77"/>
      <c r="Q1250" s="62"/>
      <c r="R1250" s="71"/>
      <c r="S1250" s="71"/>
      <c r="T1250" s="71"/>
      <c r="U1250" s="68"/>
    </row>
    <row r="1251" spans="2:21">
      <c r="B1251" s="62"/>
      <c r="C1251" s="62"/>
      <c r="D1251" s="80"/>
      <c r="E1251" s="80"/>
      <c r="F1251" s="81"/>
      <c r="G1251" s="72"/>
      <c r="H1251" s="76"/>
      <c r="I1251" s="62"/>
      <c r="J1251" s="62"/>
      <c r="K1251" s="54"/>
      <c r="L1251" s="74"/>
      <c r="M1251" s="62"/>
      <c r="N1251" s="62"/>
      <c r="O1251" s="62"/>
      <c r="P1251" s="77"/>
      <c r="Q1251" s="62"/>
      <c r="R1251" s="71"/>
      <c r="S1251" s="71"/>
      <c r="T1251" s="71"/>
      <c r="U1251" s="68"/>
    </row>
    <row r="1252" spans="2:21">
      <c r="B1252" s="62"/>
      <c r="C1252" s="62"/>
      <c r="D1252" s="80"/>
      <c r="E1252" s="80"/>
      <c r="F1252" s="81"/>
      <c r="G1252" s="72"/>
      <c r="H1252" s="76"/>
      <c r="I1252" s="62"/>
      <c r="J1252" s="62"/>
      <c r="K1252" s="54"/>
      <c r="L1252" s="74"/>
      <c r="M1252" s="62"/>
      <c r="N1252" s="62"/>
      <c r="O1252" s="62"/>
      <c r="P1252" s="77"/>
      <c r="Q1252" s="62"/>
      <c r="R1252" s="71"/>
      <c r="S1252" s="71"/>
      <c r="T1252" s="71"/>
      <c r="U1252" s="68"/>
    </row>
    <row r="1253" spans="2:21">
      <c r="B1253" s="62"/>
      <c r="C1253" s="62"/>
      <c r="D1253" s="80"/>
      <c r="E1253" s="80"/>
      <c r="F1253" s="81"/>
      <c r="G1253" s="72"/>
      <c r="H1253" s="76"/>
      <c r="I1253" s="62"/>
      <c r="J1253" s="62"/>
      <c r="K1253" s="54"/>
      <c r="L1253" s="74"/>
      <c r="M1253" s="62"/>
      <c r="N1253" s="62"/>
      <c r="O1253" s="62"/>
      <c r="P1253" s="77"/>
      <c r="Q1253" s="62"/>
      <c r="R1253" s="71"/>
      <c r="S1253" s="71"/>
      <c r="T1253" s="71"/>
      <c r="U1253" s="68"/>
    </row>
    <row r="1254" spans="2:21">
      <c r="B1254" s="62"/>
      <c r="C1254" s="62"/>
      <c r="D1254" s="80"/>
      <c r="E1254" s="80"/>
      <c r="F1254" s="81"/>
      <c r="G1254" s="72"/>
      <c r="H1254" s="76"/>
      <c r="I1254" s="62"/>
      <c r="J1254" s="62"/>
      <c r="K1254" s="54"/>
      <c r="L1254" s="74"/>
      <c r="M1254" s="62"/>
      <c r="N1254" s="62"/>
      <c r="O1254" s="62"/>
      <c r="P1254" s="77"/>
      <c r="Q1254" s="62"/>
      <c r="R1254" s="71"/>
      <c r="S1254" s="71"/>
      <c r="T1254" s="71"/>
      <c r="U1254" s="68"/>
    </row>
    <row r="1255" spans="2:21">
      <c r="B1255" s="62"/>
      <c r="C1255" s="62"/>
      <c r="D1255" s="80"/>
      <c r="E1255" s="80"/>
      <c r="F1255" s="81"/>
      <c r="G1255" s="72"/>
      <c r="H1255" s="76"/>
      <c r="I1255" s="62"/>
      <c r="J1255" s="62"/>
      <c r="K1255" s="54"/>
      <c r="L1255" s="74"/>
      <c r="M1255" s="62"/>
      <c r="N1255" s="62"/>
      <c r="O1255" s="62"/>
      <c r="P1255" s="77"/>
      <c r="Q1255" s="62"/>
      <c r="R1255" s="71"/>
      <c r="S1255" s="71"/>
      <c r="T1255" s="71"/>
      <c r="U1255" s="68"/>
    </row>
    <row r="1256" spans="2:21">
      <c r="B1256" s="62"/>
      <c r="C1256" s="62"/>
      <c r="D1256" s="80"/>
      <c r="E1256" s="80"/>
      <c r="F1256" s="81"/>
      <c r="G1256" s="72"/>
      <c r="H1256" s="76"/>
      <c r="I1256" s="62"/>
      <c r="J1256" s="62"/>
      <c r="K1256" s="54"/>
      <c r="L1256" s="74"/>
      <c r="M1256" s="62"/>
      <c r="N1256" s="62"/>
      <c r="O1256" s="62"/>
      <c r="P1256" s="77"/>
      <c r="Q1256" s="62"/>
      <c r="R1256" s="71"/>
      <c r="S1256" s="71"/>
      <c r="T1256" s="71"/>
      <c r="U1256" s="68"/>
    </row>
    <row r="1257" spans="2:21">
      <c r="B1257" s="62"/>
      <c r="C1257" s="62"/>
      <c r="D1257" s="80"/>
      <c r="E1257" s="80"/>
      <c r="F1257" s="81"/>
      <c r="G1257" s="72"/>
      <c r="H1257" s="76"/>
      <c r="I1257" s="62"/>
      <c r="J1257" s="62"/>
      <c r="K1257" s="54"/>
      <c r="L1257" s="74"/>
      <c r="M1257" s="62"/>
      <c r="N1257" s="62"/>
      <c r="O1257" s="62"/>
      <c r="P1257" s="77"/>
      <c r="Q1257" s="62"/>
      <c r="R1257" s="71"/>
      <c r="S1257" s="71"/>
      <c r="T1257" s="71"/>
      <c r="U1257" s="68"/>
    </row>
    <row r="1258" spans="2:21">
      <c r="B1258" s="62"/>
      <c r="C1258" s="62"/>
      <c r="D1258" s="80"/>
      <c r="E1258" s="80"/>
      <c r="F1258" s="81"/>
      <c r="G1258" s="72"/>
      <c r="H1258" s="76"/>
      <c r="I1258" s="62"/>
      <c r="J1258" s="62"/>
      <c r="K1258" s="54"/>
      <c r="L1258" s="74"/>
      <c r="M1258" s="62"/>
      <c r="N1258" s="62"/>
      <c r="O1258" s="62"/>
      <c r="P1258" s="77"/>
      <c r="Q1258" s="62"/>
      <c r="R1258" s="71"/>
      <c r="S1258" s="71"/>
      <c r="T1258" s="71"/>
      <c r="U1258" s="68"/>
    </row>
    <row r="1259" spans="2:21">
      <c r="B1259" s="62"/>
      <c r="C1259" s="62"/>
      <c r="D1259" s="80"/>
      <c r="E1259" s="80"/>
      <c r="F1259" s="81"/>
      <c r="G1259" s="72"/>
      <c r="H1259" s="76"/>
      <c r="I1259" s="62"/>
      <c r="J1259" s="62"/>
      <c r="K1259" s="54"/>
      <c r="L1259" s="74"/>
      <c r="M1259" s="62"/>
      <c r="N1259" s="62"/>
      <c r="O1259" s="62"/>
      <c r="P1259" s="77"/>
      <c r="Q1259" s="62"/>
      <c r="R1259" s="71"/>
      <c r="S1259" s="71"/>
      <c r="T1259" s="71"/>
      <c r="U1259" s="68"/>
    </row>
    <row r="1260" spans="2:21">
      <c r="B1260" s="62"/>
      <c r="C1260" s="62"/>
      <c r="D1260" s="80"/>
      <c r="E1260" s="80"/>
      <c r="F1260" s="81"/>
      <c r="G1260" s="72"/>
      <c r="H1260" s="76"/>
      <c r="I1260" s="62"/>
      <c r="J1260" s="62"/>
      <c r="K1260" s="54"/>
      <c r="L1260" s="74"/>
      <c r="M1260" s="62"/>
      <c r="N1260" s="62"/>
      <c r="O1260" s="62"/>
      <c r="P1260" s="77"/>
      <c r="Q1260" s="62"/>
      <c r="R1260" s="71"/>
      <c r="S1260" s="71"/>
      <c r="T1260" s="71"/>
      <c r="U1260" s="68"/>
    </row>
    <row r="1261" spans="2:21">
      <c r="B1261" s="62"/>
      <c r="C1261" s="62"/>
      <c r="D1261" s="80"/>
      <c r="E1261" s="80"/>
      <c r="F1261" s="81"/>
      <c r="G1261" s="72"/>
      <c r="H1261" s="76"/>
      <c r="I1261" s="62"/>
      <c r="J1261" s="62"/>
      <c r="K1261" s="54"/>
      <c r="L1261" s="74"/>
      <c r="M1261" s="62"/>
      <c r="N1261" s="62"/>
      <c r="O1261" s="62"/>
      <c r="P1261" s="77"/>
      <c r="Q1261" s="62"/>
      <c r="R1261" s="71"/>
      <c r="S1261" s="71"/>
      <c r="T1261" s="71"/>
      <c r="U1261" s="68"/>
    </row>
    <row r="1262" spans="2:21">
      <c r="B1262" s="62"/>
      <c r="C1262" s="62"/>
      <c r="D1262" s="80"/>
      <c r="E1262" s="80"/>
      <c r="F1262" s="81"/>
      <c r="G1262" s="72"/>
      <c r="H1262" s="76"/>
      <c r="I1262" s="62"/>
      <c r="J1262" s="62"/>
      <c r="K1262" s="54"/>
      <c r="L1262" s="74"/>
      <c r="M1262" s="62"/>
      <c r="N1262" s="62"/>
      <c r="O1262" s="62"/>
      <c r="P1262" s="77"/>
      <c r="Q1262" s="62"/>
      <c r="R1262" s="71"/>
      <c r="S1262" s="71"/>
      <c r="T1262" s="71"/>
      <c r="U1262" s="68"/>
    </row>
    <row r="1263" spans="2:21">
      <c r="B1263" s="62"/>
      <c r="C1263" s="62"/>
      <c r="D1263" s="80"/>
      <c r="E1263" s="80"/>
      <c r="F1263" s="81"/>
      <c r="G1263" s="72"/>
      <c r="H1263" s="76"/>
      <c r="I1263" s="62"/>
      <c r="J1263" s="62"/>
      <c r="K1263" s="54"/>
      <c r="L1263" s="74"/>
      <c r="M1263" s="62"/>
      <c r="N1263" s="62"/>
      <c r="O1263" s="62"/>
      <c r="P1263" s="77"/>
      <c r="Q1263" s="62"/>
      <c r="R1263" s="71"/>
      <c r="S1263" s="71"/>
      <c r="T1263" s="71"/>
      <c r="U1263" s="68"/>
    </row>
    <row r="1264" spans="2:21">
      <c r="B1264" s="62"/>
      <c r="C1264" s="62"/>
      <c r="D1264" s="80"/>
      <c r="E1264" s="80"/>
      <c r="F1264" s="81"/>
      <c r="G1264" s="72"/>
      <c r="H1264" s="76"/>
      <c r="I1264" s="62"/>
      <c r="J1264" s="62"/>
      <c r="K1264" s="54"/>
      <c r="L1264" s="74"/>
      <c r="M1264" s="62"/>
      <c r="N1264" s="62"/>
      <c r="O1264" s="62"/>
      <c r="P1264" s="77"/>
      <c r="Q1264" s="62"/>
      <c r="R1264" s="71"/>
      <c r="S1264" s="71"/>
      <c r="T1264" s="71"/>
      <c r="U1264" s="68"/>
    </row>
    <row r="1265" spans="2:21">
      <c r="B1265" s="62"/>
      <c r="C1265" s="62"/>
      <c r="D1265" s="80"/>
      <c r="E1265" s="80"/>
      <c r="F1265" s="81"/>
      <c r="G1265" s="72"/>
      <c r="H1265" s="76"/>
      <c r="I1265" s="62"/>
      <c r="J1265" s="62"/>
      <c r="K1265" s="54"/>
      <c r="L1265" s="74"/>
      <c r="M1265" s="62"/>
      <c r="N1265" s="62"/>
      <c r="O1265" s="62"/>
      <c r="P1265" s="77"/>
      <c r="Q1265" s="62"/>
      <c r="R1265" s="71"/>
      <c r="S1265" s="71"/>
      <c r="T1265" s="71"/>
      <c r="U1265" s="68"/>
    </row>
    <row r="1266" spans="2:21">
      <c r="B1266" s="62"/>
      <c r="C1266" s="62"/>
      <c r="D1266" s="80"/>
      <c r="E1266" s="80"/>
      <c r="F1266" s="81"/>
      <c r="G1266" s="72"/>
      <c r="H1266" s="76"/>
      <c r="I1266" s="62"/>
      <c r="J1266" s="62"/>
      <c r="K1266" s="54"/>
      <c r="L1266" s="74"/>
      <c r="M1266" s="62"/>
      <c r="N1266" s="62"/>
      <c r="O1266" s="62"/>
      <c r="P1266" s="77"/>
      <c r="Q1266" s="62"/>
      <c r="R1266" s="71"/>
      <c r="S1266" s="71"/>
      <c r="T1266" s="71"/>
      <c r="U1266" s="68"/>
    </row>
    <row r="1267" spans="2:21">
      <c r="B1267" s="62"/>
      <c r="C1267" s="62"/>
      <c r="D1267" s="80"/>
      <c r="E1267" s="80"/>
      <c r="F1267" s="81"/>
      <c r="G1267" s="72"/>
      <c r="H1267" s="76"/>
      <c r="I1267" s="62"/>
      <c r="J1267" s="62"/>
      <c r="K1267" s="54"/>
      <c r="L1267" s="74"/>
      <c r="M1267" s="62"/>
      <c r="N1267" s="62"/>
      <c r="O1267" s="62"/>
      <c r="P1267" s="77"/>
      <c r="Q1267" s="62"/>
      <c r="R1267" s="71"/>
      <c r="S1267" s="71"/>
      <c r="T1267" s="71"/>
      <c r="U1267" s="68"/>
    </row>
    <row r="1268" spans="2:21">
      <c r="B1268" s="62"/>
      <c r="C1268" s="62"/>
      <c r="D1268" s="80"/>
      <c r="E1268" s="80"/>
      <c r="F1268" s="81"/>
      <c r="G1268" s="72"/>
      <c r="H1268" s="76"/>
      <c r="I1268" s="62"/>
      <c r="J1268" s="62"/>
      <c r="K1268" s="54"/>
      <c r="L1268" s="74"/>
      <c r="M1268" s="62"/>
      <c r="N1268" s="62"/>
      <c r="O1268" s="62"/>
      <c r="P1268" s="77"/>
      <c r="Q1268" s="62"/>
      <c r="R1268" s="71"/>
      <c r="S1268" s="71"/>
      <c r="T1268" s="71"/>
      <c r="U1268" s="68"/>
    </row>
    <row r="1269" spans="2:21">
      <c r="B1269" s="62"/>
      <c r="C1269" s="62"/>
      <c r="D1269" s="80"/>
      <c r="E1269" s="80"/>
      <c r="F1269" s="81"/>
      <c r="G1269" s="72"/>
      <c r="H1269" s="76"/>
      <c r="I1269" s="62"/>
      <c r="J1269" s="62"/>
      <c r="K1269" s="54"/>
      <c r="L1269" s="74"/>
      <c r="M1269" s="62"/>
      <c r="N1269" s="62"/>
      <c r="O1269" s="62"/>
      <c r="P1269" s="77"/>
      <c r="Q1269" s="62"/>
      <c r="R1269" s="71"/>
      <c r="S1269" s="71"/>
      <c r="T1269" s="71"/>
      <c r="U1269" s="68"/>
    </row>
    <row r="1270" spans="2:21">
      <c r="B1270" s="62"/>
      <c r="C1270" s="62"/>
      <c r="D1270" s="80"/>
      <c r="E1270" s="80"/>
      <c r="F1270" s="81"/>
      <c r="G1270" s="72"/>
      <c r="H1270" s="76"/>
      <c r="I1270" s="62"/>
      <c r="J1270" s="62"/>
      <c r="K1270" s="54"/>
      <c r="L1270" s="74"/>
      <c r="M1270" s="62"/>
      <c r="N1270" s="62"/>
      <c r="O1270" s="62"/>
      <c r="P1270" s="77"/>
      <c r="Q1270" s="62"/>
      <c r="R1270" s="71"/>
      <c r="S1270" s="71"/>
      <c r="T1270" s="71"/>
      <c r="U1270" s="68"/>
    </row>
    <row r="1271" spans="2:21">
      <c r="B1271" s="62"/>
      <c r="C1271" s="62"/>
      <c r="D1271" s="80"/>
      <c r="E1271" s="80"/>
      <c r="F1271" s="81"/>
      <c r="G1271" s="72"/>
      <c r="H1271" s="76"/>
      <c r="I1271" s="62"/>
      <c r="J1271" s="62"/>
      <c r="K1271" s="54"/>
      <c r="L1271" s="74"/>
      <c r="M1271" s="62"/>
      <c r="N1271" s="62"/>
      <c r="O1271" s="62"/>
      <c r="P1271" s="77"/>
      <c r="Q1271" s="62"/>
      <c r="R1271" s="71"/>
      <c r="S1271" s="71"/>
      <c r="T1271" s="71"/>
      <c r="U1271" s="68"/>
    </row>
    <row r="1272" spans="2:21">
      <c r="B1272" s="62"/>
      <c r="C1272" s="62"/>
      <c r="D1272" s="80"/>
      <c r="E1272" s="80"/>
      <c r="F1272" s="81"/>
      <c r="G1272" s="72"/>
      <c r="H1272" s="76"/>
      <c r="I1272" s="62"/>
      <c r="J1272" s="62"/>
      <c r="K1272" s="54"/>
      <c r="L1272" s="74"/>
      <c r="M1272" s="62"/>
      <c r="N1272" s="62"/>
      <c r="O1272" s="62"/>
      <c r="P1272" s="77"/>
      <c r="Q1272" s="62"/>
      <c r="R1272" s="71"/>
      <c r="S1272" s="71"/>
      <c r="T1272" s="71"/>
      <c r="U1272" s="68"/>
    </row>
    <row r="1273" spans="2:21">
      <c r="B1273" s="62"/>
      <c r="C1273" s="62"/>
      <c r="D1273" s="80"/>
      <c r="E1273" s="80"/>
      <c r="F1273" s="81"/>
      <c r="G1273" s="72"/>
      <c r="H1273" s="76"/>
      <c r="I1273" s="62"/>
      <c r="J1273" s="62"/>
      <c r="K1273" s="54"/>
      <c r="L1273" s="74"/>
      <c r="M1273" s="62"/>
      <c r="N1273" s="62"/>
      <c r="O1273" s="62"/>
      <c r="P1273" s="77"/>
      <c r="Q1273" s="62"/>
      <c r="R1273" s="71"/>
      <c r="S1273" s="71"/>
      <c r="T1273" s="71"/>
      <c r="U1273" s="68"/>
    </row>
    <row r="1274" spans="2:21">
      <c r="B1274" s="62"/>
      <c r="C1274" s="62"/>
      <c r="D1274" s="80"/>
      <c r="E1274" s="80"/>
      <c r="F1274" s="81"/>
      <c r="G1274" s="72"/>
      <c r="H1274" s="76"/>
      <c r="I1274" s="62"/>
      <c r="J1274" s="62"/>
      <c r="K1274" s="54"/>
      <c r="L1274" s="74"/>
      <c r="M1274" s="62"/>
      <c r="N1274" s="62"/>
      <c r="O1274" s="62"/>
      <c r="P1274" s="77"/>
      <c r="Q1274" s="62"/>
      <c r="R1274" s="71"/>
      <c r="S1274" s="71"/>
      <c r="T1274" s="71"/>
      <c r="U1274" s="68"/>
    </row>
    <row r="1275" spans="2:21">
      <c r="B1275" s="62"/>
      <c r="C1275" s="62"/>
      <c r="D1275" s="80"/>
      <c r="E1275" s="80"/>
      <c r="F1275" s="81"/>
      <c r="G1275" s="72"/>
      <c r="H1275" s="76"/>
      <c r="I1275" s="62"/>
      <c r="J1275" s="62"/>
      <c r="K1275" s="54"/>
      <c r="L1275" s="74"/>
      <c r="M1275" s="62"/>
      <c r="N1275" s="62"/>
      <c r="O1275" s="62"/>
      <c r="P1275" s="77"/>
      <c r="Q1275" s="62"/>
      <c r="R1275" s="71"/>
      <c r="S1275" s="71"/>
      <c r="T1275" s="71"/>
      <c r="U1275" s="68"/>
    </row>
    <row r="1276" spans="2:21">
      <c r="B1276" s="62"/>
      <c r="C1276" s="62"/>
      <c r="D1276" s="80"/>
      <c r="E1276" s="80"/>
      <c r="F1276" s="81"/>
      <c r="G1276" s="72"/>
      <c r="H1276" s="76"/>
      <c r="I1276" s="62"/>
      <c r="J1276" s="62"/>
      <c r="K1276" s="54"/>
      <c r="L1276" s="74"/>
      <c r="M1276" s="62"/>
      <c r="N1276" s="62"/>
      <c r="O1276" s="62"/>
      <c r="P1276" s="77"/>
      <c r="Q1276" s="62"/>
      <c r="R1276" s="71"/>
      <c r="S1276" s="71"/>
      <c r="T1276" s="71"/>
      <c r="U1276" s="68"/>
    </row>
    <row r="1277" spans="2:21">
      <c r="B1277" s="62"/>
      <c r="C1277" s="62"/>
      <c r="D1277" s="80"/>
      <c r="E1277" s="80"/>
      <c r="F1277" s="81"/>
      <c r="G1277" s="72"/>
      <c r="H1277" s="76"/>
      <c r="I1277" s="62"/>
      <c r="J1277" s="62"/>
      <c r="K1277" s="54"/>
      <c r="L1277" s="74"/>
      <c r="M1277" s="62"/>
      <c r="N1277" s="62"/>
      <c r="O1277" s="62"/>
      <c r="P1277" s="77"/>
      <c r="Q1277" s="62"/>
      <c r="R1277" s="71"/>
      <c r="S1277" s="71"/>
      <c r="T1277" s="71"/>
      <c r="U1277" s="68"/>
    </row>
    <row r="1278" spans="2:21">
      <c r="B1278" s="62"/>
      <c r="C1278" s="62"/>
      <c r="D1278" s="80"/>
      <c r="E1278" s="80"/>
      <c r="F1278" s="81"/>
      <c r="G1278" s="72"/>
      <c r="H1278" s="76"/>
      <c r="I1278" s="62"/>
      <c r="J1278" s="62"/>
      <c r="K1278" s="54"/>
      <c r="L1278" s="74"/>
      <c r="M1278" s="62"/>
      <c r="N1278" s="62"/>
      <c r="O1278" s="62"/>
      <c r="P1278" s="77"/>
      <c r="Q1278" s="62"/>
      <c r="R1278" s="71"/>
      <c r="S1278" s="71"/>
      <c r="T1278" s="71"/>
      <c r="U1278" s="68"/>
    </row>
    <row r="1279" spans="2:21">
      <c r="B1279" s="62"/>
      <c r="C1279" s="62"/>
      <c r="D1279" s="80"/>
      <c r="E1279" s="80"/>
      <c r="F1279" s="81"/>
      <c r="G1279" s="72"/>
      <c r="H1279" s="76"/>
      <c r="I1279" s="62"/>
      <c r="J1279" s="62"/>
      <c r="K1279" s="54"/>
      <c r="L1279" s="74"/>
      <c r="M1279" s="62"/>
      <c r="N1279" s="62"/>
      <c r="O1279" s="62"/>
      <c r="P1279" s="77"/>
      <c r="Q1279" s="62"/>
      <c r="R1279" s="71"/>
      <c r="S1279" s="71"/>
      <c r="T1279" s="71"/>
      <c r="U1279" s="68"/>
    </row>
    <row r="1280" spans="2:21">
      <c r="B1280" s="62"/>
      <c r="C1280" s="62"/>
      <c r="D1280" s="80"/>
      <c r="E1280" s="80"/>
      <c r="F1280" s="81"/>
      <c r="G1280" s="72"/>
      <c r="H1280" s="76"/>
      <c r="I1280" s="62"/>
      <c r="J1280" s="62"/>
      <c r="K1280" s="54"/>
      <c r="L1280" s="74"/>
      <c r="M1280" s="62"/>
      <c r="N1280" s="62"/>
      <c r="O1280" s="62"/>
      <c r="P1280" s="77"/>
      <c r="Q1280" s="62"/>
      <c r="R1280" s="71"/>
      <c r="S1280" s="71"/>
      <c r="T1280" s="71"/>
      <c r="U1280" s="68"/>
    </row>
    <row r="1281" spans="2:21">
      <c r="B1281" s="62"/>
      <c r="C1281" s="62"/>
      <c r="D1281" s="80"/>
      <c r="E1281" s="80"/>
      <c r="F1281" s="81"/>
      <c r="G1281" s="72"/>
      <c r="H1281" s="76"/>
      <c r="I1281" s="62"/>
      <c r="J1281" s="62"/>
      <c r="K1281" s="54"/>
      <c r="L1281" s="74"/>
      <c r="M1281" s="62"/>
      <c r="N1281" s="62"/>
      <c r="O1281" s="62"/>
      <c r="P1281" s="77"/>
      <c r="Q1281" s="62"/>
      <c r="R1281" s="71"/>
      <c r="S1281" s="71"/>
      <c r="T1281" s="71"/>
      <c r="U1281" s="68"/>
    </row>
    <row r="1282" spans="2:21">
      <c r="B1282" s="62"/>
      <c r="C1282" s="62"/>
      <c r="D1282" s="80"/>
      <c r="E1282" s="80"/>
      <c r="F1282" s="81"/>
      <c r="G1282" s="72"/>
      <c r="H1282" s="76"/>
      <c r="I1282" s="62"/>
      <c r="J1282" s="62"/>
      <c r="K1282" s="54"/>
      <c r="L1282" s="74"/>
      <c r="M1282" s="62"/>
      <c r="N1282" s="62"/>
      <c r="O1282" s="62"/>
      <c r="P1282" s="77"/>
      <c r="Q1282" s="62"/>
      <c r="R1282" s="71"/>
      <c r="S1282" s="71"/>
      <c r="T1282" s="71"/>
      <c r="U1282" s="68"/>
    </row>
    <row r="1283" spans="2:21">
      <c r="B1283" s="62"/>
      <c r="C1283" s="62"/>
      <c r="D1283" s="80"/>
      <c r="E1283" s="80"/>
      <c r="F1283" s="81"/>
      <c r="G1283" s="72"/>
      <c r="H1283" s="76"/>
      <c r="I1283" s="62"/>
      <c r="J1283" s="62"/>
      <c r="K1283" s="54"/>
      <c r="L1283" s="74"/>
      <c r="M1283" s="62"/>
      <c r="N1283" s="62"/>
      <c r="O1283" s="62"/>
      <c r="P1283" s="77"/>
      <c r="Q1283" s="62"/>
      <c r="R1283" s="71"/>
      <c r="S1283" s="71"/>
      <c r="T1283" s="71"/>
      <c r="U1283" s="68"/>
    </row>
    <row r="1284" spans="2:21">
      <c r="B1284" s="62"/>
      <c r="C1284" s="62"/>
      <c r="D1284" s="80"/>
      <c r="E1284" s="80"/>
      <c r="F1284" s="81"/>
      <c r="G1284" s="72"/>
      <c r="H1284" s="76"/>
      <c r="I1284" s="62"/>
      <c r="J1284" s="62"/>
      <c r="K1284" s="54"/>
      <c r="L1284" s="74"/>
      <c r="M1284" s="62"/>
      <c r="N1284" s="62"/>
      <c r="O1284" s="62"/>
      <c r="P1284" s="77"/>
      <c r="Q1284" s="62"/>
      <c r="R1284" s="71"/>
      <c r="S1284" s="71"/>
      <c r="T1284" s="71"/>
      <c r="U1284" s="68"/>
    </row>
    <row r="1285" spans="2:21">
      <c r="B1285" s="62"/>
      <c r="C1285" s="62"/>
      <c r="D1285" s="80"/>
      <c r="E1285" s="80"/>
      <c r="F1285" s="81"/>
      <c r="G1285" s="72"/>
      <c r="H1285" s="76"/>
      <c r="I1285" s="62"/>
      <c r="J1285" s="62"/>
      <c r="K1285" s="54"/>
      <c r="L1285" s="74"/>
      <c r="M1285" s="62"/>
      <c r="N1285" s="62"/>
      <c r="O1285" s="62"/>
      <c r="P1285" s="77"/>
      <c r="Q1285" s="62"/>
      <c r="R1285" s="71"/>
      <c r="S1285" s="71"/>
      <c r="T1285" s="71"/>
      <c r="U1285" s="68"/>
    </row>
    <row r="1286" spans="2:21">
      <c r="B1286" s="62"/>
      <c r="C1286" s="62"/>
      <c r="D1286" s="80"/>
      <c r="E1286" s="80"/>
      <c r="F1286" s="81"/>
      <c r="G1286" s="72"/>
      <c r="H1286" s="76"/>
      <c r="I1286" s="62"/>
      <c r="J1286" s="62"/>
      <c r="K1286" s="54"/>
      <c r="L1286" s="74"/>
      <c r="M1286" s="62"/>
      <c r="N1286" s="62"/>
      <c r="O1286" s="62"/>
      <c r="P1286" s="77"/>
      <c r="Q1286" s="62"/>
      <c r="R1286" s="71"/>
      <c r="S1286" s="71"/>
      <c r="T1286" s="71"/>
      <c r="U1286" s="68"/>
    </row>
    <row r="1287" spans="2:21">
      <c r="B1287" s="62"/>
      <c r="C1287" s="62"/>
      <c r="D1287" s="80"/>
      <c r="E1287" s="80"/>
      <c r="F1287" s="81"/>
      <c r="G1287" s="72"/>
      <c r="H1287" s="76"/>
      <c r="I1287" s="62"/>
      <c r="J1287" s="62"/>
      <c r="K1287" s="54"/>
      <c r="L1287" s="74"/>
      <c r="M1287" s="62"/>
      <c r="N1287" s="62"/>
      <c r="O1287" s="62"/>
      <c r="P1287" s="77"/>
      <c r="Q1287" s="62"/>
      <c r="R1287" s="71"/>
      <c r="S1287" s="71"/>
      <c r="T1287" s="71"/>
      <c r="U1287" s="68"/>
    </row>
    <row r="1288" spans="2:21">
      <c r="B1288" s="62"/>
      <c r="C1288" s="62"/>
      <c r="D1288" s="80"/>
      <c r="E1288" s="80"/>
      <c r="F1288" s="81"/>
      <c r="G1288" s="72"/>
      <c r="H1288" s="76"/>
      <c r="I1288" s="62"/>
      <c r="J1288" s="62"/>
      <c r="K1288" s="54"/>
      <c r="L1288" s="74"/>
      <c r="M1288" s="62"/>
      <c r="N1288" s="62"/>
      <c r="O1288" s="62"/>
      <c r="P1288" s="77"/>
      <c r="Q1288" s="62"/>
      <c r="R1288" s="71"/>
      <c r="S1288" s="71"/>
      <c r="T1288" s="71"/>
      <c r="U1288" s="68"/>
    </row>
    <row r="1289" spans="2:21">
      <c r="B1289" s="62"/>
      <c r="C1289" s="62"/>
      <c r="D1289" s="80"/>
      <c r="E1289" s="80"/>
      <c r="F1289" s="81"/>
      <c r="G1289" s="72"/>
      <c r="H1289" s="76"/>
      <c r="I1289" s="62"/>
      <c r="J1289" s="62"/>
      <c r="K1289" s="54"/>
      <c r="L1289" s="74"/>
      <c r="M1289" s="62"/>
      <c r="N1289" s="62"/>
      <c r="O1289" s="62"/>
      <c r="P1289" s="77"/>
      <c r="Q1289" s="62"/>
      <c r="R1289" s="71"/>
      <c r="S1289" s="71"/>
      <c r="T1289" s="71"/>
      <c r="U1289" s="68"/>
    </row>
    <row r="1290" spans="2:21">
      <c r="B1290" s="62"/>
      <c r="C1290" s="62"/>
      <c r="D1290" s="80"/>
      <c r="E1290" s="80"/>
      <c r="F1290" s="81"/>
      <c r="G1290" s="72"/>
      <c r="H1290" s="76"/>
      <c r="I1290" s="62"/>
      <c r="J1290" s="62"/>
      <c r="K1290" s="54"/>
      <c r="L1290" s="74"/>
      <c r="M1290" s="62"/>
      <c r="N1290" s="62"/>
      <c r="O1290" s="62"/>
      <c r="P1290" s="77"/>
      <c r="Q1290" s="62"/>
      <c r="R1290" s="71"/>
      <c r="S1290" s="71"/>
      <c r="T1290" s="71"/>
      <c r="U1290" s="68"/>
    </row>
    <row r="1291" spans="2:21">
      <c r="B1291" s="62"/>
      <c r="C1291" s="62"/>
      <c r="D1291" s="80"/>
      <c r="E1291" s="80"/>
      <c r="F1291" s="81"/>
      <c r="G1291" s="72"/>
      <c r="H1291" s="76"/>
      <c r="I1291" s="62"/>
      <c r="J1291" s="62"/>
      <c r="K1291" s="54"/>
      <c r="L1291" s="74"/>
      <c r="M1291" s="62"/>
      <c r="N1291" s="62"/>
      <c r="O1291" s="62"/>
      <c r="P1291" s="77"/>
      <c r="Q1291" s="62"/>
      <c r="R1291" s="71"/>
      <c r="S1291" s="71"/>
      <c r="T1291" s="71"/>
      <c r="U1291" s="68"/>
    </row>
    <row r="1292" spans="2:21">
      <c r="B1292" s="62"/>
      <c r="C1292" s="62"/>
      <c r="D1292" s="80"/>
      <c r="E1292" s="80"/>
      <c r="F1292" s="81"/>
      <c r="G1292" s="72"/>
      <c r="H1292" s="76"/>
      <c r="I1292" s="62"/>
      <c r="J1292" s="62"/>
      <c r="K1292" s="54"/>
      <c r="L1292" s="74"/>
      <c r="M1292" s="62"/>
      <c r="N1292" s="62"/>
      <c r="O1292" s="62"/>
      <c r="P1292" s="77"/>
      <c r="Q1292" s="62"/>
      <c r="R1292" s="71"/>
      <c r="S1292" s="71"/>
      <c r="T1292" s="71"/>
      <c r="U1292" s="68"/>
    </row>
    <row r="1293" spans="2:21">
      <c r="B1293" s="62"/>
      <c r="C1293" s="62"/>
      <c r="D1293" s="80"/>
      <c r="E1293" s="80"/>
      <c r="F1293" s="81"/>
      <c r="G1293" s="72"/>
      <c r="H1293" s="76"/>
      <c r="I1293" s="62"/>
      <c r="J1293" s="62"/>
      <c r="K1293" s="54"/>
      <c r="L1293" s="74"/>
      <c r="M1293" s="62"/>
      <c r="N1293" s="62"/>
      <c r="O1293" s="62"/>
      <c r="P1293" s="77"/>
      <c r="Q1293" s="62"/>
      <c r="R1293" s="71"/>
      <c r="S1293" s="71"/>
      <c r="T1293" s="71"/>
      <c r="U1293" s="68"/>
    </row>
    <row r="1294" spans="2:21">
      <c r="B1294" s="62"/>
      <c r="C1294" s="62"/>
      <c r="D1294" s="80"/>
      <c r="E1294" s="80"/>
      <c r="F1294" s="81"/>
      <c r="G1294" s="72"/>
      <c r="H1294" s="76"/>
      <c r="I1294" s="62"/>
      <c r="J1294" s="62"/>
      <c r="K1294" s="54"/>
      <c r="L1294" s="74"/>
      <c r="M1294" s="62"/>
      <c r="N1294" s="62"/>
      <c r="O1294" s="62"/>
      <c r="P1294" s="77"/>
      <c r="Q1294" s="62"/>
      <c r="R1294" s="71"/>
      <c r="S1294" s="71"/>
      <c r="T1294" s="71"/>
      <c r="U1294" s="68"/>
    </row>
    <row r="1295" spans="2:21">
      <c r="B1295" s="62"/>
      <c r="C1295" s="62"/>
      <c r="D1295" s="80"/>
      <c r="E1295" s="80"/>
      <c r="F1295" s="81"/>
      <c r="G1295" s="72"/>
      <c r="H1295" s="76"/>
      <c r="I1295" s="62"/>
      <c r="J1295" s="62"/>
      <c r="K1295" s="54"/>
      <c r="L1295" s="74"/>
      <c r="M1295" s="62"/>
      <c r="N1295" s="62"/>
      <c r="O1295" s="62"/>
      <c r="P1295" s="77"/>
      <c r="Q1295" s="62"/>
      <c r="R1295" s="71"/>
      <c r="S1295" s="71"/>
      <c r="T1295" s="71"/>
      <c r="U1295" s="68"/>
    </row>
    <row r="1296" spans="2:21">
      <c r="B1296" s="62"/>
      <c r="C1296" s="62"/>
      <c r="D1296" s="80"/>
      <c r="E1296" s="80"/>
      <c r="F1296" s="81"/>
      <c r="G1296" s="72"/>
      <c r="H1296" s="76"/>
      <c r="I1296" s="62"/>
      <c r="J1296" s="62"/>
      <c r="K1296" s="54"/>
      <c r="L1296" s="74"/>
      <c r="M1296" s="62"/>
      <c r="N1296" s="62"/>
      <c r="O1296" s="62"/>
      <c r="P1296" s="77"/>
      <c r="Q1296" s="62"/>
      <c r="R1296" s="71"/>
      <c r="S1296" s="71"/>
      <c r="T1296" s="71"/>
      <c r="U1296" s="68"/>
    </row>
    <row r="1297" spans="2:21">
      <c r="B1297" s="62"/>
      <c r="C1297" s="62"/>
      <c r="D1297" s="80"/>
      <c r="E1297" s="80"/>
      <c r="F1297" s="81"/>
      <c r="G1297" s="72"/>
      <c r="H1297" s="76"/>
      <c r="I1297" s="62"/>
      <c r="J1297" s="62"/>
      <c r="K1297" s="54"/>
      <c r="L1297" s="74"/>
      <c r="M1297" s="62"/>
      <c r="N1297" s="62"/>
      <c r="O1297" s="62"/>
      <c r="P1297" s="77"/>
      <c r="Q1297" s="62"/>
      <c r="R1297" s="71"/>
      <c r="S1297" s="71"/>
      <c r="T1297" s="71"/>
      <c r="U1297" s="68"/>
    </row>
    <row r="1298" spans="2:21">
      <c r="B1298" s="62"/>
      <c r="C1298" s="62"/>
      <c r="D1298" s="80"/>
      <c r="E1298" s="80"/>
      <c r="F1298" s="81"/>
      <c r="G1298" s="72"/>
      <c r="H1298" s="76"/>
      <c r="I1298" s="62"/>
      <c r="J1298" s="62"/>
      <c r="K1298" s="54"/>
      <c r="L1298" s="74"/>
      <c r="M1298" s="62"/>
      <c r="N1298" s="62"/>
      <c r="O1298" s="62"/>
      <c r="P1298" s="77"/>
      <c r="Q1298" s="62"/>
      <c r="R1298" s="71"/>
      <c r="S1298" s="71"/>
      <c r="T1298" s="71"/>
      <c r="U1298" s="68"/>
    </row>
    <row r="1299" spans="2:21">
      <c r="B1299" s="62"/>
      <c r="C1299" s="62"/>
      <c r="D1299" s="80"/>
      <c r="E1299" s="80"/>
      <c r="F1299" s="81"/>
      <c r="G1299" s="72"/>
      <c r="H1299" s="76"/>
      <c r="I1299" s="62"/>
      <c r="J1299" s="62"/>
      <c r="K1299" s="54"/>
      <c r="L1299" s="74"/>
      <c r="M1299" s="62"/>
      <c r="N1299" s="62"/>
      <c r="O1299" s="62"/>
      <c r="P1299" s="77"/>
      <c r="Q1299" s="62"/>
      <c r="R1299" s="71"/>
      <c r="S1299" s="71"/>
      <c r="T1299" s="71"/>
      <c r="U1299" s="68"/>
    </row>
    <row r="1300" spans="2:21">
      <c r="B1300" s="62"/>
      <c r="C1300" s="62"/>
      <c r="D1300" s="80"/>
      <c r="E1300" s="80"/>
      <c r="F1300" s="81"/>
      <c r="G1300" s="72"/>
      <c r="H1300" s="76"/>
      <c r="I1300" s="62"/>
      <c r="J1300" s="62"/>
      <c r="K1300" s="54"/>
      <c r="L1300" s="74"/>
      <c r="M1300" s="62"/>
      <c r="N1300" s="62"/>
      <c r="O1300" s="62"/>
      <c r="P1300" s="77"/>
      <c r="Q1300" s="62"/>
      <c r="R1300" s="71"/>
      <c r="S1300" s="71"/>
      <c r="T1300" s="71"/>
      <c r="U1300" s="68"/>
    </row>
    <row r="1301" spans="2:21">
      <c r="B1301" s="62"/>
      <c r="C1301" s="62"/>
      <c r="D1301" s="80"/>
      <c r="E1301" s="80"/>
      <c r="F1301" s="81"/>
      <c r="G1301" s="72"/>
      <c r="H1301" s="76"/>
      <c r="I1301" s="62"/>
      <c r="J1301" s="62"/>
      <c r="K1301" s="54"/>
      <c r="L1301" s="74"/>
      <c r="M1301" s="62"/>
      <c r="N1301" s="62"/>
      <c r="O1301" s="62"/>
      <c r="P1301" s="77"/>
      <c r="Q1301" s="62"/>
      <c r="R1301" s="71"/>
      <c r="S1301" s="71"/>
      <c r="T1301" s="71"/>
      <c r="U1301" s="68"/>
    </row>
    <row r="1302" spans="2:21">
      <c r="B1302" s="62"/>
      <c r="C1302" s="62"/>
      <c r="D1302" s="80"/>
      <c r="E1302" s="80"/>
      <c r="F1302" s="81"/>
      <c r="G1302" s="72"/>
      <c r="H1302" s="76"/>
      <c r="I1302" s="62"/>
      <c r="J1302" s="62"/>
      <c r="K1302" s="54"/>
      <c r="L1302" s="74"/>
      <c r="M1302" s="62"/>
      <c r="N1302" s="62"/>
      <c r="O1302" s="62"/>
      <c r="P1302" s="77"/>
      <c r="Q1302" s="62"/>
      <c r="R1302" s="71"/>
      <c r="S1302" s="71"/>
      <c r="T1302" s="71"/>
      <c r="U1302" s="68"/>
    </row>
    <row r="1303" spans="2:21">
      <c r="B1303" s="62"/>
      <c r="C1303" s="62"/>
      <c r="D1303" s="80"/>
      <c r="E1303" s="80"/>
      <c r="F1303" s="81"/>
      <c r="G1303" s="72"/>
      <c r="H1303" s="76"/>
      <c r="I1303" s="62"/>
      <c r="J1303" s="62"/>
      <c r="K1303" s="54"/>
      <c r="L1303" s="74"/>
      <c r="M1303" s="62"/>
      <c r="N1303" s="62"/>
      <c r="O1303" s="62"/>
      <c r="P1303" s="77"/>
      <c r="Q1303" s="62"/>
      <c r="R1303" s="71"/>
      <c r="S1303" s="71"/>
      <c r="T1303" s="71"/>
      <c r="U1303" s="68"/>
    </row>
    <row r="1304" spans="2:21">
      <c r="B1304" s="62"/>
      <c r="C1304" s="62"/>
      <c r="D1304" s="80"/>
      <c r="E1304" s="80"/>
      <c r="F1304" s="81"/>
      <c r="G1304" s="72"/>
      <c r="H1304" s="76"/>
      <c r="I1304" s="62"/>
      <c r="J1304" s="62"/>
      <c r="K1304" s="54"/>
      <c r="L1304" s="74"/>
      <c r="M1304" s="62"/>
      <c r="N1304" s="62"/>
      <c r="O1304" s="62"/>
      <c r="P1304" s="77"/>
      <c r="Q1304" s="62"/>
      <c r="R1304" s="71"/>
      <c r="S1304" s="71"/>
      <c r="T1304" s="71"/>
      <c r="U1304" s="68"/>
    </row>
    <row r="1305" spans="2:21">
      <c r="B1305" s="62"/>
      <c r="C1305" s="62"/>
      <c r="D1305" s="80"/>
      <c r="E1305" s="80"/>
      <c r="F1305" s="81"/>
      <c r="G1305" s="72"/>
      <c r="H1305" s="76"/>
      <c r="I1305" s="62"/>
      <c r="J1305" s="62"/>
      <c r="K1305" s="54"/>
      <c r="L1305" s="74"/>
      <c r="M1305" s="62"/>
      <c r="N1305" s="62"/>
      <c r="O1305" s="62"/>
      <c r="P1305" s="77"/>
      <c r="Q1305" s="62"/>
      <c r="R1305" s="71"/>
      <c r="S1305" s="71"/>
      <c r="T1305" s="71"/>
      <c r="U1305" s="68"/>
    </row>
    <row r="1306" spans="2:21">
      <c r="B1306" s="62"/>
      <c r="C1306" s="62"/>
      <c r="D1306" s="80"/>
      <c r="E1306" s="80"/>
      <c r="F1306" s="81"/>
      <c r="G1306" s="72"/>
      <c r="H1306" s="76"/>
      <c r="I1306" s="62"/>
      <c r="J1306" s="62"/>
      <c r="K1306" s="54"/>
      <c r="L1306" s="74"/>
      <c r="M1306" s="62"/>
      <c r="N1306" s="62"/>
      <c r="O1306" s="62"/>
      <c r="P1306" s="77"/>
      <c r="Q1306" s="62"/>
      <c r="R1306" s="71"/>
      <c r="S1306" s="71"/>
      <c r="T1306" s="71"/>
      <c r="U1306" s="68"/>
    </row>
    <row r="1307" spans="2:21">
      <c r="B1307" s="62"/>
      <c r="C1307" s="62"/>
      <c r="D1307" s="80"/>
      <c r="E1307" s="80"/>
      <c r="F1307" s="81"/>
      <c r="G1307" s="72"/>
      <c r="H1307" s="76"/>
      <c r="I1307" s="62"/>
      <c r="J1307" s="62"/>
      <c r="K1307" s="54"/>
      <c r="L1307" s="74"/>
      <c r="M1307" s="62"/>
      <c r="N1307" s="62"/>
      <c r="O1307" s="62"/>
      <c r="P1307" s="77"/>
      <c r="Q1307" s="62"/>
      <c r="R1307" s="71"/>
      <c r="S1307" s="71"/>
      <c r="T1307" s="71"/>
      <c r="U1307" s="68"/>
    </row>
    <row r="1308" spans="2:21">
      <c r="B1308" s="62"/>
      <c r="C1308" s="62"/>
      <c r="D1308" s="80"/>
      <c r="E1308" s="80"/>
      <c r="F1308" s="81"/>
      <c r="G1308" s="72"/>
      <c r="H1308" s="76"/>
      <c r="I1308" s="62"/>
      <c r="J1308" s="62"/>
      <c r="K1308" s="54"/>
      <c r="L1308" s="74"/>
      <c r="M1308" s="62"/>
      <c r="N1308" s="62"/>
      <c r="O1308" s="62"/>
      <c r="P1308" s="77"/>
      <c r="Q1308" s="62"/>
      <c r="R1308" s="71"/>
      <c r="S1308" s="71"/>
      <c r="T1308" s="71"/>
      <c r="U1308" s="68"/>
    </row>
    <row r="1309" spans="2:21">
      <c r="B1309" s="62"/>
      <c r="C1309" s="62"/>
      <c r="D1309" s="80"/>
      <c r="E1309" s="80"/>
      <c r="F1309" s="81"/>
      <c r="G1309" s="72"/>
      <c r="H1309" s="76"/>
      <c r="I1309" s="62"/>
      <c r="J1309" s="62"/>
      <c r="K1309" s="54"/>
      <c r="L1309" s="74"/>
      <c r="M1309" s="62"/>
      <c r="N1309" s="62"/>
      <c r="O1309" s="62"/>
      <c r="P1309" s="77"/>
      <c r="Q1309" s="62"/>
      <c r="R1309" s="71"/>
      <c r="S1309" s="71"/>
      <c r="T1309" s="71"/>
      <c r="U1309" s="68"/>
    </row>
    <row r="1310" spans="2:21">
      <c r="B1310" s="62"/>
      <c r="C1310" s="62"/>
      <c r="D1310" s="80"/>
      <c r="E1310" s="80"/>
      <c r="F1310" s="81"/>
      <c r="G1310" s="72"/>
      <c r="H1310" s="76"/>
      <c r="I1310" s="62"/>
      <c r="J1310" s="62"/>
      <c r="K1310" s="54"/>
      <c r="L1310" s="74"/>
      <c r="M1310" s="62"/>
      <c r="N1310" s="62"/>
      <c r="O1310" s="62"/>
      <c r="P1310" s="77"/>
      <c r="Q1310" s="62"/>
      <c r="R1310" s="71"/>
      <c r="S1310" s="71"/>
      <c r="T1310" s="71"/>
      <c r="U1310" s="68"/>
    </row>
    <row r="1311" spans="2:21">
      <c r="B1311" s="62"/>
      <c r="C1311" s="62"/>
      <c r="D1311" s="80"/>
      <c r="E1311" s="80"/>
      <c r="F1311" s="81"/>
      <c r="G1311" s="72"/>
      <c r="H1311" s="76"/>
      <c r="I1311" s="62"/>
      <c r="J1311" s="62"/>
      <c r="K1311" s="54"/>
      <c r="L1311" s="74"/>
      <c r="M1311" s="62"/>
      <c r="N1311" s="62"/>
      <c r="O1311" s="62"/>
      <c r="P1311" s="77"/>
      <c r="Q1311" s="62"/>
      <c r="R1311" s="71"/>
      <c r="S1311" s="71"/>
      <c r="T1311" s="71"/>
      <c r="U1311" s="68"/>
    </row>
    <row r="1312" spans="2:21">
      <c r="B1312" s="62"/>
      <c r="C1312" s="62"/>
      <c r="D1312" s="80"/>
      <c r="E1312" s="80"/>
      <c r="F1312" s="81"/>
      <c r="G1312" s="72"/>
      <c r="H1312" s="76"/>
      <c r="I1312" s="62"/>
      <c r="J1312" s="62"/>
      <c r="K1312" s="54"/>
      <c r="L1312" s="74"/>
      <c r="M1312" s="62"/>
      <c r="N1312" s="62"/>
      <c r="O1312" s="62"/>
      <c r="P1312" s="77"/>
      <c r="Q1312" s="62"/>
      <c r="R1312" s="71"/>
      <c r="S1312" s="71"/>
      <c r="T1312" s="71"/>
      <c r="U1312" s="68"/>
    </row>
    <row r="1313" spans="2:21">
      <c r="B1313" s="62"/>
      <c r="C1313" s="62"/>
      <c r="D1313" s="80"/>
      <c r="E1313" s="80"/>
      <c r="F1313" s="81"/>
      <c r="G1313" s="72"/>
      <c r="H1313" s="76"/>
      <c r="I1313" s="62"/>
      <c r="J1313" s="62"/>
      <c r="K1313" s="54"/>
      <c r="L1313" s="74"/>
      <c r="M1313" s="62"/>
      <c r="N1313" s="62"/>
      <c r="O1313" s="62"/>
      <c r="P1313" s="77"/>
      <c r="Q1313" s="62"/>
      <c r="R1313" s="71"/>
      <c r="S1313" s="71"/>
      <c r="T1313" s="71"/>
      <c r="U1313" s="68"/>
    </row>
    <row r="1314" spans="2:21">
      <c r="B1314" s="62"/>
      <c r="C1314" s="62"/>
      <c r="D1314" s="80"/>
      <c r="E1314" s="80"/>
      <c r="F1314" s="81"/>
      <c r="G1314" s="72"/>
      <c r="H1314" s="76"/>
      <c r="I1314" s="62"/>
      <c r="J1314" s="62"/>
      <c r="K1314" s="54"/>
      <c r="L1314" s="74"/>
      <c r="M1314" s="62"/>
      <c r="N1314" s="62"/>
      <c r="O1314" s="62"/>
      <c r="P1314" s="77"/>
      <c r="Q1314" s="62"/>
      <c r="R1314" s="71"/>
      <c r="S1314" s="71"/>
      <c r="T1314" s="71"/>
      <c r="U1314" s="68"/>
    </row>
    <row r="1315" spans="2:21">
      <c r="B1315" s="62"/>
      <c r="C1315" s="62"/>
      <c r="D1315" s="80"/>
      <c r="E1315" s="80"/>
      <c r="F1315" s="81"/>
      <c r="G1315" s="72"/>
      <c r="H1315" s="76"/>
      <c r="I1315" s="62"/>
      <c r="J1315" s="62"/>
      <c r="K1315" s="54"/>
      <c r="L1315" s="74"/>
      <c r="M1315" s="62"/>
      <c r="N1315" s="62"/>
      <c r="O1315" s="62"/>
      <c r="P1315" s="77"/>
      <c r="Q1315" s="62"/>
      <c r="R1315" s="71"/>
      <c r="S1315" s="71"/>
      <c r="T1315" s="71"/>
      <c r="U1315" s="68"/>
    </row>
    <row r="1316" spans="2:21">
      <c r="B1316" s="62"/>
      <c r="C1316" s="62"/>
      <c r="D1316" s="80"/>
      <c r="E1316" s="80"/>
      <c r="F1316" s="81"/>
      <c r="G1316" s="72"/>
      <c r="H1316" s="76"/>
      <c r="I1316" s="62"/>
      <c r="J1316" s="62"/>
      <c r="K1316" s="54"/>
      <c r="L1316" s="74"/>
      <c r="M1316" s="62"/>
      <c r="N1316" s="62"/>
      <c r="O1316" s="62"/>
      <c r="P1316" s="77"/>
      <c r="Q1316" s="62"/>
      <c r="R1316" s="71"/>
      <c r="S1316" s="71"/>
      <c r="T1316" s="71"/>
      <c r="U1316" s="68"/>
    </row>
    <row r="1317" spans="2:21">
      <c r="B1317" s="62"/>
      <c r="C1317" s="62"/>
      <c r="D1317" s="80"/>
      <c r="E1317" s="80"/>
      <c r="F1317" s="81"/>
      <c r="G1317" s="72"/>
      <c r="H1317" s="76"/>
      <c r="I1317" s="62"/>
      <c r="J1317" s="62"/>
      <c r="K1317" s="54"/>
      <c r="L1317" s="74"/>
      <c r="M1317" s="62"/>
      <c r="N1317" s="62"/>
      <c r="O1317" s="62"/>
      <c r="P1317" s="77"/>
      <c r="Q1317" s="62"/>
      <c r="R1317" s="71"/>
      <c r="S1317" s="71"/>
      <c r="T1317" s="71"/>
      <c r="U1317" s="68"/>
    </row>
    <row r="1318" spans="2:21">
      <c r="B1318" s="62"/>
      <c r="C1318" s="62"/>
      <c r="D1318" s="80"/>
      <c r="E1318" s="80"/>
      <c r="F1318" s="81"/>
      <c r="G1318" s="72"/>
      <c r="H1318" s="76"/>
      <c r="I1318" s="62"/>
      <c r="J1318" s="62"/>
      <c r="K1318" s="54"/>
      <c r="L1318" s="74"/>
      <c r="M1318" s="62"/>
      <c r="N1318" s="62"/>
      <c r="O1318" s="62"/>
      <c r="P1318" s="77"/>
      <c r="Q1318" s="62"/>
      <c r="R1318" s="71"/>
      <c r="S1318" s="71"/>
      <c r="T1318" s="71"/>
      <c r="U1318" s="68"/>
    </row>
    <row r="1319" spans="2:21">
      <c r="B1319" s="62"/>
      <c r="C1319" s="62"/>
      <c r="D1319" s="80"/>
      <c r="E1319" s="80"/>
      <c r="F1319" s="81"/>
      <c r="G1319" s="72"/>
      <c r="H1319" s="76"/>
      <c r="I1319" s="62"/>
      <c r="J1319" s="62"/>
      <c r="K1319" s="54"/>
      <c r="L1319" s="74"/>
      <c r="M1319" s="62"/>
      <c r="N1319" s="62"/>
      <c r="O1319" s="62"/>
      <c r="P1319" s="77"/>
      <c r="Q1319" s="62"/>
      <c r="R1319" s="71"/>
      <c r="S1319" s="71"/>
      <c r="T1319" s="71"/>
      <c r="U1319" s="68"/>
    </row>
    <row r="1320" spans="2:21">
      <c r="B1320" s="62"/>
      <c r="C1320" s="62"/>
      <c r="D1320" s="80"/>
      <c r="E1320" s="80"/>
      <c r="F1320" s="81"/>
      <c r="G1320" s="72"/>
      <c r="H1320" s="76"/>
      <c r="I1320" s="62"/>
      <c r="J1320" s="62"/>
      <c r="K1320" s="54"/>
      <c r="L1320" s="74"/>
      <c r="M1320" s="62"/>
      <c r="N1320" s="62"/>
      <c r="O1320" s="62"/>
      <c r="P1320" s="77"/>
      <c r="Q1320" s="62"/>
      <c r="R1320" s="71"/>
      <c r="S1320" s="71"/>
      <c r="T1320" s="71"/>
      <c r="U1320" s="68"/>
    </row>
    <row r="1321" spans="2:21">
      <c r="B1321" s="62"/>
      <c r="C1321" s="62"/>
      <c r="D1321" s="80"/>
      <c r="E1321" s="80"/>
      <c r="F1321" s="81"/>
      <c r="G1321" s="72"/>
      <c r="H1321" s="76"/>
      <c r="I1321" s="62"/>
      <c r="J1321" s="62"/>
      <c r="K1321" s="54"/>
      <c r="L1321" s="74"/>
      <c r="M1321" s="62"/>
      <c r="N1321" s="62"/>
      <c r="O1321" s="62"/>
      <c r="P1321" s="77"/>
      <c r="Q1321" s="62"/>
      <c r="R1321" s="71"/>
      <c r="S1321" s="71"/>
      <c r="T1321" s="71"/>
      <c r="U1321" s="68"/>
    </row>
    <row r="1322" spans="2:21">
      <c r="B1322" s="62"/>
      <c r="C1322" s="62"/>
      <c r="D1322" s="80"/>
      <c r="E1322" s="80"/>
      <c r="F1322" s="81"/>
      <c r="G1322" s="72"/>
      <c r="H1322" s="76"/>
      <c r="I1322" s="62"/>
      <c r="J1322" s="62"/>
      <c r="K1322" s="54"/>
      <c r="L1322" s="74"/>
      <c r="M1322" s="62"/>
      <c r="N1322" s="62"/>
      <c r="O1322" s="62"/>
      <c r="P1322" s="77"/>
      <c r="Q1322" s="62"/>
      <c r="R1322" s="71"/>
      <c r="S1322" s="71"/>
      <c r="T1322" s="71"/>
      <c r="U1322" s="68"/>
    </row>
    <row r="1323" spans="2:21">
      <c r="B1323" s="62"/>
      <c r="C1323" s="62"/>
      <c r="D1323" s="80"/>
      <c r="E1323" s="80"/>
      <c r="F1323" s="81"/>
      <c r="G1323" s="72"/>
      <c r="H1323" s="76"/>
      <c r="I1323" s="62"/>
      <c r="J1323" s="62"/>
      <c r="K1323" s="54"/>
      <c r="L1323" s="74"/>
      <c r="M1323" s="62"/>
      <c r="N1323" s="62"/>
      <c r="O1323" s="62"/>
      <c r="P1323" s="77"/>
      <c r="Q1323" s="62"/>
      <c r="R1323" s="71"/>
      <c r="S1323" s="71"/>
      <c r="T1323" s="71"/>
      <c r="U1323" s="68"/>
    </row>
    <row r="1324" spans="2:21">
      <c r="B1324" s="62"/>
      <c r="C1324" s="62"/>
      <c r="D1324" s="80"/>
      <c r="E1324" s="80"/>
      <c r="F1324" s="81"/>
      <c r="G1324" s="72"/>
      <c r="H1324" s="76"/>
      <c r="I1324" s="62"/>
      <c r="J1324" s="62"/>
      <c r="K1324" s="54"/>
      <c r="L1324" s="74"/>
      <c r="M1324" s="62"/>
      <c r="N1324" s="62"/>
      <c r="O1324" s="62"/>
      <c r="P1324" s="77"/>
      <c r="Q1324" s="62"/>
      <c r="R1324" s="71"/>
      <c r="S1324" s="71"/>
      <c r="T1324" s="71"/>
      <c r="U1324" s="68"/>
    </row>
    <row r="1325" spans="2:21">
      <c r="B1325" s="62"/>
      <c r="C1325" s="62"/>
      <c r="D1325" s="80"/>
      <c r="E1325" s="80"/>
      <c r="F1325" s="81"/>
      <c r="G1325" s="72"/>
      <c r="H1325" s="76"/>
      <c r="I1325" s="62"/>
      <c r="J1325" s="62"/>
      <c r="K1325" s="54"/>
      <c r="L1325" s="74"/>
      <c r="M1325" s="62"/>
      <c r="N1325" s="62"/>
      <c r="O1325" s="62"/>
      <c r="P1325" s="77"/>
      <c r="Q1325" s="62"/>
      <c r="R1325" s="71"/>
      <c r="S1325" s="71"/>
      <c r="T1325" s="71"/>
      <c r="U1325" s="68"/>
    </row>
    <row r="1326" spans="2:21">
      <c r="B1326" s="62"/>
      <c r="C1326" s="62"/>
      <c r="D1326" s="80"/>
      <c r="E1326" s="80"/>
      <c r="F1326" s="81"/>
      <c r="G1326" s="72"/>
      <c r="H1326" s="76"/>
      <c r="I1326" s="62"/>
      <c r="J1326" s="62"/>
      <c r="K1326" s="54"/>
      <c r="L1326" s="74"/>
      <c r="M1326" s="62"/>
      <c r="N1326" s="62"/>
      <c r="O1326" s="62"/>
      <c r="P1326" s="77"/>
      <c r="Q1326" s="62"/>
      <c r="R1326" s="71"/>
      <c r="S1326" s="71"/>
      <c r="T1326" s="71"/>
      <c r="U1326" s="68"/>
    </row>
    <row r="1327" spans="2:21">
      <c r="B1327" s="62"/>
      <c r="C1327" s="62"/>
      <c r="D1327" s="80"/>
      <c r="E1327" s="80"/>
      <c r="F1327" s="81"/>
      <c r="G1327" s="72"/>
      <c r="H1327" s="76"/>
      <c r="I1327" s="62"/>
      <c r="J1327" s="62"/>
      <c r="K1327" s="54"/>
      <c r="L1327" s="74"/>
      <c r="M1327" s="62"/>
      <c r="N1327" s="62"/>
      <c r="O1327" s="62"/>
      <c r="P1327" s="77"/>
      <c r="Q1327" s="62"/>
      <c r="R1327" s="71"/>
      <c r="S1327" s="71"/>
      <c r="T1327" s="71"/>
      <c r="U1327" s="68"/>
    </row>
    <row r="1328" spans="2:21">
      <c r="B1328" s="62"/>
      <c r="C1328" s="62"/>
      <c r="D1328" s="80"/>
      <c r="E1328" s="80"/>
      <c r="F1328" s="81"/>
      <c r="G1328" s="72"/>
      <c r="H1328" s="76"/>
      <c r="I1328" s="62"/>
      <c r="J1328" s="62"/>
      <c r="K1328" s="54"/>
      <c r="L1328" s="74"/>
      <c r="M1328" s="62"/>
      <c r="N1328" s="62"/>
      <c r="O1328" s="62"/>
      <c r="P1328" s="77"/>
      <c r="Q1328" s="62"/>
      <c r="R1328" s="71"/>
      <c r="S1328" s="71"/>
      <c r="T1328" s="71"/>
      <c r="U1328" s="68"/>
    </row>
    <row r="1329" spans="2:21">
      <c r="B1329" s="62"/>
      <c r="C1329" s="62"/>
      <c r="D1329" s="80"/>
      <c r="E1329" s="80"/>
      <c r="F1329" s="81"/>
      <c r="G1329" s="72"/>
      <c r="H1329" s="76"/>
      <c r="I1329" s="62"/>
      <c r="J1329" s="62"/>
      <c r="K1329" s="54"/>
      <c r="L1329" s="74"/>
      <c r="M1329" s="62"/>
      <c r="N1329" s="62"/>
      <c r="O1329" s="62"/>
      <c r="P1329" s="77"/>
      <c r="Q1329" s="62"/>
      <c r="R1329" s="71"/>
      <c r="S1329" s="71"/>
      <c r="T1329" s="71"/>
      <c r="U1329" s="68"/>
    </row>
    <row r="1330" spans="2:21">
      <c r="B1330" s="62"/>
      <c r="C1330" s="62"/>
      <c r="D1330" s="80"/>
      <c r="E1330" s="80"/>
      <c r="F1330" s="81"/>
      <c r="G1330" s="72"/>
      <c r="H1330" s="76"/>
      <c r="I1330" s="62"/>
      <c r="J1330" s="62"/>
      <c r="K1330" s="54"/>
      <c r="L1330" s="74"/>
      <c r="M1330" s="62"/>
      <c r="N1330" s="62"/>
      <c r="O1330" s="62"/>
      <c r="P1330" s="77"/>
      <c r="Q1330" s="62"/>
      <c r="R1330" s="71"/>
      <c r="S1330" s="71"/>
      <c r="T1330" s="71"/>
      <c r="U1330" s="68"/>
    </row>
    <row r="1331" spans="2:21">
      <c r="B1331" s="62"/>
      <c r="C1331" s="62"/>
      <c r="D1331" s="80"/>
      <c r="E1331" s="80"/>
      <c r="F1331" s="81"/>
      <c r="G1331" s="72"/>
      <c r="H1331" s="76"/>
      <c r="I1331" s="62"/>
      <c r="J1331" s="62"/>
      <c r="K1331" s="54"/>
      <c r="L1331" s="74"/>
      <c r="M1331" s="62"/>
      <c r="N1331" s="62"/>
      <c r="O1331" s="62"/>
      <c r="P1331" s="77"/>
      <c r="Q1331" s="62"/>
      <c r="R1331" s="71"/>
      <c r="S1331" s="71"/>
      <c r="T1331" s="71"/>
      <c r="U1331" s="68"/>
    </row>
    <row r="1332" spans="2:21">
      <c r="B1332" s="62"/>
      <c r="C1332" s="62"/>
      <c r="D1332" s="80"/>
      <c r="E1332" s="80"/>
      <c r="F1332" s="81"/>
      <c r="G1332" s="72"/>
      <c r="H1332" s="76"/>
      <c r="I1332" s="62"/>
      <c r="J1332" s="62"/>
      <c r="K1332" s="54"/>
      <c r="L1332" s="74"/>
      <c r="M1332" s="62"/>
      <c r="N1332" s="62"/>
      <c r="O1332" s="62"/>
      <c r="P1332" s="77"/>
      <c r="Q1332" s="62"/>
      <c r="R1332" s="71"/>
      <c r="S1332" s="71"/>
      <c r="T1332" s="71"/>
      <c r="U1332" s="68"/>
    </row>
    <row r="1333" spans="2:21">
      <c r="B1333" s="62"/>
      <c r="C1333" s="62"/>
      <c r="D1333" s="80"/>
      <c r="E1333" s="80"/>
      <c r="F1333" s="81"/>
      <c r="G1333" s="72"/>
      <c r="H1333" s="76"/>
      <c r="I1333" s="62"/>
      <c r="J1333" s="62"/>
      <c r="K1333" s="54"/>
      <c r="L1333" s="74"/>
      <c r="M1333" s="62"/>
      <c r="N1333" s="62"/>
      <c r="O1333" s="62"/>
      <c r="P1333" s="77"/>
      <c r="Q1333" s="62"/>
      <c r="R1333" s="71"/>
      <c r="S1333" s="71"/>
      <c r="T1333" s="71"/>
      <c r="U1333" s="68"/>
    </row>
    <row r="1334" spans="2:21">
      <c r="B1334" s="62"/>
      <c r="C1334" s="62"/>
      <c r="D1334" s="80"/>
      <c r="E1334" s="80"/>
      <c r="F1334" s="81"/>
      <c r="G1334" s="73"/>
      <c r="H1334" s="76"/>
      <c r="I1334" s="62"/>
      <c r="J1334" s="62"/>
      <c r="K1334" s="54"/>
      <c r="L1334" s="74"/>
      <c r="M1334" s="62"/>
      <c r="N1334" s="62"/>
      <c r="O1334" s="62"/>
      <c r="P1334" s="75"/>
      <c r="Q1334" s="70"/>
      <c r="R1334" s="71"/>
      <c r="S1334" s="71"/>
      <c r="T1334" s="71"/>
      <c r="U1334" s="68"/>
    </row>
    <row r="1335" spans="2:21">
      <c r="B1335" s="62"/>
      <c r="C1335" s="62"/>
      <c r="D1335" s="80"/>
      <c r="E1335" s="80"/>
      <c r="F1335" s="81"/>
      <c r="G1335" s="73"/>
      <c r="H1335" s="76"/>
      <c r="I1335" s="62"/>
      <c r="J1335" s="62"/>
      <c r="K1335" s="54"/>
      <c r="L1335" s="74"/>
      <c r="M1335" s="62"/>
      <c r="N1335" s="62"/>
      <c r="O1335" s="62"/>
      <c r="P1335" s="75"/>
      <c r="Q1335" s="70"/>
      <c r="R1335" s="71"/>
      <c r="S1335" s="71"/>
      <c r="T1335" s="71"/>
      <c r="U1335" s="68"/>
    </row>
    <row r="1336" spans="2:21">
      <c r="B1336" s="62"/>
      <c r="C1336" s="62"/>
      <c r="D1336" s="80"/>
      <c r="E1336" s="80"/>
      <c r="F1336" s="81"/>
      <c r="G1336" s="73"/>
      <c r="H1336" s="76"/>
      <c r="I1336" s="62"/>
      <c r="J1336" s="62"/>
      <c r="K1336" s="54"/>
      <c r="L1336" s="74"/>
      <c r="M1336" s="62"/>
      <c r="N1336" s="62"/>
      <c r="O1336" s="62"/>
      <c r="P1336" s="75"/>
      <c r="Q1336" s="70"/>
      <c r="R1336" s="71"/>
      <c r="S1336" s="71"/>
      <c r="T1336" s="71"/>
      <c r="U1336" s="68"/>
    </row>
    <row r="1337" spans="2:21">
      <c r="B1337" s="62"/>
      <c r="C1337" s="62"/>
      <c r="D1337" s="80"/>
      <c r="E1337" s="80"/>
      <c r="F1337" s="81"/>
      <c r="G1337" s="73"/>
      <c r="H1337" s="76"/>
      <c r="I1337" s="62"/>
      <c r="J1337" s="62"/>
      <c r="K1337" s="54"/>
      <c r="L1337" s="74"/>
      <c r="M1337" s="62"/>
      <c r="N1337" s="62"/>
      <c r="O1337" s="62"/>
      <c r="P1337" s="75"/>
      <c r="Q1337" s="70"/>
      <c r="R1337" s="71"/>
      <c r="S1337" s="71"/>
      <c r="T1337" s="71"/>
      <c r="U1337" s="68"/>
    </row>
    <row r="1338" spans="2:21">
      <c r="B1338" s="62"/>
      <c r="C1338" s="62"/>
      <c r="D1338" s="80"/>
      <c r="E1338" s="80"/>
      <c r="F1338" s="81"/>
      <c r="G1338" s="73"/>
      <c r="H1338" s="76"/>
      <c r="I1338" s="62"/>
      <c r="J1338" s="62"/>
      <c r="K1338" s="54"/>
      <c r="L1338" s="74"/>
      <c r="M1338" s="62"/>
      <c r="N1338" s="62"/>
      <c r="O1338" s="62"/>
      <c r="P1338" s="75"/>
      <c r="Q1338" s="70"/>
      <c r="R1338" s="71"/>
      <c r="S1338" s="71"/>
      <c r="T1338" s="71"/>
      <c r="U1338" s="68"/>
    </row>
    <row r="1339" spans="2:21">
      <c r="B1339" s="62"/>
      <c r="C1339" s="62"/>
      <c r="D1339" s="80"/>
      <c r="E1339" s="80"/>
      <c r="F1339" s="81"/>
      <c r="G1339" s="73"/>
      <c r="H1339" s="76"/>
      <c r="I1339" s="62"/>
      <c r="J1339" s="62"/>
      <c r="K1339" s="54"/>
      <c r="L1339" s="74"/>
      <c r="M1339" s="62"/>
      <c r="N1339" s="62"/>
      <c r="O1339" s="62"/>
      <c r="P1339" s="75"/>
      <c r="Q1339" s="70"/>
      <c r="R1339" s="71"/>
      <c r="S1339" s="71"/>
      <c r="T1339" s="71"/>
      <c r="U1339" s="68"/>
    </row>
    <row r="1340" spans="2:21">
      <c r="B1340" s="62"/>
      <c r="C1340" s="62"/>
      <c r="D1340" s="80"/>
      <c r="E1340" s="80"/>
      <c r="F1340" s="81"/>
      <c r="G1340" s="73"/>
      <c r="H1340" s="76"/>
      <c r="I1340" s="62"/>
      <c r="J1340" s="62"/>
      <c r="K1340" s="54"/>
      <c r="L1340" s="74"/>
      <c r="M1340" s="62"/>
      <c r="N1340" s="62"/>
      <c r="O1340" s="62"/>
      <c r="P1340" s="75"/>
      <c r="Q1340" s="70"/>
      <c r="R1340" s="71"/>
      <c r="S1340" s="71"/>
      <c r="T1340" s="71"/>
      <c r="U1340" s="68"/>
    </row>
    <row r="1341" spans="2:21">
      <c r="B1341" s="62"/>
      <c r="C1341" s="62"/>
      <c r="D1341" s="80"/>
      <c r="E1341" s="80"/>
      <c r="F1341" s="81"/>
      <c r="G1341" s="73"/>
      <c r="H1341" s="76"/>
      <c r="I1341" s="62"/>
      <c r="J1341" s="62"/>
      <c r="K1341" s="54"/>
      <c r="L1341" s="74"/>
      <c r="M1341" s="62"/>
      <c r="N1341" s="62"/>
      <c r="O1341" s="62"/>
      <c r="P1341" s="75"/>
      <c r="Q1341" s="70"/>
      <c r="R1341" s="71"/>
      <c r="S1341" s="71"/>
      <c r="T1341" s="71"/>
      <c r="U1341" s="68"/>
    </row>
    <row r="1342" spans="2:21">
      <c r="B1342" s="62"/>
      <c r="C1342" s="62"/>
      <c r="D1342" s="80"/>
      <c r="E1342" s="80"/>
      <c r="F1342" s="81"/>
      <c r="G1342" s="73"/>
      <c r="H1342" s="76"/>
      <c r="I1342" s="62"/>
      <c r="J1342" s="62"/>
      <c r="K1342" s="54"/>
      <c r="L1342" s="74"/>
      <c r="M1342" s="62"/>
      <c r="N1342" s="62"/>
      <c r="O1342" s="62"/>
      <c r="P1342" s="75"/>
      <c r="Q1342" s="70"/>
      <c r="R1342" s="71"/>
      <c r="S1342" s="71"/>
      <c r="T1342" s="71"/>
      <c r="U1342" s="68"/>
    </row>
    <row r="1343" spans="2:21">
      <c r="B1343" s="62"/>
      <c r="C1343" s="62"/>
      <c r="D1343" s="80"/>
      <c r="E1343" s="80"/>
      <c r="F1343" s="81"/>
      <c r="G1343" s="73"/>
      <c r="H1343" s="76"/>
      <c r="I1343" s="62"/>
      <c r="J1343" s="62"/>
      <c r="K1343" s="54"/>
      <c r="L1343" s="74"/>
      <c r="M1343" s="62"/>
      <c r="N1343" s="62"/>
      <c r="O1343" s="62"/>
      <c r="P1343" s="75"/>
      <c r="Q1343" s="70"/>
      <c r="R1343" s="71"/>
      <c r="S1343" s="71"/>
      <c r="T1343" s="71"/>
      <c r="U1343" s="68"/>
    </row>
    <row r="1344" spans="2:21">
      <c r="B1344" s="62"/>
      <c r="C1344" s="62"/>
      <c r="D1344" s="80"/>
      <c r="E1344" s="80"/>
      <c r="F1344" s="81"/>
      <c r="G1344" s="73"/>
      <c r="H1344" s="76"/>
      <c r="I1344" s="62"/>
      <c r="J1344" s="62"/>
      <c r="K1344" s="54"/>
      <c r="L1344" s="74"/>
      <c r="M1344" s="62"/>
      <c r="N1344" s="62"/>
      <c r="O1344" s="62"/>
      <c r="P1344" s="75"/>
      <c r="Q1344" s="70"/>
      <c r="R1344" s="71"/>
      <c r="S1344" s="71"/>
      <c r="T1344" s="71"/>
      <c r="U1344" s="68"/>
    </row>
    <row r="1345" spans="2:21">
      <c r="B1345" s="62"/>
      <c r="C1345" s="62"/>
      <c r="D1345" s="80"/>
      <c r="E1345" s="80"/>
      <c r="F1345" s="81"/>
      <c r="G1345" s="73"/>
      <c r="H1345" s="76"/>
      <c r="I1345" s="62"/>
      <c r="J1345" s="62"/>
      <c r="K1345" s="54"/>
      <c r="L1345" s="74"/>
      <c r="M1345" s="62"/>
      <c r="N1345" s="62"/>
      <c r="O1345" s="62"/>
      <c r="P1345" s="75"/>
      <c r="Q1345" s="70"/>
      <c r="R1345" s="71"/>
      <c r="S1345" s="71"/>
      <c r="T1345" s="71"/>
      <c r="U1345" s="68"/>
    </row>
    <row r="1346" spans="2:21">
      <c r="B1346" s="62"/>
      <c r="C1346" s="62"/>
      <c r="D1346" s="80"/>
      <c r="E1346" s="80"/>
      <c r="F1346" s="81"/>
      <c r="G1346" s="73"/>
      <c r="H1346" s="76"/>
      <c r="I1346" s="62"/>
      <c r="J1346" s="62"/>
      <c r="K1346" s="54"/>
      <c r="L1346" s="74"/>
      <c r="M1346" s="62"/>
      <c r="N1346" s="62"/>
      <c r="O1346" s="62"/>
      <c r="P1346" s="75"/>
      <c r="Q1346" s="70"/>
      <c r="R1346" s="71"/>
      <c r="S1346" s="71"/>
      <c r="T1346" s="71"/>
      <c r="U1346" s="68"/>
    </row>
    <row r="1347" spans="2:21">
      <c r="B1347" s="62"/>
      <c r="C1347" s="62"/>
      <c r="D1347" s="80"/>
      <c r="E1347" s="80"/>
      <c r="F1347" s="81"/>
      <c r="G1347" s="73"/>
      <c r="H1347" s="76"/>
      <c r="I1347" s="62"/>
      <c r="J1347" s="62"/>
      <c r="K1347" s="54"/>
      <c r="L1347" s="74"/>
      <c r="M1347" s="62"/>
      <c r="N1347" s="62"/>
      <c r="O1347" s="62"/>
      <c r="P1347" s="75"/>
      <c r="Q1347" s="70"/>
      <c r="R1347" s="71"/>
      <c r="S1347" s="71"/>
      <c r="T1347" s="71"/>
      <c r="U1347" s="68"/>
    </row>
    <row r="1348" spans="2:21">
      <c r="B1348" s="62"/>
      <c r="C1348" s="62"/>
      <c r="D1348" s="80"/>
      <c r="E1348" s="80"/>
      <c r="F1348" s="81"/>
      <c r="G1348" s="73"/>
      <c r="H1348" s="76"/>
      <c r="I1348" s="62"/>
      <c r="J1348" s="62"/>
      <c r="K1348" s="54"/>
      <c r="L1348" s="74"/>
      <c r="M1348" s="62"/>
      <c r="N1348" s="62"/>
      <c r="O1348" s="62"/>
      <c r="P1348" s="75"/>
      <c r="Q1348" s="70"/>
      <c r="R1348" s="71"/>
      <c r="S1348" s="71"/>
      <c r="T1348" s="71"/>
      <c r="U1348" s="68"/>
    </row>
    <row r="1349" spans="2:21">
      <c r="B1349" s="62"/>
      <c r="C1349" s="62"/>
      <c r="D1349" s="80"/>
      <c r="E1349" s="80"/>
      <c r="F1349" s="81"/>
      <c r="G1349" s="73"/>
      <c r="H1349" s="76"/>
      <c r="I1349" s="62"/>
      <c r="J1349" s="62"/>
      <c r="K1349" s="54"/>
      <c r="L1349" s="74"/>
      <c r="M1349" s="62"/>
      <c r="N1349" s="62"/>
      <c r="O1349" s="62"/>
      <c r="P1349" s="75"/>
      <c r="Q1349" s="70"/>
      <c r="R1349" s="71"/>
      <c r="S1349" s="71"/>
      <c r="T1349" s="71"/>
      <c r="U1349" s="68"/>
    </row>
    <row r="1350" spans="2:21">
      <c r="B1350" s="62"/>
      <c r="C1350" s="62"/>
      <c r="D1350" s="80"/>
      <c r="E1350" s="80"/>
      <c r="F1350" s="81"/>
      <c r="G1350" s="73"/>
      <c r="H1350" s="76"/>
      <c r="I1350" s="62"/>
      <c r="J1350" s="62"/>
      <c r="K1350" s="54"/>
      <c r="L1350" s="74"/>
      <c r="M1350" s="62"/>
      <c r="N1350" s="62"/>
      <c r="O1350" s="62"/>
      <c r="P1350" s="75"/>
      <c r="Q1350" s="70"/>
      <c r="R1350" s="71"/>
      <c r="S1350" s="71"/>
      <c r="T1350" s="71"/>
      <c r="U1350" s="68"/>
    </row>
    <row r="1351" spans="2:21">
      <c r="B1351" s="62"/>
      <c r="C1351" s="62"/>
      <c r="D1351" s="80"/>
      <c r="E1351" s="80"/>
      <c r="F1351" s="81"/>
      <c r="G1351" s="73"/>
      <c r="H1351" s="76"/>
      <c r="I1351" s="62"/>
      <c r="J1351" s="62"/>
      <c r="K1351" s="54"/>
      <c r="L1351" s="74"/>
      <c r="M1351" s="62"/>
      <c r="N1351" s="62"/>
      <c r="O1351" s="62"/>
      <c r="P1351" s="75"/>
      <c r="Q1351" s="70"/>
      <c r="R1351" s="71"/>
      <c r="S1351" s="71"/>
      <c r="T1351" s="71"/>
      <c r="U1351" s="68"/>
    </row>
    <row r="1352" spans="2:21">
      <c r="B1352" s="62"/>
      <c r="C1352" s="62"/>
      <c r="D1352" s="80"/>
      <c r="E1352" s="80"/>
      <c r="F1352" s="81"/>
      <c r="G1352" s="73"/>
      <c r="H1352" s="76"/>
      <c r="I1352" s="62"/>
      <c r="J1352" s="62"/>
      <c r="K1352" s="54"/>
      <c r="L1352" s="74"/>
      <c r="M1352" s="62"/>
      <c r="N1352" s="62"/>
      <c r="O1352" s="62"/>
      <c r="P1352" s="75"/>
      <c r="Q1352" s="70"/>
      <c r="R1352" s="71"/>
      <c r="S1352" s="71"/>
      <c r="T1352" s="71"/>
      <c r="U1352" s="68"/>
    </row>
    <row r="1353" spans="2:21">
      <c r="B1353" s="62"/>
      <c r="C1353" s="62"/>
      <c r="D1353" s="80"/>
      <c r="E1353" s="80"/>
      <c r="F1353" s="81"/>
      <c r="G1353" s="73"/>
      <c r="H1353" s="76"/>
      <c r="I1353" s="62"/>
      <c r="J1353" s="62"/>
      <c r="K1353" s="54"/>
      <c r="L1353" s="74"/>
      <c r="M1353" s="62"/>
      <c r="N1353" s="62"/>
      <c r="O1353" s="62"/>
      <c r="P1353" s="75"/>
      <c r="Q1353" s="70"/>
      <c r="R1353" s="71"/>
      <c r="S1353" s="71"/>
      <c r="T1353" s="71"/>
      <c r="U1353" s="68"/>
    </row>
    <row r="1354" spans="2:21">
      <c r="B1354" s="62"/>
      <c r="C1354" s="62"/>
      <c r="D1354" s="80"/>
      <c r="E1354" s="80"/>
      <c r="F1354" s="81"/>
      <c r="G1354" s="73"/>
      <c r="H1354" s="76"/>
      <c r="I1354" s="62"/>
      <c r="J1354" s="62"/>
      <c r="K1354" s="54"/>
      <c r="L1354" s="74"/>
      <c r="M1354" s="62"/>
      <c r="N1354" s="62"/>
      <c r="O1354" s="62"/>
      <c r="P1354" s="75"/>
      <c r="Q1354" s="70"/>
      <c r="R1354" s="71"/>
      <c r="S1354" s="71"/>
      <c r="T1354" s="71"/>
      <c r="U1354" s="68"/>
    </row>
    <row r="1355" spans="2:21">
      <c r="B1355" s="62"/>
      <c r="C1355" s="62"/>
      <c r="D1355" s="80"/>
      <c r="E1355" s="80"/>
      <c r="F1355" s="81"/>
      <c r="G1355" s="73"/>
      <c r="H1355" s="76"/>
      <c r="I1355" s="62"/>
      <c r="J1355" s="62"/>
      <c r="K1355" s="54"/>
      <c r="L1355" s="74"/>
      <c r="M1355" s="62"/>
      <c r="N1355" s="62"/>
      <c r="O1355" s="62"/>
      <c r="P1355" s="75"/>
      <c r="Q1355" s="70"/>
      <c r="R1355" s="71"/>
      <c r="S1355" s="71"/>
      <c r="T1355" s="71"/>
      <c r="U1355" s="68"/>
    </row>
    <row r="1356" spans="2:21">
      <c r="B1356" s="62"/>
      <c r="C1356" s="62"/>
      <c r="D1356" s="80"/>
      <c r="E1356" s="80"/>
      <c r="F1356" s="81"/>
      <c r="G1356" s="73"/>
      <c r="H1356" s="76"/>
      <c r="I1356" s="62"/>
      <c r="J1356" s="62"/>
      <c r="K1356" s="54"/>
      <c r="L1356" s="74"/>
      <c r="M1356" s="62"/>
      <c r="N1356" s="62"/>
      <c r="O1356" s="62"/>
      <c r="P1356" s="75"/>
      <c r="Q1356" s="70"/>
      <c r="R1356" s="71"/>
      <c r="S1356" s="71"/>
      <c r="T1356" s="71"/>
      <c r="U1356" s="68"/>
    </row>
    <row r="1357" spans="2:21">
      <c r="B1357" s="62"/>
      <c r="C1357" s="62"/>
      <c r="D1357" s="80"/>
      <c r="E1357" s="80"/>
      <c r="F1357" s="81"/>
      <c r="G1357" s="73"/>
      <c r="H1357" s="76"/>
      <c r="I1357" s="62"/>
      <c r="J1357" s="62"/>
      <c r="K1357" s="54"/>
      <c r="L1357" s="74"/>
      <c r="M1357" s="62"/>
      <c r="N1357" s="62"/>
      <c r="O1357" s="62"/>
      <c r="P1357" s="75"/>
      <c r="Q1357" s="70"/>
      <c r="R1357" s="71"/>
      <c r="S1357" s="71"/>
      <c r="T1357" s="71"/>
      <c r="U1357" s="68"/>
    </row>
    <row r="1358" spans="2:21">
      <c r="B1358" s="62"/>
      <c r="C1358" s="62"/>
      <c r="D1358" s="80"/>
      <c r="E1358" s="80"/>
      <c r="F1358" s="81"/>
      <c r="G1358" s="73"/>
      <c r="H1358" s="76"/>
      <c r="I1358" s="62"/>
      <c r="J1358" s="62"/>
      <c r="K1358" s="54"/>
      <c r="L1358" s="74"/>
      <c r="M1358" s="62"/>
      <c r="N1358" s="62"/>
      <c r="O1358" s="62"/>
      <c r="P1358" s="75"/>
      <c r="Q1358" s="70"/>
      <c r="R1358" s="71"/>
      <c r="S1358" s="71"/>
      <c r="T1358" s="71"/>
      <c r="U1358" s="68"/>
    </row>
    <row r="1359" spans="2:21">
      <c r="B1359" s="62"/>
      <c r="C1359" s="62"/>
      <c r="D1359" s="80"/>
      <c r="E1359" s="80"/>
      <c r="F1359" s="81"/>
      <c r="G1359" s="73"/>
      <c r="H1359" s="76"/>
      <c r="I1359" s="62"/>
      <c r="J1359" s="62"/>
      <c r="K1359" s="54"/>
      <c r="L1359" s="74"/>
      <c r="M1359" s="62"/>
      <c r="N1359" s="62"/>
      <c r="O1359" s="62"/>
      <c r="P1359" s="75"/>
      <c r="Q1359" s="70"/>
      <c r="R1359" s="71"/>
      <c r="S1359" s="71"/>
      <c r="T1359" s="71"/>
      <c r="U1359" s="68"/>
    </row>
    <row r="1360" spans="2:21">
      <c r="B1360" s="62"/>
      <c r="C1360" s="62"/>
      <c r="D1360" s="80"/>
      <c r="E1360" s="80"/>
      <c r="F1360" s="81"/>
      <c r="G1360" s="73"/>
      <c r="H1360" s="76"/>
      <c r="I1360" s="62"/>
      <c r="J1360" s="62"/>
      <c r="K1360" s="54"/>
      <c r="L1360" s="74"/>
      <c r="M1360" s="62"/>
      <c r="N1360" s="62"/>
      <c r="O1360" s="62"/>
      <c r="P1360" s="75"/>
      <c r="Q1360" s="70"/>
      <c r="R1360" s="71"/>
      <c r="S1360" s="71"/>
      <c r="T1360" s="71"/>
      <c r="U1360" s="68"/>
    </row>
    <row r="1361" spans="2:21">
      <c r="B1361" s="62"/>
      <c r="C1361" s="62"/>
      <c r="D1361" s="80"/>
      <c r="E1361" s="80"/>
      <c r="F1361" s="81"/>
      <c r="G1361" s="73"/>
      <c r="H1361" s="76"/>
      <c r="I1361" s="62"/>
      <c r="J1361" s="62"/>
      <c r="K1361" s="54"/>
      <c r="L1361" s="74"/>
      <c r="M1361" s="62"/>
      <c r="N1361" s="62"/>
      <c r="O1361" s="62"/>
      <c r="P1361" s="75"/>
      <c r="Q1361" s="70"/>
      <c r="R1361" s="71"/>
      <c r="S1361" s="71"/>
      <c r="T1361" s="71"/>
      <c r="U1361" s="68"/>
    </row>
    <row r="1362" spans="2:21">
      <c r="B1362" s="62"/>
      <c r="C1362" s="62"/>
      <c r="D1362" s="80"/>
      <c r="E1362" s="80"/>
      <c r="F1362" s="81"/>
      <c r="G1362" s="73"/>
      <c r="H1362" s="76"/>
      <c r="I1362" s="62"/>
      <c r="J1362" s="62"/>
      <c r="K1362" s="54"/>
      <c r="L1362" s="74"/>
      <c r="M1362" s="62"/>
      <c r="N1362" s="62"/>
      <c r="O1362" s="62"/>
      <c r="P1362" s="75"/>
      <c r="Q1362" s="70"/>
      <c r="R1362" s="71"/>
      <c r="S1362" s="71"/>
      <c r="T1362" s="71"/>
      <c r="U1362" s="68"/>
    </row>
    <row r="1363" spans="2:21">
      <c r="B1363" s="62"/>
      <c r="C1363" s="62"/>
      <c r="D1363" s="80"/>
      <c r="E1363" s="80"/>
      <c r="F1363" s="81"/>
      <c r="G1363" s="73"/>
      <c r="H1363" s="76"/>
      <c r="I1363" s="62"/>
      <c r="J1363" s="62"/>
      <c r="K1363" s="54"/>
      <c r="L1363" s="74"/>
      <c r="M1363" s="62"/>
      <c r="N1363" s="62"/>
      <c r="O1363" s="62"/>
      <c r="P1363" s="75"/>
      <c r="Q1363" s="70"/>
      <c r="R1363" s="71"/>
      <c r="S1363" s="71"/>
      <c r="T1363" s="71"/>
      <c r="U1363" s="68"/>
    </row>
    <row r="1364" spans="2:21">
      <c r="B1364" s="62"/>
      <c r="C1364" s="62"/>
      <c r="D1364" s="80"/>
      <c r="E1364" s="80"/>
      <c r="F1364" s="81"/>
      <c r="G1364" s="73"/>
      <c r="H1364" s="76"/>
      <c r="I1364" s="62"/>
      <c r="J1364" s="62"/>
      <c r="K1364" s="54"/>
      <c r="L1364" s="74"/>
      <c r="M1364" s="62"/>
      <c r="N1364" s="62"/>
      <c r="O1364" s="62"/>
      <c r="P1364" s="75"/>
      <c r="Q1364" s="70"/>
      <c r="R1364" s="71"/>
      <c r="S1364" s="71"/>
      <c r="T1364" s="71"/>
      <c r="U1364" s="68"/>
    </row>
    <row r="1365" spans="2:21">
      <c r="B1365" s="62"/>
      <c r="C1365" s="62"/>
      <c r="D1365" s="80"/>
      <c r="E1365" s="80"/>
      <c r="F1365" s="81"/>
      <c r="G1365" s="73"/>
      <c r="H1365" s="76"/>
      <c r="I1365" s="62"/>
      <c r="J1365" s="62"/>
      <c r="K1365" s="54"/>
      <c r="L1365" s="74"/>
      <c r="M1365" s="62"/>
      <c r="N1365" s="62"/>
      <c r="O1365" s="62"/>
      <c r="P1365" s="75"/>
      <c r="Q1365" s="70"/>
      <c r="R1365" s="71"/>
      <c r="S1365" s="71"/>
      <c r="T1365" s="71"/>
      <c r="U1365" s="68"/>
    </row>
    <row r="1366" spans="2:21">
      <c r="B1366" s="62"/>
      <c r="C1366" s="62"/>
      <c r="D1366" s="80"/>
      <c r="E1366" s="80"/>
      <c r="F1366" s="81"/>
      <c r="G1366" s="73"/>
      <c r="H1366" s="76"/>
      <c r="I1366" s="62"/>
      <c r="J1366" s="62"/>
      <c r="K1366" s="54"/>
      <c r="L1366" s="74"/>
      <c r="M1366" s="62"/>
      <c r="N1366" s="62"/>
      <c r="O1366" s="62"/>
      <c r="P1366" s="75"/>
      <c r="Q1366" s="70"/>
      <c r="R1366" s="71"/>
      <c r="S1366" s="71"/>
      <c r="T1366" s="71"/>
      <c r="U1366" s="68"/>
    </row>
    <row r="1367" spans="2:21">
      <c r="B1367" s="62"/>
      <c r="C1367" s="62"/>
      <c r="D1367" s="80"/>
      <c r="E1367" s="80"/>
      <c r="F1367" s="81"/>
      <c r="G1367" s="73"/>
      <c r="H1367" s="76"/>
      <c r="I1367" s="62"/>
      <c r="J1367" s="62"/>
      <c r="K1367" s="54"/>
      <c r="L1367" s="74"/>
      <c r="M1367" s="62"/>
      <c r="N1367" s="62"/>
      <c r="O1367" s="62"/>
      <c r="P1367" s="75"/>
      <c r="Q1367" s="70"/>
      <c r="R1367" s="71"/>
      <c r="S1367" s="71"/>
      <c r="T1367" s="71"/>
      <c r="U1367" s="68"/>
    </row>
    <row r="1368" spans="2:21">
      <c r="B1368" s="62"/>
      <c r="C1368" s="62"/>
      <c r="D1368" s="80"/>
      <c r="E1368" s="80"/>
      <c r="F1368" s="81"/>
      <c r="G1368" s="73"/>
      <c r="H1368" s="76"/>
      <c r="I1368" s="62"/>
      <c r="J1368" s="62"/>
      <c r="K1368" s="54"/>
      <c r="L1368" s="74"/>
      <c r="M1368" s="62"/>
      <c r="N1368" s="62"/>
      <c r="O1368" s="62"/>
      <c r="P1368" s="75"/>
      <c r="Q1368" s="70"/>
      <c r="R1368" s="71"/>
      <c r="S1368" s="71"/>
      <c r="T1368" s="71"/>
      <c r="U1368" s="68"/>
    </row>
    <row r="1369" spans="2:21">
      <c r="B1369" s="62"/>
      <c r="C1369" s="62"/>
      <c r="D1369" s="80"/>
      <c r="E1369" s="80"/>
      <c r="F1369" s="81"/>
      <c r="G1369" s="73"/>
      <c r="H1369" s="76"/>
      <c r="I1369" s="62"/>
      <c r="J1369" s="62"/>
      <c r="K1369" s="54"/>
      <c r="L1369" s="74"/>
      <c r="M1369" s="62"/>
      <c r="N1369" s="62"/>
      <c r="O1369" s="62"/>
      <c r="P1369" s="75"/>
      <c r="Q1369" s="70"/>
      <c r="R1369" s="71"/>
      <c r="S1369" s="71"/>
      <c r="T1369" s="71"/>
      <c r="U1369" s="68"/>
    </row>
    <row r="1370" spans="2:21">
      <c r="B1370" s="62"/>
      <c r="C1370" s="62"/>
      <c r="D1370" s="80"/>
      <c r="E1370" s="80"/>
      <c r="F1370" s="81"/>
      <c r="G1370" s="73"/>
      <c r="H1370" s="76"/>
      <c r="I1370" s="62"/>
      <c r="J1370" s="62"/>
      <c r="K1370" s="54"/>
      <c r="L1370" s="74"/>
      <c r="M1370" s="62"/>
      <c r="N1370" s="62"/>
      <c r="O1370" s="62"/>
      <c r="P1370" s="75"/>
      <c r="Q1370" s="70"/>
      <c r="R1370" s="71"/>
      <c r="S1370" s="71"/>
      <c r="T1370" s="71"/>
      <c r="U1370" s="68"/>
    </row>
    <row r="1371" spans="2:21">
      <c r="B1371" s="62"/>
      <c r="C1371" s="62"/>
      <c r="D1371" s="80"/>
      <c r="E1371" s="80"/>
      <c r="F1371" s="81"/>
      <c r="G1371" s="73"/>
      <c r="H1371" s="76"/>
      <c r="I1371" s="62"/>
      <c r="J1371" s="62"/>
      <c r="K1371" s="54"/>
      <c r="L1371" s="74"/>
      <c r="M1371" s="62"/>
      <c r="N1371" s="62"/>
      <c r="O1371" s="62"/>
      <c r="P1371" s="75"/>
      <c r="Q1371" s="70"/>
      <c r="R1371" s="71"/>
      <c r="S1371" s="71"/>
      <c r="T1371" s="71"/>
      <c r="U1371" s="68"/>
    </row>
    <row r="1372" spans="2:21">
      <c r="B1372" s="62"/>
      <c r="C1372" s="62"/>
      <c r="D1372" s="80"/>
      <c r="E1372" s="80"/>
      <c r="F1372" s="81"/>
      <c r="G1372" s="73"/>
      <c r="H1372" s="76"/>
      <c r="I1372" s="62"/>
      <c r="J1372" s="62"/>
      <c r="K1372" s="54"/>
      <c r="L1372" s="74"/>
      <c r="M1372" s="62"/>
      <c r="N1372" s="62"/>
      <c r="O1372" s="62"/>
      <c r="P1372" s="75"/>
      <c r="Q1372" s="70"/>
      <c r="R1372" s="71"/>
      <c r="S1372" s="71"/>
      <c r="T1372" s="71"/>
      <c r="U1372" s="68"/>
    </row>
    <row r="1373" spans="2:21">
      <c r="B1373" s="62"/>
      <c r="C1373" s="62"/>
      <c r="D1373" s="80"/>
      <c r="E1373" s="80"/>
      <c r="F1373" s="81"/>
      <c r="G1373" s="73"/>
      <c r="H1373" s="76"/>
      <c r="I1373" s="62"/>
      <c r="J1373" s="62"/>
      <c r="K1373" s="54"/>
      <c r="L1373" s="74"/>
      <c r="M1373" s="62"/>
      <c r="N1373" s="62"/>
      <c r="O1373" s="62"/>
      <c r="P1373" s="75"/>
      <c r="Q1373" s="70"/>
      <c r="R1373" s="71"/>
      <c r="S1373" s="71"/>
      <c r="T1373" s="71"/>
      <c r="U1373" s="68"/>
    </row>
    <row r="1374" spans="2:21">
      <c r="B1374" s="62"/>
      <c r="C1374" s="62"/>
      <c r="D1374" s="80"/>
      <c r="E1374" s="80"/>
      <c r="F1374" s="81"/>
      <c r="G1374" s="73"/>
      <c r="H1374" s="76"/>
      <c r="I1374" s="62"/>
      <c r="J1374" s="62"/>
      <c r="K1374" s="54"/>
      <c r="L1374" s="74"/>
      <c r="M1374" s="62"/>
      <c r="N1374" s="62"/>
      <c r="O1374" s="62"/>
      <c r="P1374" s="75"/>
      <c r="Q1374" s="70"/>
      <c r="R1374" s="71"/>
      <c r="S1374" s="71"/>
      <c r="T1374" s="71"/>
      <c r="U1374" s="68"/>
    </row>
    <row r="1375" spans="2:21">
      <c r="B1375" s="62"/>
      <c r="C1375" s="62"/>
      <c r="D1375" s="80"/>
      <c r="E1375" s="80"/>
      <c r="F1375" s="81"/>
      <c r="G1375" s="73"/>
      <c r="H1375" s="76"/>
      <c r="I1375" s="62"/>
      <c r="J1375" s="62"/>
      <c r="K1375" s="54"/>
      <c r="L1375" s="74"/>
      <c r="M1375" s="62"/>
      <c r="N1375" s="62"/>
      <c r="O1375" s="62"/>
      <c r="P1375" s="75"/>
      <c r="Q1375" s="70"/>
      <c r="R1375" s="71"/>
      <c r="S1375" s="71"/>
      <c r="T1375" s="71"/>
      <c r="U1375" s="68"/>
    </row>
    <row r="1376" spans="2:21">
      <c r="B1376" s="62"/>
      <c r="C1376" s="62"/>
      <c r="D1376" s="80"/>
      <c r="E1376" s="80"/>
      <c r="F1376" s="81"/>
      <c r="G1376" s="73"/>
      <c r="H1376" s="76"/>
      <c r="I1376" s="62"/>
      <c r="J1376" s="62"/>
      <c r="K1376" s="54"/>
      <c r="L1376" s="74"/>
      <c r="M1376" s="62"/>
      <c r="N1376" s="62"/>
      <c r="O1376" s="62"/>
      <c r="P1376" s="75"/>
      <c r="Q1376" s="70"/>
      <c r="R1376" s="71"/>
      <c r="S1376" s="71"/>
      <c r="T1376" s="71"/>
      <c r="U1376" s="68"/>
    </row>
    <row r="1377" spans="2:21">
      <c r="B1377" s="62"/>
      <c r="C1377" s="62"/>
      <c r="D1377" s="80"/>
      <c r="E1377" s="80"/>
      <c r="F1377" s="81"/>
      <c r="G1377" s="73"/>
      <c r="H1377" s="76"/>
      <c r="I1377" s="62"/>
      <c r="J1377" s="62"/>
      <c r="K1377" s="54"/>
      <c r="L1377" s="74"/>
      <c r="M1377" s="62"/>
      <c r="N1377" s="62"/>
      <c r="O1377" s="62"/>
      <c r="P1377" s="75"/>
      <c r="Q1377" s="70"/>
      <c r="R1377" s="71"/>
      <c r="S1377" s="71"/>
      <c r="T1377" s="71"/>
      <c r="U1377" s="68"/>
    </row>
    <row r="1378" spans="2:21">
      <c r="B1378" s="62"/>
      <c r="C1378" s="62"/>
      <c r="D1378" s="80"/>
      <c r="E1378" s="80"/>
      <c r="F1378" s="81"/>
      <c r="G1378" s="73"/>
      <c r="H1378" s="76"/>
      <c r="I1378" s="62"/>
      <c r="J1378" s="62"/>
      <c r="K1378" s="54"/>
      <c r="L1378" s="74"/>
      <c r="M1378" s="62"/>
      <c r="N1378" s="62"/>
      <c r="O1378" s="62"/>
      <c r="P1378" s="75"/>
      <c r="Q1378" s="70"/>
      <c r="R1378" s="71"/>
      <c r="S1378" s="71"/>
      <c r="T1378" s="71"/>
      <c r="U1378" s="68"/>
    </row>
    <row r="1379" spans="2:21">
      <c r="B1379" s="62"/>
      <c r="C1379" s="62"/>
      <c r="D1379" s="80"/>
      <c r="E1379" s="80"/>
      <c r="F1379" s="81"/>
      <c r="G1379" s="73"/>
      <c r="H1379" s="76"/>
      <c r="I1379" s="62"/>
      <c r="J1379" s="62"/>
      <c r="K1379" s="54"/>
      <c r="L1379" s="74"/>
      <c r="M1379" s="62"/>
      <c r="N1379" s="62"/>
      <c r="O1379" s="62"/>
      <c r="P1379" s="75"/>
      <c r="Q1379" s="70"/>
      <c r="R1379" s="71"/>
      <c r="S1379" s="71"/>
      <c r="T1379" s="71"/>
      <c r="U1379" s="68"/>
    </row>
    <row r="1380" spans="2:21">
      <c r="B1380" s="62"/>
      <c r="C1380" s="62"/>
      <c r="D1380" s="80"/>
      <c r="E1380" s="80"/>
      <c r="F1380" s="81"/>
      <c r="G1380" s="73"/>
      <c r="H1380" s="76"/>
      <c r="I1380" s="62"/>
      <c r="J1380" s="62"/>
      <c r="K1380" s="54"/>
      <c r="L1380" s="74"/>
      <c r="M1380" s="62"/>
      <c r="N1380" s="62"/>
      <c r="O1380" s="62"/>
      <c r="P1380" s="75"/>
      <c r="Q1380" s="70"/>
      <c r="R1380" s="71"/>
      <c r="S1380" s="71"/>
      <c r="T1380" s="71"/>
      <c r="U1380" s="68"/>
    </row>
    <row r="1381" spans="2:21">
      <c r="B1381" s="62"/>
      <c r="C1381" s="62"/>
      <c r="D1381" s="80"/>
      <c r="E1381" s="80"/>
      <c r="F1381" s="81"/>
      <c r="G1381" s="73"/>
      <c r="H1381" s="76"/>
      <c r="I1381" s="62"/>
      <c r="J1381" s="62"/>
      <c r="K1381" s="54"/>
      <c r="L1381" s="74"/>
      <c r="M1381" s="62"/>
      <c r="N1381" s="62"/>
      <c r="O1381" s="62"/>
      <c r="P1381" s="75"/>
      <c r="Q1381" s="70"/>
      <c r="R1381" s="71"/>
      <c r="S1381" s="71"/>
      <c r="T1381" s="71"/>
      <c r="U1381" s="68"/>
    </row>
    <row r="1382" spans="2:21">
      <c r="B1382" s="62"/>
      <c r="C1382" s="62"/>
      <c r="D1382" s="80"/>
      <c r="E1382" s="80"/>
      <c r="F1382" s="81"/>
      <c r="G1382" s="73"/>
      <c r="H1382" s="76"/>
      <c r="I1382" s="62"/>
      <c r="J1382" s="62"/>
      <c r="K1382" s="54"/>
      <c r="L1382" s="74"/>
      <c r="M1382" s="62"/>
      <c r="N1382" s="62"/>
      <c r="O1382" s="62"/>
      <c r="P1382" s="75"/>
      <c r="Q1382" s="70"/>
      <c r="R1382" s="71"/>
      <c r="S1382" s="71"/>
      <c r="T1382" s="71"/>
      <c r="U1382" s="68"/>
    </row>
    <row r="1383" spans="2:21">
      <c r="B1383" s="62"/>
      <c r="C1383" s="62"/>
      <c r="D1383" s="80"/>
      <c r="E1383" s="80"/>
      <c r="F1383" s="81"/>
      <c r="G1383" s="73"/>
      <c r="H1383" s="76"/>
      <c r="I1383" s="62"/>
      <c r="J1383" s="62"/>
      <c r="K1383" s="54"/>
      <c r="L1383" s="74"/>
      <c r="M1383" s="62"/>
      <c r="N1383" s="62"/>
      <c r="O1383" s="62"/>
      <c r="P1383" s="75"/>
      <c r="Q1383" s="70"/>
      <c r="R1383" s="71"/>
      <c r="S1383" s="71"/>
      <c r="T1383" s="71"/>
      <c r="U1383" s="68"/>
    </row>
    <row r="1384" spans="2:21">
      <c r="B1384" s="62"/>
      <c r="C1384" s="62"/>
      <c r="D1384" s="80"/>
      <c r="E1384" s="80"/>
      <c r="F1384" s="81"/>
      <c r="G1384" s="73"/>
      <c r="H1384" s="76"/>
      <c r="I1384" s="62"/>
      <c r="J1384" s="62"/>
      <c r="K1384" s="54"/>
      <c r="L1384" s="74"/>
      <c r="M1384" s="62"/>
      <c r="N1384" s="62"/>
      <c r="O1384" s="62"/>
      <c r="P1384" s="75"/>
      <c r="Q1384" s="70"/>
      <c r="R1384" s="71"/>
      <c r="S1384" s="71"/>
      <c r="T1384" s="71"/>
      <c r="U1384" s="68"/>
    </row>
    <row r="1385" spans="2:21">
      <c r="B1385" s="62"/>
      <c r="C1385" s="62"/>
      <c r="D1385" s="80"/>
      <c r="E1385" s="80"/>
      <c r="F1385" s="81"/>
      <c r="G1385" s="73"/>
      <c r="H1385" s="76"/>
      <c r="I1385" s="62"/>
      <c r="J1385" s="62"/>
      <c r="K1385" s="54"/>
      <c r="L1385" s="74"/>
      <c r="M1385" s="62"/>
      <c r="N1385" s="62"/>
      <c r="O1385" s="62"/>
      <c r="P1385" s="75"/>
      <c r="Q1385" s="70"/>
      <c r="R1385" s="71"/>
      <c r="S1385" s="71"/>
      <c r="T1385" s="71"/>
      <c r="U1385" s="68"/>
    </row>
    <row r="1386" spans="2:21">
      <c r="B1386" s="62"/>
      <c r="C1386" s="62"/>
      <c r="D1386" s="80"/>
      <c r="E1386" s="80"/>
      <c r="F1386" s="81"/>
      <c r="G1386" s="73"/>
      <c r="H1386" s="76"/>
      <c r="I1386" s="62"/>
      <c r="J1386" s="62"/>
      <c r="K1386" s="54"/>
      <c r="L1386" s="74"/>
      <c r="M1386" s="62"/>
      <c r="N1386" s="62"/>
      <c r="O1386" s="62"/>
      <c r="P1386" s="75"/>
      <c r="Q1386" s="70"/>
      <c r="R1386" s="71"/>
      <c r="S1386" s="71"/>
      <c r="T1386" s="71"/>
      <c r="U1386" s="68"/>
    </row>
    <row r="1387" spans="2:21">
      <c r="B1387" s="62"/>
      <c r="C1387" s="62"/>
      <c r="D1387" s="80"/>
      <c r="E1387" s="80"/>
      <c r="F1387" s="81"/>
      <c r="G1387" s="73"/>
      <c r="H1387" s="76"/>
      <c r="I1387" s="62"/>
      <c r="J1387" s="62"/>
      <c r="K1387" s="54"/>
      <c r="L1387" s="74"/>
      <c r="M1387" s="62"/>
      <c r="N1387" s="62"/>
      <c r="O1387" s="62"/>
      <c r="P1387" s="75"/>
      <c r="Q1387" s="70"/>
      <c r="R1387" s="71"/>
      <c r="S1387" s="71"/>
      <c r="T1387" s="71"/>
      <c r="U1387" s="68"/>
    </row>
    <row r="1388" spans="2:21">
      <c r="B1388" s="62"/>
      <c r="C1388" s="62"/>
      <c r="D1388" s="80"/>
      <c r="E1388" s="80"/>
      <c r="F1388" s="81"/>
      <c r="G1388" s="73"/>
      <c r="H1388" s="76"/>
      <c r="I1388" s="62"/>
      <c r="J1388" s="62"/>
      <c r="K1388" s="54"/>
      <c r="L1388" s="74"/>
      <c r="M1388" s="62"/>
      <c r="N1388" s="62"/>
      <c r="O1388" s="62"/>
      <c r="P1388" s="75"/>
      <c r="Q1388" s="70"/>
      <c r="R1388" s="71"/>
      <c r="S1388" s="71"/>
      <c r="T1388" s="71"/>
      <c r="U1388" s="68"/>
    </row>
    <row r="1389" spans="2:21">
      <c r="B1389" s="62"/>
      <c r="C1389" s="62"/>
      <c r="D1389" s="80"/>
      <c r="E1389" s="80"/>
      <c r="F1389" s="81"/>
      <c r="G1389" s="73"/>
      <c r="H1389" s="76"/>
      <c r="I1389" s="62"/>
      <c r="J1389" s="62"/>
      <c r="K1389" s="54"/>
      <c r="L1389" s="74"/>
      <c r="M1389" s="62"/>
      <c r="N1389" s="62"/>
      <c r="O1389" s="62"/>
      <c r="P1389" s="75"/>
      <c r="Q1389" s="70"/>
      <c r="R1389" s="71"/>
      <c r="S1389" s="71"/>
      <c r="T1389" s="71"/>
      <c r="U1389" s="68"/>
    </row>
    <row r="1390" spans="2:21">
      <c r="B1390" s="62"/>
      <c r="C1390" s="62"/>
      <c r="D1390" s="80"/>
      <c r="E1390" s="80"/>
      <c r="F1390" s="81"/>
      <c r="G1390" s="73"/>
      <c r="H1390" s="76"/>
      <c r="I1390" s="62"/>
      <c r="J1390" s="62"/>
      <c r="K1390" s="54"/>
      <c r="L1390" s="74"/>
      <c r="M1390" s="62"/>
      <c r="N1390" s="62"/>
      <c r="O1390" s="62"/>
      <c r="P1390" s="75"/>
      <c r="Q1390" s="70"/>
      <c r="R1390" s="71"/>
      <c r="S1390" s="71"/>
      <c r="T1390" s="71"/>
      <c r="U1390" s="68"/>
    </row>
    <row r="1391" spans="2:21">
      <c r="B1391" s="62"/>
      <c r="C1391" s="62"/>
      <c r="D1391" s="80"/>
      <c r="E1391" s="80"/>
      <c r="F1391" s="81"/>
      <c r="G1391" s="73"/>
      <c r="H1391" s="76"/>
      <c r="I1391" s="62"/>
      <c r="J1391" s="62"/>
      <c r="K1391" s="54"/>
      <c r="L1391" s="74"/>
      <c r="M1391" s="62"/>
      <c r="N1391" s="62"/>
      <c r="O1391" s="62"/>
      <c r="P1391" s="75"/>
      <c r="Q1391" s="70"/>
      <c r="R1391" s="71"/>
      <c r="S1391" s="71"/>
      <c r="T1391" s="71"/>
      <c r="U1391" s="68"/>
    </row>
    <row r="1392" spans="2:21">
      <c r="B1392" s="62"/>
      <c r="C1392" s="62"/>
      <c r="D1392" s="80"/>
      <c r="E1392" s="80"/>
      <c r="F1392" s="81"/>
      <c r="G1392" s="73"/>
      <c r="H1392" s="76"/>
      <c r="I1392" s="62"/>
      <c r="J1392" s="62"/>
      <c r="K1392" s="54"/>
      <c r="L1392" s="74"/>
      <c r="M1392" s="62"/>
      <c r="N1392" s="62"/>
      <c r="O1392" s="62"/>
      <c r="P1392" s="75"/>
      <c r="Q1392" s="70"/>
      <c r="R1392" s="71"/>
      <c r="S1392" s="71"/>
      <c r="T1392" s="71"/>
      <c r="U1392" s="68"/>
    </row>
    <row r="1393" spans="2:21">
      <c r="B1393" s="62"/>
      <c r="C1393" s="62"/>
      <c r="D1393" s="80"/>
      <c r="E1393" s="80"/>
      <c r="F1393" s="81"/>
      <c r="G1393" s="73"/>
      <c r="H1393" s="76"/>
      <c r="I1393" s="62"/>
      <c r="J1393" s="62"/>
      <c r="K1393" s="54"/>
      <c r="L1393" s="74"/>
      <c r="M1393" s="62"/>
      <c r="N1393" s="62"/>
      <c r="O1393" s="62"/>
      <c r="P1393" s="75"/>
      <c r="Q1393" s="70"/>
      <c r="R1393" s="71"/>
      <c r="S1393" s="71"/>
      <c r="T1393" s="71"/>
      <c r="U1393" s="68"/>
    </row>
    <row r="1394" spans="2:21">
      <c r="B1394" s="62"/>
      <c r="C1394" s="62"/>
      <c r="D1394" s="80"/>
      <c r="E1394" s="80"/>
      <c r="F1394" s="81"/>
      <c r="G1394" s="73"/>
      <c r="H1394" s="76"/>
      <c r="I1394" s="62"/>
      <c r="J1394" s="62"/>
      <c r="K1394" s="54"/>
      <c r="L1394" s="74"/>
      <c r="M1394" s="62"/>
      <c r="N1394" s="62"/>
      <c r="O1394" s="62"/>
      <c r="P1394" s="75"/>
      <c r="Q1394" s="70"/>
      <c r="R1394" s="71"/>
      <c r="S1394" s="71"/>
      <c r="T1394" s="71"/>
      <c r="U1394" s="68"/>
    </row>
    <row r="1395" spans="2:21">
      <c r="B1395" s="62"/>
      <c r="C1395" s="62"/>
      <c r="D1395" s="80"/>
      <c r="E1395" s="80"/>
      <c r="F1395" s="81"/>
      <c r="G1395" s="73"/>
      <c r="H1395" s="76"/>
      <c r="I1395" s="62"/>
      <c r="J1395" s="62"/>
      <c r="K1395" s="54"/>
      <c r="L1395" s="74"/>
      <c r="M1395" s="62"/>
      <c r="N1395" s="62"/>
      <c r="O1395" s="62"/>
      <c r="P1395" s="75"/>
      <c r="Q1395" s="70"/>
      <c r="R1395" s="71"/>
      <c r="S1395" s="71"/>
      <c r="T1395" s="71"/>
      <c r="U1395" s="68"/>
    </row>
    <row r="1396" spans="2:21">
      <c r="B1396" s="62"/>
      <c r="C1396" s="62"/>
      <c r="D1396" s="80"/>
      <c r="E1396" s="80"/>
      <c r="F1396" s="81"/>
      <c r="G1396" s="73"/>
      <c r="H1396" s="76"/>
      <c r="I1396" s="62"/>
      <c r="J1396" s="62"/>
      <c r="K1396" s="54"/>
      <c r="L1396" s="74"/>
      <c r="M1396" s="62"/>
      <c r="N1396" s="62"/>
      <c r="O1396" s="62"/>
      <c r="P1396" s="75"/>
      <c r="Q1396" s="70"/>
      <c r="R1396" s="71"/>
      <c r="S1396" s="71"/>
      <c r="T1396" s="71"/>
      <c r="U1396" s="68"/>
    </row>
    <row r="1397" spans="2:21">
      <c r="B1397" s="62"/>
      <c r="C1397" s="62"/>
      <c r="D1397" s="80"/>
      <c r="E1397" s="80"/>
      <c r="F1397" s="81"/>
      <c r="G1397" s="73"/>
      <c r="H1397" s="76"/>
      <c r="I1397" s="62"/>
      <c r="J1397" s="62"/>
      <c r="K1397" s="54"/>
      <c r="L1397" s="74"/>
      <c r="M1397" s="62"/>
      <c r="N1397" s="62"/>
      <c r="O1397" s="62"/>
      <c r="P1397" s="75"/>
      <c r="Q1397" s="70"/>
      <c r="R1397" s="71"/>
      <c r="S1397" s="71"/>
      <c r="T1397" s="71"/>
      <c r="U1397" s="68"/>
    </row>
    <row r="1398" spans="2:21">
      <c r="B1398" s="62"/>
      <c r="C1398" s="62"/>
      <c r="D1398" s="80"/>
      <c r="E1398" s="80"/>
      <c r="F1398" s="81"/>
      <c r="G1398" s="73"/>
      <c r="H1398" s="76"/>
      <c r="I1398" s="62"/>
      <c r="J1398" s="62"/>
      <c r="K1398" s="54"/>
      <c r="L1398" s="74"/>
      <c r="M1398" s="62"/>
      <c r="N1398" s="62"/>
      <c r="O1398" s="62"/>
      <c r="P1398" s="75"/>
      <c r="Q1398" s="70"/>
      <c r="R1398" s="71"/>
      <c r="S1398" s="71"/>
      <c r="T1398" s="71"/>
      <c r="U1398" s="68"/>
    </row>
    <row r="1399" spans="2:21">
      <c r="B1399" s="62"/>
      <c r="C1399" s="62"/>
      <c r="D1399" s="80"/>
      <c r="E1399" s="80"/>
      <c r="F1399" s="81"/>
      <c r="G1399" s="73"/>
      <c r="H1399" s="76"/>
      <c r="I1399" s="62"/>
      <c r="J1399" s="62"/>
      <c r="K1399" s="54"/>
      <c r="L1399" s="74"/>
      <c r="M1399" s="62"/>
      <c r="N1399" s="62"/>
      <c r="O1399" s="62"/>
      <c r="P1399" s="75"/>
      <c r="Q1399" s="70"/>
      <c r="R1399" s="71"/>
      <c r="S1399" s="71"/>
      <c r="T1399" s="71"/>
      <c r="U1399" s="68"/>
    </row>
    <row r="1400" spans="2:21">
      <c r="B1400" s="62"/>
      <c r="C1400" s="62"/>
      <c r="D1400" s="80"/>
      <c r="E1400" s="80"/>
      <c r="F1400" s="81"/>
      <c r="G1400" s="73"/>
      <c r="H1400" s="76"/>
      <c r="I1400" s="62"/>
      <c r="J1400" s="62"/>
      <c r="K1400" s="54"/>
      <c r="L1400" s="74"/>
      <c r="M1400" s="62"/>
      <c r="N1400" s="62"/>
      <c r="O1400" s="62"/>
      <c r="P1400" s="75"/>
      <c r="Q1400" s="70"/>
      <c r="R1400" s="71"/>
      <c r="S1400" s="71"/>
      <c r="T1400" s="71"/>
      <c r="U1400" s="68"/>
    </row>
    <row r="1401" spans="2:21">
      <c r="B1401" s="62"/>
      <c r="C1401" s="62"/>
      <c r="D1401" s="80"/>
      <c r="E1401" s="80"/>
      <c r="F1401" s="81"/>
      <c r="G1401" s="73"/>
      <c r="H1401" s="76"/>
      <c r="I1401" s="62"/>
      <c r="J1401" s="62"/>
      <c r="K1401" s="54"/>
      <c r="L1401" s="74"/>
      <c r="M1401" s="62"/>
      <c r="N1401" s="62"/>
      <c r="O1401" s="62"/>
      <c r="P1401" s="75"/>
      <c r="Q1401" s="70"/>
      <c r="R1401" s="71"/>
      <c r="S1401" s="71"/>
      <c r="T1401" s="71"/>
      <c r="U1401" s="68"/>
    </row>
    <row r="1402" spans="2:21">
      <c r="B1402" s="62"/>
      <c r="C1402" s="62"/>
      <c r="D1402" s="80"/>
      <c r="E1402" s="80"/>
      <c r="F1402" s="81"/>
      <c r="G1402" s="73"/>
      <c r="H1402" s="76"/>
      <c r="I1402" s="62"/>
      <c r="J1402" s="62"/>
      <c r="K1402" s="54"/>
      <c r="L1402" s="74"/>
      <c r="M1402" s="62"/>
      <c r="N1402" s="62"/>
      <c r="O1402" s="62"/>
      <c r="P1402" s="75"/>
      <c r="Q1402" s="70"/>
      <c r="R1402" s="71"/>
      <c r="S1402" s="71"/>
      <c r="T1402" s="71"/>
      <c r="U1402" s="68"/>
    </row>
    <row r="1403" spans="2:21">
      <c r="B1403" s="62"/>
      <c r="C1403" s="62"/>
      <c r="D1403" s="80"/>
      <c r="E1403" s="80"/>
      <c r="F1403" s="81"/>
      <c r="G1403" s="73"/>
      <c r="H1403" s="76"/>
      <c r="I1403" s="62"/>
      <c r="J1403" s="62"/>
      <c r="K1403" s="54"/>
      <c r="L1403" s="74"/>
      <c r="M1403" s="62"/>
      <c r="N1403" s="62"/>
      <c r="O1403" s="62"/>
      <c r="P1403" s="75"/>
      <c r="Q1403" s="70"/>
      <c r="R1403" s="71"/>
      <c r="S1403" s="71"/>
      <c r="T1403" s="71"/>
      <c r="U1403" s="68"/>
    </row>
    <row r="1404" spans="2:21">
      <c r="B1404" s="62"/>
      <c r="C1404" s="62"/>
      <c r="D1404" s="80"/>
      <c r="E1404" s="80"/>
      <c r="F1404" s="81"/>
      <c r="G1404" s="73"/>
      <c r="H1404" s="76"/>
      <c r="I1404" s="62"/>
      <c r="J1404" s="62"/>
      <c r="K1404" s="54"/>
      <c r="L1404" s="74"/>
      <c r="M1404" s="62"/>
      <c r="N1404" s="62"/>
      <c r="O1404" s="62"/>
      <c r="P1404" s="75"/>
      <c r="Q1404" s="70"/>
      <c r="R1404" s="71"/>
      <c r="S1404" s="71"/>
      <c r="T1404" s="71"/>
      <c r="U1404" s="68"/>
    </row>
    <row r="1405" spans="2:21">
      <c r="B1405" s="62"/>
      <c r="C1405" s="62"/>
      <c r="D1405" s="80"/>
      <c r="E1405" s="80"/>
      <c r="F1405" s="81"/>
      <c r="G1405" s="73"/>
      <c r="H1405" s="76"/>
      <c r="I1405" s="62"/>
      <c r="J1405" s="62"/>
      <c r="K1405" s="54"/>
      <c r="L1405" s="74"/>
      <c r="M1405" s="62"/>
      <c r="N1405" s="62"/>
      <c r="O1405" s="62"/>
      <c r="P1405" s="75"/>
      <c r="Q1405" s="70"/>
      <c r="R1405" s="71"/>
      <c r="S1405" s="71"/>
      <c r="T1405" s="71"/>
      <c r="U1405" s="68"/>
    </row>
    <row r="1406" spans="2:21">
      <c r="B1406" s="62"/>
      <c r="C1406" s="62"/>
      <c r="D1406" s="80"/>
      <c r="E1406" s="80"/>
      <c r="F1406" s="81"/>
      <c r="G1406" s="73"/>
      <c r="H1406" s="76"/>
      <c r="I1406" s="62"/>
      <c r="J1406" s="62"/>
      <c r="K1406" s="54"/>
      <c r="L1406" s="74"/>
      <c r="M1406" s="62"/>
      <c r="N1406" s="62"/>
      <c r="O1406" s="62"/>
      <c r="P1406" s="75"/>
      <c r="Q1406" s="70"/>
      <c r="R1406" s="71"/>
      <c r="S1406" s="71"/>
      <c r="T1406" s="71"/>
      <c r="U1406" s="68"/>
    </row>
    <row r="1407" spans="2:21">
      <c r="B1407" s="62"/>
      <c r="C1407" s="62"/>
      <c r="D1407" s="80"/>
      <c r="E1407" s="80"/>
      <c r="F1407" s="81"/>
      <c r="G1407" s="73"/>
      <c r="H1407" s="76"/>
      <c r="I1407" s="62"/>
      <c r="J1407" s="62"/>
      <c r="K1407" s="54"/>
      <c r="L1407" s="74"/>
      <c r="M1407" s="62"/>
      <c r="N1407" s="62"/>
      <c r="O1407" s="62"/>
      <c r="P1407" s="75"/>
      <c r="Q1407" s="70"/>
      <c r="R1407" s="71"/>
      <c r="S1407" s="71"/>
      <c r="T1407" s="71"/>
      <c r="U1407" s="68"/>
    </row>
    <row r="1408" spans="2:21">
      <c r="B1408" s="62"/>
      <c r="C1408" s="62"/>
      <c r="D1408" s="80"/>
      <c r="E1408" s="80"/>
      <c r="F1408" s="81"/>
      <c r="G1408" s="73"/>
      <c r="H1408" s="76"/>
      <c r="I1408" s="62"/>
      <c r="J1408" s="62"/>
      <c r="K1408" s="54"/>
      <c r="L1408" s="74"/>
      <c r="M1408" s="62"/>
      <c r="N1408" s="62"/>
      <c r="O1408" s="62"/>
      <c r="P1408" s="75"/>
      <c r="Q1408" s="70"/>
      <c r="R1408" s="71"/>
      <c r="S1408" s="71"/>
      <c r="T1408" s="71"/>
      <c r="U1408" s="68"/>
    </row>
    <row r="1409" spans="2:21">
      <c r="B1409" s="62"/>
      <c r="C1409" s="62"/>
      <c r="D1409" s="80"/>
      <c r="E1409" s="80"/>
      <c r="F1409" s="81"/>
      <c r="G1409" s="73"/>
      <c r="H1409" s="76"/>
      <c r="I1409" s="62"/>
      <c r="J1409" s="62"/>
      <c r="K1409" s="54"/>
      <c r="L1409" s="74"/>
      <c r="M1409" s="62"/>
      <c r="N1409" s="62"/>
      <c r="O1409" s="62"/>
      <c r="P1409" s="75"/>
      <c r="Q1409" s="70"/>
      <c r="R1409" s="71"/>
      <c r="S1409" s="71"/>
      <c r="T1409" s="71"/>
      <c r="U1409" s="68"/>
    </row>
    <row r="1410" spans="2:21">
      <c r="B1410" s="62"/>
      <c r="C1410" s="62"/>
      <c r="D1410" s="80"/>
      <c r="E1410" s="80"/>
      <c r="F1410" s="81"/>
      <c r="G1410" s="73"/>
      <c r="H1410" s="76"/>
      <c r="I1410" s="62"/>
      <c r="J1410" s="62"/>
      <c r="K1410" s="54"/>
      <c r="L1410" s="74"/>
      <c r="M1410" s="62"/>
      <c r="N1410" s="62"/>
      <c r="O1410" s="62"/>
      <c r="P1410" s="75"/>
      <c r="Q1410" s="70"/>
      <c r="R1410" s="71"/>
      <c r="S1410" s="71"/>
      <c r="T1410" s="71"/>
      <c r="U1410" s="68"/>
    </row>
    <row r="1411" spans="2:21">
      <c r="B1411" s="62"/>
      <c r="C1411" s="62"/>
      <c r="D1411" s="80"/>
      <c r="E1411" s="80"/>
      <c r="F1411" s="81"/>
      <c r="G1411" s="73"/>
      <c r="H1411" s="76"/>
      <c r="I1411" s="62"/>
      <c r="J1411" s="62"/>
      <c r="K1411" s="54"/>
      <c r="L1411" s="74"/>
      <c r="M1411" s="62"/>
      <c r="N1411" s="62"/>
      <c r="O1411" s="62"/>
      <c r="P1411" s="75"/>
      <c r="Q1411" s="70"/>
      <c r="R1411" s="71"/>
      <c r="S1411" s="71"/>
      <c r="T1411" s="71"/>
      <c r="U1411" s="68"/>
    </row>
    <row r="1412" spans="2:21">
      <c r="B1412" s="62"/>
      <c r="C1412" s="62"/>
      <c r="D1412" s="80"/>
      <c r="E1412" s="80"/>
      <c r="F1412" s="81"/>
      <c r="G1412" s="73"/>
      <c r="H1412" s="76"/>
      <c r="I1412" s="62"/>
      <c r="J1412" s="62"/>
      <c r="K1412" s="54"/>
      <c r="L1412" s="74"/>
      <c r="M1412" s="62"/>
      <c r="N1412" s="62"/>
      <c r="O1412" s="62"/>
      <c r="P1412" s="75"/>
      <c r="Q1412" s="70"/>
      <c r="R1412" s="71"/>
      <c r="S1412" s="71"/>
      <c r="T1412" s="71"/>
      <c r="U1412" s="68"/>
    </row>
    <row r="1413" spans="2:21">
      <c r="B1413" s="62"/>
      <c r="C1413" s="62"/>
      <c r="D1413" s="80"/>
      <c r="E1413" s="80"/>
      <c r="F1413" s="81"/>
      <c r="G1413" s="73"/>
      <c r="H1413" s="76"/>
      <c r="I1413" s="62"/>
      <c r="J1413" s="62"/>
      <c r="K1413" s="54"/>
      <c r="L1413" s="74"/>
      <c r="M1413" s="62"/>
      <c r="N1413" s="62"/>
      <c r="O1413" s="62"/>
      <c r="P1413" s="75"/>
      <c r="Q1413" s="70"/>
      <c r="R1413" s="71"/>
      <c r="S1413" s="71"/>
      <c r="T1413" s="71"/>
      <c r="U1413" s="68"/>
    </row>
    <row r="1414" spans="2:21">
      <c r="B1414" s="62"/>
      <c r="C1414" s="62"/>
      <c r="D1414" s="80"/>
      <c r="E1414" s="80"/>
      <c r="F1414" s="81"/>
      <c r="G1414" s="73"/>
      <c r="H1414" s="76"/>
      <c r="I1414" s="62"/>
      <c r="J1414" s="62"/>
      <c r="K1414" s="54"/>
      <c r="L1414" s="74"/>
      <c r="M1414" s="62"/>
      <c r="N1414" s="62"/>
      <c r="O1414" s="62"/>
      <c r="P1414" s="75"/>
      <c r="Q1414" s="70"/>
      <c r="R1414" s="71"/>
      <c r="S1414" s="71"/>
      <c r="T1414" s="71"/>
      <c r="U1414" s="68"/>
    </row>
    <row r="1415" spans="2:21">
      <c r="B1415" s="62"/>
      <c r="C1415" s="62"/>
      <c r="D1415" s="80"/>
      <c r="E1415" s="80"/>
      <c r="F1415" s="81"/>
      <c r="G1415" s="73"/>
      <c r="H1415" s="76"/>
      <c r="I1415" s="62"/>
      <c r="J1415" s="62"/>
      <c r="K1415" s="54"/>
      <c r="L1415" s="74"/>
      <c r="M1415" s="62"/>
      <c r="N1415" s="62"/>
      <c r="O1415" s="62"/>
      <c r="P1415" s="75"/>
      <c r="Q1415" s="70"/>
      <c r="R1415" s="71"/>
      <c r="S1415" s="71"/>
      <c r="T1415" s="71"/>
      <c r="U1415" s="68"/>
    </row>
    <row r="1416" spans="2:21">
      <c r="B1416" s="62"/>
      <c r="C1416" s="62"/>
      <c r="D1416" s="80"/>
      <c r="E1416" s="80"/>
      <c r="F1416" s="81"/>
      <c r="G1416" s="73"/>
      <c r="H1416" s="76"/>
      <c r="I1416" s="62"/>
      <c r="J1416" s="62"/>
      <c r="K1416" s="54"/>
      <c r="L1416" s="74"/>
      <c r="M1416" s="62"/>
      <c r="N1416" s="62"/>
      <c r="O1416" s="62"/>
      <c r="P1416" s="75"/>
      <c r="Q1416" s="70"/>
      <c r="R1416" s="71"/>
      <c r="S1416" s="71"/>
      <c r="T1416" s="71"/>
      <c r="U1416" s="68"/>
    </row>
    <row r="1417" spans="2:21">
      <c r="B1417" s="62"/>
      <c r="C1417" s="62"/>
      <c r="D1417" s="80"/>
      <c r="E1417" s="80"/>
      <c r="F1417" s="81"/>
      <c r="G1417" s="73"/>
      <c r="H1417" s="76"/>
      <c r="I1417" s="62"/>
      <c r="J1417" s="62"/>
      <c r="K1417" s="54"/>
      <c r="L1417" s="74"/>
      <c r="M1417" s="62"/>
      <c r="N1417" s="62"/>
      <c r="O1417" s="62"/>
      <c r="P1417" s="75"/>
      <c r="Q1417" s="70"/>
      <c r="R1417" s="71"/>
      <c r="S1417" s="71"/>
      <c r="T1417" s="71"/>
      <c r="U1417" s="68"/>
    </row>
    <row r="1418" spans="2:21">
      <c r="B1418" s="62"/>
      <c r="C1418" s="62"/>
      <c r="D1418" s="80"/>
      <c r="E1418" s="80"/>
      <c r="F1418" s="81"/>
      <c r="G1418" s="73"/>
      <c r="H1418" s="76"/>
      <c r="I1418" s="62"/>
      <c r="J1418" s="62"/>
      <c r="K1418" s="54"/>
      <c r="L1418" s="74"/>
      <c r="M1418" s="62"/>
      <c r="N1418" s="62"/>
      <c r="O1418" s="62"/>
      <c r="P1418" s="75"/>
      <c r="Q1418" s="70"/>
      <c r="R1418" s="71"/>
      <c r="S1418" s="71"/>
      <c r="T1418" s="71"/>
      <c r="U1418" s="68"/>
    </row>
    <row r="1419" spans="2:21">
      <c r="B1419" s="62"/>
      <c r="C1419" s="62"/>
      <c r="D1419" s="80"/>
      <c r="E1419" s="80"/>
      <c r="F1419" s="81"/>
      <c r="G1419" s="73"/>
      <c r="H1419" s="76"/>
      <c r="I1419" s="62"/>
      <c r="J1419" s="62"/>
      <c r="K1419" s="54"/>
      <c r="L1419" s="74"/>
      <c r="M1419" s="62"/>
      <c r="N1419" s="62"/>
      <c r="O1419" s="62"/>
      <c r="P1419" s="75"/>
      <c r="Q1419" s="70"/>
      <c r="R1419" s="71"/>
      <c r="S1419" s="71"/>
      <c r="T1419" s="71"/>
      <c r="U1419" s="68"/>
    </row>
    <row r="1420" spans="2:21">
      <c r="B1420" s="62"/>
      <c r="C1420" s="62"/>
      <c r="D1420" s="80"/>
      <c r="E1420" s="80"/>
      <c r="F1420" s="81"/>
      <c r="G1420" s="73"/>
      <c r="H1420" s="76"/>
      <c r="I1420" s="62"/>
      <c r="J1420" s="62"/>
      <c r="K1420" s="54"/>
      <c r="L1420" s="74"/>
      <c r="M1420" s="62"/>
      <c r="N1420" s="62"/>
      <c r="O1420" s="62"/>
      <c r="P1420" s="75"/>
      <c r="Q1420" s="70"/>
      <c r="R1420" s="71"/>
      <c r="S1420" s="71"/>
      <c r="T1420" s="71"/>
      <c r="U1420" s="68"/>
    </row>
    <row r="1421" spans="2:21">
      <c r="B1421" s="62"/>
      <c r="C1421" s="62"/>
      <c r="D1421" s="80"/>
      <c r="E1421" s="80"/>
      <c r="F1421" s="81"/>
      <c r="G1421" s="73"/>
      <c r="H1421" s="76"/>
      <c r="I1421" s="62"/>
      <c r="J1421" s="62"/>
      <c r="K1421" s="54"/>
      <c r="L1421" s="74"/>
      <c r="M1421" s="62"/>
      <c r="N1421" s="62"/>
      <c r="O1421" s="62"/>
      <c r="P1421" s="75"/>
      <c r="Q1421" s="70"/>
      <c r="R1421" s="71"/>
      <c r="S1421" s="71"/>
      <c r="T1421" s="71"/>
      <c r="U1421" s="68"/>
    </row>
    <row r="1422" spans="2:21">
      <c r="B1422" s="62"/>
      <c r="C1422" s="62"/>
      <c r="D1422" s="80"/>
      <c r="E1422" s="80"/>
      <c r="F1422" s="81"/>
      <c r="G1422" s="73"/>
      <c r="H1422" s="76"/>
      <c r="I1422" s="62"/>
      <c r="J1422" s="62"/>
      <c r="K1422" s="54"/>
      <c r="L1422" s="74"/>
      <c r="M1422" s="62"/>
      <c r="N1422" s="62"/>
      <c r="O1422" s="62"/>
      <c r="P1422" s="75"/>
      <c r="Q1422" s="70"/>
      <c r="R1422" s="71"/>
      <c r="S1422" s="71"/>
      <c r="T1422" s="71"/>
      <c r="U1422" s="68"/>
    </row>
    <row r="1423" spans="2:21">
      <c r="B1423" s="62"/>
      <c r="C1423" s="62"/>
      <c r="D1423" s="80"/>
      <c r="E1423" s="80"/>
      <c r="F1423" s="81"/>
      <c r="G1423" s="73"/>
      <c r="H1423" s="76"/>
      <c r="I1423" s="62"/>
      <c r="J1423" s="62"/>
      <c r="K1423" s="54"/>
      <c r="L1423" s="74"/>
      <c r="M1423" s="62"/>
      <c r="N1423" s="62"/>
      <c r="O1423" s="62"/>
      <c r="P1423" s="75"/>
      <c r="Q1423" s="70"/>
      <c r="R1423" s="71"/>
      <c r="S1423" s="71"/>
      <c r="T1423" s="71"/>
      <c r="U1423" s="68"/>
    </row>
    <row r="1424" spans="2:21">
      <c r="B1424" s="62"/>
      <c r="C1424" s="62"/>
      <c r="D1424" s="80"/>
      <c r="E1424" s="80"/>
      <c r="F1424" s="81"/>
      <c r="G1424" s="73"/>
      <c r="H1424" s="76"/>
      <c r="I1424" s="62"/>
      <c r="J1424" s="62"/>
      <c r="K1424" s="54"/>
      <c r="L1424" s="74"/>
      <c r="M1424" s="62"/>
      <c r="N1424" s="62"/>
      <c r="O1424" s="62"/>
      <c r="P1424" s="75"/>
      <c r="Q1424" s="70"/>
      <c r="R1424" s="71"/>
      <c r="S1424" s="71"/>
      <c r="T1424" s="71"/>
      <c r="U1424" s="68"/>
    </row>
    <row r="1425" spans="2:21">
      <c r="B1425" s="62"/>
      <c r="C1425" s="62"/>
      <c r="D1425" s="80"/>
      <c r="E1425" s="80"/>
      <c r="F1425" s="81"/>
      <c r="G1425" s="73"/>
      <c r="H1425" s="76"/>
      <c r="I1425" s="62"/>
      <c r="J1425" s="62"/>
      <c r="K1425" s="54"/>
      <c r="L1425" s="74"/>
      <c r="M1425" s="62"/>
      <c r="N1425" s="62"/>
      <c r="O1425" s="62"/>
      <c r="P1425" s="75"/>
      <c r="Q1425" s="70"/>
      <c r="R1425" s="71"/>
      <c r="S1425" s="71"/>
      <c r="T1425" s="71"/>
      <c r="U1425" s="68"/>
    </row>
    <row r="1426" spans="2:21">
      <c r="B1426" s="62"/>
      <c r="C1426" s="62"/>
      <c r="D1426" s="80"/>
      <c r="E1426" s="80"/>
      <c r="F1426" s="81"/>
      <c r="G1426" s="73"/>
      <c r="H1426" s="76"/>
      <c r="I1426" s="62"/>
      <c r="J1426" s="62"/>
      <c r="K1426" s="54"/>
      <c r="L1426" s="74"/>
      <c r="M1426" s="62"/>
      <c r="N1426" s="62"/>
      <c r="O1426" s="62"/>
      <c r="P1426" s="75"/>
      <c r="Q1426" s="70"/>
      <c r="R1426" s="71"/>
      <c r="S1426" s="71"/>
      <c r="T1426" s="71"/>
      <c r="U1426" s="68"/>
    </row>
    <row r="1427" spans="2:21">
      <c r="B1427" s="62"/>
      <c r="C1427" s="62"/>
      <c r="D1427" s="80"/>
      <c r="E1427" s="80"/>
      <c r="F1427" s="81"/>
      <c r="G1427" s="73"/>
      <c r="H1427" s="76"/>
      <c r="I1427" s="62"/>
      <c r="J1427" s="62"/>
      <c r="K1427" s="54"/>
      <c r="L1427" s="74"/>
      <c r="M1427" s="62"/>
      <c r="N1427" s="62"/>
      <c r="O1427" s="62"/>
      <c r="P1427" s="75"/>
      <c r="Q1427" s="70"/>
      <c r="R1427" s="71"/>
      <c r="S1427" s="71"/>
      <c r="T1427" s="71"/>
      <c r="U1427" s="68"/>
    </row>
    <row r="1428" spans="2:21">
      <c r="B1428" s="62"/>
      <c r="C1428" s="62"/>
      <c r="D1428" s="80"/>
      <c r="E1428" s="80"/>
      <c r="F1428" s="81"/>
      <c r="G1428" s="73"/>
      <c r="H1428" s="76"/>
      <c r="I1428" s="62"/>
      <c r="J1428" s="62"/>
      <c r="K1428" s="54"/>
      <c r="L1428" s="74"/>
      <c r="M1428" s="62"/>
      <c r="N1428" s="62"/>
      <c r="O1428" s="62"/>
      <c r="P1428" s="75"/>
      <c r="Q1428" s="70"/>
      <c r="R1428" s="71"/>
      <c r="S1428" s="71"/>
      <c r="T1428" s="71"/>
      <c r="U1428" s="68"/>
    </row>
    <row r="1429" spans="2:21">
      <c r="B1429" s="62"/>
      <c r="C1429" s="62"/>
      <c r="D1429" s="80"/>
      <c r="E1429" s="80"/>
      <c r="F1429" s="81"/>
      <c r="G1429" s="73"/>
      <c r="H1429" s="76"/>
      <c r="I1429" s="62"/>
      <c r="J1429" s="62"/>
      <c r="K1429" s="54"/>
      <c r="L1429" s="74"/>
      <c r="M1429" s="62"/>
      <c r="N1429" s="62"/>
      <c r="O1429" s="62"/>
      <c r="P1429" s="75"/>
      <c r="Q1429" s="70"/>
      <c r="R1429" s="71"/>
      <c r="S1429" s="71"/>
      <c r="T1429" s="71"/>
      <c r="U1429" s="68"/>
    </row>
    <row r="1430" spans="2:21">
      <c r="B1430" s="62"/>
      <c r="C1430" s="62"/>
      <c r="D1430" s="80"/>
      <c r="E1430" s="80"/>
      <c r="F1430" s="81"/>
      <c r="G1430" s="73"/>
      <c r="H1430" s="76"/>
      <c r="I1430" s="62"/>
      <c r="J1430" s="62"/>
      <c r="K1430" s="54"/>
      <c r="L1430" s="74"/>
      <c r="M1430" s="62"/>
      <c r="N1430" s="62"/>
      <c r="O1430" s="62"/>
      <c r="P1430" s="75"/>
      <c r="Q1430" s="70"/>
      <c r="R1430" s="71"/>
      <c r="S1430" s="71"/>
      <c r="T1430" s="71"/>
      <c r="U1430" s="68"/>
    </row>
    <row r="1431" spans="2:21">
      <c r="B1431" s="62"/>
      <c r="C1431" s="62"/>
      <c r="D1431" s="80"/>
      <c r="E1431" s="80"/>
      <c r="F1431" s="81"/>
      <c r="G1431" s="73"/>
      <c r="H1431" s="76"/>
      <c r="I1431" s="62"/>
      <c r="J1431" s="62"/>
      <c r="K1431" s="54"/>
      <c r="L1431" s="74"/>
      <c r="M1431" s="62"/>
      <c r="N1431" s="62"/>
      <c r="O1431" s="62"/>
      <c r="P1431" s="75"/>
      <c r="Q1431" s="70"/>
      <c r="R1431" s="71"/>
      <c r="S1431" s="71"/>
      <c r="T1431" s="71"/>
      <c r="U1431" s="68"/>
    </row>
    <row r="1432" spans="2:21">
      <c r="B1432" s="62"/>
      <c r="C1432" s="62"/>
      <c r="D1432" s="80"/>
      <c r="E1432" s="80"/>
      <c r="F1432" s="81"/>
      <c r="G1432" s="73"/>
      <c r="H1432" s="76"/>
      <c r="I1432" s="62"/>
      <c r="J1432" s="62"/>
      <c r="K1432" s="54"/>
      <c r="L1432" s="74"/>
      <c r="M1432" s="62"/>
      <c r="N1432" s="62"/>
      <c r="O1432" s="62"/>
      <c r="P1432" s="75"/>
      <c r="Q1432" s="70"/>
      <c r="R1432" s="71"/>
      <c r="S1432" s="71"/>
      <c r="T1432" s="71"/>
      <c r="U1432" s="68"/>
    </row>
    <row r="1433" spans="2:21">
      <c r="B1433" s="62"/>
      <c r="C1433" s="62"/>
      <c r="D1433" s="80"/>
      <c r="E1433" s="80"/>
      <c r="F1433" s="81"/>
      <c r="G1433" s="73"/>
      <c r="H1433" s="76"/>
      <c r="I1433" s="62"/>
      <c r="J1433" s="62"/>
      <c r="K1433" s="54"/>
      <c r="L1433" s="74"/>
      <c r="M1433" s="62"/>
      <c r="N1433" s="62"/>
      <c r="O1433" s="62"/>
      <c r="P1433" s="75"/>
      <c r="Q1433" s="70"/>
      <c r="R1433" s="71"/>
      <c r="S1433" s="71"/>
      <c r="T1433" s="71"/>
      <c r="U1433" s="68"/>
    </row>
    <row r="1434" spans="2:21">
      <c r="B1434" s="62"/>
      <c r="C1434" s="62"/>
      <c r="D1434" s="80"/>
      <c r="E1434" s="80"/>
      <c r="F1434" s="81"/>
      <c r="G1434" s="73"/>
      <c r="H1434" s="76"/>
      <c r="I1434" s="62"/>
      <c r="J1434" s="62"/>
      <c r="K1434" s="54"/>
      <c r="L1434" s="74"/>
      <c r="M1434" s="62"/>
      <c r="N1434" s="62"/>
      <c r="O1434" s="62"/>
      <c r="P1434" s="75"/>
      <c r="Q1434" s="70"/>
      <c r="R1434" s="71"/>
      <c r="S1434" s="71"/>
      <c r="T1434" s="71"/>
      <c r="U1434" s="68"/>
    </row>
    <row r="1435" spans="2:21">
      <c r="B1435" s="62"/>
      <c r="C1435" s="62"/>
      <c r="D1435" s="80"/>
      <c r="E1435" s="80"/>
      <c r="F1435" s="81"/>
      <c r="G1435" s="73"/>
      <c r="H1435" s="76"/>
      <c r="I1435" s="62"/>
      <c r="J1435" s="62"/>
      <c r="K1435" s="54"/>
      <c r="L1435" s="74"/>
      <c r="M1435" s="62"/>
      <c r="N1435" s="62"/>
      <c r="O1435" s="62"/>
      <c r="P1435" s="75"/>
      <c r="Q1435" s="70"/>
      <c r="R1435" s="71"/>
      <c r="S1435" s="71"/>
      <c r="T1435" s="71"/>
      <c r="U1435" s="68"/>
    </row>
    <row r="1436" spans="2:21">
      <c r="B1436" s="62"/>
      <c r="C1436" s="62"/>
      <c r="D1436" s="80"/>
      <c r="E1436" s="80"/>
      <c r="F1436" s="81"/>
      <c r="G1436" s="73"/>
      <c r="H1436" s="76"/>
      <c r="I1436" s="62"/>
      <c r="J1436" s="62"/>
      <c r="K1436" s="54"/>
      <c r="L1436" s="74"/>
      <c r="M1436" s="62"/>
      <c r="N1436" s="62"/>
      <c r="O1436" s="62"/>
      <c r="P1436" s="75"/>
      <c r="Q1436" s="70"/>
      <c r="R1436" s="71"/>
      <c r="S1436" s="71"/>
      <c r="T1436" s="71"/>
      <c r="U1436" s="68"/>
    </row>
    <row r="1437" spans="2:21">
      <c r="B1437" s="62"/>
      <c r="C1437" s="62"/>
      <c r="D1437" s="80"/>
      <c r="E1437" s="80"/>
      <c r="F1437" s="81"/>
      <c r="G1437" s="73"/>
      <c r="H1437" s="76"/>
      <c r="I1437" s="62"/>
      <c r="J1437" s="62"/>
      <c r="K1437" s="54"/>
      <c r="L1437" s="74"/>
      <c r="M1437" s="62"/>
      <c r="N1437" s="62"/>
      <c r="O1437" s="62"/>
      <c r="P1437" s="75"/>
      <c r="Q1437" s="70"/>
      <c r="R1437" s="71"/>
      <c r="S1437" s="71"/>
      <c r="T1437" s="71"/>
      <c r="U1437" s="68"/>
    </row>
    <row r="1438" spans="2:21">
      <c r="B1438" s="62"/>
      <c r="C1438" s="62"/>
      <c r="D1438" s="80"/>
      <c r="E1438" s="80"/>
      <c r="F1438" s="81"/>
      <c r="G1438" s="73"/>
      <c r="H1438" s="76"/>
      <c r="I1438" s="62"/>
      <c r="J1438" s="62"/>
      <c r="K1438" s="54"/>
      <c r="L1438" s="74"/>
      <c r="M1438" s="62"/>
      <c r="N1438" s="62"/>
      <c r="O1438" s="62"/>
      <c r="P1438" s="75"/>
      <c r="Q1438" s="70"/>
      <c r="R1438" s="71"/>
      <c r="S1438" s="71"/>
      <c r="T1438" s="71"/>
      <c r="U1438" s="68"/>
    </row>
    <row r="1439" spans="2:21">
      <c r="B1439" s="62"/>
      <c r="C1439" s="62"/>
      <c r="D1439" s="80"/>
      <c r="E1439" s="80"/>
      <c r="F1439" s="81"/>
      <c r="G1439" s="73"/>
      <c r="H1439" s="76"/>
      <c r="I1439" s="62"/>
      <c r="J1439" s="62"/>
      <c r="K1439" s="54"/>
      <c r="L1439" s="74"/>
      <c r="M1439" s="62"/>
      <c r="N1439" s="62"/>
      <c r="O1439" s="62"/>
      <c r="P1439" s="75"/>
      <c r="Q1439" s="70"/>
      <c r="R1439" s="71"/>
      <c r="S1439" s="71"/>
      <c r="T1439" s="71"/>
      <c r="U1439" s="68"/>
    </row>
    <row r="1440" spans="2:21">
      <c r="B1440" s="62"/>
      <c r="C1440" s="62"/>
      <c r="D1440" s="80"/>
      <c r="E1440" s="80"/>
      <c r="F1440" s="81"/>
      <c r="G1440" s="73"/>
      <c r="H1440" s="76"/>
      <c r="I1440" s="62"/>
      <c r="J1440" s="62"/>
      <c r="K1440" s="54"/>
      <c r="L1440" s="74"/>
      <c r="M1440" s="62"/>
      <c r="N1440" s="62"/>
      <c r="O1440" s="62"/>
      <c r="P1440" s="75"/>
      <c r="Q1440" s="70"/>
      <c r="R1440" s="71"/>
      <c r="S1440" s="71"/>
      <c r="T1440" s="71"/>
      <c r="U1440" s="68"/>
    </row>
    <row r="1441" spans="2:21">
      <c r="B1441" s="62"/>
      <c r="C1441" s="62"/>
      <c r="D1441" s="80"/>
      <c r="E1441" s="80"/>
      <c r="F1441" s="81"/>
      <c r="G1441" s="73"/>
      <c r="H1441" s="76"/>
      <c r="I1441" s="62"/>
      <c r="J1441" s="62"/>
      <c r="K1441" s="54"/>
      <c r="L1441" s="74"/>
      <c r="M1441" s="62"/>
      <c r="N1441" s="62"/>
      <c r="O1441" s="62"/>
      <c r="P1441" s="75"/>
      <c r="Q1441" s="70"/>
      <c r="R1441" s="71"/>
      <c r="S1441" s="71"/>
      <c r="T1441" s="71"/>
      <c r="U1441" s="68"/>
    </row>
    <row r="1442" spans="2:21">
      <c r="B1442" s="62"/>
      <c r="C1442" s="62"/>
      <c r="D1442" s="80"/>
      <c r="E1442" s="80"/>
      <c r="F1442" s="81"/>
      <c r="G1442" s="73"/>
      <c r="H1442" s="76"/>
      <c r="I1442" s="62"/>
      <c r="J1442" s="62"/>
      <c r="K1442" s="54"/>
      <c r="L1442" s="74"/>
      <c r="M1442" s="62"/>
      <c r="N1442" s="62"/>
      <c r="O1442" s="62"/>
      <c r="P1442" s="75"/>
      <c r="Q1442" s="70"/>
      <c r="R1442" s="71"/>
      <c r="S1442" s="71"/>
      <c r="T1442" s="71"/>
      <c r="U1442" s="68"/>
    </row>
    <row r="1443" spans="2:21">
      <c r="B1443" s="62"/>
      <c r="C1443" s="62"/>
      <c r="D1443" s="80"/>
      <c r="E1443" s="80"/>
      <c r="F1443" s="81"/>
      <c r="G1443" s="73"/>
      <c r="H1443" s="76"/>
      <c r="I1443" s="62"/>
      <c r="J1443" s="62"/>
      <c r="K1443" s="54"/>
      <c r="L1443" s="74"/>
      <c r="M1443" s="62"/>
      <c r="N1443" s="62"/>
      <c r="O1443" s="62"/>
      <c r="P1443" s="75"/>
      <c r="Q1443" s="70"/>
      <c r="R1443" s="71"/>
      <c r="S1443" s="71"/>
      <c r="T1443" s="71"/>
      <c r="U1443" s="68"/>
    </row>
    <row r="1444" spans="2:21">
      <c r="B1444" s="62"/>
      <c r="C1444" s="62"/>
      <c r="D1444" s="80"/>
      <c r="E1444" s="80"/>
      <c r="F1444" s="81"/>
      <c r="G1444" s="73"/>
      <c r="H1444" s="76"/>
      <c r="I1444" s="62"/>
      <c r="J1444" s="62"/>
      <c r="K1444" s="54"/>
      <c r="L1444" s="74"/>
      <c r="M1444" s="62"/>
      <c r="N1444" s="62"/>
      <c r="O1444" s="62"/>
      <c r="P1444" s="75"/>
      <c r="Q1444" s="70"/>
      <c r="R1444" s="71"/>
      <c r="S1444" s="71"/>
      <c r="T1444" s="71"/>
      <c r="U1444" s="68"/>
    </row>
    <row r="1445" spans="2:21">
      <c r="B1445" s="62"/>
      <c r="C1445" s="62"/>
      <c r="D1445" s="80"/>
      <c r="E1445" s="80"/>
      <c r="F1445" s="81"/>
      <c r="G1445" s="73"/>
      <c r="H1445" s="76"/>
      <c r="I1445" s="62"/>
      <c r="J1445" s="62"/>
      <c r="K1445" s="54"/>
      <c r="L1445" s="74"/>
      <c r="M1445" s="62"/>
      <c r="N1445" s="62"/>
      <c r="O1445" s="62"/>
      <c r="P1445" s="75"/>
      <c r="Q1445" s="70"/>
      <c r="R1445" s="71"/>
      <c r="S1445" s="71"/>
      <c r="T1445" s="71"/>
      <c r="U1445" s="68"/>
    </row>
    <row r="1446" spans="2:21">
      <c r="B1446" s="62"/>
      <c r="C1446" s="62"/>
      <c r="D1446" s="80"/>
      <c r="E1446" s="80"/>
      <c r="F1446" s="81"/>
      <c r="G1446" s="73"/>
      <c r="H1446" s="76"/>
      <c r="I1446" s="62"/>
      <c r="J1446" s="62"/>
      <c r="K1446" s="54"/>
      <c r="L1446" s="74"/>
      <c r="M1446" s="62"/>
      <c r="N1446" s="62"/>
      <c r="O1446" s="62"/>
      <c r="P1446" s="75"/>
      <c r="Q1446" s="70"/>
      <c r="R1446" s="71"/>
      <c r="S1446" s="71"/>
      <c r="T1446" s="71"/>
      <c r="U1446" s="68"/>
    </row>
    <row r="1447" spans="2:21">
      <c r="B1447" s="62"/>
      <c r="C1447" s="62"/>
      <c r="D1447" s="80"/>
      <c r="E1447" s="80"/>
      <c r="F1447" s="81"/>
      <c r="G1447" s="73"/>
      <c r="H1447" s="76"/>
      <c r="I1447" s="62"/>
      <c r="J1447" s="62"/>
      <c r="K1447" s="54"/>
      <c r="L1447" s="74"/>
      <c r="M1447" s="62"/>
      <c r="N1447" s="62"/>
      <c r="O1447" s="62"/>
      <c r="P1447" s="75"/>
      <c r="Q1447" s="70"/>
      <c r="R1447" s="71"/>
      <c r="S1447" s="71"/>
      <c r="T1447" s="71"/>
      <c r="U1447" s="68"/>
    </row>
    <row r="1448" spans="2:21">
      <c r="B1448" s="62"/>
      <c r="C1448" s="62"/>
      <c r="D1448" s="80"/>
      <c r="E1448" s="80"/>
      <c r="F1448" s="81"/>
      <c r="G1448" s="73"/>
      <c r="H1448" s="76"/>
      <c r="I1448" s="62"/>
      <c r="J1448" s="62"/>
      <c r="K1448" s="54"/>
      <c r="L1448" s="74"/>
      <c r="M1448" s="62"/>
      <c r="N1448" s="62"/>
      <c r="O1448" s="62"/>
      <c r="P1448" s="75"/>
      <c r="Q1448" s="70"/>
      <c r="R1448" s="71"/>
      <c r="S1448" s="71"/>
      <c r="T1448" s="71"/>
      <c r="U1448" s="68"/>
    </row>
    <row r="1449" spans="2:21">
      <c r="B1449" s="62"/>
      <c r="C1449" s="62"/>
      <c r="D1449" s="80"/>
      <c r="E1449" s="80"/>
      <c r="F1449" s="81"/>
      <c r="G1449" s="73"/>
      <c r="H1449" s="76"/>
      <c r="I1449" s="62"/>
      <c r="J1449" s="62"/>
      <c r="K1449" s="54"/>
      <c r="L1449" s="74"/>
      <c r="M1449" s="62"/>
      <c r="N1449" s="62"/>
      <c r="O1449" s="62"/>
      <c r="P1449" s="75"/>
      <c r="Q1449" s="70"/>
      <c r="R1449" s="71"/>
      <c r="S1449" s="71"/>
      <c r="T1449" s="71"/>
      <c r="U1449" s="68"/>
    </row>
    <row r="1450" spans="2:21">
      <c r="B1450" s="62"/>
      <c r="C1450" s="62"/>
      <c r="D1450" s="80"/>
      <c r="E1450" s="80"/>
      <c r="F1450" s="81"/>
      <c r="G1450" s="73"/>
      <c r="H1450" s="76"/>
      <c r="I1450" s="62"/>
      <c r="J1450" s="62"/>
      <c r="K1450" s="54"/>
      <c r="L1450" s="74"/>
      <c r="M1450" s="62"/>
      <c r="N1450" s="62"/>
      <c r="O1450" s="62"/>
      <c r="P1450" s="75"/>
      <c r="Q1450" s="70"/>
      <c r="R1450" s="71"/>
      <c r="S1450" s="71"/>
      <c r="T1450" s="71"/>
      <c r="U1450" s="68"/>
    </row>
    <row r="1451" spans="2:21">
      <c r="B1451" s="62"/>
      <c r="C1451" s="62"/>
      <c r="D1451" s="80"/>
      <c r="E1451" s="80"/>
      <c r="F1451" s="81"/>
      <c r="G1451" s="73"/>
      <c r="H1451" s="76"/>
      <c r="I1451" s="62"/>
      <c r="J1451" s="62"/>
      <c r="K1451" s="54"/>
      <c r="L1451" s="74"/>
      <c r="M1451" s="62"/>
      <c r="N1451" s="62"/>
      <c r="O1451" s="62"/>
      <c r="P1451" s="75"/>
      <c r="Q1451" s="70"/>
      <c r="R1451" s="71"/>
      <c r="S1451" s="71"/>
      <c r="T1451" s="71"/>
      <c r="U1451" s="68"/>
    </row>
    <row r="1452" spans="2:21">
      <c r="B1452" s="62"/>
      <c r="C1452" s="62"/>
      <c r="D1452" s="80"/>
      <c r="E1452" s="80"/>
      <c r="F1452" s="81"/>
      <c r="G1452" s="73"/>
      <c r="H1452" s="76"/>
      <c r="I1452" s="62"/>
      <c r="J1452" s="62"/>
      <c r="K1452" s="54"/>
      <c r="L1452" s="74"/>
      <c r="M1452" s="62"/>
      <c r="N1452" s="62"/>
      <c r="O1452" s="62"/>
      <c r="P1452" s="75"/>
      <c r="Q1452" s="70"/>
      <c r="R1452" s="71"/>
      <c r="S1452" s="71"/>
      <c r="T1452" s="71"/>
      <c r="U1452" s="68"/>
    </row>
    <row r="1453" spans="2:21">
      <c r="B1453" s="62"/>
      <c r="C1453" s="62"/>
      <c r="D1453" s="80"/>
      <c r="E1453" s="80"/>
      <c r="F1453" s="81"/>
      <c r="G1453" s="73"/>
      <c r="H1453" s="76"/>
      <c r="I1453" s="62"/>
      <c r="J1453" s="62"/>
      <c r="K1453" s="54"/>
      <c r="L1453" s="74"/>
      <c r="M1453" s="62"/>
      <c r="N1453" s="62"/>
      <c r="O1453" s="62"/>
      <c r="P1453" s="75"/>
      <c r="Q1453" s="70"/>
      <c r="R1453" s="71"/>
      <c r="S1453" s="71"/>
      <c r="T1453" s="71"/>
      <c r="U1453" s="68"/>
    </row>
    <row r="1454" spans="2:21">
      <c r="B1454" s="62"/>
      <c r="C1454" s="62"/>
      <c r="D1454" s="80"/>
      <c r="E1454" s="80"/>
      <c r="F1454" s="81"/>
      <c r="G1454" s="73"/>
      <c r="H1454" s="76"/>
      <c r="I1454" s="62"/>
      <c r="J1454" s="62"/>
      <c r="K1454" s="54"/>
      <c r="L1454" s="74"/>
      <c r="M1454" s="62"/>
      <c r="N1454" s="62"/>
      <c r="O1454" s="62"/>
      <c r="P1454" s="75"/>
      <c r="Q1454" s="70"/>
      <c r="R1454" s="71"/>
      <c r="S1454" s="71"/>
      <c r="T1454" s="71"/>
      <c r="U1454" s="68"/>
    </row>
    <row r="1455" spans="2:21">
      <c r="B1455" s="62"/>
      <c r="C1455" s="62"/>
      <c r="D1455" s="80"/>
      <c r="E1455" s="80"/>
      <c r="F1455" s="81"/>
      <c r="G1455" s="73"/>
      <c r="H1455" s="76"/>
      <c r="I1455" s="62"/>
      <c r="J1455" s="62"/>
      <c r="K1455" s="54"/>
      <c r="L1455" s="74"/>
      <c r="M1455" s="62"/>
      <c r="N1455" s="62"/>
      <c r="O1455" s="62"/>
      <c r="P1455" s="75"/>
      <c r="Q1455" s="70"/>
      <c r="R1455" s="71"/>
      <c r="S1455" s="71"/>
      <c r="T1455" s="71"/>
      <c r="U1455" s="68"/>
    </row>
    <row r="1456" spans="2:21">
      <c r="B1456" s="62"/>
      <c r="C1456" s="62"/>
      <c r="D1456" s="80"/>
      <c r="E1456" s="80"/>
      <c r="F1456" s="81"/>
      <c r="G1456" s="73"/>
      <c r="H1456" s="76"/>
      <c r="I1456" s="62"/>
      <c r="J1456" s="62"/>
      <c r="K1456" s="54"/>
      <c r="L1456" s="74"/>
      <c r="M1456" s="62"/>
      <c r="N1456" s="62"/>
      <c r="O1456" s="62"/>
      <c r="P1456" s="75"/>
      <c r="Q1456" s="70"/>
      <c r="R1456" s="71"/>
      <c r="S1456" s="71"/>
      <c r="T1456" s="71"/>
      <c r="U1456" s="68"/>
    </row>
    <row r="1457" spans="2:21">
      <c r="B1457" s="62"/>
      <c r="C1457" s="62"/>
      <c r="D1457" s="80"/>
      <c r="E1457" s="80"/>
      <c r="F1457" s="81"/>
      <c r="G1457" s="73"/>
      <c r="H1457" s="76"/>
      <c r="I1457" s="62"/>
      <c r="J1457" s="62"/>
      <c r="K1457" s="54"/>
      <c r="L1457" s="74"/>
      <c r="M1457" s="62"/>
      <c r="N1457" s="62"/>
      <c r="O1457" s="62"/>
      <c r="P1457" s="75"/>
      <c r="Q1457" s="70"/>
      <c r="R1457" s="71"/>
      <c r="S1457" s="71"/>
      <c r="T1457" s="71"/>
      <c r="U1457" s="68"/>
    </row>
    <row r="1458" spans="2:21">
      <c r="B1458" s="62"/>
      <c r="C1458" s="62"/>
      <c r="D1458" s="80"/>
      <c r="E1458" s="80"/>
      <c r="F1458" s="81"/>
      <c r="G1458" s="73"/>
      <c r="H1458" s="76"/>
      <c r="I1458" s="62"/>
      <c r="J1458" s="62"/>
      <c r="K1458" s="54"/>
      <c r="L1458" s="74"/>
      <c r="M1458" s="62"/>
      <c r="N1458" s="62"/>
      <c r="O1458" s="62"/>
      <c r="P1458" s="75"/>
      <c r="Q1458" s="70"/>
      <c r="R1458" s="71"/>
      <c r="S1458" s="71"/>
      <c r="T1458" s="71"/>
      <c r="U1458" s="68"/>
    </row>
    <row r="1459" spans="2:21">
      <c r="B1459" s="62"/>
      <c r="C1459" s="62"/>
      <c r="D1459" s="80"/>
      <c r="E1459" s="80"/>
      <c r="F1459" s="81"/>
      <c r="G1459" s="73"/>
      <c r="H1459" s="76"/>
      <c r="I1459" s="62"/>
      <c r="J1459" s="62"/>
      <c r="K1459" s="54"/>
      <c r="L1459" s="74"/>
      <c r="M1459" s="62"/>
      <c r="N1459" s="62"/>
      <c r="O1459" s="62"/>
      <c r="P1459" s="75"/>
      <c r="Q1459" s="70"/>
      <c r="R1459" s="71"/>
      <c r="S1459" s="71"/>
      <c r="T1459" s="71"/>
      <c r="U1459" s="68"/>
    </row>
    <row r="1460" spans="2:21">
      <c r="B1460" s="62"/>
      <c r="C1460" s="62"/>
      <c r="D1460" s="80"/>
      <c r="E1460" s="80"/>
      <c r="F1460" s="81"/>
      <c r="G1460" s="73"/>
      <c r="H1460" s="76"/>
      <c r="I1460" s="62"/>
      <c r="J1460" s="62"/>
      <c r="K1460" s="54"/>
      <c r="L1460" s="74"/>
      <c r="M1460" s="62"/>
      <c r="N1460" s="62"/>
      <c r="O1460" s="62"/>
      <c r="P1460" s="75"/>
      <c r="Q1460" s="70"/>
      <c r="R1460" s="71"/>
      <c r="S1460" s="71"/>
      <c r="T1460" s="71"/>
      <c r="U1460" s="68"/>
    </row>
    <row r="1461" spans="2:21">
      <c r="B1461" s="62"/>
      <c r="C1461" s="62"/>
      <c r="D1461" s="80"/>
      <c r="E1461" s="80"/>
      <c r="F1461" s="81"/>
      <c r="G1461" s="73"/>
      <c r="H1461" s="76"/>
      <c r="I1461" s="62"/>
      <c r="J1461" s="62"/>
      <c r="K1461" s="54"/>
      <c r="L1461" s="74"/>
      <c r="M1461" s="62"/>
      <c r="N1461" s="62"/>
      <c r="O1461" s="62"/>
      <c r="P1461" s="75"/>
      <c r="Q1461" s="70"/>
      <c r="R1461" s="71"/>
      <c r="S1461" s="71"/>
      <c r="T1461" s="71"/>
      <c r="U1461" s="68"/>
    </row>
    <row r="1462" spans="2:21">
      <c r="B1462" s="62"/>
      <c r="C1462" s="62"/>
      <c r="D1462" s="80"/>
      <c r="E1462" s="80"/>
      <c r="F1462" s="81"/>
      <c r="G1462" s="73"/>
      <c r="H1462" s="76"/>
      <c r="I1462" s="62"/>
      <c r="J1462" s="62"/>
      <c r="K1462" s="54"/>
      <c r="L1462" s="74"/>
      <c r="M1462" s="62"/>
      <c r="N1462" s="62"/>
      <c r="O1462" s="62"/>
      <c r="P1462" s="75"/>
      <c r="Q1462" s="70"/>
      <c r="R1462" s="71"/>
      <c r="S1462" s="71"/>
      <c r="T1462" s="71"/>
      <c r="U1462" s="68"/>
    </row>
    <row r="1463" spans="2:21">
      <c r="B1463" s="62"/>
      <c r="C1463" s="62"/>
      <c r="D1463" s="80"/>
      <c r="E1463" s="80"/>
      <c r="F1463" s="81"/>
      <c r="G1463" s="73"/>
      <c r="H1463" s="76"/>
      <c r="I1463" s="62"/>
      <c r="J1463" s="62"/>
      <c r="K1463" s="54"/>
      <c r="L1463" s="74"/>
      <c r="M1463" s="62"/>
      <c r="N1463" s="62"/>
      <c r="O1463" s="62"/>
      <c r="P1463" s="75"/>
      <c r="Q1463" s="70"/>
      <c r="R1463" s="71"/>
      <c r="S1463" s="71"/>
      <c r="T1463" s="71"/>
      <c r="U1463" s="68"/>
    </row>
    <row r="1464" spans="2:21">
      <c r="B1464" s="62"/>
      <c r="C1464" s="62"/>
      <c r="D1464" s="80"/>
      <c r="E1464" s="80"/>
      <c r="F1464" s="81"/>
      <c r="G1464" s="73"/>
      <c r="H1464" s="76"/>
      <c r="I1464" s="62"/>
      <c r="J1464" s="62"/>
      <c r="K1464" s="54"/>
      <c r="L1464" s="74"/>
      <c r="M1464" s="62"/>
      <c r="N1464" s="62"/>
      <c r="O1464" s="62"/>
      <c r="P1464" s="75"/>
      <c r="Q1464" s="70"/>
      <c r="R1464" s="71"/>
      <c r="S1464" s="71"/>
      <c r="T1464" s="71"/>
      <c r="U1464" s="68"/>
    </row>
    <row r="1465" spans="2:21">
      <c r="B1465" s="62"/>
      <c r="C1465" s="62"/>
      <c r="D1465" s="80"/>
      <c r="E1465" s="80"/>
      <c r="F1465" s="81"/>
      <c r="G1465" s="73"/>
      <c r="H1465" s="76"/>
      <c r="I1465" s="62"/>
      <c r="J1465" s="62"/>
      <c r="K1465" s="54"/>
      <c r="L1465" s="74"/>
      <c r="M1465" s="62"/>
      <c r="N1465" s="62"/>
      <c r="O1465" s="62"/>
      <c r="P1465" s="75"/>
      <c r="Q1465" s="70"/>
      <c r="R1465" s="71"/>
      <c r="S1465" s="71"/>
      <c r="T1465" s="71"/>
      <c r="U1465" s="68"/>
    </row>
    <row r="1466" spans="2:21">
      <c r="B1466" s="62"/>
      <c r="C1466" s="62"/>
      <c r="D1466" s="80"/>
      <c r="E1466" s="80"/>
      <c r="F1466" s="81"/>
      <c r="G1466" s="73"/>
      <c r="H1466" s="76"/>
      <c r="I1466" s="62"/>
      <c r="J1466" s="62"/>
      <c r="K1466" s="54"/>
      <c r="L1466" s="74"/>
      <c r="M1466" s="62"/>
      <c r="N1466" s="62"/>
      <c r="O1466" s="62"/>
      <c r="P1466" s="75"/>
      <c r="Q1466" s="70"/>
      <c r="R1466" s="71"/>
      <c r="S1466" s="71"/>
      <c r="T1466" s="71"/>
      <c r="U1466" s="68"/>
    </row>
    <row r="1467" spans="2:21">
      <c r="B1467" s="62"/>
      <c r="C1467" s="62"/>
      <c r="D1467" s="80"/>
      <c r="E1467" s="80"/>
      <c r="F1467" s="81"/>
      <c r="G1467" s="73"/>
      <c r="H1467" s="76"/>
      <c r="I1467" s="62"/>
      <c r="J1467" s="62"/>
      <c r="K1467" s="54"/>
      <c r="L1467" s="74"/>
      <c r="M1467" s="62"/>
      <c r="N1467" s="62"/>
      <c r="O1467" s="62"/>
      <c r="P1467" s="75"/>
      <c r="Q1467" s="70"/>
      <c r="R1467" s="71"/>
      <c r="S1467" s="71"/>
      <c r="T1467" s="71"/>
      <c r="U1467" s="68"/>
    </row>
    <row r="1468" spans="2:21">
      <c r="B1468" s="62"/>
      <c r="C1468" s="62"/>
      <c r="D1468" s="80"/>
      <c r="E1468" s="80"/>
      <c r="F1468" s="81"/>
      <c r="G1468" s="73"/>
      <c r="H1468" s="76"/>
      <c r="I1468" s="62"/>
      <c r="J1468" s="62"/>
      <c r="K1468" s="54"/>
      <c r="L1468" s="74"/>
      <c r="M1468" s="62"/>
      <c r="N1468" s="62"/>
      <c r="O1468" s="62"/>
      <c r="P1468" s="75"/>
      <c r="Q1468" s="70"/>
      <c r="R1468" s="71"/>
      <c r="S1468" s="71"/>
      <c r="T1468" s="71"/>
      <c r="U1468" s="68"/>
    </row>
    <row r="1469" spans="2:21">
      <c r="B1469" s="62"/>
      <c r="C1469" s="62"/>
      <c r="D1469" s="80"/>
      <c r="E1469" s="80"/>
      <c r="F1469" s="81"/>
      <c r="G1469" s="73"/>
      <c r="H1469" s="76"/>
      <c r="I1469" s="62"/>
      <c r="J1469" s="62"/>
      <c r="K1469" s="54"/>
      <c r="L1469" s="74"/>
      <c r="M1469" s="62"/>
      <c r="N1469" s="62"/>
      <c r="O1469" s="62"/>
      <c r="P1469" s="75"/>
      <c r="Q1469" s="70"/>
      <c r="R1469" s="71"/>
      <c r="S1469" s="71"/>
      <c r="T1469" s="71"/>
      <c r="U1469" s="68"/>
    </row>
    <row r="1470" spans="2:21">
      <c r="B1470" s="62"/>
      <c r="C1470" s="62"/>
      <c r="D1470" s="80"/>
      <c r="E1470" s="80"/>
      <c r="F1470" s="81"/>
      <c r="G1470" s="73"/>
      <c r="H1470" s="76"/>
      <c r="I1470" s="62"/>
      <c r="J1470" s="62"/>
      <c r="K1470" s="54"/>
      <c r="L1470" s="74"/>
      <c r="M1470" s="62"/>
      <c r="N1470" s="62"/>
      <c r="O1470" s="62"/>
      <c r="P1470" s="75"/>
      <c r="Q1470" s="70"/>
      <c r="R1470" s="71"/>
      <c r="S1470" s="71"/>
      <c r="T1470" s="71"/>
      <c r="U1470" s="68"/>
    </row>
    <row r="1471" spans="2:21">
      <c r="B1471" s="62"/>
      <c r="C1471" s="62"/>
      <c r="D1471" s="80"/>
      <c r="E1471" s="80"/>
      <c r="F1471" s="81"/>
      <c r="G1471" s="73"/>
      <c r="H1471" s="76"/>
      <c r="I1471" s="62"/>
      <c r="J1471" s="62"/>
      <c r="K1471" s="54"/>
      <c r="L1471" s="74"/>
      <c r="M1471" s="62"/>
      <c r="N1471" s="62"/>
      <c r="O1471" s="62"/>
      <c r="P1471" s="75"/>
      <c r="Q1471" s="70"/>
      <c r="R1471" s="71"/>
      <c r="S1471" s="71"/>
      <c r="T1471" s="71"/>
      <c r="U1471" s="68"/>
    </row>
    <row r="1472" spans="2:21">
      <c r="B1472" s="62"/>
      <c r="C1472" s="62"/>
      <c r="D1472" s="80"/>
      <c r="E1472" s="80"/>
      <c r="F1472" s="81"/>
      <c r="G1472" s="73"/>
      <c r="H1472" s="76"/>
      <c r="I1472" s="62"/>
      <c r="J1472" s="62"/>
      <c r="K1472" s="54"/>
      <c r="L1472" s="74"/>
      <c r="M1472" s="62"/>
      <c r="N1472" s="62"/>
      <c r="O1472" s="62"/>
      <c r="P1472" s="75"/>
      <c r="Q1472" s="70"/>
      <c r="R1472" s="71"/>
      <c r="S1472" s="71"/>
      <c r="T1472" s="71"/>
      <c r="U1472" s="68"/>
    </row>
    <row r="1473" spans="2:21">
      <c r="B1473" s="62"/>
      <c r="C1473" s="62"/>
      <c r="D1473" s="80"/>
      <c r="E1473" s="80"/>
      <c r="F1473" s="81"/>
      <c r="G1473" s="73"/>
      <c r="H1473" s="76"/>
      <c r="I1473" s="62"/>
      <c r="J1473" s="62"/>
      <c r="K1473" s="54"/>
      <c r="L1473" s="74"/>
      <c r="M1473" s="62"/>
      <c r="N1473" s="62"/>
      <c r="O1473" s="62"/>
      <c r="P1473" s="75"/>
      <c r="Q1473" s="70"/>
      <c r="R1473" s="71"/>
      <c r="S1473" s="71"/>
      <c r="T1473" s="71"/>
      <c r="U1473" s="68"/>
    </row>
    <row r="1474" spans="2:21">
      <c r="B1474" s="62"/>
      <c r="C1474" s="62"/>
      <c r="D1474" s="80"/>
      <c r="E1474" s="80"/>
      <c r="F1474" s="81"/>
      <c r="G1474" s="73"/>
      <c r="H1474" s="76"/>
      <c r="I1474" s="62"/>
      <c r="J1474" s="62"/>
      <c r="K1474" s="54"/>
      <c r="L1474" s="74"/>
      <c r="M1474" s="62"/>
      <c r="N1474" s="62"/>
      <c r="O1474" s="62"/>
      <c r="P1474" s="75"/>
      <c r="Q1474" s="70"/>
      <c r="R1474" s="71"/>
      <c r="S1474" s="71"/>
      <c r="T1474" s="71"/>
      <c r="U1474" s="68"/>
    </row>
    <row r="1475" spans="2:21">
      <c r="B1475" s="62"/>
      <c r="C1475" s="62"/>
      <c r="D1475" s="80"/>
      <c r="E1475" s="80"/>
      <c r="F1475" s="81"/>
      <c r="G1475" s="73"/>
      <c r="H1475" s="76"/>
      <c r="I1475" s="62"/>
      <c r="J1475" s="62"/>
      <c r="K1475" s="54"/>
      <c r="L1475" s="74"/>
      <c r="M1475" s="62"/>
      <c r="N1475" s="62"/>
      <c r="O1475" s="62"/>
      <c r="P1475" s="75"/>
      <c r="Q1475" s="70"/>
      <c r="R1475" s="71"/>
      <c r="S1475" s="71"/>
      <c r="T1475" s="71"/>
      <c r="U1475" s="68"/>
    </row>
    <row r="1476" spans="2:21">
      <c r="B1476" s="62"/>
      <c r="C1476" s="62"/>
      <c r="D1476" s="80"/>
      <c r="E1476" s="80"/>
      <c r="F1476" s="81"/>
      <c r="G1476" s="73"/>
      <c r="H1476" s="76"/>
      <c r="I1476" s="62"/>
      <c r="J1476" s="62"/>
      <c r="K1476" s="54"/>
      <c r="L1476" s="74"/>
      <c r="M1476" s="62"/>
      <c r="N1476" s="62"/>
      <c r="O1476" s="62"/>
      <c r="P1476" s="75"/>
      <c r="Q1476" s="70"/>
      <c r="R1476" s="71"/>
      <c r="S1476" s="71"/>
      <c r="T1476" s="71"/>
      <c r="U1476" s="68"/>
    </row>
    <row r="1477" spans="2:21">
      <c r="B1477" s="62"/>
      <c r="C1477" s="62"/>
      <c r="D1477" s="80"/>
      <c r="E1477" s="80"/>
      <c r="F1477" s="81"/>
      <c r="G1477" s="73"/>
      <c r="H1477" s="76"/>
      <c r="I1477" s="62"/>
      <c r="J1477" s="62"/>
      <c r="K1477" s="54"/>
      <c r="L1477" s="74"/>
      <c r="M1477" s="62"/>
      <c r="N1477" s="62"/>
      <c r="O1477" s="62"/>
      <c r="P1477" s="75"/>
      <c r="Q1477" s="70"/>
      <c r="R1477" s="71"/>
      <c r="S1477" s="71"/>
      <c r="T1477" s="71"/>
      <c r="U1477" s="68"/>
    </row>
    <row r="1478" spans="2:21">
      <c r="B1478" s="62"/>
      <c r="C1478" s="62"/>
      <c r="D1478" s="80"/>
      <c r="E1478" s="80"/>
      <c r="F1478" s="81"/>
      <c r="G1478" s="73"/>
      <c r="H1478" s="76"/>
      <c r="I1478" s="62"/>
      <c r="J1478" s="62"/>
      <c r="K1478" s="54"/>
      <c r="L1478" s="74"/>
      <c r="M1478" s="62"/>
      <c r="N1478" s="62"/>
      <c r="O1478" s="62"/>
      <c r="P1478" s="75"/>
      <c r="Q1478" s="70"/>
      <c r="R1478" s="71"/>
      <c r="S1478" s="71"/>
      <c r="T1478" s="71"/>
      <c r="U1478" s="68"/>
    </row>
    <row r="1479" spans="2:21">
      <c r="B1479" s="62"/>
      <c r="C1479" s="62"/>
      <c r="D1479" s="80"/>
      <c r="E1479" s="80"/>
      <c r="F1479" s="81"/>
      <c r="G1479" s="73"/>
      <c r="H1479" s="76"/>
      <c r="I1479" s="62"/>
      <c r="J1479" s="62"/>
      <c r="K1479" s="54"/>
      <c r="L1479" s="74"/>
      <c r="M1479" s="62"/>
      <c r="N1479" s="62"/>
      <c r="O1479" s="62"/>
      <c r="P1479" s="75"/>
      <c r="Q1479" s="70"/>
      <c r="R1479" s="71"/>
      <c r="S1479" s="71"/>
      <c r="T1479" s="71"/>
      <c r="U1479" s="68"/>
    </row>
    <row r="1480" spans="2:21">
      <c r="B1480" s="62"/>
      <c r="C1480" s="62"/>
      <c r="D1480" s="80"/>
      <c r="E1480" s="80"/>
      <c r="F1480" s="81"/>
      <c r="G1480" s="73"/>
      <c r="H1480" s="76"/>
      <c r="I1480" s="62"/>
      <c r="J1480" s="62"/>
      <c r="K1480" s="54"/>
      <c r="L1480" s="74"/>
      <c r="M1480" s="62"/>
      <c r="N1480" s="62"/>
      <c r="O1480" s="62"/>
      <c r="P1480" s="75"/>
      <c r="Q1480" s="70"/>
      <c r="R1480" s="71"/>
      <c r="S1480" s="71"/>
      <c r="T1480" s="71"/>
      <c r="U1480" s="68"/>
    </row>
    <row r="1481" spans="2:21">
      <c r="B1481" s="62"/>
      <c r="C1481" s="62"/>
      <c r="D1481" s="80"/>
      <c r="E1481" s="80"/>
      <c r="F1481" s="81"/>
      <c r="G1481" s="73"/>
      <c r="H1481" s="76"/>
      <c r="I1481" s="62"/>
      <c r="J1481" s="62"/>
      <c r="K1481" s="54"/>
      <c r="L1481" s="74"/>
      <c r="M1481" s="62"/>
      <c r="N1481" s="62"/>
      <c r="O1481" s="62"/>
      <c r="P1481" s="75"/>
      <c r="Q1481" s="70"/>
      <c r="R1481" s="71"/>
      <c r="S1481" s="71"/>
      <c r="T1481" s="71"/>
      <c r="U1481" s="68"/>
    </row>
    <row r="1482" spans="2:21">
      <c r="B1482" s="62"/>
      <c r="C1482" s="62"/>
      <c r="D1482" s="80"/>
      <c r="E1482" s="80"/>
      <c r="F1482" s="81"/>
      <c r="G1482" s="73"/>
      <c r="H1482" s="76"/>
      <c r="I1482" s="62"/>
      <c r="J1482" s="62"/>
      <c r="K1482" s="54"/>
      <c r="L1482" s="74"/>
      <c r="M1482" s="62"/>
      <c r="N1482" s="62"/>
      <c r="O1482" s="62"/>
      <c r="P1482" s="75"/>
      <c r="Q1482" s="70"/>
      <c r="R1482" s="71"/>
      <c r="S1482" s="71"/>
      <c r="T1482" s="71"/>
      <c r="U1482" s="68"/>
    </row>
    <row r="1483" spans="2:21">
      <c r="B1483" s="62"/>
      <c r="C1483" s="62"/>
      <c r="D1483" s="80"/>
      <c r="E1483" s="80"/>
      <c r="F1483" s="81"/>
      <c r="G1483" s="73"/>
      <c r="H1483" s="76"/>
      <c r="I1483" s="62"/>
      <c r="J1483" s="62"/>
      <c r="K1483" s="54"/>
      <c r="L1483" s="74"/>
      <c r="M1483" s="62"/>
      <c r="N1483" s="62"/>
      <c r="O1483" s="62"/>
      <c r="P1483" s="75"/>
      <c r="Q1483" s="70"/>
      <c r="R1483" s="71"/>
      <c r="S1483" s="71"/>
      <c r="T1483" s="71"/>
      <c r="U1483" s="68"/>
    </row>
    <row r="1484" spans="2:21">
      <c r="B1484" s="62"/>
      <c r="C1484" s="62"/>
      <c r="D1484" s="80"/>
      <c r="E1484" s="80"/>
      <c r="F1484" s="81"/>
      <c r="G1484" s="73"/>
      <c r="H1484" s="76"/>
      <c r="I1484" s="62"/>
      <c r="J1484" s="62"/>
      <c r="K1484" s="54"/>
      <c r="L1484" s="74"/>
      <c r="M1484" s="62"/>
      <c r="N1484" s="62"/>
      <c r="O1484" s="62"/>
      <c r="P1484" s="75"/>
      <c r="Q1484" s="70"/>
      <c r="R1484" s="71"/>
      <c r="S1484" s="71"/>
      <c r="T1484" s="71"/>
      <c r="U1484" s="68"/>
    </row>
    <row r="1485" spans="2:21">
      <c r="B1485" s="62"/>
      <c r="C1485" s="62"/>
      <c r="D1485" s="80"/>
      <c r="E1485" s="80"/>
      <c r="F1485" s="81"/>
      <c r="G1485" s="73"/>
      <c r="H1485" s="76"/>
      <c r="I1485" s="62"/>
      <c r="J1485" s="62"/>
      <c r="K1485" s="54"/>
      <c r="L1485" s="74"/>
      <c r="M1485" s="62"/>
      <c r="N1485" s="62"/>
      <c r="O1485" s="62"/>
      <c r="P1485" s="75"/>
      <c r="Q1485" s="70"/>
      <c r="R1485" s="71"/>
      <c r="S1485" s="71"/>
      <c r="T1485" s="71"/>
      <c r="U1485" s="68"/>
    </row>
    <row r="1486" spans="2:21">
      <c r="B1486" s="62"/>
      <c r="C1486" s="62"/>
      <c r="D1486" s="80"/>
      <c r="E1486" s="80"/>
      <c r="F1486" s="81"/>
      <c r="G1486" s="73"/>
      <c r="H1486" s="76"/>
      <c r="I1486" s="62"/>
      <c r="J1486" s="62"/>
      <c r="K1486" s="54"/>
      <c r="L1486" s="74"/>
      <c r="M1486" s="62"/>
      <c r="N1486" s="62"/>
      <c r="O1486" s="62"/>
      <c r="P1486" s="75"/>
      <c r="Q1486" s="70"/>
      <c r="R1486" s="71"/>
      <c r="S1486" s="71"/>
      <c r="T1486" s="71"/>
      <c r="U1486" s="68"/>
    </row>
    <row r="1487" spans="2:21">
      <c r="B1487" s="62"/>
      <c r="C1487" s="62"/>
      <c r="D1487" s="80"/>
      <c r="E1487" s="80"/>
      <c r="F1487" s="81"/>
      <c r="G1487" s="73"/>
      <c r="H1487" s="76"/>
      <c r="I1487" s="62"/>
      <c r="J1487" s="62"/>
      <c r="K1487" s="54"/>
      <c r="L1487" s="74"/>
      <c r="M1487" s="62"/>
      <c r="N1487" s="62"/>
      <c r="O1487" s="62"/>
      <c r="P1487" s="75"/>
      <c r="Q1487" s="70"/>
      <c r="R1487" s="71"/>
      <c r="S1487" s="71"/>
      <c r="T1487" s="71"/>
      <c r="U1487" s="68"/>
    </row>
    <row r="1488" spans="2:21">
      <c r="B1488" s="62"/>
      <c r="C1488" s="62"/>
      <c r="D1488" s="80"/>
      <c r="E1488" s="80"/>
      <c r="F1488" s="81"/>
      <c r="G1488" s="73"/>
      <c r="H1488" s="76"/>
      <c r="I1488" s="62"/>
      <c r="J1488" s="62"/>
      <c r="K1488" s="54"/>
      <c r="L1488" s="74"/>
      <c r="M1488" s="62"/>
      <c r="N1488" s="62"/>
      <c r="O1488" s="62"/>
      <c r="P1488" s="75"/>
      <c r="Q1488" s="70"/>
      <c r="R1488" s="71"/>
      <c r="S1488" s="71"/>
      <c r="T1488" s="71"/>
      <c r="U1488" s="68"/>
    </row>
    <row r="1489" spans="2:21">
      <c r="B1489" s="62"/>
      <c r="C1489" s="62"/>
      <c r="D1489" s="80"/>
      <c r="E1489" s="80"/>
      <c r="F1489" s="81"/>
      <c r="G1489" s="73"/>
      <c r="H1489" s="76"/>
      <c r="I1489" s="62"/>
      <c r="J1489" s="62"/>
      <c r="K1489" s="54"/>
      <c r="L1489" s="74"/>
      <c r="M1489" s="62"/>
      <c r="N1489" s="62"/>
      <c r="O1489" s="62"/>
      <c r="P1489" s="75"/>
      <c r="Q1489" s="70"/>
      <c r="R1489" s="71"/>
      <c r="S1489" s="71"/>
      <c r="T1489" s="71"/>
      <c r="U1489" s="68"/>
    </row>
    <row r="1490" spans="2:21">
      <c r="B1490" s="62"/>
      <c r="C1490" s="62"/>
      <c r="D1490" s="80"/>
      <c r="E1490" s="80"/>
      <c r="F1490" s="81"/>
      <c r="G1490" s="73"/>
      <c r="H1490" s="76"/>
      <c r="I1490" s="62"/>
      <c r="J1490" s="62"/>
      <c r="K1490" s="54"/>
      <c r="L1490" s="74"/>
      <c r="M1490" s="62"/>
      <c r="N1490" s="62"/>
      <c r="O1490" s="62"/>
      <c r="P1490" s="75"/>
      <c r="Q1490" s="70"/>
      <c r="R1490" s="71"/>
      <c r="S1490" s="71"/>
      <c r="T1490" s="71"/>
      <c r="U1490" s="68"/>
    </row>
    <row r="1491" spans="2:21">
      <c r="B1491" s="62"/>
      <c r="C1491" s="62"/>
      <c r="D1491" s="80"/>
      <c r="E1491" s="80"/>
      <c r="F1491" s="81"/>
      <c r="G1491" s="73"/>
      <c r="H1491" s="76"/>
      <c r="I1491" s="62"/>
      <c r="J1491" s="62"/>
      <c r="K1491" s="54"/>
      <c r="L1491" s="74"/>
      <c r="M1491" s="62"/>
      <c r="N1491" s="62"/>
      <c r="O1491" s="62"/>
      <c r="P1491" s="75"/>
      <c r="Q1491" s="70"/>
      <c r="R1491" s="71"/>
      <c r="S1491" s="71"/>
      <c r="T1491" s="71"/>
      <c r="U1491" s="68"/>
    </row>
    <row r="1492" spans="2:21">
      <c r="B1492" s="62"/>
      <c r="C1492" s="62"/>
      <c r="D1492" s="80"/>
      <c r="E1492" s="80"/>
      <c r="F1492" s="81"/>
      <c r="G1492" s="73"/>
      <c r="H1492" s="76"/>
      <c r="I1492" s="62"/>
      <c r="J1492" s="62"/>
      <c r="K1492" s="54"/>
      <c r="L1492" s="74"/>
      <c r="M1492" s="62"/>
      <c r="N1492" s="62"/>
      <c r="O1492" s="62"/>
      <c r="P1492" s="75"/>
      <c r="Q1492" s="70"/>
      <c r="R1492" s="71"/>
      <c r="S1492" s="71"/>
      <c r="T1492" s="71"/>
      <c r="U1492" s="68"/>
    </row>
    <row r="1493" spans="2:21">
      <c r="B1493" s="62"/>
      <c r="C1493" s="62"/>
      <c r="D1493" s="80"/>
      <c r="E1493" s="80"/>
      <c r="F1493" s="81"/>
      <c r="G1493" s="73"/>
      <c r="H1493" s="76"/>
      <c r="I1493" s="62"/>
      <c r="J1493" s="62"/>
      <c r="K1493" s="54"/>
      <c r="L1493" s="74"/>
      <c r="M1493" s="62"/>
      <c r="N1493" s="62"/>
      <c r="O1493" s="62"/>
      <c r="P1493" s="75"/>
      <c r="Q1493" s="70"/>
      <c r="R1493" s="71"/>
      <c r="S1493" s="71"/>
      <c r="T1493" s="71"/>
      <c r="U1493" s="68"/>
    </row>
    <row r="1494" spans="2:21">
      <c r="B1494" s="62"/>
      <c r="C1494" s="62"/>
      <c r="D1494" s="80"/>
      <c r="E1494" s="80"/>
      <c r="F1494" s="81"/>
      <c r="G1494" s="73"/>
      <c r="H1494" s="76"/>
      <c r="I1494" s="62"/>
      <c r="J1494" s="62"/>
      <c r="K1494" s="54"/>
      <c r="L1494" s="74"/>
      <c r="M1494" s="62"/>
      <c r="N1494" s="62"/>
      <c r="O1494" s="62"/>
      <c r="P1494" s="75"/>
      <c r="Q1494" s="70"/>
      <c r="R1494" s="71"/>
      <c r="S1494" s="71"/>
      <c r="T1494" s="71"/>
      <c r="U1494" s="68"/>
    </row>
    <row r="1495" spans="2:21">
      <c r="B1495" s="62"/>
      <c r="C1495" s="62"/>
      <c r="D1495" s="80"/>
      <c r="E1495" s="80"/>
      <c r="F1495" s="81"/>
      <c r="G1495" s="73"/>
      <c r="H1495" s="76"/>
      <c r="I1495" s="62"/>
      <c r="J1495" s="62"/>
      <c r="K1495" s="54"/>
      <c r="L1495" s="74"/>
      <c r="M1495" s="62"/>
      <c r="N1495" s="62"/>
      <c r="O1495" s="62"/>
      <c r="P1495" s="75"/>
      <c r="Q1495" s="70"/>
      <c r="R1495" s="71"/>
      <c r="S1495" s="71"/>
      <c r="T1495" s="71"/>
      <c r="U1495" s="68"/>
    </row>
    <row r="1496" spans="2:21">
      <c r="B1496" s="62"/>
      <c r="C1496" s="62"/>
      <c r="D1496" s="80"/>
      <c r="E1496" s="80"/>
      <c r="F1496" s="81"/>
      <c r="G1496" s="73"/>
      <c r="H1496" s="76"/>
      <c r="I1496" s="62"/>
      <c r="J1496" s="62"/>
      <c r="K1496" s="54"/>
      <c r="L1496" s="74"/>
      <c r="M1496" s="62"/>
      <c r="N1496" s="62"/>
      <c r="O1496" s="62"/>
      <c r="P1496" s="75"/>
      <c r="Q1496" s="70"/>
      <c r="R1496" s="71"/>
      <c r="S1496" s="71"/>
      <c r="T1496" s="71"/>
      <c r="U1496" s="68"/>
    </row>
    <row r="1497" spans="2:21">
      <c r="B1497" s="62"/>
      <c r="C1497" s="62"/>
      <c r="D1497" s="80"/>
      <c r="E1497" s="80"/>
      <c r="F1497" s="81"/>
      <c r="G1497" s="73"/>
      <c r="H1497" s="76"/>
      <c r="I1497" s="62"/>
      <c r="J1497" s="62"/>
      <c r="K1497" s="54"/>
      <c r="L1497" s="74"/>
      <c r="M1497" s="62"/>
      <c r="N1497" s="62"/>
      <c r="O1497" s="62"/>
      <c r="P1497" s="75"/>
      <c r="Q1497" s="70"/>
      <c r="R1497" s="71"/>
      <c r="S1497" s="71"/>
      <c r="T1497" s="71"/>
      <c r="U1497" s="68"/>
    </row>
    <row r="1498" spans="2:21">
      <c r="B1498" s="62"/>
      <c r="C1498" s="62"/>
      <c r="D1498" s="80"/>
      <c r="E1498" s="80"/>
      <c r="F1498" s="81"/>
      <c r="G1498" s="73"/>
      <c r="H1498" s="76"/>
      <c r="I1498" s="62"/>
      <c r="J1498" s="62"/>
      <c r="K1498" s="54"/>
      <c r="L1498" s="74"/>
      <c r="M1498" s="62"/>
      <c r="N1498" s="62"/>
      <c r="O1498" s="62"/>
      <c r="P1498" s="75"/>
      <c r="Q1498" s="70"/>
      <c r="R1498" s="71"/>
      <c r="S1498" s="71"/>
      <c r="T1498" s="71"/>
      <c r="U1498" s="68"/>
    </row>
    <row r="1499" spans="2:21">
      <c r="B1499" s="62"/>
      <c r="C1499" s="62"/>
      <c r="D1499" s="80"/>
      <c r="E1499" s="80"/>
      <c r="F1499" s="81"/>
      <c r="G1499" s="73"/>
      <c r="H1499" s="76"/>
      <c r="I1499" s="62"/>
      <c r="J1499" s="62"/>
      <c r="K1499" s="54"/>
      <c r="L1499" s="74"/>
      <c r="M1499" s="62"/>
      <c r="N1499" s="62"/>
      <c r="O1499" s="62"/>
      <c r="P1499" s="75"/>
      <c r="Q1499" s="70"/>
      <c r="R1499" s="71"/>
      <c r="S1499" s="71"/>
      <c r="T1499" s="71"/>
      <c r="U1499" s="68"/>
    </row>
    <row r="1500" spans="2:21">
      <c r="B1500" s="62"/>
      <c r="C1500" s="62"/>
      <c r="D1500" s="80"/>
      <c r="E1500" s="80"/>
      <c r="F1500" s="81"/>
      <c r="G1500" s="73"/>
      <c r="H1500" s="76"/>
      <c r="I1500" s="62"/>
      <c r="J1500" s="62"/>
      <c r="K1500" s="54"/>
      <c r="L1500" s="74"/>
      <c r="M1500" s="62"/>
      <c r="N1500" s="62"/>
      <c r="O1500" s="62"/>
      <c r="P1500" s="75"/>
      <c r="Q1500" s="70"/>
      <c r="R1500" s="71"/>
      <c r="S1500" s="71"/>
      <c r="T1500" s="71"/>
      <c r="U1500" s="68"/>
    </row>
    <row r="1501" spans="2:21">
      <c r="B1501" s="62"/>
      <c r="C1501" s="62"/>
      <c r="D1501" s="80"/>
      <c r="E1501" s="80"/>
      <c r="F1501" s="81"/>
      <c r="G1501" s="73"/>
      <c r="H1501" s="76"/>
      <c r="I1501" s="62"/>
      <c r="J1501" s="62"/>
      <c r="K1501" s="54"/>
      <c r="L1501" s="74"/>
      <c r="M1501" s="62"/>
      <c r="N1501" s="62"/>
      <c r="O1501" s="62"/>
      <c r="P1501" s="75"/>
      <c r="Q1501" s="70"/>
      <c r="R1501" s="71"/>
      <c r="S1501" s="71"/>
      <c r="T1501" s="71"/>
      <c r="U1501" s="68"/>
    </row>
    <row r="1502" spans="2:21">
      <c r="B1502" s="62"/>
      <c r="C1502" s="62"/>
      <c r="D1502" s="80"/>
      <c r="E1502" s="80"/>
      <c r="F1502" s="81"/>
      <c r="G1502" s="73"/>
      <c r="H1502" s="76"/>
      <c r="I1502" s="62"/>
      <c r="J1502" s="62"/>
      <c r="K1502" s="54"/>
      <c r="L1502" s="74"/>
      <c r="M1502" s="62"/>
      <c r="N1502" s="62"/>
      <c r="O1502" s="62"/>
      <c r="P1502" s="75"/>
      <c r="Q1502" s="70"/>
      <c r="R1502" s="71"/>
      <c r="S1502" s="71"/>
      <c r="T1502" s="71"/>
      <c r="U1502" s="68"/>
    </row>
    <row r="1503" spans="2:21">
      <c r="B1503" s="62"/>
      <c r="C1503" s="62"/>
      <c r="D1503" s="80"/>
      <c r="E1503" s="80"/>
      <c r="F1503" s="81"/>
      <c r="G1503" s="73"/>
      <c r="H1503" s="76"/>
      <c r="I1503" s="62"/>
      <c r="J1503" s="62"/>
      <c r="K1503" s="54"/>
      <c r="L1503" s="74"/>
      <c r="M1503" s="62"/>
      <c r="N1503" s="62"/>
      <c r="O1503" s="62"/>
      <c r="P1503" s="75"/>
      <c r="Q1503" s="70"/>
      <c r="R1503" s="71"/>
      <c r="S1503" s="71"/>
      <c r="T1503" s="71"/>
      <c r="U1503" s="68"/>
    </row>
    <row r="1504" spans="2:21">
      <c r="B1504" s="62"/>
      <c r="C1504" s="62"/>
      <c r="D1504" s="80"/>
      <c r="E1504" s="80"/>
      <c r="F1504" s="81"/>
      <c r="G1504" s="73"/>
      <c r="H1504" s="76"/>
      <c r="I1504" s="62"/>
      <c r="J1504" s="62"/>
      <c r="K1504" s="54"/>
      <c r="L1504" s="74"/>
      <c r="M1504" s="62"/>
      <c r="N1504" s="62"/>
      <c r="O1504" s="62"/>
      <c r="P1504" s="75"/>
      <c r="Q1504" s="70"/>
      <c r="R1504" s="71"/>
      <c r="S1504" s="71"/>
      <c r="T1504" s="71"/>
      <c r="U1504" s="68"/>
    </row>
    <row r="1505" spans="2:21">
      <c r="B1505" s="62"/>
      <c r="C1505" s="62"/>
      <c r="D1505" s="80"/>
      <c r="E1505" s="80"/>
      <c r="F1505" s="81"/>
      <c r="G1505" s="73"/>
      <c r="H1505" s="76"/>
      <c r="I1505" s="62"/>
      <c r="J1505" s="62"/>
      <c r="K1505" s="54"/>
      <c r="L1505" s="74"/>
      <c r="M1505" s="62"/>
      <c r="N1505" s="62"/>
      <c r="O1505" s="62"/>
      <c r="P1505" s="75"/>
      <c r="Q1505" s="70"/>
      <c r="R1505" s="71"/>
      <c r="S1505" s="71"/>
      <c r="T1505" s="71"/>
      <c r="U1505" s="68"/>
    </row>
    <row r="1506" spans="2:21">
      <c r="B1506" s="62"/>
      <c r="C1506" s="62"/>
      <c r="D1506" s="80"/>
      <c r="E1506" s="80"/>
      <c r="F1506" s="81"/>
      <c r="G1506" s="73"/>
      <c r="H1506" s="76"/>
      <c r="I1506" s="62"/>
      <c r="J1506" s="62"/>
      <c r="K1506" s="54"/>
      <c r="L1506" s="74"/>
      <c r="M1506" s="62"/>
      <c r="N1506" s="62"/>
      <c r="O1506" s="62"/>
      <c r="P1506" s="75"/>
      <c r="Q1506" s="70"/>
      <c r="R1506" s="71"/>
      <c r="S1506" s="71"/>
      <c r="T1506" s="71"/>
      <c r="U1506" s="68"/>
    </row>
    <row r="1507" spans="2:21">
      <c r="B1507" s="62"/>
      <c r="C1507" s="62"/>
      <c r="D1507" s="80"/>
      <c r="E1507" s="80"/>
      <c r="F1507" s="81"/>
      <c r="G1507" s="73"/>
      <c r="H1507" s="76"/>
      <c r="I1507" s="62"/>
      <c r="J1507" s="62"/>
      <c r="K1507" s="54"/>
      <c r="L1507" s="74"/>
      <c r="M1507" s="62"/>
      <c r="N1507" s="62"/>
      <c r="O1507" s="62"/>
      <c r="P1507" s="75"/>
      <c r="Q1507" s="70"/>
      <c r="R1507" s="71"/>
      <c r="S1507" s="71"/>
      <c r="T1507" s="71"/>
      <c r="U1507" s="68"/>
    </row>
    <row r="1508" spans="2:21">
      <c r="B1508" s="62"/>
      <c r="C1508" s="62"/>
      <c r="D1508" s="80"/>
      <c r="E1508" s="80"/>
      <c r="F1508" s="81"/>
      <c r="G1508" s="73"/>
      <c r="H1508" s="76"/>
      <c r="I1508" s="62"/>
      <c r="J1508" s="62"/>
      <c r="K1508" s="54"/>
      <c r="L1508" s="74"/>
      <c r="M1508" s="62"/>
      <c r="N1508" s="62"/>
      <c r="O1508" s="62"/>
      <c r="P1508" s="75"/>
      <c r="Q1508" s="70"/>
      <c r="R1508" s="71"/>
      <c r="S1508" s="71"/>
      <c r="T1508" s="71"/>
      <c r="U1508" s="68"/>
    </row>
    <row r="1509" spans="2:21">
      <c r="B1509" s="62"/>
      <c r="C1509" s="62"/>
      <c r="D1509" s="80"/>
      <c r="E1509" s="80"/>
      <c r="F1509" s="81"/>
      <c r="G1509" s="73"/>
      <c r="H1509" s="76"/>
      <c r="I1509" s="62"/>
      <c r="J1509" s="62"/>
      <c r="K1509" s="54"/>
      <c r="L1509" s="74"/>
      <c r="M1509" s="62"/>
      <c r="N1509" s="62"/>
      <c r="O1509" s="62"/>
      <c r="P1509" s="75"/>
      <c r="Q1509" s="70"/>
      <c r="R1509" s="71"/>
      <c r="S1509" s="71"/>
      <c r="T1509" s="71"/>
      <c r="U1509" s="68"/>
    </row>
    <row r="1510" spans="2:21">
      <c r="B1510" s="62"/>
      <c r="C1510" s="62"/>
      <c r="D1510" s="80"/>
      <c r="E1510" s="80"/>
      <c r="F1510" s="81"/>
      <c r="G1510" s="73"/>
      <c r="H1510" s="76"/>
      <c r="I1510" s="62"/>
      <c r="J1510" s="62"/>
      <c r="K1510" s="54"/>
      <c r="L1510" s="74"/>
      <c r="M1510" s="62"/>
      <c r="N1510" s="62"/>
      <c r="O1510" s="62"/>
      <c r="P1510" s="75"/>
      <c r="Q1510" s="70"/>
      <c r="R1510" s="71"/>
      <c r="S1510" s="71"/>
      <c r="T1510" s="71"/>
      <c r="U1510" s="68"/>
    </row>
    <row r="1511" spans="2:21">
      <c r="B1511" s="62"/>
      <c r="C1511" s="62"/>
      <c r="D1511" s="80"/>
      <c r="E1511" s="80"/>
      <c r="F1511" s="81"/>
      <c r="G1511" s="73"/>
      <c r="H1511" s="76"/>
      <c r="I1511" s="62"/>
      <c r="J1511" s="62"/>
      <c r="K1511" s="54"/>
      <c r="L1511" s="74"/>
      <c r="M1511" s="62"/>
      <c r="N1511" s="62"/>
      <c r="O1511" s="62"/>
      <c r="P1511" s="75"/>
      <c r="Q1511" s="70"/>
      <c r="R1511" s="71"/>
      <c r="S1511" s="71"/>
      <c r="T1511" s="71"/>
      <c r="U1511" s="68"/>
    </row>
    <row r="1512" spans="2:21">
      <c r="B1512" s="62"/>
      <c r="C1512" s="62"/>
      <c r="D1512" s="80"/>
      <c r="E1512" s="80"/>
      <c r="F1512" s="81"/>
      <c r="G1512" s="73"/>
      <c r="H1512" s="76"/>
      <c r="I1512" s="62"/>
      <c r="J1512" s="62"/>
      <c r="K1512" s="54"/>
      <c r="L1512" s="74"/>
      <c r="M1512" s="62"/>
      <c r="N1512" s="62"/>
      <c r="O1512" s="62"/>
      <c r="P1512" s="75"/>
      <c r="Q1512" s="70"/>
      <c r="R1512" s="71"/>
      <c r="S1512" s="71"/>
      <c r="T1512" s="71"/>
      <c r="U1512" s="68"/>
    </row>
    <row r="1513" spans="2:21">
      <c r="B1513" s="62"/>
      <c r="C1513" s="62"/>
      <c r="D1513" s="80"/>
      <c r="E1513" s="80"/>
      <c r="F1513" s="81"/>
      <c r="G1513" s="73"/>
      <c r="H1513" s="76"/>
      <c r="I1513" s="62"/>
      <c r="J1513" s="62"/>
      <c r="K1513" s="54"/>
      <c r="L1513" s="74"/>
      <c r="M1513" s="62"/>
      <c r="N1513" s="62"/>
      <c r="O1513" s="62"/>
      <c r="P1513" s="75"/>
      <c r="Q1513" s="70"/>
      <c r="R1513" s="71"/>
      <c r="S1513" s="71"/>
      <c r="T1513" s="71"/>
      <c r="U1513" s="68"/>
    </row>
    <row r="1514" spans="2:21">
      <c r="B1514" s="62"/>
      <c r="C1514" s="62"/>
      <c r="D1514" s="80"/>
      <c r="E1514" s="80"/>
      <c r="F1514" s="81"/>
      <c r="G1514" s="73"/>
      <c r="H1514" s="76"/>
      <c r="I1514" s="62"/>
      <c r="J1514" s="62"/>
      <c r="K1514" s="54"/>
      <c r="L1514" s="74"/>
      <c r="M1514" s="62"/>
      <c r="N1514" s="62"/>
      <c r="O1514" s="62"/>
      <c r="P1514" s="75"/>
      <c r="Q1514" s="70"/>
      <c r="R1514" s="71"/>
      <c r="S1514" s="71"/>
      <c r="T1514" s="71"/>
      <c r="U1514" s="68"/>
    </row>
    <row r="1515" spans="2:21">
      <c r="B1515" s="62"/>
      <c r="C1515" s="62"/>
      <c r="D1515" s="80"/>
      <c r="E1515" s="80"/>
      <c r="F1515" s="81"/>
      <c r="G1515" s="73"/>
      <c r="H1515" s="76"/>
      <c r="I1515" s="62"/>
      <c r="J1515" s="62"/>
      <c r="K1515" s="54"/>
      <c r="L1515" s="74"/>
      <c r="M1515" s="62"/>
      <c r="N1515" s="62"/>
      <c r="O1515" s="62"/>
      <c r="P1515" s="75"/>
      <c r="Q1515" s="70"/>
      <c r="R1515" s="71"/>
      <c r="S1515" s="71"/>
      <c r="T1515" s="71"/>
      <c r="U1515" s="68"/>
    </row>
    <row r="1516" spans="2:21">
      <c r="B1516" s="62"/>
      <c r="C1516" s="62"/>
      <c r="D1516" s="80"/>
      <c r="E1516" s="80"/>
      <c r="F1516" s="81"/>
      <c r="G1516" s="73"/>
      <c r="H1516" s="76"/>
      <c r="I1516" s="62"/>
      <c r="J1516" s="62"/>
      <c r="K1516" s="54"/>
      <c r="L1516" s="74"/>
      <c r="M1516" s="62"/>
      <c r="N1516" s="62"/>
      <c r="O1516" s="62"/>
      <c r="P1516" s="75"/>
      <c r="Q1516" s="70"/>
      <c r="R1516" s="71"/>
      <c r="S1516" s="71"/>
      <c r="T1516" s="71"/>
      <c r="U1516" s="68"/>
    </row>
    <row r="1517" spans="2:21">
      <c r="B1517" s="62"/>
      <c r="C1517" s="62"/>
      <c r="D1517" s="80"/>
      <c r="E1517" s="80"/>
      <c r="F1517" s="81"/>
      <c r="G1517" s="73"/>
      <c r="H1517" s="76"/>
      <c r="I1517" s="62"/>
      <c r="J1517" s="62"/>
      <c r="K1517" s="54"/>
      <c r="L1517" s="74"/>
      <c r="M1517" s="62"/>
      <c r="N1517" s="62"/>
      <c r="O1517" s="62"/>
      <c r="P1517" s="75"/>
      <c r="Q1517" s="70"/>
      <c r="R1517" s="71"/>
      <c r="S1517" s="71"/>
      <c r="T1517" s="71"/>
      <c r="U1517" s="68"/>
    </row>
    <row r="1518" spans="2:21">
      <c r="B1518" s="62"/>
      <c r="C1518" s="62"/>
      <c r="D1518" s="80"/>
      <c r="E1518" s="80"/>
      <c r="F1518" s="81"/>
      <c r="G1518" s="73"/>
      <c r="H1518" s="76"/>
      <c r="I1518" s="62"/>
      <c r="J1518" s="62"/>
      <c r="K1518" s="54"/>
      <c r="L1518" s="74"/>
      <c r="M1518" s="62"/>
      <c r="N1518" s="62"/>
      <c r="O1518" s="62"/>
      <c r="P1518" s="75"/>
      <c r="Q1518" s="70"/>
      <c r="R1518" s="71"/>
      <c r="S1518" s="71"/>
      <c r="T1518" s="71"/>
      <c r="U1518" s="68"/>
    </row>
    <row r="1519" spans="2:21">
      <c r="B1519" s="62"/>
      <c r="C1519" s="62"/>
      <c r="D1519" s="80"/>
      <c r="E1519" s="80"/>
      <c r="F1519" s="81"/>
      <c r="G1519" s="73"/>
      <c r="H1519" s="76"/>
      <c r="I1519" s="62"/>
      <c r="J1519" s="62"/>
      <c r="K1519" s="54"/>
      <c r="L1519" s="74"/>
      <c r="M1519" s="62"/>
      <c r="N1519" s="62"/>
      <c r="O1519" s="62"/>
      <c r="P1519" s="75"/>
      <c r="Q1519" s="70"/>
      <c r="R1519" s="71"/>
      <c r="S1519" s="71"/>
      <c r="T1519" s="71"/>
      <c r="U1519" s="68"/>
    </row>
    <row r="1520" spans="2:21">
      <c r="B1520" s="62"/>
      <c r="C1520" s="62"/>
      <c r="D1520" s="80"/>
      <c r="E1520" s="80"/>
      <c r="F1520" s="81"/>
      <c r="G1520" s="73"/>
      <c r="H1520" s="76"/>
      <c r="I1520" s="62"/>
      <c r="J1520" s="62"/>
      <c r="K1520" s="54"/>
      <c r="L1520" s="74"/>
      <c r="M1520" s="62"/>
      <c r="N1520" s="62"/>
      <c r="O1520" s="62"/>
      <c r="P1520" s="75"/>
      <c r="Q1520" s="70"/>
      <c r="R1520" s="71"/>
      <c r="S1520" s="71"/>
      <c r="T1520" s="71"/>
      <c r="U1520" s="68"/>
    </row>
    <row r="1521" spans="2:21">
      <c r="B1521" s="62"/>
      <c r="C1521" s="62"/>
      <c r="D1521" s="80"/>
      <c r="E1521" s="80"/>
      <c r="F1521" s="81"/>
      <c r="G1521" s="73"/>
      <c r="H1521" s="76"/>
      <c r="I1521" s="62"/>
      <c r="J1521" s="62"/>
      <c r="K1521" s="54"/>
      <c r="L1521" s="74"/>
      <c r="M1521" s="62"/>
      <c r="N1521" s="62"/>
      <c r="O1521" s="62"/>
      <c r="P1521" s="75"/>
      <c r="Q1521" s="70"/>
      <c r="R1521" s="71"/>
      <c r="S1521" s="71"/>
      <c r="T1521" s="71"/>
      <c r="U1521" s="68"/>
    </row>
    <row r="1522" spans="2:21">
      <c r="B1522" s="62"/>
      <c r="C1522" s="62"/>
      <c r="D1522" s="80"/>
      <c r="E1522" s="80"/>
      <c r="F1522" s="81"/>
      <c r="G1522" s="73"/>
      <c r="H1522" s="76"/>
      <c r="I1522" s="62"/>
      <c r="J1522" s="62"/>
      <c r="K1522" s="54"/>
      <c r="L1522" s="74"/>
      <c r="M1522" s="62"/>
      <c r="N1522" s="62"/>
      <c r="O1522" s="62"/>
      <c r="P1522" s="75"/>
      <c r="Q1522" s="70"/>
      <c r="R1522" s="71"/>
      <c r="S1522" s="71"/>
      <c r="T1522" s="71"/>
      <c r="U1522" s="68"/>
    </row>
    <row r="1523" spans="2:21">
      <c r="B1523" s="62"/>
      <c r="C1523" s="62"/>
      <c r="D1523" s="80"/>
      <c r="E1523" s="80"/>
      <c r="F1523" s="81"/>
      <c r="G1523" s="73"/>
      <c r="H1523" s="76"/>
      <c r="I1523" s="62"/>
      <c r="J1523" s="62"/>
      <c r="K1523" s="54"/>
      <c r="L1523" s="74"/>
      <c r="M1523" s="62"/>
      <c r="N1523" s="62"/>
      <c r="O1523" s="62"/>
      <c r="P1523" s="75"/>
      <c r="Q1523" s="70"/>
      <c r="R1523" s="71"/>
      <c r="S1523" s="71"/>
      <c r="T1523" s="71"/>
      <c r="U1523" s="68"/>
    </row>
    <row r="1524" spans="2:21">
      <c r="B1524" s="62"/>
      <c r="C1524" s="62"/>
      <c r="D1524" s="80"/>
      <c r="E1524" s="80"/>
      <c r="F1524" s="81"/>
      <c r="G1524" s="73"/>
      <c r="H1524" s="76"/>
      <c r="I1524" s="62"/>
      <c r="J1524" s="62"/>
      <c r="K1524" s="54"/>
      <c r="L1524" s="74"/>
      <c r="M1524" s="62"/>
      <c r="N1524" s="62"/>
      <c r="O1524" s="62"/>
      <c r="P1524" s="75"/>
      <c r="Q1524" s="70"/>
      <c r="R1524" s="71"/>
      <c r="S1524" s="71"/>
      <c r="T1524" s="71"/>
      <c r="U1524" s="68"/>
    </row>
    <row r="1525" spans="2:21">
      <c r="B1525" s="62"/>
      <c r="C1525" s="62"/>
      <c r="D1525" s="80"/>
      <c r="E1525" s="80"/>
      <c r="F1525" s="81"/>
      <c r="G1525" s="73"/>
      <c r="H1525" s="76"/>
      <c r="I1525" s="62"/>
      <c r="J1525" s="62"/>
      <c r="K1525" s="54"/>
      <c r="L1525" s="74"/>
      <c r="M1525" s="62"/>
      <c r="N1525" s="62"/>
      <c r="O1525" s="62"/>
      <c r="P1525" s="75"/>
      <c r="Q1525" s="70"/>
      <c r="R1525" s="71"/>
      <c r="S1525" s="71"/>
      <c r="T1525" s="71"/>
      <c r="U1525" s="68"/>
    </row>
    <row r="1526" spans="2:21">
      <c r="B1526" s="62"/>
      <c r="C1526" s="62"/>
      <c r="D1526" s="80"/>
      <c r="E1526" s="80"/>
      <c r="F1526" s="81"/>
      <c r="G1526" s="73"/>
      <c r="H1526" s="76"/>
      <c r="I1526" s="62"/>
      <c r="J1526" s="62"/>
      <c r="K1526" s="54"/>
      <c r="L1526" s="74"/>
      <c r="M1526" s="62"/>
      <c r="N1526" s="62"/>
      <c r="O1526" s="62"/>
      <c r="P1526" s="75"/>
      <c r="Q1526" s="70"/>
      <c r="R1526" s="71"/>
      <c r="S1526" s="71"/>
      <c r="T1526" s="71"/>
      <c r="U1526" s="68"/>
    </row>
    <row r="1527" spans="2:21">
      <c r="B1527" s="62"/>
      <c r="C1527" s="62"/>
      <c r="D1527" s="80"/>
      <c r="E1527" s="80"/>
      <c r="F1527" s="81"/>
      <c r="G1527" s="73"/>
      <c r="H1527" s="76"/>
      <c r="I1527" s="62"/>
      <c r="J1527" s="62"/>
      <c r="K1527" s="54"/>
      <c r="L1527" s="74"/>
      <c r="M1527" s="62"/>
      <c r="N1527" s="62"/>
      <c r="O1527" s="62"/>
      <c r="P1527" s="75"/>
      <c r="Q1527" s="70"/>
      <c r="R1527" s="71"/>
      <c r="S1527" s="71"/>
      <c r="T1527" s="71"/>
      <c r="U1527" s="68"/>
    </row>
    <row r="1528" spans="2:21">
      <c r="B1528" s="62"/>
      <c r="C1528" s="62"/>
      <c r="D1528" s="80"/>
      <c r="E1528" s="80"/>
      <c r="F1528" s="81"/>
      <c r="G1528" s="73"/>
      <c r="H1528" s="76"/>
      <c r="I1528" s="62"/>
      <c r="J1528" s="62"/>
      <c r="K1528" s="54"/>
      <c r="L1528" s="74"/>
      <c r="M1528" s="62"/>
      <c r="N1528" s="62"/>
      <c r="O1528" s="62"/>
      <c r="P1528" s="75"/>
      <c r="Q1528" s="70"/>
      <c r="R1528" s="71"/>
      <c r="S1528" s="71"/>
      <c r="T1528" s="71"/>
      <c r="U1528" s="68"/>
    </row>
    <row r="1529" spans="2:21">
      <c r="B1529" s="62"/>
      <c r="C1529" s="62"/>
      <c r="D1529" s="80"/>
      <c r="E1529" s="80"/>
      <c r="F1529" s="81"/>
      <c r="G1529" s="73"/>
      <c r="H1529" s="76"/>
      <c r="I1529" s="62"/>
      <c r="J1529" s="62"/>
      <c r="K1529" s="54"/>
      <c r="L1529" s="74"/>
      <c r="M1529" s="62"/>
      <c r="N1529" s="62"/>
      <c r="O1529" s="62"/>
      <c r="P1529" s="75"/>
      <c r="Q1529" s="70"/>
      <c r="R1529" s="71"/>
      <c r="S1529" s="71"/>
      <c r="T1529" s="71"/>
      <c r="U1529" s="68"/>
    </row>
    <row r="1530" spans="2:21">
      <c r="B1530" s="62"/>
      <c r="C1530" s="62"/>
      <c r="D1530" s="80"/>
      <c r="E1530" s="80"/>
      <c r="F1530" s="81"/>
      <c r="G1530" s="73"/>
      <c r="H1530" s="76"/>
      <c r="I1530" s="62"/>
      <c r="J1530" s="62"/>
      <c r="K1530" s="54"/>
      <c r="L1530" s="74"/>
      <c r="M1530" s="62"/>
      <c r="N1530" s="62"/>
      <c r="O1530" s="62"/>
      <c r="P1530" s="75"/>
      <c r="Q1530" s="70"/>
      <c r="R1530" s="71"/>
      <c r="S1530" s="71"/>
      <c r="T1530" s="71"/>
      <c r="U1530" s="68"/>
    </row>
    <row r="1531" spans="2:21">
      <c r="B1531" s="62"/>
      <c r="C1531" s="62"/>
      <c r="D1531" s="80"/>
      <c r="E1531" s="80"/>
      <c r="F1531" s="81"/>
      <c r="G1531" s="73"/>
      <c r="H1531" s="76"/>
      <c r="I1531" s="62"/>
      <c r="J1531" s="62"/>
      <c r="K1531" s="54"/>
      <c r="L1531" s="74"/>
      <c r="M1531" s="62"/>
      <c r="N1531" s="62"/>
      <c r="O1531" s="62"/>
      <c r="P1531" s="75"/>
      <c r="Q1531" s="70"/>
      <c r="R1531" s="71"/>
      <c r="S1531" s="71"/>
      <c r="T1531" s="71"/>
      <c r="U1531" s="68"/>
    </row>
    <row r="1532" spans="2:21">
      <c r="B1532" s="62"/>
      <c r="C1532" s="62"/>
      <c r="D1532" s="80"/>
      <c r="E1532" s="80"/>
      <c r="F1532" s="81"/>
      <c r="G1532" s="73"/>
      <c r="H1532" s="76"/>
      <c r="I1532" s="62"/>
      <c r="J1532" s="62"/>
      <c r="K1532" s="54"/>
      <c r="L1532" s="74"/>
      <c r="M1532" s="62"/>
      <c r="N1532" s="62"/>
      <c r="O1532" s="62"/>
      <c r="P1532" s="75"/>
      <c r="Q1532" s="70"/>
      <c r="R1532" s="71"/>
      <c r="S1532" s="71"/>
      <c r="T1532" s="71"/>
      <c r="U1532" s="68"/>
    </row>
    <row r="1533" spans="2:21">
      <c r="B1533" s="62"/>
      <c r="C1533" s="62"/>
      <c r="D1533" s="80"/>
      <c r="E1533" s="80"/>
      <c r="F1533" s="81"/>
      <c r="G1533" s="73"/>
      <c r="H1533" s="76"/>
      <c r="I1533" s="62"/>
      <c r="J1533" s="62"/>
      <c r="K1533" s="54"/>
      <c r="L1533" s="74"/>
      <c r="M1533" s="62"/>
      <c r="N1533" s="62"/>
      <c r="O1533" s="62"/>
      <c r="P1533" s="75"/>
      <c r="Q1533" s="70"/>
      <c r="R1533" s="71"/>
      <c r="S1533" s="71"/>
      <c r="T1533" s="71"/>
      <c r="U1533" s="68"/>
    </row>
    <row r="1534" spans="2:21">
      <c r="B1534" s="62"/>
      <c r="C1534" s="62"/>
      <c r="D1534" s="80"/>
      <c r="E1534" s="80"/>
      <c r="F1534" s="81"/>
      <c r="G1534" s="73"/>
      <c r="H1534" s="76"/>
      <c r="I1534" s="62"/>
      <c r="J1534" s="62"/>
      <c r="K1534" s="54"/>
      <c r="L1534" s="74"/>
      <c r="M1534" s="62"/>
      <c r="N1534" s="62"/>
      <c r="O1534" s="62"/>
      <c r="P1534" s="75"/>
      <c r="Q1534" s="70"/>
      <c r="R1534" s="71"/>
      <c r="S1534" s="71"/>
      <c r="T1534" s="71"/>
      <c r="U1534" s="68"/>
    </row>
    <row r="1535" spans="2:21">
      <c r="B1535" s="62"/>
      <c r="C1535" s="62"/>
      <c r="D1535" s="80"/>
      <c r="E1535" s="80"/>
      <c r="F1535" s="81"/>
      <c r="G1535" s="73"/>
      <c r="H1535" s="76"/>
      <c r="I1535" s="62"/>
      <c r="J1535" s="62"/>
      <c r="K1535" s="54"/>
      <c r="L1535" s="74"/>
      <c r="M1535" s="62"/>
      <c r="N1535" s="62"/>
      <c r="O1535" s="62"/>
      <c r="P1535" s="75"/>
      <c r="Q1535" s="70"/>
      <c r="R1535" s="71"/>
      <c r="S1535" s="71"/>
      <c r="T1535" s="71"/>
      <c r="U1535" s="68"/>
    </row>
    <row r="1536" spans="2:21">
      <c r="B1536" s="62"/>
      <c r="C1536" s="62"/>
      <c r="D1536" s="80"/>
      <c r="E1536" s="80"/>
      <c r="F1536" s="81"/>
      <c r="G1536" s="73"/>
      <c r="H1536" s="76"/>
      <c r="I1536" s="62"/>
      <c r="J1536" s="62"/>
      <c r="K1536" s="54"/>
      <c r="L1536" s="74"/>
      <c r="M1536" s="62"/>
      <c r="N1536" s="62"/>
      <c r="O1536" s="62"/>
      <c r="P1536" s="75"/>
      <c r="Q1536" s="70"/>
      <c r="R1536" s="71"/>
      <c r="S1536" s="71"/>
      <c r="T1536" s="71"/>
      <c r="U1536" s="68"/>
    </row>
    <row r="1537" spans="2:21">
      <c r="B1537" s="62"/>
      <c r="C1537" s="62"/>
      <c r="D1537" s="80"/>
      <c r="E1537" s="80"/>
      <c r="F1537" s="81"/>
      <c r="G1537" s="73"/>
      <c r="H1537" s="76"/>
      <c r="I1537" s="62"/>
      <c r="J1537" s="62"/>
      <c r="K1537" s="54"/>
      <c r="L1537" s="74"/>
      <c r="M1537" s="62"/>
      <c r="N1537" s="62"/>
      <c r="O1537" s="62"/>
      <c r="P1537" s="75"/>
      <c r="Q1537" s="70"/>
      <c r="R1537" s="71"/>
      <c r="S1537" s="71"/>
      <c r="T1537" s="71"/>
      <c r="U1537" s="68"/>
    </row>
    <row r="1538" spans="2:21">
      <c r="B1538" s="62"/>
      <c r="C1538" s="62"/>
      <c r="D1538" s="80"/>
      <c r="E1538" s="80"/>
      <c r="F1538" s="81"/>
      <c r="G1538" s="73"/>
      <c r="H1538" s="76"/>
      <c r="I1538" s="62"/>
      <c r="J1538" s="62"/>
      <c r="K1538" s="54"/>
      <c r="L1538" s="74"/>
      <c r="M1538" s="62"/>
      <c r="N1538" s="62"/>
      <c r="O1538" s="62"/>
      <c r="P1538" s="75"/>
      <c r="Q1538" s="70"/>
      <c r="R1538" s="71"/>
      <c r="S1538" s="71"/>
      <c r="T1538" s="71"/>
      <c r="U1538" s="68"/>
    </row>
    <row r="1539" spans="2:21">
      <c r="B1539" s="62"/>
      <c r="C1539" s="62"/>
      <c r="D1539" s="80"/>
      <c r="E1539" s="80"/>
      <c r="F1539" s="81"/>
      <c r="G1539" s="73"/>
      <c r="H1539" s="76"/>
      <c r="I1539" s="62"/>
      <c r="J1539" s="62"/>
      <c r="K1539" s="54"/>
      <c r="L1539" s="74"/>
      <c r="M1539" s="62"/>
      <c r="N1539" s="62"/>
      <c r="O1539" s="62"/>
      <c r="P1539" s="75"/>
      <c r="Q1539" s="70"/>
      <c r="R1539" s="71"/>
      <c r="S1539" s="71"/>
      <c r="T1539" s="71"/>
      <c r="U1539" s="68"/>
    </row>
    <row r="1540" spans="2:21">
      <c r="B1540" s="62"/>
      <c r="C1540" s="62"/>
      <c r="D1540" s="80"/>
      <c r="E1540" s="80"/>
      <c r="F1540" s="81"/>
      <c r="G1540" s="73"/>
      <c r="H1540" s="76"/>
      <c r="I1540" s="62"/>
      <c r="J1540" s="62"/>
      <c r="K1540" s="54"/>
      <c r="L1540" s="74"/>
      <c r="M1540" s="62"/>
      <c r="N1540" s="62"/>
      <c r="O1540" s="62"/>
      <c r="P1540" s="75"/>
      <c r="Q1540" s="70"/>
      <c r="R1540" s="71"/>
      <c r="S1540" s="71"/>
      <c r="T1540" s="71"/>
      <c r="U1540" s="68"/>
    </row>
    <row r="1541" spans="2:21">
      <c r="B1541" s="62"/>
      <c r="C1541" s="62"/>
      <c r="D1541" s="80"/>
      <c r="E1541" s="80"/>
      <c r="F1541" s="81"/>
      <c r="G1541" s="73"/>
      <c r="H1541" s="76"/>
      <c r="I1541" s="62"/>
      <c r="J1541" s="62"/>
      <c r="K1541" s="54"/>
      <c r="L1541" s="74"/>
      <c r="M1541" s="62"/>
      <c r="N1541" s="62"/>
      <c r="O1541" s="62"/>
      <c r="P1541" s="75"/>
      <c r="Q1541" s="70"/>
      <c r="R1541" s="71"/>
      <c r="S1541" s="71"/>
      <c r="T1541" s="71"/>
      <c r="U1541" s="68"/>
    </row>
    <row r="1542" spans="2:21">
      <c r="B1542" s="62"/>
      <c r="C1542" s="62"/>
      <c r="D1542" s="80"/>
      <c r="E1542" s="80"/>
      <c r="F1542" s="81"/>
      <c r="G1542" s="73"/>
      <c r="H1542" s="76"/>
      <c r="I1542" s="62"/>
      <c r="J1542" s="62"/>
      <c r="K1542" s="54"/>
      <c r="L1542" s="74"/>
      <c r="M1542" s="62"/>
      <c r="N1542" s="62"/>
      <c r="O1542" s="62"/>
      <c r="P1542" s="75"/>
      <c r="Q1542" s="70"/>
      <c r="R1542" s="71"/>
      <c r="S1542" s="71"/>
      <c r="T1542" s="71"/>
      <c r="U1542" s="68"/>
    </row>
    <row r="1543" spans="2:21">
      <c r="B1543" s="62"/>
      <c r="C1543" s="62"/>
      <c r="D1543" s="80"/>
      <c r="E1543" s="80"/>
      <c r="F1543" s="81"/>
      <c r="G1543" s="73"/>
      <c r="H1543" s="76"/>
      <c r="I1543" s="62"/>
      <c r="J1543" s="62"/>
      <c r="K1543" s="54"/>
      <c r="L1543" s="74"/>
      <c r="M1543" s="62"/>
      <c r="N1543" s="62"/>
      <c r="O1543" s="62"/>
      <c r="P1543" s="75"/>
      <c r="Q1543" s="70"/>
      <c r="R1543" s="71"/>
      <c r="S1543" s="71"/>
      <c r="T1543" s="71"/>
      <c r="U1543" s="68"/>
    </row>
    <row r="1544" spans="2:21">
      <c r="B1544" s="62"/>
      <c r="C1544" s="62"/>
      <c r="D1544" s="80"/>
      <c r="E1544" s="80"/>
      <c r="F1544" s="81"/>
      <c r="G1544" s="73"/>
      <c r="H1544" s="76"/>
      <c r="I1544" s="62"/>
      <c r="J1544" s="62"/>
      <c r="K1544" s="54"/>
      <c r="L1544" s="74"/>
      <c r="M1544" s="62"/>
      <c r="N1544" s="62"/>
      <c r="O1544" s="62"/>
      <c r="P1544" s="75"/>
      <c r="Q1544" s="70"/>
      <c r="R1544" s="71"/>
      <c r="S1544" s="71"/>
      <c r="T1544" s="71"/>
      <c r="U1544" s="68"/>
    </row>
    <row r="1545" spans="2:21">
      <c r="B1545" s="62"/>
      <c r="C1545" s="62"/>
      <c r="D1545" s="80"/>
      <c r="E1545" s="80"/>
      <c r="F1545" s="81"/>
      <c r="G1545" s="73"/>
      <c r="H1545" s="76"/>
      <c r="I1545" s="62"/>
      <c r="J1545" s="62"/>
      <c r="K1545" s="54"/>
      <c r="L1545" s="74"/>
      <c r="M1545" s="62"/>
      <c r="N1545" s="62"/>
      <c r="O1545" s="62"/>
      <c r="P1545" s="75"/>
      <c r="Q1545" s="70"/>
      <c r="R1545" s="71"/>
      <c r="S1545" s="71"/>
      <c r="T1545" s="71"/>
      <c r="U1545" s="68"/>
    </row>
    <row r="1546" spans="2:21">
      <c r="B1546" s="62"/>
      <c r="C1546" s="62"/>
      <c r="D1546" s="80"/>
      <c r="E1546" s="80"/>
      <c r="F1546" s="81"/>
      <c r="G1546" s="73"/>
      <c r="H1546" s="76"/>
      <c r="I1546" s="62"/>
      <c r="J1546" s="62"/>
      <c r="K1546" s="54"/>
      <c r="L1546" s="74"/>
      <c r="M1546" s="62"/>
      <c r="N1546" s="62"/>
      <c r="O1546" s="62"/>
      <c r="P1546" s="75"/>
      <c r="Q1546" s="70"/>
      <c r="R1546" s="71"/>
      <c r="S1546" s="71"/>
      <c r="T1546" s="71"/>
      <c r="U1546" s="68"/>
    </row>
    <row r="1547" spans="2:21">
      <c r="B1547" s="62"/>
      <c r="C1547" s="62"/>
      <c r="D1547" s="80"/>
      <c r="E1547" s="80"/>
      <c r="F1547" s="81"/>
      <c r="G1547" s="73"/>
      <c r="H1547" s="76"/>
      <c r="I1547" s="62"/>
      <c r="J1547" s="62"/>
      <c r="K1547" s="54"/>
      <c r="L1547" s="74"/>
      <c r="M1547" s="62"/>
      <c r="N1547" s="62"/>
      <c r="O1547" s="62"/>
      <c r="P1547" s="75"/>
      <c r="Q1547" s="70"/>
      <c r="R1547" s="71"/>
      <c r="S1547" s="71"/>
      <c r="T1547" s="71"/>
      <c r="U1547" s="68"/>
    </row>
    <row r="1548" spans="2:21">
      <c r="B1548" s="62"/>
      <c r="C1548" s="62"/>
      <c r="D1548" s="80"/>
      <c r="E1548" s="80"/>
      <c r="F1548" s="81"/>
      <c r="G1548" s="73"/>
      <c r="H1548" s="76"/>
      <c r="I1548" s="62"/>
      <c r="J1548" s="62"/>
      <c r="K1548" s="54"/>
      <c r="L1548" s="74"/>
      <c r="M1548" s="62"/>
      <c r="N1548" s="62"/>
      <c r="O1548" s="62"/>
      <c r="P1548" s="75"/>
      <c r="Q1548" s="70"/>
      <c r="R1548" s="71"/>
      <c r="S1548" s="71"/>
      <c r="T1548" s="71"/>
      <c r="U1548" s="68"/>
    </row>
    <row r="1549" spans="2:21">
      <c r="B1549" s="62"/>
      <c r="C1549" s="62"/>
      <c r="D1549" s="80"/>
      <c r="E1549" s="80"/>
      <c r="F1549" s="81"/>
      <c r="G1549" s="73"/>
      <c r="H1549" s="76"/>
      <c r="I1549" s="62"/>
      <c r="J1549" s="62"/>
      <c r="K1549" s="54"/>
      <c r="L1549" s="74"/>
      <c r="M1549" s="62"/>
      <c r="N1549" s="62"/>
      <c r="O1549" s="62"/>
      <c r="P1549" s="75"/>
      <c r="Q1549" s="70"/>
      <c r="R1549" s="71"/>
      <c r="S1549" s="71"/>
      <c r="T1549" s="71"/>
      <c r="U1549" s="68"/>
    </row>
    <row r="1550" spans="2:21">
      <c r="B1550" s="62"/>
      <c r="C1550" s="62"/>
      <c r="D1550" s="80"/>
      <c r="E1550" s="80"/>
      <c r="F1550" s="81"/>
      <c r="G1550" s="73"/>
      <c r="H1550" s="76"/>
      <c r="I1550" s="62"/>
      <c r="J1550" s="62"/>
      <c r="K1550" s="54"/>
      <c r="L1550" s="74"/>
      <c r="M1550" s="62"/>
      <c r="N1550" s="62"/>
      <c r="O1550" s="62"/>
      <c r="P1550" s="75"/>
      <c r="Q1550" s="70"/>
      <c r="R1550" s="71"/>
      <c r="S1550" s="71"/>
      <c r="T1550" s="71"/>
      <c r="U1550" s="68"/>
    </row>
    <row r="1551" spans="2:21">
      <c r="B1551" s="62"/>
      <c r="C1551" s="62"/>
      <c r="D1551" s="80"/>
      <c r="E1551" s="80"/>
      <c r="F1551" s="81"/>
      <c r="G1551" s="73"/>
      <c r="H1551" s="76"/>
      <c r="I1551" s="62"/>
      <c r="J1551" s="62"/>
      <c r="K1551" s="54"/>
      <c r="L1551" s="74"/>
      <c r="M1551" s="62"/>
      <c r="N1551" s="62"/>
      <c r="O1551" s="62"/>
      <c r="P1551" s="75"/>
      <c r="Q1551" s="70"/>
      <c r="R1551" s="71"/>
      <c r="S1551" s="71"/>
      <c r="T1551" s="71"/>
      <c r="U1551" s="68"/>
    </row>
    <row r="1552" spans="2:21">
      <c r="B1552" s="62"/>
      <c r="C1552" s="62"/>
      <c r="D1552" s="80"/>
      <c r="E1552" s="80"/>
      <c r="F1552" s="81"/>
      <c r="G1552" s="73"/>
      <c r="H1552" s="76"/>
      <c r="I1552" s="62"/>
      <c r="J1552" s="62"/>
      <c r="K1552" s="54"/>
      <c r="L1552" s="74"/>
      <c r="M1552" s="62"/>
      <c r="N1552" s="62"/>
      <c r="O1552" s="62"/>
      <c r="P1552" s="75"/>
      <c r="Q1552" s="70"/>
      <c r="R1552" s="71"/>
      <c r="S1552" s="71"/>
      <c r="T1552" s="71"/>
      <c r="U1552" s="68"/>
    </row>
    <row r="1553" spans="2:21">
      <c r="B1553" s="62"/>
      <c r="C1553" s="62"/>
      <c r="D1553" s="80"/>
      <c r="E1553" s="80"/>
      <c r="F1553" s="81"/>
      <c r="G1553" s="73"/>
      <c r="H1553" s="76"/>
      <c r="I1553" s="62"/>
      <c r="J1553" s="62"/>
      <c r="K1553" s="54"/>
      <c r="L1553" s="74"/>
      <c r="M1553" s="62"/>
      <c r="N1553" s="62"/>
      <c r="O1553" s="62"/>
      <c r="P1553" s="75"/>
      <c r="Q1553" s="70"/>
      <c r="R1553" s="71"/>
      <c r="S1553" s="71"/>
      <c r="T1553" s="71"/>
      <c r="U1553" s="68"/>
    </row>
    <row r="1554" spans="2:21">
      <c r="B1554" s="62"/>
      <c r="C1554" s="62"/>
      <c r="D1554" s="80"/>
      <c r="E1554" s="80"/>
      <c r="F1554" s="81"/>
      <c r="G1554" s="73"/>
      <c r="H1554" s="76"/>
      <c r="I1554" s="62"/>
      <c r="J1554" s="62"/>
      <c r="K1554" s="54"/>
      <c r="L1554" s="74"/>
      <c r="M1554" s="62"/>
      <c r="N1554" s="62"/>
      <c r="O1554" s="62"/>
      <c r="P1554" s="75"/>
      <c r="Q1554" s="70"/>
      <c r="R1554" s="71"/>
      <c r="S1554" s="71"/>
      <c r="T1554" s="71"/>
      <c r="U1554" s="68"/>
    </row>
    <row r="1555" spans="2:21">
      <c r="B1555" s="62"/>
      <c r="C1555" s="62"/>
      <c r="D1555" s="80"/>
      <c r="E1555" s="80"/>
      <c r="F1555" s="81"/>
      <c r="G1555" s="73"/>
      <c r="H1555" s="76"/>
      <c r="I1555" s="62"/>
      <c r="J1555" s="62"/>
      <c r="K1555" s="54"/>
      <c r="L1555" s="74"/>
      <c r="M1555" s="62"/>
      <c r="N1555" s="62"/>
      <c r="O1555" s="62"/>
      <c r="P1555" s="75"/>
      <c r="Q1555" s="70"/>
      <c r="R1555" s="71"/>
      <c r="S1555" s="71"/>
      <c r="T1555" s="71"/>
      <c r="U1555" s="68"/>
    </row>
    <row r="1556" spans="2:21">
      <c r="B1556" s="62"/>
      <c r="C1556" s="62"/>
      <c r="D1556" s="80"/>
      <c r="E1556" s="80"/>
      <c r="F1556" s="81"/>
      <c r="G1556" s="73"/>
      <c r="H1556" s="76"/>
      <c r="I1556" s="62"/>
      <c r="J1556" s="62"/>
      <c r="K1556" s="54"/>
      <c r="L1556" s="74"/>
      <c r="M1556" s="62"/>
      <c r="N1556" s="62"/>
      <c r="O1556" s="62"/>
      <c r="P1556" s="75"/>
      <c r="Q1556" s="70"/>
      <c r="R1556" s="71"/>
      <c r="S1556" s="71"/>
      <c r="T1556" s="71"/>
      <c r="U1556" s="68"/>
    </row>
    <row r="1557" spans="2:21">
      <c r="B1557" s="62"/>
      <c r="C1557" s="62"/>
      <c r="D1557" s="80"/>
      <c r="E1557" s="80"/>
      <c r="F1557" s="81"/>
      <c r="G1557" s="73"/>
      <c r="H1557" s="76"/>
      <c r="I1557" s="62"/>
      <c r="J1557" s="62"/>
      <c r="K1557" s="54"/>
      <c r="L1557" s="74"/>
      <c r="M1557" s="62"/>
      <c r="N1557" s="62"/>
      <c r="O1557" s="62"/>
      <c r="P1557" s="75"/>
      <c r="Q1557" s="70"/>
      <c r="R1557" s="71"/>
      <c r="S1557" s="71"/>
      <c r="T1557" s="71"/>
      <c r="U1557" s="68"/>
    </row>
    <row r="1558" spans="2:21">
      <c r="B1558" s="62"/>
      <c r="C1558" s="62"/>
      <c r="D1558" s="80"/>
      <c r="E1558" s="80"/>
      <c r="F1558" s="81"/>
      <c r="G1558" s="73"/>
      <c r="H1558" s="76"/>
      <c r="I1558" s="62"/>
      <c r="J1558" s="62"/>
      <c r="K1558" s="54"/>
      <c r="L1558" s="74"/>
      <c r="M1558" s="62"/>
      <c r="N1558" s="62"/>
      <c r="O1558" s="62"/>
      <c r="P1558" s="75"/>
      <c r="Q1558" s="70"/>
      <c r="R1558" s="71"/>
      <c r="S1558" s="71"/>
      <c r="T1558" s="71"/>
      <c r="U1558" s="68"/>
    </row>
    <row r="1559" spans="2:21">
      <c r="B1559" s="62"/>
      <c r="C1559" s="62"/>
      <c r="D1559" s="80"/>
      <c r="E1559" s="80"/>
      <c r="F1559" s="81"/>
      <c r="G1559" s="73"/>
      <c r="H1559" s="76"/>
      <c r="I1559" s="62"/>
      <c r="J1559" s="62"/>
      <c r="K1559" s="54"/>
      <c r="L1559" s="74"/>
      <c r="M1559" s="62"/>
      <c r="N1559" s="62"/>
      <c r="O1559" s="62"/>
      <c r="P1559" s="75"/>
      <c r="Q1559" s="70"/>
      <c r="R1559" s="71"/>
      <c r="S1559" s="71"/>
      <c r="T1559" s="71"/>
      <c r="U1559" s="68"/>
    </row>
    <row r="1560" spans="2:21">
      <c r="B1560" s="62"/>
      <c r="C1560" s="62"/>
      <c r="D1560" s="80"/>
      <c r="E1560" s="80"/>
      <c r="F1560" s="81"/>
      <c r="G1560" s="73"/>
      <c r="H1560" s="76"/>
      <c r="I1560" s="62"/>
      <c r="J1560" s="62"/>
      <c r="K1560" s="54"/>
      <c r="L1560" s="74"/>
      <c r="M1560" s="62"/>
      <c r="N1560" s="62"/>
      <c r="O1560" s="62"/>
      <c r="P1560" s="75"/>
      <c r="Q1560" s="70"/>
      <c r="R1560" s="71"/>
      <c r="S1560" s="71"/>
      <c r="T1560" s="71"/>
      <c r="U1560" s="68"/>
    </row>
    <row r="1561" spans="2:21">
      <c r="B1561" s="62"/>
      <c r="C1561" s="62"/>
      <c r="D1561" s="80"/>
      <c r="E1561" s="80"/>
      <c r="F1561" s="81"/>
      <c r="G1561" s="73"/>
      <c r="H1561" s="76"/>
      <c r="I1561" s="62"/>
      <c r="J1561" s="62"/>
      <c r="K1561" s="54"/>
      <c r="L1561" s="74"/>
      <c r="M1561" s="62"/>
      <c r="N1561" s="62"/>
      <c r="O1561" s="62"/>
      <c r="P1561" s="75"/>
      <c r="Q1561" s="70"/>
      <c r="R1561" s="71"/>
      <c r="S1561" s="71"/>
      <c r="T1561" s="71"/>
      <c r="U1561" s="68"/>
    </row>
    <row r="1562" spans="2:21">
      <c r="B1562" s="62"/>
      <c r="C1562" s="62"/>
      <c r="D1562" s="80"/>
      <c r="E1562" s="80"/>
      <c r="F1562" s="81"/>
      <c r="G1562" s="73"/>
      <c r="H1562" s="76"/>
      <c r="I1562" s="62"/>
      <c r="J1562" s="62"/>
      <c r="K1562" s="54"/>
      <c r="L1562" s="74"/>
      <c r="M1562" s="62"/>
      <c r="N1562" s="62"/>
      <c r="O1562" s="62"/>
      <c r="P1562" s="75"/>
      <c r="Q1562" s="70"/>
      <c r="R1562" s="71"/>
      <c r="S1562" s="71"/>
      <c r="T1562" s="71"/>
      <c r="U1562" s="68"/>
    </row>
    <row r="1563" spans="2:21">
      <c r="B1563" s="62"/>
      <c r="C1563" s="62"/>
      <c r="D1563" s="80"/>
      <c r="E1563" s="80"/>
      <c r="F1563" s="81"/>
      <c r="G1563" s="73"/>
      <c r="H1563" s="76"/>
      <c r="I1563" s="62"/>
      <c r="J1563" s="62"/>
      <c r="K1563" s="54"/>
      <c r="L1563" s="74"/>
      <c r="M1563" s="62"/>
      <c r="N1563" s="62"/>
      <c r="O1563" s="62"/>
      <c r="P1563" s="75"/>
      <c r="Q1563" s="70"/>
      <c r="R1563" s="71"/>
      <c r="S1563" s="71"/>
      <c r="T1563" s="71"/>
      <c r="U1563" s="68"/>
    </row>
    <row r="1564" spans="2:21">
      <c r="B1564" s="62"/>
      <c r="C1564" s="62"/>
      <c r="D1564" s="80"/>
      <c r="E1564" s="80"/>
      <c r="F1564" s="81"/>
      <c r="G1564" s="73"/>
      <c r="H1564" s="76"/>
      <c r="I1564" s="62"/>
      <c r="J1564" s="62"/>
      <c r="K1564" s="54"/>
      <c r="L1564" s="74"/>
      <c r="M1564" s="62"/>
      <c r="N1564" s="62"/>
      <c r="O1564" s="62"/>
      <c r="P1564" s="75"/>
      <c r="Q1564" s="70"/>
      <c r="R1564" s="71"/>
      <c r="S1564" s="71"/>
      <c r="T1564" s="71"/>
      <c r="U1564" s="68"/>
    </row>
    <row r="1565" spans="2:21">
      <c r="B1565" s="62"/>
      <c r="C1565" s="62"/>
      <c r="D1565" s="80"/>
      <c r="E1565" s="80"/>
      <c r="F1565" s="81"/>
      <c r="G1565" s="73"/>
      <c r="H1565" s="76"/>
      <c r="I1565" s="62"/>
      <c r="J1565" s="62"/>
      <c r="K1565" s="54"/>
      <c r="L1565" s="74"/>
      <c r="M1565" s="62"/>
      <c r="N1565" s="62"/>
      <c r="O1565" s="62"/>
      <c r="P1565" s="75"/>
      <c r="Q1565" s="70"/>
      <c r="R1565" s="71"/>
      <c r="S1565" s="71"/>
      <c r="T1565" s="71"/>
      <c r="U1565" s="68"/>
    </row>
    <row r="1566" spans="2:21">
      <c r="B1566" s="62"/>
      <c r="C1566" s="62"/>
      <c r="D1566" s="80"/>
      <c r="E1566" s="80"/>
      <c r="F1566" s="81"/>
      <c r="G1566" s="73"/>
      <c r="H1566" s="76"/>
      <c r="I1566" s="62"/>
      <c r="J1566" s="62"/>
      <c r="K1566" s="54"/>
      <c r="L1566" s="74"/>
      <c r="M1566" s="62"/>
      <c r="N1566" s="62"/>
      <c r="O1566" s="62"/>
      <c r="P1566" s="75"/>
      <c r="Q1566" s="70"/>
      <c r="R1566" s="71"/>
      <c r="S1566" s="71"/>
      <c r="T1566" s="71"/>
      <c r="U1566" s="68"/>
    </row>
    <row r="1567" spans="2:21">
      <c r="B1567" s="62"/>
      <c r="C1567" s="62"/>
      <c r="D1567" s="80"/>
      <c r="E1567" s="80"/>
      <c r="F1567" s="81"/>
      <c r="G1567" s="73"/>
      <c r="H1567" s="76"/>
      <c r="I1567" s="62"/>
      <c r="J1567" s="62"/>
      <c r="K1567" s="54"/>
      <c r="L1567" s="74"/>
      <c r="M1567" s="62"/>
      <c r="N1567" s="62"/>
      <c r="O1567" s="62"/>
      <c r="P1567" s="75"/>
      <c r="Q1567" s="70"/>
      <c r="R1567" s="71"/>
      <c r="S1567" s="71"/>
      <c r="T1567" s="71"/>
      <c r="U1567" s="68"/>
    </row>
    <row r="1568" spans="2:21">
      <c r="B1568" s="62"/>
      <c r="C1568" s="62"/>
      <c r="D1568" s="80"/>
      <c r="E1568" s="80"/>
      <c r="F1568" s="81"/>
      <c r="G1568" s="73"/>
      <c r="H1568" s="76"/>
      <c r="I1568" s="62"/>
      <c r="J1568" s="62"/>
      <c r="K1568" s="54"/>
      <c r="L1568" s="74"/>
      <c r="M1568" s="62"/>
      <c r="N1568" s="62"/>
      <c r="O1568" s="62"/>
      <c r="P1568" s="75"/>
      <c r="Q1568" s="70"/>
      <c r="R1568" s="71"/>
      <c r="S1568" s="71"/>
      <c r="T1568" s="71"/>
      <c r="U1568" s="68"/>
    </row>
    <row r="1569" spans="2:21">
      <c r="B1569" s="62"/>
      <c r="C1569" s="62"/>
      <c r="D1569" s="80"/>
      <c r="E1569" s="80"/>
      <c r="F1569" s="81"/>
      <c r="G1569" s="73"/>
      <c r="H1569" s="76"/>
      <c r="I1569" s="62"/>
      <c r="J1569" s="62"/>
      <c r="K1569" s="54"/>
      <c r="L1569" s="74"/>
      <c r="M1569" s="62"/>
      <c r="N1569" s="62"/>
      <c r="O1569" s="62"/>
      <c r="P1569" s="75"/>
      <c r="Q1569" s="70"/>
      <c r="R1569" s="71"/>
      <c r="S1569" s="71"/>
      <c r="T1569" s="71"/>
      <c r="U1569" s="68"/>
    </row>
    <row r="1570" spans="2:21">
      <c r="B1570" s="62"/>
      <c r="C1570" s="62"/>
      <c r="D1570" s="80"/>
      <c r="E1570" s="80"/>
      <c r="F1570" s="81"/>
      <c r="G1570" s="73"/>
      <c r="H1570" s="76"/>
      <c r="I1570" s="62"/>
      <c r="J1570" s="62"/>
      <c r="K1570" s="54"/>
      <c r="L1570" s="74"/>
      <c r="M1570" s="62"/>
      <c r="N1570" s="62"/>
      <c r="O1570" s="62"/>
      <c r="P1570" s="75"/>
      <c r="Q1570" s="70"/>
      <c r="R1570" s="71"/>
      <c r="S1570" s="71"/>
      <c r="T1570" s="71"/>
      <c r="U1570" s="68"/>
    </row>
    <row r="1571" spans="2:21">
      <c r="B1571" s="62"/>
      <c r="C1571" s="62"/>
      <c r="D1571" s="80"/>
      <c r="E1571" s="80"/>
      <c r="F1571" s="81"/>
      <c r="G1571" s="73"/>
      <c r="H1571" s="76"/>
      <c r="I1571" s="62"/>
      <c r="J1571" s="62"/>
      <c r="K1571" s="54"/>
      <c r="L1571" s="74"/>
      <c r="M1571" s="62"/>
      <c r="N1571" s="62"/>
      <c r="O1571" s="62"/>
      <c r="P1571" s="75"/>
      <c r="Q1571" s="70"/>
      <c r="R1571" s="71"/>
      <c r="S1571" s="71"/>
      <c r="T1571" s="71"/>
      <c r="U1571" s="68"/>
    </row>
    <row r="1572" spans="2:21">
      <c r="B1572" s="62"/>
      <c r="C1572" s="62"/>
      <c r="D1572" s="80"/>
      <c r="E1572" s="80"/>
      <c r="F1572" s="81"/>
      <c r="G1572" s="73"/>
      <c r="H1572" s="76"/>
      <c r="I1572" s="62"/>
      <c r="J1572" s="62"/>
      <c r="K1572" s="54"/>
      <c r="L1572" s="74"/>
      <c r="M1572" s="62"/>
      <c r="N1572" s="62"/>
      <c r="O1572" s="62"/>
      <c r="P1572" s="75"/>
      <c r="Q1572" s="70"/>
      <c r="R1572" s="71"/>
      <c r="S1572" s="71"/>
      <c r="T1572" s="71"/>
      <c r="U1572" s="68"/>
    </row>
    <row r="1573" spans="2:21">
      <c r="B1573" s="62"/>
      <c r="C1573" s="62"/>
      <c r="D1573" s="80"/>
      <c r="E1573" s="80"/>
      <c r="F1573" s="81"/>
      <c r="G1573" s="73"/>
      <c r="H1573" s="76"/>
      <c r="I1573" s="62"/>
      <c r="J1573" s="62"/>
      <c r="K1573" s="54"/>
      <c r="L1573" s="74"/>
      <c r="M1573" s="62"/>
      <c r="N1573" s="62"/>
      <c r="O1573" s="62"/>
      <c r="P1573" s="75"/>
      <c r="Q1573" s="70"/>
      <c r="R1573" s="71"/>
      <c r="S1573" s="71"/>
      <c r="T1573" s="71"/>
      <c r="U1573" s="68"/>
    </row>
    <row r="1574" spans="2:21">
      <c r="B1574" s="62"/>
      <c r="C1574" s="62"/>
      <c r="D1574" s="80"/>
      <c r="E1574" s="80"/>
      <c r="F1574" s="81"/>
      <c r="G1574" s="73"/>
      <c r="H1574" s="76"/>
      <c r="I1574" s="62"/>
      <c r="J1574" s="62"/>
      <c r="K1574" s="54"/>
      <c r="L1574" s="74"/>
      <c r="M1574" s="62"/>
      <c r="N1574" s="62"/>
      <c r="O1574" s="62"/>
      <c r="P1574" s="75"/>
      <c r="Q1574" s="70"/>
      <c r="R1574" s="71"/>
      <c r="S1574" s="71"/>
      <c r="T1574" s="71"/>
      <c r="U1574" s="68"/>
    </row>
    <row r="1575" spans="2:21">
      <c r="B1575" s="62"/>
      <c r="C1575" s="62"/>
      <c r="D1575" s="80"/>
      <c r="E1575" s="80"/>
      <c r="F1575" s="81"/>
      <c r="G1575" s="73"/>
      <c r="H1575" s="76"/>
      <c r="I1575" s="62"/>
      <c r="J1575" s="62"/>
      <c r="K1575" s="54"/>
      <c r="L1575" s="74"/>
      <c r="M1575" s="62"/>
      <c r="N1575" s="62"/>
      <c r="O1575" s="62"/>
      <c r="P1575" s="75"/>
      <c r="Q1575" s="70"/>
      <c r="R1575" s="71"/>
      <c r="S1575" s="71"/>
      <c r="T1575" s="71"/>
      <c r="U1575" s="68"/>
    </row>
    <row r="1576" spans="2:21">
      <c r="B1576" s="62"/>
      <c r="C1576" s="62"/>
      <c r="D1576" s="80"/>
      <c r="E1576" s="80"/>
      <c r="F1576" s="81"/>
      <c r="G1576" s="73"/>
      <c r="H1576" s="76"/>
      <c r="I1576" s="62"/>
      <c r="J1576" s="62"/>
      <c r="K1576" s="54"/>
      <c r="L1576" s="74"/>
      <c r="M1576" s="62"/>
      <c r="N1576" s="62"/>
      <c r="O1576" s="62"/>
      <c r="P1576" s="75"/>
      <c r="Q1576" s="70"/>
      <c r="R1576" s="71"/>
      <c r="S1576" s="71"/>
      <c r="T1576" s="71"/>
      <c r="U1576" s="68"/>
    </row>
    <row r="1577" spans="2:21">
      <c r="B1577" s="62"/>
      <c r="C1577" s="62"/>
      <c r="D1577" s="80"/>
      <c r="E1577" s="80"/>
      <c r="F1577" s="81"/>
      <c r="G1577" s="73"/>
      <c r="H1577" s="76"/>
      <c r="I1577" s="62"/>
      <c r="J1577" s="62"/>
      <c r="K1577" s="54"/>
      <c r="L1577" s="74"/>
      <c r="M1577" s="62"/>
      <c r="N1577" s="62"/>
      <c r="O1577" s="62"/>
      <c r="P1577" s="75"/>
      <c r="Q1577" s="70"/>
      <c r="R1577" s="71"/>
      <c r="S1577" s="71"/>
      <c r="T1577" s="71"/>
      <c r="U1577" s="68"/>
    </row>
    <row r="1578" spans="2:21">
      <c r="B1578" s="62"/>
      <c r="C1578" s="62"/>
      <c r="D1578" s="80"/>
      <c r="E1578" s="80"/>
      <c r="F1578" s="81"/>
      <c r="G1578" s="73"/>
      <c r="H1578" s="76"/>
      <c r="I1578" s="62"/>
      <c r="J1578" s="62"/>
      <c r="K1578" s="54"/>
      <c r="L1578" s="74"/>
      <c r="M1578" s="62"/>
      <c r="N1578" s="62"/>
      <c r="O1578" s="62"/>
      <c r="P1578" s="75"/>
      <c r="Q1578" s="70"/>
      <c r="R1578" s="71"/>
      <c r="S1578" s="71"/>
      <c r="T1578" s="71"/>
      <c r="U1578" s="68"/>
    </row>
    <row r="1579" spans="2:21">
      <c r="B1579" s="62"/>
      <c r="C1579" s="62"/>
      <c r="D1579" s="80"/>
      <c r="E1579" s="80"/>
      <c r="F1579" s="81"/>
      <c r="G1579" s="73"/>
      <c r="H1579" s="76"/>
      <c r="I1579" s="62"/>
      <c r="J1579" s="62"/>
      <c r="K1579" s="54"/>
      <c r="L1579" s="74"/>
      <c r="M1579" s="62"/>
      <c r="N1579" s="62"/>
      <c r="O1579" s="62"/>
      <c r="P1579" s="75"/>
      <c r="Q1579" s="70"/>
      <c r="R1579" s="71"/>
      <c r="S1579" s="71"/>
      <c r="T1579" s="71"/>
      <c r="U1579" s="68"/>
    </row>
    <row r="1580" spans="2:21">
      <c r="B1580" s="62"/>
      <c r="C1580" s="62"/>
      <c r="D1580" s="80"/>
      <c r="E1580" s="80"/>
      <c r="F1580" s="81"/>
      <c r="G1580" s="73"/>
      <c r="H1580" s="76"/>
      <c r="I1580" s="62"/>
      <c r="J1580" s="62"/>
      <c r="K1580" s="54"/>
      <c r="L1580" s="74"/>
      <c r="M1580" s="62"/>
      <c r="N1580" s="62"/>
      <c r="O1580" s="62"/>
      <c r="P1580" s="75"/>
      <c r="Q1580" s="70"/>
      <c r="R1580" s="71"/>
      <c r="S1580" s="71"/>
      <c r="T1580" s="71"/>
      <c r="U1580" s="68"/>
    </row>
    <row r="1581" spans="2:21">
      <c r="B1581" s="62"/>
      <c r="C1581" s="62"/>
      <c r="D1581" s="80"/>
      <c r="E1581" s="80"/>
      <c r="F1581" s="81"/>
      <c r="G1581" s="73"/>
      <c r="H1581" s="76"/>
      <c r="I1581" s="62"/>
      <c r="J1581" s="62"/>
      <c r="K1581" s="54"/>
      <c r="L1581" s="74"/>
      <c r="M1581" s="62"/>
      <c r="N1581" s="62"/>
      <c r="O1581" s="62"/>
      <c r="P1581" s="75"/>
      <c r="Q1581" s="70"/>
      <c r="R1581" s="71"/>
      <c r="S1581" s="71"/>
      <c r="T1581" s="71"/>
      <c r="U1581" s="68"/>
    </row>
    <row r="1582" spans="2:21">
      <c r="B1582" s="62"/>
      <c r="C1582" s="62"/>
      <c r="D1582" s="80"/>
      <c r="E1582" s="80"/>
      <c r="F1582" s="81"/>
      <c r="G1582" s="73"/>
      <c r="H1582" s="76"/>
      <c r="I1582" s="62"/>
      <c r="J1582" s="62"/>
      <c r="K1582" s="54"/>
      <c r="L1582" s="74"/>
      <c r="M1582" s="62"/>
      <c r="N1582" s="62"/>
      <c r="O1582" s="62"/>
      <c r="P1582" s="75"/>
      <c r="Q1582" s="70"/>
      <c r="R1582" s="71"/>
      <c r="S1582" s="71"/>
      <c r="T1582" s="71"/>
      <c r="U1582" s="68"/>
    </row>
    <row r="1583" spans="2:21">
      <c r="B1583" s="62"/>
      <c r="C1583" s="62"/>
      <c r="D1583" s="80"/>
      <c r="E1583" s="80"/>
      <c r="F1583" s="81"/>
      <c r="G1583" s="73"/>
      <c r="H1583" s="76"/>
      <c r="I1583" s="62"/>
      <c r="J1583" s="62"/>
      <c r="K1583" s="54"/>
      <c r="L1583" s="74"/>
      <c r="M1583" s="62"/>
      <c r="N1583" s="62"/>
      <c r="O1583" s="62"/>
      <c r="P1583" s="75"/>
      <c r="Q1583" s="70"/>
      <c r="R1583" s="71"/>
      <c r="S1583" s="71"/>
      <c r="T1583" s="71"/>
      <c r="U1583" s="68"/>
    </row>
    <row r="1584" spans="2:21">
      <c r="B1584" s="62"/>
      <c r="C1584" s="62"/>
      <c r="D1584" s="80"/>
      <c r="E1584" s="80"/>
      <c r="F1584" s="81"/>
      <c r="G1584" s="73"/>
      <c r="H1584" s="76"/>
      <c r="I1584" s="62"/>
      <c r="J1584" s="62"/>
      <c r="K1584" s="54"/>
      <c r="L1584" s="74"/>
      <c r="M1584" s="62"/>
      <c r="N1584" s="62"/>
      <c r="O1584" s="62"/>
      <c r="P1584" s="75"/>
      <c r="Q1584" s="70"/>
      <c r="R1584" s="71"/>
      <c r="S1584" s="71"/>
      <c r="T1584" s="71"/>
      <c r="U1584" s="68"/>
    </row>
    <row r="1585" spans="2:21">
      <c r="B1585" s="62"/>
      <c r="C1585" s="62"/>
      <c r="D1585" s="80"/>
      <c r="E1585" s="80"/>
      <c r="F1585" s="81"/>
      <c r="G1585" s="73"/>
      <c r="H1585" s="76"/>
      <c r="I1585" s="62"/>
      <c r="J1585" s="62"/>
      <c r="K1585" s="54"/>
      <c r="L1585" s="74"/>
      <c r="M1585" s="62"/>
      <c r="N1585" s="62"/>
      <c r="O1585" s="62"/>
      <c r="P1585" s="75"/>
      <c r="Q1585" s="70"/>
      <c r="R1585" s="71"/>
      <c r="S1585" s="71"/>
      <c r="T1585" s="71"/>
      <c r="U1585" s="68"/>
    </row>
    <row r="1586" spans="2:21">
      <c r="B1586" s="62"/>
      <c r="C1586" s="62"/>
      <c r="D1586" s="80"/>
      <c r="E1586" s="80"/>
      <c r="F1586" s="81"/>
      <c r="G1586" s="73"/>
      <c r="H1586" s="76"/>
      <c r="I1586" s="62"/>
      <c r="J1586" s="62"/>
      <c r="K1586" s="54"/>
      <c r="L1586" s="74"/>
      <c r="M1586" s="62"/>
      <c r="N1586" s="62"/>
      <c r="O1586" s="62"/>
      <c r="P1586" s="75"/>
      <c r="Q1586" s="70"/>
      <c r="R1586" s="71"/>
      <c r="S1586" s="71"/>
      <c r="T1586" s="71"/>
      <c r="U1586" s="68"/>
    </row>
    <row r="1587" spans="2:21">
      <c r="B1587" s="62"/>
      <c r="C1587" s="62"/>
      <c r="D1587" s="80"/>
      <c r="E1587" s="80"/>
      <c r="F1587" s="81"/>
      <c r="G1587" s="73"/>
      <c r="H1587" s="76"/>
      <c r="I1587" s="62"/>
      <c r="J1587" s="62"/>
      <c r="K1587" s="54"/>
      <c r="L1587" s="74"/>
      <c r="M1587" s="62"/>
      <c r="N1587" s="62"/>
      <c r="O1587" s="62"/>
      <c r="P1587" s="75"/>
      <c r="Q1587" s="70"/>
      <c r="R1587" s="71"/>
      <c r="S1587" s="71"/>
      <c r="T1587" s="71"/>
      <c r="U1587" s="68"/>
    </row>
    <row r="1588" spans="2:21">
      <c r="B1588" s="62"/>
      <c r="C1588" s="62"/>
      <c r="D1588" s="80"/>
      <c r="E1588" s="80"/>
      <c r="F1588" s="81"/>
      <c r="G1588" s="73"/>
      <c r="H1588" s="76"/>
      <c r="I1588" s="62"/>
      <c r="J1588" s="62"/>
      <c r="K1588" s="54"/>
      <c r="L1588" s="74"/>
      <c r="M1588" s="62"/>
      <c r="N1588" s="62"/>
      <c r="O1588" s="62"/>
      <c r="P1588" s="75"/>
      <c r="Q1588" s="70"/>
      <c r="R1588" s="71"/>
      <c r="S1588" s="71"/>
      <c r="T1588" s="71"/>
      <c r="U1588" s="68"/>
    </row>
    <row r="1589" spans="2:21">
      <c r="B1589" s="62"/>
      <c r="C1589" s="62"/>
      <c r="D1589" s="80"/>
      <c r="E1589" s="80"/>
      <c r="F1589" s="81"/>
      <c r="G1589" s="73"/>
      <c r="H1589" s="76"/>
      <c r="I1589" s="62"/>
      <c r="J1589" s="62"/>
      <c r="K1589" s="54"/>
      <c r="L1589" s="74"/>
      <c r="M1589" s="62"/>
      <c r="N1589" s="62"/>
      <c r="O1589" s="62"/>
      <c r="P1589" s="75"/>
      <c r="Q1589" s="70"/>
      <c r="R1589" s="71"/>
      <c r="S1589" s="71"/>
      <c r="T1589" s="71"/>
      <c r="U1589" s="68"/>
    </row>
    <row r="1590" spans="2:21">
      <c r="B1590" s="62"/>
      <c r="C1590" s="62"/>
      <c r="D1590" s="80"/>
      <c r="E1590" s="80"/>
      <c r="F1590" s="81"/>
      <c r="G1590" s="73"/>
      <c r="H1590" s="76"/>
      <c r="I1590" s="62"/>
      <c r="J1590" s="62"/>
      <c r="K1590" s="54"/>
      <c r="L1590" s="74"/>
      <c r="M1590" s="62"/>
      <c r="N1590" s="62"/>
      <c r="O1590" s="62"/>
      <c r="P1590" s="75"/>
      <c r="Q1590" s="70"/>
      <c r="R1590" s="71"/>
      <c r="S1590" s="71"/>
      <c r="T1590" s="71"/>
      <c r="U1590" s="68"/>
    </row>
    <row r="1591" spans="2:21">
      <c r="B1591" s="62"/>
      <c r="C1591" s="62"/>
      <c r="D1591" s="80"/>
      <c r="E1591" s="80"/>
      <c r="F1591" s="81"/>
      <c r="G1591" s="73"/>
      <c r="H1591" s="76"/>
      <c r="I1591" s="62"/>
      <c r="J1591" s="62"/>
      <c r="K1591" s="54"/>
      <c r="L1591" s="74"/>
      <c r="M1591" s="62"/>
      <c r="N1591" s="62"/>
      <c r="O1591" s="62"/>
      <c r="P1591" s="75"/>
      <c r="Q1591" s="70"/>
      <c r="R1591" s="71"/>
      <c r="S1591" s="71"/>
      <c r="T1591" s="71"/>
      <c r="U1591" s="68"/>
    </row>
    <row r="1592" spans="2:21">
      <c r="B1592" s="62"/>
      <c r="C1592" s="62"/>
      <c r="D1592" s="80"/>
      <c r="E1592" s="80"/>
      <c r="F1592" s="81"/>
      <c r="G1592" s="73"/>
      <c r="H1592" s="76"/>
      <c r="I1592" s="62"/>
      <c r="J1592" s="62"/>
      <c r="K1592" s="54"/>
      <c r="L1592" s="74"/>
      <c r="M1592" s="62"/>
      <c r="N1592" s="62"/>
      <c r="O1592" s="62"/>
      <c r="P1592" s="75"/>
      <c r="Q1592" s="70"/>
      <c r="R1592" s="71"/>
      <c r="S1592" s="71"/>
      <c r="T1592" s="71"/>
      <c r="U1592" s="68"/>
    </row>
    <row r="1593" spans="2:21">
      <c r="B1593" s="62"/>
      <c r="C1593" s="62"/>
      <c r="D1593" s="80"/>
      <c r="E1593" s="80"/>
      <c r="F1593" s="81"/>
      <c r="G1593" s="73"/>
      <c r="H1593" s="76"/>
      <c r="I1593" s="62"/>
      <c r="J1593" s="62"/>
      <c r="K1593" s="54"/>
      <c r="L1593" s="74"/>
      <c r="M1593" s="62"/>
      <c r="N1593" s="62"/>
      <c r="O1593" s="62"/>
      <c r="P1593" s="75"/>
      <c r="Q1593" s="70"/>
      <c r="R1593" s="71"/>
      <c r="S1593" s="71"/>
      <c r="T1593" s="71"/>
      <c r="U1593" s="68"/>
    </row>
    <row r="1594" spans="2:21">
      <c r="B1594" s="62"/>
      <c r="C1594" s="62"/>
      <c r="D1594" s="80"/>
      <c r="E1594" s="80"/>
      <c r="F1594" s="81"/>
      <c r="G1594" s="73"/>
      <c r="H1594" s="76"/>
      <c r="I1594" s="62"/>
      <c r="J1594" s="62"/>
      <c r="K1594" s="54"/>
      <c r="L1594" s="74"/>
      <c r="M1594" s="62"/>
      <c r="N1594" s="62"/>
      <c r="O1594" s="62"/>
      <c r="P1594" s="75"/>
      <c r="Q1594" s="70"/>
      <c r="R1594" s="71"/>
      <c r="S1594" s="71"/>
      <c r="T1594" s="71"/>
      <c r="U1594" s="68"/>
    </row>
    <row r="1595" spans="2:21">
      <c r="B1595" s="62"/>
      <c r="C1595" s="62"/>
      <c r="D1595" s="80"/>
      <c r="E1595" s="80"/>
      <c r="F1595" s="81"/>
      <c r="G1595" s="73"/>
      <c r="H1595" s="76"/>
      <c r="I1595" s="62"/>
      <c r="J1595" s="62"/>
      <c r="K1595" s="54"/>
      <c r="L1595" s="74"/>
      <c r="M1595" s="62"/>
      <c r="N1595" s="62"/>
      <c r="O1595" s="62"/>
      <c r="P1595" s="75"/>
      <c r="Q1595" s="70"/>
      <c r="R1595" s="71"/>
      <c r="S1595" s="71"/>
      <c r="T1595" s="71"/>
      <c r="U1595" s="68"/>
    </row>
    <row r="1596" spans="2:21">
      <c r="B1596" s="62"/>
      <c r="C1596" s="62"/>
      <c r="D1596" s="80"/>
      <c r="E1596" s="80"/>
      <c r="F1596" s="81"/>
      <c r="G1596" s="73"/>
      <c r="H1596" s="76"/>
      <c r="I1596" s="62"/>
      <c r="J1596" s="62"/>
      <c r="K1596" s="54"/>
      <c r="L1596" s="74"/>
      <c r="M1596" s="62"/>
      <c r="N1596" s="62"/>
      <c r="O1596" s="62"/>
      <c r="P1596" s="75"/>
      <c r="Q1596" s="70"/>
      <c r="R1596" s="71"/>
      <c r="S1596" s="71"/>
      <c r="T1596" s="71"/>
      <c r="U1596" s="68"/>
    </row>
    <row r="1597" spans="2:21">
      <c r="B1597" s="62"/>
      <c r="C1597" s="62"/>
      <c r="D1597" s="80"/>
      <c r="E1597" s="80"/>
      <c r="F1597" s="81"/>
      <c r="G1597" s="73"/>
      <c r="H1597" s="76"/>
      <c r="I1597" s="62"/>
      <c r="J1597" s="62"/>
      <c r="K1597" s="54"/>
      <c r="L1597" s="74"/>
      <c r="M1597" s="62"/>
      <c r="N1597" s="62"/>
      <c r="O1597" s="62"/>
      <c r="P1597" s="75"/>
      <c r="Q1597" s="70"/>
      <c r="R1597" s="71"/>
      <c r="S1597" s="71"/>
      <c r="T1597" s="71"/>
      <c r="U1597" s="68"/>
    </row>
    <row r="1598" spans="2:21">
      <c r="B1598" s="62"/>
      <c r="C1598" s="62"/>
      <c r="D1598" s="80"/>
      <c r="E1598" s="80"/>
      <c r="F1598" s="81"/>
      <c r="G1598" s="73"/>
      <c r="H1598" s="76"/>
      <c r="I1598" s="62"/>
      <c r="J1598" s="62"/>
      <c r="K1598" s="54"/>
      <c r="L1598" s="74"/>
      <c r="M1598" s="62"/>
      <c r="N1598" s="62"/>
      <c r="O1598" s="62"/>
      <c r="P1598" s="75"/>
      <c r="Q1598" s="70"/>
      <c r="R1598" s="71"/>
      <c r="S1598" s="71"/>
      <c r="T1598" s="71"/>
      <c r="U1598" s="68"/>
    </row>
    <row r="1599" spans="2:21">
      <c r="B1599" s="62"/>
      <c r="C1599" s="62"/>
      <c r="D1599" s="80"/>
      <c r="E1599" s="80"/>
      <c r="F1599" s="81"/>
      <c r="G1599" s="73"/>
      <c r="H1599" s="76"/>
      <c r="I1599" s="62"/>
      <c r="J1599" s="62"/>
      <c r="K1599" s="54"/>
      <c r="L1599" s="74"/>
      <c r="M1599" s="62"/>
      <c r="N1599" s="62"/>
      <c r="O1599" s="62"/>
      <c r="P1599" s="75"/>
      <c r="Q1599" s="70"/>
      <c r="R1599" s="71"/>
      <c r="S1599" s="71"/>
      <c r="T1599" s="71"/>
      <c r="U1599" s="68"/>
    </row>
    <row r="1600" spans="2:21">
      <c r="B1600" s="62"/>
      <c r="C1600" s="62"/>
      <c r="D1600" s="80"/>
      <c r="E1600" s="80"/>
      <c r="F1600" s="81"/>
      <c r="G1600" s="73"/>
      <c r="H1600" s="76"/>
      <c r="I1600" s="62"/>
      <c r="J1600" s="62"/>
      <c r="K1600" s="54"/>
      <c r="L1600" s="74"/>
      <c r="M1600" s="62"/>
      <c r="N1600" s="62"/>
      <c r="O1600" s="62"/>
      <c r="P1600" s="75"/>
      <c r="Q1600" s="70"/>
      <c r="R1600" s="71"/>
      <c r="S1600" s="71"/>
      <c r="T1600" s="71"/>
      <c r="U1600" s="68"/>
    </row>
    <row r="1601" spans="2:21">
      <c r="B1601" s="62"/>
      <c r="C1601" s="62"/>
      <c r="D1601" s="80"/>
      <c r="E1601" s="80"/>
      <c r="F1601" s="81"/>
      <c r="G1601" s="73"/>
      <c r="H1601" s="76"/>
      <c r="I1601" s="62"/>
      <c r="J1601" s="62"/>
      <c r="K1601" s="54"/>
      <c r="L1601" s="74"/>
      <c r="M1601" s="62"/>
      <c r="N1601" s="62"/>
      <c r="O1601" s="62"/>
      <c r="P1601" s="75"/>
      <c r="Q1601" s="70"/>
      <c r="R1601" s="71"/>
      <c r="S1601" s="71"/>
      <c r="T1601" s="71"/>
      <c r="U1601" s="68"/>
    </row>
    <row r="1602" spans="2:21">
      <c r="B1602" s="62"/>
      <c r="C1602" s="62"/>
      <c r="D1602" s="80"/>
      <c r="E1602" s="80"/>
      <c r="F1602" s="81"/>
      <c r="G1602" s="73"/>
      <c r="H1602" s="76"/>
      <c r="I1602" s="62"/>
      <c r="J1602" s="62"/>
      <c r="K1602" s="54"/>
      <c r="L1602" s="74"/>
      <c r="M1602" s="62"/>
      <c r="N1602" s="62"/>
      <c r="O1602" s="62"/>
      <c r="P1602" s="75"/>
      <c r="Q1602" s="70"/>
      <c r="R1602" s="71"/>
      <c r="S1602" s="71"/>
      <c r="T1602" s="71"/>
      <c r="U1602" s="68"/>
    </row>
    <row r="1603" spans="2:21">
      <c r="B1603" s="62"/>
      <c r="C1603" s="62"/>
      <c r="D1603" s="80"/>
      <c r="E1603" s="80"/>
      <c r="F1603" s="81"/>
      <c r="G1603" s="73"/>
      <c r="H1603" s="76"/>
      <c r="I1603" s="62"/>
      <c r="J1603" s="62"/>
      <c r="K1603" s="54"/>
      <c r="L1603" s="74"/>
      <c r="M1603" s="62"/>
      <c r="N1603" s="62"/>
      <c r="O1603" s="62"/>
      <c r="P1603" s="75"/>
      <c r="Q1603" s="70"/>
      <c r="R1603" s="71"/>
      <c r="S1603" s="71"/>
      <c r="T1603" s="71"/>
      <c r="U1603" s="68"/>
    </row>
    <row r="1604" spans="2:21">
      <c r="B1604" s="62"/>
      <c r="C1604" s="62"/>
      <c r="D1604" s="80"/>
      <c r="E1604" s="80"/>
      <c r="F1604" s="81"/>
      <c r="G1604" s="73"/>
      <c r="H1604" s="76"/>
      <c r="I1604" s="62"/>
      <c r="J1604" s="62"/>
      <c r="K1604" s="54"/>
      <c r="L1604" s="74"/>
      <c r="M1604" s="62"/>
      <c r="N1604" s="62"/>
      <c r="O1604" s="62"/>
      <c r="P1604" s="75"/>
      <c r="Q1604" s="70"/>
      <c r="R1604" s="71"/>
      <c r="S1604" s="71"/>
      <c r="T1604" s="71"/>
      <c r="U1604" s="68"/>
    </row>
    <row r="1605" spans="2:21">
      <c r="B1605" s="62"/>
      <c r="C1605" s="62"/>
      <c r="D1605" s="80"/>
      <c r="E1605" s="80"/>
      <c r="F1605" s="81"/>
      <c r="G1605" s="73"/>
      <c r="H1605" s="76"/>
      <c r="I1605" s="62"/>
      <c r="J1605" s="62"/>
      <c r="K1605" s="54"/>
      <c r="L1605" s="74"/>
      <c r="M1605" s="62"/>
      <c r="N1605" s="62"/>
      <c r="O1605" s="62"/>
      <c r="P1605" s="75"/>
      <c r="Q1605" s="70"/>
      <c r="R1605" s="71"/>
      <c r="S1605" s="71"/>
      <c r="T1605" s="71"/>
      <c r="U1605" s="68"/>
    </row>
    <row r="1606" spans="2:21">
      <c r="B1606" s="62"/>
      <c r="C1606" s="62"/>
      <c r="D1606" s="80"/>
      <c r="E1606" s="80"/>
      <c r="F1606" s="81"/>
      <c r="G1606" s="73"/>
      <c r="H1606" s="76"/>
      <c r="I1606" s="62"/>
      <c r="J1606" s="62"/>
      <c r="K1606" s="54"/>
      <c r="L1606" s="74"/>
      <c r="M1606" s="62"/>
      <c r="N1606" s="62"/>
      <c r="O1606" s="62"/>
      <c r="P1606" s="75"/>
      <c r="Q1606" s="70"/>
      <c r="R1606" s="71"/>
      <c r="S1606" s="71"/>
      <c r="T1606" s="71"/>
      <c r="U1606" s="68"/>
    </row>
    <row r="1607" spans="2:21">
      <c r="B1607" s="62"/>
      <c r="C1607" s="62"/>
      <c r="D1607" s="80"/>
      <c r="E1607" s="80"/>
      <c r="F1607" s="81"/>
      <c r="G1607" s="73"/>
      <c r="H1607" s="76"/>
      <c r="I1607" s="62"/>
      <c r="J1607" s="62"/>
      <c r="K1607" s="54"/>
      <c r="L1607" s="74"/>
      <c r="M1607" s="62"/>
      <c r="N1607" s="62"/>
      <c r="O1607" s="62"/>
      <c r="P1607" s="75"/>
      <c r="Q1607" s="70"/>
      <c r="R1607" s="71"/>
      <c r="S1607" s="71"/>
      <c r="T1607" s="71"/>
      <c r="U1607" s="68"/>
    </row>
    <row r="1608" spans="2:21">
      <c r="B1608" s="62"/>
      <c r="C1608" s="62"/>
      <c r="D1608" s="80"/>
      <c r="E1608" s="80"/>
      <c r="F1608" s="81"/>
      <c r="G1608" s="73"/>
      <c r="H1608" s="76"/>
      <c r="I1608" s="62"/>
      <c r="J1608" s="62"/>
      <c r="K1608" s="54"/>
      <c r="L1608" s="74"/>
      <c r="M1608" s="62"/>
      <c r="N1608" s="62"/>
      <c r="O1608" s="62"/>
      <c r="P1608" s="75"/>
      <c r="Q1608" s="70"/>
      <c r="R1608" s="71"/>
      <c r="S1608" s="71"/>
      <c r="T1608" s="71"/>
      <c r="U1608" s="68"/>
    </row>
    <row r="1609" spans="2:21">
      <c r="B1609" s="62"/>
      <c r="C1609" s="62"/>
      <c r="D1609" s="80"/>
      <c r="E1609" s="80"/>
      <c r="F1609" s="81"/>
      <c r="G1609" s="73"/>
      <c r="H1609" s="76"/>
      <c r="I1609" s="62"/>
      <c r="J1609" s="62"/>
      <c r="K1609" s="54"/>
      <c r="L1609" s="74"/>
      <c r="M1609" s="62"/>
      <c r="N1609" s="62"/>
      <c r="O1609" s="62"/>
      <c r="P1609" s="75"/>
      <c r="Q1609" s="70"/>
      <c r="R1609" s="71"/>
      <c r="S1609" s="71"/>
      <c r="T1609" s="71"/>
      <c r="U1609" s="68"/>
    </row>
    <row r="1610" spans="2:21">
      <c r="B1610" s="62"/>
      <c r="C1610" s="62"/>
      <c r="D1610" s="80"/>
      <c r="E1610" s="80"/>
      <c r="F1610" s="81"/>
      <c r="G1610" s="73"/>
      <c r="H1610" s="76"/>
      <c r="I1610" s="62"/>
      <c r="J1610" s="62"/>
      <c r="K1610" s="54"/>
      <c r="L1610" s="74"/>
      <c r="M1610" s="62"/>
      <c r="N1610" s="62"/>
      <c r="O1610" s="62"/>
      <c r="P1610" s="75"/>
      <c r="Q1610" s="70"/>
      <c r="R1610" s="71"/>
      <c r="S1610" s="71"/>
      <c r="T1610" s="71"/>
      <c r="U1610" s="68"/>
    </row>
    <row r="1611" spans="2:21">
      <c r="B1611" s="62"/>
      <c r="C1611" s="62"/>
      <c r="D1611" s="80"/>
      <c r="E1611" s="80"/>
      <c r="F1611" s="81"/>
      <c r="G1611" s="73"/>
      <c r="H1611" s="76"/>
      <c r="I1611" s="62"/>
      <c r="J1611" s="62"/>
      <c r="K1611" s="54"/>
      <c r="L1611" s="74"/>
      <c r="M1611" s="62"/>
      <c r="N1611" s="62"/>
      <c r="O1611" s="62"/>
      <c r="P1611" s="75"/>
      <c r="Q1611" s="70"/>
      <c r="R1611" s="71"/>
      <c r="S1611" s="71"/>
      <c r="T1611" s="71"/>
      <c r="U1611" s="68"/>
    </row>
    <row r="1612" spans="2:21">
      <c r="B1612" s="62"/>
      <c r="C1612" s="62"/>
      <c r="D1612" s="80"/>
      <c r="E1612" s="80"/>
      <c r="F1612" s="81"/>
      <c r="G1612" s="73"/>
      <c r="H1612" s="76"/>
      <c r="I1612" s="62"/>
      <c r="J1612" s="62"/>
      <c r="K1612" s="54"/>
      <c r="L1612" s="74"/>
      <c r="M1612" s="62"/>
      <c r="N1612" s="62"/>
      <c r="O1612" s="62"/>
      <c r="P1612" s="75"/>
      <c r="Q1612" s="70"/>
      <c r="R1612" s="71"/>
      <c r="S1612" s="71"/>
      <c r="T1612" s="71"/>
      <c r="U1612" s="68"/>
    </row>
    <row r="1613" spans="2:21">
      <c r="B1613" s="62"/>
      <c r="C1613" s="62"/>
      <c r="D1613" s="80"/>
      <c r="E1613" s="80"/>
      <c r="F1613" s="81"/>
      <c r="G1613" s="73"/>
      <c r="H1613" s="76"/>
      <c r="I1613" s="62"/>
      <c r="J1613" s="62"/>
      <c r="K1613" s="54"/>
      <c r="L1613" s="74"/>
      <c r="M1613" s="62"/>
      <c r="N1613" s="62"/>
      <c r="O1613" s="62"/>
      <c r="P1613" s="75"/>
      <c r="Q1613" s="70"/>
      <c r="R1613" s="71"/>
      <c r="S1613" s="71"/>
      <c r="T1613" s="71"/>
      <c r="U1613" s="68"/>
    </row>
    <row r="1614" spans="2:21">
      <c r="B1614" s="62"/>
      <c r="C1614" s="62"/>
      <c r="D1614" s="80"/>
      <c r="E1614" s="80"/>
      <c r="F1614" s="81"/>
      <c r="G1614" s="73"/>
      <c r="H1614" s="76"/>
      <c r="I1614" s="62"/>
      <c r="J1614" s="62"/>
      <c r="K1614" s="54"/>
      <c r="L1614" s="74"/>
      <c r="M1614" s="62"/>
      <c r="N1614" s="62"/>
      <c r="O1614" s="62"/>
      <c r="P1614" s="75"/>
      <c r="Q1614" s="70"/>
      <c r="R1614" s="71"/>
      <c r="S1614" s="71"/>
      <c r="T1614" s="71"/>
      <c r="U1614" s="68"/>
    </row>
    <row r="1615" spans="2:21">
      <c r="B1615" s="62"/>
      <c r="C1615" s="62"/>
      <c r="D1615" s="80"/>
      <c r="E1615" s="80"/>
      <c r="F1615" s="81"/>
      <c r="G1615" s="73"/>
      <c r="H1615" s="76"/>
      <c r="I1615" s="62"/>
      <c r="J1615" s="62"/>
      <c r="K1615" s="54"/>
      <c r="L1615" s="74"/>
      <c r="M1615" s="62"/>
      <c r="N1615" s="62"/>
      <c r="O1615" s="62"/>
      <c r="P1615" s="75"/>
      <c r="Q1615" s="70"/>
      <c r="R1615" s="71"/>
      <c r="S1615" s="71"/>
      <c r="T1615" s="71"/>
      <c r="U1615" s="68"/>
    </row>
    <row r="1616" spans="2:21">
      <c r="B1616" s="62"/>
      <c r="C1616" s="62"/>
      <c r="D1616" s="80"/>
      <c r="E1616" s="80"/>
      <c r="F1616" s="81"/>
      <c r="G1616" s="73"/>
      <c r="H1616" s="76"/>
      <c r="I1616" s="62"/>
      <c r="J1616" s="62"/>
      <c r="K1616" s="54"/>
      <c r="L1616" s="74"/>
      <c r="M1616" s="62"/>
      <c r="N1616" s="62"/>
      <c r="O1616" s="62"/>
      <c r="P1616" s="75"/>
      <c r="Q1616" s="70"/>
      <c r="R1616" s="71"/>
      <c r="S1616" s="71"/>
      <c r="T1616" s="71"/>
      <c r="U1616" s="68"/>
    </row>
    <row r="1617" spans="2:21">
      <c r="B1617" s="62"/>
      <c r="C1617" s="62"/>
      <c r="D1617" s="80"/>
      <c r="E1617" s="80"/>
      <c r="F1617" s="81"/>
      <c r="G1617" s="73"/>
      <c r="H1617" s="76"/>
      <c r="I1617" s="62"/>
      <c r="J1617" s="62"/>
      <c r="K1617" s="54"/>
      <c r="L1617" s="74"/>
      <c r="M1617" s="62"/>
      <c r="N1617" s="62"/>
      <c r="O1617" s="62"/>
      <c r="P1617" s="75"/>
      <c r="Q1617" s="70"/>
      <c r="R1617" s="71"/>
      <c r="S1617" s="71"/>
      <c r="T1617" s="71"/>
      <c r="U1617" s="68"/>
    </row>
    <row r="1618" spans="2:21">
      <c r="B1618" s="62"/>
      <c r="C1618" s="62"/>
      <c r="D1618" s="80"/>
      <c r="E1618" s="80"/>
      <c r="F1618" s="81"/>
      <c r="G1618" s="73"/>
      <c r="H1618" s="76"/>
      <c r="I1618" s="62"/>
      <c r="J1618" s="62"/>
      <c r="K1618" s="54"/>
      <c r="L1618" s="74"/>
      <c r="M1618" s="62"/>
      <c r="N1618" s="62"/>
      <c r="O1618" s="62"/>
      <c r="P1618" s="75"/>
      <c r="Q1618" s="70"/>
      <c r="R1618" s="71"/>
      <c r="S1618" s="71"/>
      <c r="T1618" s="71"/>
      <c r="U1618" s="68"/>
    </row>
    <row r="1619" spans="2:21">
      <c r="B1619" s="62"/>
      <c r="C1619" s="62"/>
      <c r="D1619" s="80"/>
      <c r="E1619" s="80"/>
      <c r="F1619" s="81"/>
      <c r="G1619" s="73"/>
      <c r="H1619" s="76"/>
      <c r="I1619" s="62"/>
      <c r="J1619" s="62"/>
      <c r="K1619" s="54"/>
      <c r="L1619" s="74"/>
      <c r="M1619" s="62"/>
      <c r="N1619" s="62"/>
      <c r="O1619" s="62"/>
      <c r="P1619" s="75"/>
      <c r="Q1619" s="70"/>
      <c r="R1619" s="71"/>
      <c r="S1619" s="71"/>
      <c r="T1619" s="71"/>
      <c r="U1619" s="68"/>
    </row>
    <row r="1620" spans="2:21">
      <c r="B1620" s="62"/>
      <c r="C1620" s="62"/>
      <c r="D1620" s="80"/>
      <c r="E1620" s="80"/>
      <c r="F1620" s="81"/>
      <c r="G1620" s="73"/>
      <c r="H1620" s="76"/>
      <c r="I1620" s="62"/>
      <c r="J1620" s="62"/>
      <c r="K1620" s="54"/>
      <c r="L1620" s="74"/>
      <c r="M1620" s="62"/>
      <c r="N1620" s="62"/>
      <c r="O1620" s="62"/>
      <c r="P1620" s="75"/>
      <c r="Q1620" s="70"/>
      <c r="R1620" s="71"/>
      <c r="S1620" s="71"/>
      <c r="T1620" s="71"/>
      <c r="U1620" s="68"/>
    </row>
    <row r="1621" spans="2:21">
      <c r="B1621" s="62"/>
      <c r="C1621" s="62"/>
      <c r="D1621" s="80"/>
      <c r="E1621" s="80"/>
      <c r="F1621" s="81"/>
      <c r="G1621" s="73"/>
      <c r="H1621" s="76"/>
      <c r="I1621" s="62"/>
      <c r="J1621" s="62"/>
      <c r="K1621" s="54"/>
      <c r="L1621" s="74"/>
      <c r="M1621" s="62"/>
      <c r="N1621" s="62"/>
      <c r="O1621" s="62"/>
      <c r="P1621" s="75"/>
      <c r="Q1621" s="70"/>
      <c r="R1621" s="71"/>
      <c r="S1621" s="71"/>
      <c r="T1621" s="71"/>
      <c r="U1621" s="68"/>
    </row>
    <row r="1622" spans="2:21">
      <c r="B1622" s="62"/>
      <c r="C1622" s="62"/>
      <c r="D1622" s="80"/>
      <c r="E1622" s="80"/>
      <c r="F1622" s="81"/>
      <c r="G1622" s="73"/>
      <c r="H1622" s="76"/>
      <c r="I1622" s="62"/>
      <c r="J1622" s="62"/>
      <c r="K1622" s="54"/>
      <c r="L1622" s="74"/>
      <c r="M1622" s="62"/>
      <c r="N1622" s="62"/>
      <c r="O1622" s="62"/>
      <c r="P1622" s="75"/>
      <c r="Q1622" s="70"/>
      <c r="R1622" s="71"/>
      <c r="S1622" s="71"/>
      <c r="T1622" s="71"/>
      <c r="U1622" s="68"/>
    </row>
    <row r="1623" spans="2:21">
      <c r="B1623" s="62"/>
      <c r="C1623" s="62"/>
      <c r="D1623" s="80"/>
      <c r="E1623" s="80"/>
      <c r="F1623" s="81"/>
      <c r="G1623" s="73"/>
      <c r="H1623" s="76"/>
      <c r="I1623" s="62"/>
      <c r="J1623" s="62"/>
      <c r="K1623" s="54"/>
      <c r="L1623" s="74"/>
      <c r="M1623" s="62"/>
      <c r="N1623" s="62"/>
      <c r="O1623" s="62"/>
      <c r="P1623" s="75"/>
      <c r="Q1623" s="70"/>
      <c r="R1623" s="71"/>
      <c r="S1623" s="71"/>
      <c r="T1623" s="71"/>
      <c r="U1623" s="68"/>
    </row>
    <row r="1624" spans="2:21">
      <c r="B1624" s="62"/>
      <c r="C1624" s="62"/>
      <c r="D1624" s="80"/>
      <c r="E1624" s="80"/>
      <c r="F1624" s="81"/>
      <c r="G1624" s="73"/>
      <c r="H1624" s="76"/>
      <c r="I1624" s="62"/>
      <c r="J1624" s="62"/>
      <c r="K1624" s="54"/>
      <c r="L1624" s="74"/>
      <c r="M1624" s="62"/>
      <c r="N1624" s="62"/>
      <c r="O1624" s="62"/>
      <c r="P1624" s="75"/>
      <c r="Q1624" s="70"/>
      <c r="R1624" s="71"/>
      <c r="S1624" s="71"/>
      <c r="T1624" s="71"/>
      <c r="U1624" s="68"/>
    </row>
    <row r="1625" spans="2:21">
      <c r="B1625" s="62"/>
      <c r="C1625" s="62"/>
      <c r="D1625" s="80"/>
      <c r="E1625" s="80"/>
      <c r="F1625" s="81"/>
      <c r="G1625" s="73"/>
      <c r="H1625" s="76"/>
      <c r="I1625" s="62"/>
      <c r="J1625" s="62"/>
      <c r="K1625" s="54"/>
      <c r="L1625" s="74"/>
      <c r="M1625" s="62"/>
      <c r="N1625" s="62"/>
      <c r="O1625" s="62"/>
      <c r="P1625" s="75"/>
      <c r="Q1625" s="70"/>
      <c r="R1625" s="71"/>
      <c r="S1625" s="71"/>
      <c r="T1625" s="71"/>
      <c r="U1625" s="68"/>
    </row>
    <row r="1626" spans="2:21">
      <c r="B1626" s="62"/>
      <c r="C1626" s="62"/>
      <c r="D1626" s="80"/>
      <c r="E1626" s="80"/>
      <c r="F1626" s="81"/>
      <c r="G1626" s="73"/>
      <c r="H1626" s="76"/>
      <c r="I1626" s="62"/>
      <c r="J1626" s="62"/>
      <c r="K1626" s="54"/>
      <c r="L1626" s="74"/>
      <c r="M1626" s="62"/>
      <c r="N1626" s="62"/>
      <c r="O1626" s="62"/>
      <c r="P1626" s="75"/>
      <c r="Q1626" s="70"/>
      <c r="R1626" s="71"/>
      <c r="S1626" s="71"/>
      <c r="T1626" s="71"/>
      <c r="U1626" s="68"/>
    </row>
    <row r="1627" spans="2:21">
      <c r="B1627" s="62"/>
      <c r="C1627" s="62"/>
      <c r="D1627" s="80"/>
      <c r="E1627" s="80"/>
      <c r="F1627" s="81"/>
      <c r="G1627" s="73"/>
      <c r="H1627" s="76"/>
      <c r="I1627" s="62"/>
      <c r="J1627" s="62"/>
      <c r="K1627" s="54"/>
      <c r="L1627" s="74"/>
      <c r="M1627" s="62"/>
      <c r="N1627" s="62"/>
      <c r="O1627" s="62"/>
      <c r="P1627" s="75"/>
      <c r="Q1627" s="70"/>
      <c r="R1627" s="71"/>
      <c r="S1627" s="71"/>
      <c r="T1627" s="71"/>
      <c r="U1627" s="68"/>
    </row>
    <row r="1628" spans="2:21">
      <c r="B1628" s="62"/>
      <c r="C1628" s="62"/>
      <c r="D1628" s="80"/>
      <c r="E1628" s="80"/>
      <c r="F1628" s="81"/>
      <c r="G1628" s="73"/>
      <c r="H1628" s="76"/>
      <c r="I1628" s="62"/>
      <c r="J1628" s="62"/>
      <c r="K1628" s="54"/>
      <c r="L1628" s="74"/>
      <c r="M1628" s="62"/>
      <c r="N1628" s="62"/>
      <c r="O1628" s="62"/>
      <c r="P1628" s="75"/>
      <c r="Q1628" s="70"/>
      <c r="R1628" s="71"/>
      <c r="S1628" s="71"/>
      <c r="T1628" s="71"/>
      <c r="U1628" s="68"/>
    </row>
    <row r="1629" spans="2:21">
      <c r="B1629" s="62"/>
      <c r="C1629" s="62"/>
      <c r="D1629" s="80"/>
      <c r="E1629" s="80"/>
      <c r="F1629" s="81"/>
      <c r="G1629" s="73"/>
      <c r="H1629" s="76"/>
      <c r="I1629" s="62"/>
      <c r="J1629" s="62"/>
      <c r="K1629" s="54"/>
      <c r="L1629" s="74"/>
      <c r="M1629" s="62"/>
      <c r="N1629" s="62"/>
      <c r="O1629" s="62"/>
      <c r="P1629" s="75"/>
      <c r="Q1629" s="70"/>
      <c r="R1629" s="71"/>
      <c r="S1629" s="71"/>
      <c r="T1629" s="71"/>
      <c r="U1629" s="68"/>
    </row>
    <row r="1630" spans="2:21">
      <c r="B1630" s="62"/>
      <c r="C1630" s="62"/>
      <c r="D1630" s="80"/>
      <c r="E1630" s="80"/>
      <c r="F1630" s="81"/>
      <c r="G1630" s="73"/>
      <c r="H1630" s="76"/>
      <c r="I1630" s="62"/>
      <c r="J1630" s="62"/>
      <c r="K1630" s="54"/>
      <c r="L1630" s="74"/>
      <c r="M1630" s="62"/>
      <c r="N1630" s="62"/>
      <c r="O1630" s="62"/>
      <c r="P1630" s="75"/>
      <c r="Q1630" s="70"/>
      <c r="R1630" s="71"/>
      <c r="S1630" s="71"/>
      <c r="T1630" s="71"/>
      <c r="U1630" s="68"/>
    </row>
    <row r="1631" spans="2:21">
      <c r="B1631" s="62"/>
      <c r="C1631" s="62"/>
      <c r="D1631" s="80"/>
      <c r="E1631" s="80"/>
      <c r="F1631" s="81"/>
      <c r="G1631" s="73"/>
      <c r="H1631" s="76"/>
      <c r="I1631" s="62"/>
      <c r="J1631" s="62"/>
      <c r="K1631" s="54"/>
      <c r="L1631" s="74"/>
      <c r="M1631" s="62"/>
      <c r="N1631" s="62"/>
      <c r="O1631" s="62"/>
      <c r="P1631" s="75"/>
      <c r="Q1631" s="70"/>
      <c r="R1631" s="71"/>
      <c r="S1631" s="71"/>
      <c r="T1631" s="71"/>
      <c r="U1631" s="68"/>
    </row>
    <row r="1632" spans="2:21">
      <c r="B1632" s="62"/>
      <c r="C1632" s="62"/>
      <c r="D1632" s="80"/>
      <c r="E1632" s="80"/>
      <c r="F1632" s="81"/>
      <c r="G1632" s="73"/>
      <c r="H1632" s="76"/>
      <c r="I1632" s="62"/>
      <c r="J1632" s="62"/>
      <c r="K1632" s="54"/>
      <c r="L1632" s="74"/>
      <c r="M1632" s="62"/>
      <c r="N1632" s="62"/>
      <c r="O1632" s="62"/>
      <c r="P1632" s="75"/>
      <c r="Q1632" s="70"/>
      <c r="R1632" s="71"/>
      <c r="S1632" s="71"/>
      <c r="T1632" s="71"/>
      <c r="U1632" s="68"/>
    </row>
    <row r="1633" spans="2:21">
      <c r="B1633" s="62"/>
      <c r="C1633" s="62"/>
      <c r="D1633" s="80"/>
      <c r="E1633" s="80"/>
      <c r="F1633" s="81"/>
      <c r="G1633" s="73"/>
      <c r="H1633" s="76"/>
      <c r="I1633" s="62"/>
      <c r="J1633" s="62"/>
      <c r="K1633" s="54"/>
      <c r="L1633" s="74"/>
      <c r="M1633" s="62"/>
      <c r="N1633" s="62"/>
      <c r="O1633" s="62"/>
      <c r="P1633" s="75"/>
      <c r="Q1633" s="70"/>
      <c r="R1633" s="71"/>
      <c r="S1633" s="71"/>
      <c r="T1633" s="71"/>
      <c r="U1633" s="68"/>
    </row>
    <row r="1634" spans="2:21">
      <c r="B1634" s="62"/>
      <c r="C1634" s="62"/>
      <c r="D1634" s="80"/>
      <c r="E1634" s="80"/>
      <c r="F1634" s="81"/>
      <c r="G1634" s="73"/>
      <c r="H1634" s="76"/>
      <c r="I1634" s="62"/>
      <c r="J1634" s="62"/>
      <c r="K1634" s="54"/>
      <c r="L1634" s="74"/>
      <c r="M1634" s="62"/>
      <c r="N1634" s="62"/>
      <c r="O1634" s="62"/>
      <c r="P1634" s="75"/>
      <c r="Q1634" s="70"/>
      <c r="R1634" s="71"/>
      <c r="S1634" s="71"/>
      <c r="T1634" s="71"/>
      <c r="U1634" s="68"/>
    </row>
    <row r="1635" spans="2:21">
      <c r="B1635" s="62"/>
      <c r="C1635" s="62"/>
      <c r="D1635" s="80"/>
      <c r="E1635" s="80"/>
      <c r="F1635" s="81"/>
      <c r="G1635" s="73"/>
      <c r="H1635" s="76"/>
      <c r="I1635" s="62"/>
      <c r="J1635" s="62"/>
      <c r="K1635" s="54"/>
      <c r="L1635" s="74"/>
      <c r="M1635" s="62"/>
      <c r="N1635" s="62"/>
      <c r="O1635" s="62"/>
      <c r="P1635" s="75"/>
      <c r="Q1635" s="70"/>
      <c r="R1635" s="71"/>
      <c r="S1635" s="71"/>
      <c r="T1635" s="71"/>
      <c r="U1635" s="68"/>
    </row>
    <row r="1636" spans="2:21">
      <c r="B1636" s="62"/>
      <c r="C1636" s="62"/>
      <c r="D1636" s="80"/>
      <c r="E1636" s="80"/>
      <c r="F1636" s="81"/>
      <c r="G1636" s="73"/>
      <c r="H1636" s="76"/>
      <c r="I1636" s="62"/>
      <c r="J1636" s="62"/>
      <c r="K1636" s="54"/>
      <c r="L1636" s="74"/>
      <c r="M1636" s="62"/>
      <c r="N1636" s="62"/>
      <c r="O1636" s="62"/>
      <c r="P1636" s="75"/>
      <c r="Q1636" s="70"/>
      <c r="R1636" s="71"/>
      <c r="S1636" s="71"/>
      <c r="T1636" s="71"/>
      <c r="U1636" s="68"/>
    </row>
    <row r="1637" spans="2:21">
      <c r="B1637" s="62"/>
      <c r="C1637" s="62"/>
      <c r="D1637" s="80"/>
      <c r="E1637" s="80"/>
      <c r="F1637" s="81"/>
      <c r="G1637" s="73"/>
      <c r="H1637" s="76"/>
      <c r="I1637" s="62"/>
      <c r="J1637" s="62"/>
      <c r="K1637" s="54"/>
      <c r="L1637" s="74"/>
      <c r="M1637" s="62"/>
      <c r="N1637" s="62"/>
      <c r="O1637" s="62"/>
      <c r="P1637" s="75"/>
      <c r="Q1637" s="70"/>
      <c r="R1637" s="71"/>
      <c r="S1637" s="71"/>
      <c r="T1637" s="71"/>
      <c r="U1637" s="68"/>
    </row>
    <row r="1638" spans="2:21">
      <c r="B1638" s="62"/>
      <c r="C1638" s="62"/>
      <c r="D1638" s="80"/>
      <c r="E1638" s="80"/>
      <c r="F1638" s="81"/>
      <c r="G1638" s="73"/>
      <c r="H1638" s="76"/>
      <c r="I1638" s="62"/>
      <c r="J1638" s="62"/>
      <c r="K1638" s="54"/>
      <c r="L1638" s="74"/>
      <c r="M1638" s="62"/>
      <c r="N1638" s="62"/>
      <c r="O1638" s="62"/>
      <c r="P1638" s="75"/>
      <c r="Q1638" s="70"/>
      <c r="R1638" s="71"/>
      <c r="S1638" s="71"/>
      <c r="T1638" s="71"/>
      <c r="U1638" s="68"/>
    </row>
    <row r="1639" spans="2:21">
      <c r="B1639" s="62"/>
      <c r="C1639" s="62"/>
      <c r="D1639" s="80"/>
      <c r="E1639" s="80"/>
      <c r="F1639" s="81"/>
      <c r="G1639" s="73"/>
      <c r="H1639" s="76"/>
      <c r="I1639" s="62"/>
      <c r="J1639" s="62"/>
      <c r="K1639" s="54"/>
      <c r="L1639" s="74"/>
      <c r="M1639" s="62"/>
      <c r="N1639" s="62"/>
      <c r="O1639" s="62"/>
      <c r="P1639" s="75"/>
      <c r="Q1639" s="70"/>
      <c r="R1639" s="71"/>
      <c r="S1639" s="71"/>
      <c r="T1639" s="71"/>
      <c r="U1639" s="68"/>
    </row>
    <row r="1640" spans="2:21">
      <c r="B1640" s="62"/>
      <c r="C1640" s="62"/>
      <c r="D1640" s="80"/>
      <c r="E1640" s="80"/>
      <c r="F1640" s="81"/>
      <c r="G1640" s="73"/>
      <c r="H1640" s="76"/>
      <c r="I1640" s="62"/>
      <c r="J1640" s="62"/>
      <c r="K1640" s="54"/>
      <c r="L1640" s="74"/>
      <c r="M1640" s="62"/>
      <c r="N1640" s="62"/>
      <c r="O1640" s="62"/>
      <c r="P1640" s="75"/>
      <c r="Q1640" s="70"/>
      <c r="R1640" s="71"/>
      <c r="S1640" s="71"/>
      <c r="T1640" s="71"/>
      <c r="U1640" s="68"/>
    </row>
    <row r="1641" spans="2:21">
      <c r="B1641" s="62"/>
      <c r="C1641" s="62"/>
      <c r="D1641" s="80"/>
      <c r="E1641" s="80"/>
      <c r="F1641" s="81"/>
      <c r="G1641" s="73"/>
      <c r="H1641" s="76"/>
      <c r="I1641" s="62"/>
      <c r="J1641" s="62"/>
      <c r="K1641" s="54"/>
      <c r="L1641" s="74"/>
      <c r="M1641" s="62"/>
      <c r="N1641" s="62"/>
      <c r="O1641" s="62"/>
      <c r="P1641" s="75"/>
      <c r="Q1641" s="70"/>
      <c r="R1641" s="71"/>
      <c r="S1641" s="71"/>
      <c r="T1641" s="71"/>
      <c r="U1641" s="68"/>
    </row>
    <row r="1642" spans="2:21">
      <c r="B1642" s="62"/>
      <c r="C1642" s="62"/>
      <c r="D1642" s="80"/>
      <c r="E1642" s="80"/>
      <c r="F1642" s="81"/>
      <c r="G1642" s="73"/>
      <c r="H1642" s="76"/>
      <c r="I1642" s="62"/>
      <c r="J1642" s="62"/>
      <c r="K1642" s="54"/>
      <c r="L1642" s="74"/>
      <c r="M1642" s="62"/>
      <c r="N1642" s="62"/>
      <c r="O1642" s="62"/>
      <c r="P1642" s="75"/>
      <c r="Q1642" s="70"/>
      <c r="R1642" s="71"/>
      <c r="S1642" s="71"/>
      <c r="T1642" s="71"/>
      <c r="U1642" s="68"/>
    </row>
    <row r="1643" spans="2:21">
      <c r="B1643" s="62"/>
      <c r="C1643" s="62"/>
      <c r="D1643" s="80"/>
      <c r="E1643" s="80"/>
      <c r="F1643" s="81"/>
      <c r="G1643" s="73"/>
      <c r="H1643" s="76"/>
      <c r="I1643" s="62"/>
      <c r="J1643" s="62"/>
      <c r="K1643" s="54"/>
      <c r="L1643" s="74"/>
      <c r="M1643" s="62"/>
      <c r="N1643" s="62"/>
      <c r="O1643" s="62"/>
      <c r="P1643" s="75"/>
      <c r="Q1643" s="70"/>
      <c r="R1643" s="71"/>
      <c r="S1643" s="71"/>
      <c r="T1643" s="71"/>
      <c r="U1643" s="68"/>
    </row>
    <row r="1644" spans="2:21">
      <c r="B1644" s="62"/>
      <c r="C1644" s="62"/>
      <c r="D1644" s="80"/>
      <c r="E1644" s="80"/>
      <c r="F1644" s="81"/>
      <c r="G1644" s="73"/>
      <c r="H1644" s="76"/>
      <c r="I1644" s="62"/>
      <c r="J1644" s="62"/>
      <c r="K1644" s="54"/>
      <c r="L1644" s="74"/>
      <c r="M1644" s="62"/>
      <c r="N1644" s="62"/>
      <c r="O1644" s="62"/>
      <c r="P1644" s="75"/>
      <c r="Q1644" s="70"/>
      <c r="R1644" s="71"/>
      <c r="S1644" s="71"/>
      <c r="T1644" s="71"/>
      <c r="U1644" s="68"/>
    </row>
    <row r="1645" spans="2:21">
      <c r="B1645" s="62"/>
      <c r="C1645" s="62"/>
      <c r="D1645" s="80"/>
      <c r="E1645" s="80"/>
      <c r="F1645" s="81"/>
      <c r="G1645" s="73"/>
      <c r="H1645" s="76"/>
      <c r="I1645" s="62"/>
      <c r="J1645" s="62"/>
      <c r="K1645" s="54"/>
      <c r="L1645" s="74"/>
      <c r="M1645" s="62"/>
      <c r="N1645" s="62"/>
      <c r="O1645" s="62"/>
      <c r="P1645" s="75"/>
      <c r="Q1645" s="70"/>
      <c r="R1645" s="71"/>
      <c r="S1645" s="71"/>
      <c r="T1645" s="71"/>
      <c r="U1645" s="68"/>
    </row>
    <row r="1646" spans="2:21">
      <c r="B1646" s="62"/>
      <c r="C1646" s="62"/>
      <c r="D1646" s="80"/>
      <c r="E1646" s="80"/>
      <c r="F1646" s="81"/>
      <c r="G1646" s="73"/>
      <c r="H1646" s="76"/>
      <c r="I1646" s="62"/>
      <c r="J1646" s="62"/>
      <c r="K1646" s="54"/>
      <c r="L1646" s="74"/>
      <c r="M1646" s="62"/>
      <c r="N1646" s="62"/>
      <c r="O1646" s="62"/>
      <c r="P1646" s="75"/>
      <c r="Q1646" s="70"/>
      <c r="R1646" s="71"/>
      <c r="S1646" s="71"/>
      <c r="T1646" s="71"/>
      <c r="U1646" s="68"/>
    </row>
    <row r="1647" spans="2:21">
      <c r="B1647" s="62"/>
      <c r="C1647" s="62"/>
      <c r="D1647" s="80"/>
      <c r="E1647" s="80"/>
      <c r="F1647" s="81"/>
      <c r="G1647" s="73"/>
      <c r="H1647" s="76"/>
      <c r="I1647" s="62"/>
      <c r="J1647" s="62"/>
      <c r="K1647" s="54"/>
      <c r="L1647" s="74"/>
      <c r="M1647" s="62"/>
      <c r="N1647" s="62"/>
      <c r="O1647" s="62"/>
      <c r="P1647" s="75"/>
      <c r="Q1647" s="70"/>
      <c r="R1647" s="71"/>
      <c r="S1647" s="71"/>
      <c r="T1647" s="71"/>
      <c r="U1647" s="68"/>
    </row>
    <row r="1648" spans="2:21">
      <c r="B1648" s="62"/>
      <c r="C1648" s="62"/>
      <c r="D1648" s="80"/>
      <c r="E1648" s="80"/>
      <c r="F1648" s="81"/>
      <c r="G1648" s="73"/>
      <c r="H1648" s="76"/>
      <c r="I1648" s="62"/>
      <c r="J1648" s="62"/>
      <c r="K1648" s="54"/>
      <c r="L1648" s="74"/>
      <c r="M1648" s="62"/>
      <c r="N1648" s="62"/>
      <c r="O1648" s="62"/>
      <c r="P1648" s="75"/>
      <c r="Q1648" s="70"/>
      <c r="R1648" s="71"/>
      <c r="S1648" s="71"/>
      <c r="T1648" s="71"/>
      <c r="U1648" s="68"/>
    </row>
    <row r="1649" spans="2:21">
      <c r="B1649" s="62"/>
      <c r="C1649" s="62"/>
      <c r="D1649" s="80"/>
      <c r="E1649" s="80"/>
      <c r="F1649" s="81"/>
      <c r="G1649" s="73"/>
      <c r="H1649" s="76"/>
      <c r="I1649" s="62"/>
      <c r="J1649" s="62"/>
      <c r="K1649" s="54"/>
      <c r="L1649" s="74"/>
      <c r="M1649" s="62"/>
      <c r="N1649" s="62"/>
      <c r="O1649" s="62"/>
      <c r="P1649" s="75"/>
      <c r="Q1649" s="70"/>
      <c r="R1649" s="71"/>
      <c r="S1649" s="71"/>
      <c r="T1649" s="71"/>
      <c r="U1649" s="68"/>
    </row>
    <row r="1650" spans="2:21">
      <c r="B1650" s="62"/>
      <c r="C1650" s="62"/>
      <c r="D1650" s="80"/>
      <c r="E1650" s="80"/>
      <c r="F1650" s="81"/>
      <c r="G1650" s="73"/>
      <c r="H1650" s="76"/>
      <c r="I1650" s="62"/>
      <c r="J1650" s="62"/>
      <c r="K1650" s="54"/>
      <c r="L1650" s="74"/>
      <c r="M1650" s="62"/>
      <c r="N1650" s="62"/>
      <c r="O1650" s="62"/>
      <c r="P1650" s="75"/>
      <c r="Q1650" s="70"/>
      <c r="R1650" s="71"/>
      <c r="S1650" s="71"/>
      <c r="T1650" s="71"/>
      <c r="U1650" s="68"/>
    </row>
    <row r="1651" spans="2:21">
      <c r="B1651" s="62"/>
      <c r="C1651" s="62"/>
      <c r="D1651" s="80"/>
      <c r="E1651" s="80"/>
      <c r="F1651" s="81"/>
      <c r="G1651" s="73"/>
      <c r="H1651" s="76"/>
      <c r="I1651" s="62"/>
      <c r="J1651" s="62"/>
      <c r="K1651" s="54"/>
      <c r="L1651" s="74"/>
      <c r="M1651" s="62"/>
      <c r="N1651" s="62"/>
      <c r="O1651" s="62"/>
      <c r="P1651" s="75"/>
      <c r="Q1651" s="70"/>
      <c r="R1651" s="71"/>
      <c r="S1651" s="71"/>
      <c r="T1651" s="71"/>
      <c r="U1651" s="68"/>
    </row>
    <row r="1652" spans="2:21">
      <c r="B1652" s="62"/>
      <c r="C1652" s="62"/>
      <c r="D1652" s="80"/>
      <c r="E1652" s="80"/>
      <c r="F1652" s="81"/>
      <c r="G1652" s="73"/>
      <c r="H1652" s="76"/>
      <c r="I1652" s="62"/>
      <c r="J1652" s="62"/>
      <c r="K1652" s="54"/>
      <c r="L1652" s="74"/>
      <c r="M1652" s="62"/>
      <c r="N1652" s="62"/>
      <c r="O1652" s="62"/>
      <c r="P1652" s="75"/>
      <c r="Q1652" s="70"/>
      <c r="R1652" s="71"/>
      <c r="S1652" s="71"/>
      <c r="T1652" s="71"/>
      <c r="U1652" s="68"/>
    </row>
    <row r="1653" spans="2:21">
      <c r="B1653" s="62"/>
      <c r="C1653" s="62"/>
      <c r="D1653" s="80"/>
      <c r="E1653" s="80"/>
      <c r="F1653" s="81"/>
      <c r="G1653" s="73"/>
      <c r="H1653" s="76"/>
      <c r="I1653" s="62"/>
      <c r="J1653" s="62"/>
      <c r="K1653" s="54"/>
      <c r="L1653" s="74"/>
      <c r="M1653" s="62"/>
      <c r="N1653" s="62"/>
      <c r="O1653" s="62"/>
      <c r="P1653" s="75"/>
      <c r="Q1653" s="70"/>
      <c r="R1653" s="71"/>
      <c r="S1653" s="71"/>
      <c r="T1653" s="71"/>
      <c r="U1653" s="68"/>
    </row>
    <row r="1654" spans="2:21">
      <c r="B1654" s="62"/>
      <c r="C1654" s="62"/>
      <c r="D1654" s="80"/>
      <c r="E1654" s="80"/>
      <c r="F1654" s="81"/>
      <c r="G1654" s="73"/>
      <c r="H1654" s="76"/>
      <c r="I1654" s="62"/>
      <c r="J1654" s="62"/>
      <c r="K1654" s="54"/>
      <c r="L1654" s="74"/>
      <c r="M1654" s="62"/>
      <c r="N1654" s="62"/>
      <c r="O1654" s="62"/>
      <c r="P1654" s="75"/>
      <c r="Q1654" s="70"/>
      <c r="R1654" s="71"/>
      <c r="S1654" s="71"/>
      <c r="T1654" s="71"/>
      <c r="U1654" s="68"/>
    </row>
    <row r="1655" spans="2:21">
      <c r="B1655" s="62"/>
      <c r="C1655" s="62"/>
      <c r="D1655" s="80"/>
      <c r="E1655" s="80"/>
      <c r="F1655" s="81"/>
      <c r="G1655" s="73"/>
      <c r="H1655" s="76"/>
      <c r="I1655" s="62"/>
      <c r="J1655" s="62"/>
      <c r="K1655" s="54"/>
      <c r="L1655" s="74"/>
      <c r="M1655" s="62"/>
      <c r="N1655" s="62"/>
      <c r="O1655" s="62"/>
      <c r="P1655" s="75"/>
      <c r="Q1655" s="70"/>
      <c r="R1655" s="71"/>
      <c r="S1655" s="71"/>
      <c r="T1655" s="71"/>
      <c r="U1655" s="68"/>
    </row>
    <row r="1656" spans="2:21">
      <c r="B1656" s="62"/>
      <c r="C1656" s="62"/>
      <c r="D1656" s="80"/>
      <c r="E1656" s="80"/>
      <c r="F1656" s="81"/>
      <c r="G1656" s="73"/>
      <c r="H1656" s="76"/>
      <c r="I1656" s="62"/>
      <c r="J1656" s="62"/>
      <c r="K1656" s="54"/>
      <c r="L1656" s="74"/>
      <c r="M1656" s="62"/>
      <c r="N1656" s="62"/>
      <c r="O1656" s="62"/>
      <c r="P1656" s="75"/>
      <c r="Q1656" s="70"/>
      <c r="R1656" s="71"/>
      <c r="S1656" s="71"/>
      <c r="T1656" s="71"/>
      <c r="U1656" s="68"/>
    </row>
    <row r="1657" spans="2:21">
      <c r="B1657" s="62"/>
      <c r="C1657" s="62"/>
      <c r="D1657" s="80"/>
      <c r="E1657" s="80"/>
      <c r="F1657" s="81"/>
      <c r="G1657" s="73"/>
      <c r="H1657" s="76"/>
      <c r="I1657" s="62"/>
      <c r="J1657" s="62"/>
      <c r="K1657" s="54"/>
      <c r="L1657" s="74"/>
      <c r="M1657" s="62"/>
      <c r="N1657" s="62"/>
      <c r="O1657" s="62"/>
      <c r="P1657" s="75"/>
      <c r="Q1657" s="70"/>
      <c r="R1657" s="71"/>
      <c r="S1657" s="71"/>
      <c r="T1657" s="71"/>
      <c r="U1657" s="68"/>
    </row>
    <row r="1658" spans="2:21">
      <c r="B1658" s="62"/>
      <c r="C1658" s="62"/>
      <c r="D1658" s="80"/>
      <c r="E1658" s="80"/>
      <c r="F1658" s="81"/>
      <c r="G1658" s="73"/>
      <c r="H1658" s="76"/>
      <c r="I1658" s="62"/>
      <c r="J1658" s="62"/>
      <c r="K1658" s="54"/>
      <c r="L1658" s="74"/>
      <c r="M1658" s="62"/>
      <c r="N1658" s="62"/>
      <c r="O1658" s="62"/>
      <c r="P1658" s="75"/>
      <c r="Q1658" s="70"/>
      <c r="R1658" s="71"/>
      <c r="S1658" s="71"/>
      <c r="T1658" s="71"/>
      <c r="U1658" s="68"/>
    </row>
    <row r="1659" spans="2:21">
      <c r="B1659" s="62"/>
      <c r="C1659" s="62"/>
      <c r="D1659" s="80"/>
      <c r="E1659" s="80"/>
      <c r="F1659" s="81"/>
      <c r="G1659" s="73"/>
      <c r="H1659" s="76"/>
      <c r="I1659" s="62"/>
      <c r="J1659" s="62"/>
      <c r="K1659" s="54"/>
      <c r="L1659" s="74"/>
      <c r="M1659" s="62"/>
      <c r="N1659" s="62"/>
      <c r="O1659" s="62"/>
      <c r="P1659" s="75"/>
      <c r="Q1659" s="70"/>
      <c r="R1659" s="71"/>
      <c r="S1659" s="71"/>
      <c r="T1659" s="71"/>
      <c r="U1659" s="68"/>
    </row>
    <row r="1660" spans="2:21">
      <c r="B1660" s="62"/>
      <c r="C1660" s="62"/>
      <c r="D1660" s="80"/>
      <c r="E1660" s="80"/>
      <c r="F1660" s="81"/>
      <c r="G1660" s="73"/>
      <c r="H1660" s="76"/>
      <c r="I1660" s="62"/>
      <c r="J1660" s="62"/>
      <c r="K1660" s="54"/>
      <c r="L1660" s="74"/>
      <c r="M1660" s="62"/>
      <c r="N1660" s="62"/>
      <c r="O1660" s="62"/>
      <c r="P1660" s="75"/>
      <c r="Q1660" s="70"/>
      <c r="R1660" s="71"/>
      <c r="S1660" s="71"/>
      <c r="T1660" s="71"/>
      <c r="U1660" s="68"/>
    </row>
    <row r="1661" spans="2:21">
      <c r="B1661" s="62"/>
      <c r="C1661" s="62"/>
      <c r="D1661" s="80"/>
      <c r="E1661" s="80"/>
      <c r="F1661" s="81"/>
      <c r="G1661" s="73"/>
      <c r="H1661" s="76"/>
      <c r="I1661" s="62"/>
      <c r="J1661" s="62"/>
      <c r="K1661" s="54"/>
      <c r="L1661" s="74"/>
      <c r="M1661" s="62"/>
      <c r="N1661" s="62"/>
      <c r="O1661" s="62"/>
      <c r="P1661" s="75"/>
      <c r="Q1661" s="70"/>
      <c r="R1661" s="71"/>
      <c r="S1661" s="71"/>
      <c r="T1661" s="71"/>
      <c r="U1661" s="68"/>
    </row>
    <row r="1662" spans="2:21">
      <c r="B1662" s="62"/>
      <c r="C1662" s="62"/>
      <c r="D1662" s="80"/>
      <c r="E1662" s="80"/>
      <c r="F1662" s="81"/>
      <c r="G1662" s="73"/>
      <c r="H1662" s="76"/>
      <c r="I1662" s="62"/>
      <c r="J1662" s="62"/>
      <c r="K1662" s="54"/>
      <c r="L1662" s="74"/>
      <c r="M1662" s="62"/>
      <c r="N1662" s="62"/>
      <c r="O1662" s="62"/>
      <c r="P1662" s="75"/>
      <c r="Q1662" s="70"/>
      <c r="R1662" s="71"/>
      <c r="S1662" s="71"/>
      <c r="T1662" s="71"/>
      <c r="U1662" s="68"/>
    </row>
    <row r="1663" spans="2:21">
      <c r="B1663" s="62"/>
      <c r="C1663" s="62"/>
      <c r="D1663" s="80"/>
      <c r="E1663" s="80"/>
      <c r="F1663" s="81"/>
      <c r="G1663" s="73"/>
      <c r="H1663" s="76"/>
      <c r="I1663" s="62"/>
      <c r="J1663" s="62"/>
      <c r="K1663" s="54"/>
      <c r="L1663" s="74"/>
      <c r="M1663" s="62"/>
      <c r="N1663" s="62"/>
      <c r="O1663" s="62"/>
      <c r="P1663" s="75"/>
      <c r="Q1663" s="70"/>
      <c r="R1663" s="71"/>
      <c r="S1663" s="71"/>
      <c r="T1663" s="71"/>
      <c r="U1663" s="68"/>
    </row>
    <row r="1664" spans="2:21">
      <c r="B1664" s="62"/>
      <c r="C1664" s="62"/>
      <c r="D1664" s="80"/>
      <c r="E1664" s="80"/>
      <c r="F1664" s="81"/>
      <c r="G1664" s="73"/>
      <c r="H1664" s="76"/>
      <c r="I1664" s="62"/>
      <c r="J1664" s="62"/>
      <c r="K1664" s="54"/>
      <c r="L1664" s="74"/>
      <c r="M1664" s="62"/>
      <c r="N1664" s="62"/>
      <c r="O1664" s="62"/>
      <c r="P1664" s="75"/>
      <c r="Q1664" s="70"/>
      <c r="R1664" s="71"/>
      <c r="S1664" s="71"/>
      <c r="T1664" s="71"/>
      <c r="U1664" s="68"/>
    </row>
    <row r="1665" spans="2:21">
      <c r="B1665" s="62"/>
      <c r="C1665" s="62"/>
      <c r="D1665" s="80"/>
      <c r="E1665" s="80"/>
      <c r="F1665" s="81"/>
      <c r="G1665" s="73"/>
      <c r="H1665" s="76"/>
      <c r="I1665" s="62"/>
      <c r="J1665" s="62"/>
      <c r="K1665" s="54"/>
      <c r="L1665" s="74"/>
      <c r="M1665" s="62"/>
      <c r="N1665" s="62"/>
      <c r="O1665" s="62"/>
      <c r="P1665" s="75"/>
      <c r="Q1665" s="70"/>
      <c r="R1665" s="71"/>
      <c r="S1665" s="71"/>
      <c r="T1665" s="71"/>
      <c r="U1665" s="68"/>
    </row>
    <row r="1666" spans="2:21">
      <c r="B1666" s="62"/>
      <c r="C1666" s="62"/>
      <c r="D1666" s="80"/>
      <c r="E1666" s="80"/>
      <c r="F1666" s="81"/>
      <c r="G1666" s="73"/>
      <c r="H1666" s="76"/>
      <c r="I1666" s="62"/>
      <c r="J1666" s="62"/>
      <c r="K1666" s="54"/>
      <c r="L1666" s="74"/>
      <c r="M1666" s="62"/>
      <c r="N1666" s="62"/>
      <c r="O1666" s="62"/>
      <c r="P1666" s="75"/>
      <c r="Q1666" s="70"/>
      <c r="R1666" s="71"/>
      <c r="S1666" s="71"/>
      <c r="T1666" s="71"/>
      <c r="U1666" s="68"/>
    </row>
    <row r="1667" spans="2:21">
      <c r="B1667" s="62"/>
      <c r="C1667" s="62"/>
      <c r="D1667" s="80"/>
      <c r="E1667" s="80"/>
      <c r="F1667" s="81"/>
      <c r="G1667" s="73"/>
      <c r="H1667" s="76"/>
      <c r="I1667" s="62"/>
      <c r="J1667" s="62"/>
      <c r="K1667" s="54"/>
      <c r="L1667" s="74"/>
      <c r="M1667" s="62"/>
      <c r="N1667" s="62"/>
      <c r="O1667" s="62"/>
      <c r="P1667" s="75"/>
      <c r="Q1667" s="70"/>
      <c r="R1667" s="71"/>
      <c r="S1667" s="71"/>
      <c r="T1667" s="71"/>
      <c r="U1667" s="68"/>
    </row>
    <row r="1668" spans="2:21">
      <c r="B1668" s="62"/>
      <c r="C1668" s="62"/>
      <c r="D1668" s="80"/>
      <c r="E1668" s="80"/>
      <c r="F1668" s="81"/>
      <c r="G1668" s="73"/>
      <c r="H1668" s="76"/>
      <c r="I1668" s="62"/>
      <c r="J1668" s="62"/>
      <c r="K1668" s="54"/>
      <c r="L1668" s="74"/>
      <c r="M1668" s="62"/>
      <c r="N1668" s="62"/>
      <c r="O1668" s="62"/>
      <c r="P1668" s="75"/>
      <c r="Q1668" s="70"/>
      <c r="R1668" s="71"/>
      <c r="S1668" s="71"/>
      <c r="T1668" s="71"/>
      <c r="U1668" s="68"/>
    </row>
    <row r="1669" spans="2:21">
      <c r="B1669" s="62"/>
      <c r="C1669" s="62"/>
      <c r="D1669" s="80"/>
      <c r="E1669" s="80"/>
      <c r="F1669" s="81"/>
      <c r="G1669" s="73"/>
      <c r="H1669" s="76"/>
      <c r="I1669" s="62"/>
      <c r="J1669" s="62"/>
      <c r="K1669" s="54"/>
      <c r="L1669" s="74"/>
      <c r="M1669" s="62"/>
      <c r="N1669" s="62"/>
      <c r="O1669" s="62"/>
      <c r="P1669" s="75"/>
      <c r="Q1669" s="70"/>
      <c r="R1669" s="71"/>
      <c r="S1669" s="71"/>
      <c r="T1669" s="71"/>
      <c r="U1669" s="68"/>
    </row>
    <row r="1670" spans="2:21">
      <c r="B1670" s="62"/>
      <c r="C1670" s="62"/>
      <c r="D1670" s="80"/>
      <c r="E1670" s="80"/>
      <c r="F1670" s="81"/>
      <c r="G1670" s="73"/>
      <c r="H1670" s="76"/>
      <c r="I1670" s="62"/>
      <c r="J1670" s="62"/>
      <c r="K1670" s="54"/>
      <c r="L1670" s="74"/>
      <c r="M1670" s="62"/>
      <c r="N1670" s="62"/>
      <c r="O1670" s="62"/>
      <c r="P1670" s="75"/>
      <c r="Q1670" s="70"/>
      <c r="R1670" s="71"/>
      <c r="S1670" s="71"/>
      <c r="T1670" s="71"/>
      <c r="U1670" s="68"/>
    </row>
    <row r="1671" spans="2:21">
      <c r="B1671" s="62"/>
      <c r="C1671" s="62"/>
      <c r="D1671" s="80"/>
      <c r="E1671" s="80"/>
      <c r="F1671" s="81"/>
      <c r="G1671" s="73"/>
      <c r="H1671" s="76"/>
      <c r="I1671" s="62"/>
      <c r="J1671" s="62"/>
      <c r="K1671" s="54"/>
      <c r="L1671" s="74"/>
      <c r="M1671" s="62"/>
      <c r="N1671" s="62"/>
      <c r="O1671" s="62"/>
      <c r="P1671" s="75"/>
      <c r="Q1671" s="70"/>
      <c r="R1671" s="71"/>
      <c r="S1671" s="71"/>
      <c r="T1671" s="71"/>
      <c r="U1671" s="68"/>
    </row>
    <row r="1672" spans="2:21">
      <c r="B1672" s="62"/>
      <c r="C1672" s="62"/>
      <c r="D1672" s="80"/>
      <c r="E1672" s="80"/>
      <c r="F1672" s="81"/>
      <c r="G1672" s="73"/>
      <c r="H1672" s="76"/>
      <c r="I1672" s="62"/>
      <c r="J1672" s="62"/>
      <c r="K1672" s="54"/>
      <c r="L1672" s="74"/>
      <c r="M1672" s="62"/>
      <c r="N1672" s="62"/>
      <c r="O1672" s="62"/>
      <c r="P1672" s="75"/>
      <c r="Q1672" s="70"/>
      <c r="R1672" s="71"/>
      <c r="S1672" s="71"/>
      <c r="T1672" s="71"/>
      <c r="U1672" s="68"/>
    </row>
    <row r="1673" spans="2:21">
      <c r="B1673" s="62"/>
      <c r="C1673" s="62"/>
      <c r="D1673" s="80"/>
      <c r="E1673" s="80"/>
      <c r="F1673" s="81"/>
      <c r="G1673" s="73"/>
      <c r="H1673" s="76"/>
      <c r="I1673" s="62"/>
      <c r="J1673" s="62"/>
      <c r="K1673" s="54"/>
      <c r="L1673" s="74"/>
      <c r="M1673" s="62"/>
      <c r="N1673" s="62"/>
      <c r="O1673" s="62"/>
      <c r="P1673" s="75"/>
      <c r="Q1673" s="70"/>
      <c r="R1673" s="71"/>
      <c r="S1673" s="71"/>
      <c r="T1673" s="71"/>
      <c r="U1673" s="68"/>
    </row>
    <row r="1674" spans="2:21">
      <c r="B1674" s="62"/>
      <c r="C1674" s="62"/>
      <c r="D1674" s="80"/>
      <c r="E1674" s="80"/>
      <c r="F1674" s="81"/>
      <c r="G1674" s="73"/>
      <c r="H1674" s="76"/>
      <c r="I1674" s="62"/>
      <c r="J1674" s="62"/>
      <c r="K1674" s="54"/>
      <c r="L1674" s="74"/>
      <c r="M1674" s="62"/>
      <c r="N1674" s="62"/>
      <c r="O1674" s="62"/>
      <c r="P1674" s="75"/>
      <c r="Q1674" s="70"/>
      <c r="R1674" s="71"/>
      <c r="S1674" s="71"/>
      <c r="T1674" s="71"/>
      <c r="U1674" s="68"/>
    </row>
    <row r="1675" spans="2:21">
      <c r="B1675" s="62"/>
      <c r="C1675" s="62"/>
      <c r="D1675" s="80"/>
      <c r="E1675" s="80"/>
      <c r="F1675" s="81"/>
      <c r="G1675" s="73"/>
      <c r="H1675" s="76"/>
      <c r="I1675" s="62"/>
      <c r="J1675" s="62"/>
      <c r="K1675" s="54"/>
      <c r="L1675" s="74"/>
      <c r="M1675" s="62"/>
      <c r="N1675" s="62"/>
      <c r="O1675" s="62"/>
      <c r="P1675" s="75"/>
      <c r="Q1675" s="70"/>
      <c r="R1675" s="71"/>
      <c r="S1675" s="71"/>
      <c r="T1675" s="71"/>
      <c r="U1675" s="68"/>
    </row>
    <row r="1676" spans="2:21">
      <c r="B1676" s="62"/>
      <c r="C1676" s="62"/>
      <c r="D1676" s="80"/>
      <c r="E1676" s="80"/>
      <c r="F1676" s="81"/>
      <c r="G1676" s="73"/>
      <c r="H1676" s="76"/>
      <c r="I1676" s="62"/>
      <c r="J1676" s="62"/>
      <c r="K1676" s="54"/>
      <c r="L1676" s="74"/>
      <c r="M1676" s="62"/>
      <c r="N1676" s="62"/>
      <c r="O1676" s="62"/>
      <c r="P1676" s="75"/>
      <c r="Q1676" s="70"/>
      <c r="R1676" s="71"/>
      <c r="S1676" s="71"/>
      <c r="T1676" s="71"/>
      <c r="U1676" s="68"/>
    </row>
    <row r="1677" spans="2:21">
      <c r="B1677" s="62"/>
      <c r="C1677" s="62"/>
      <c r="D1677" s="80"/>
      <c r="E1677" s="80"/>
      <c r="F1677" s="81"/>
      <c r="G1677" s="73"/>
      <c r="H1677" s="76"/>
      <c r="I1677" s="62"/>
      <c r="J1677" s="62"/>
      <c r="K1677" s="54"/>
      <c r="L1677" s="74"/>
      <c r="M1677" s="62"/>
      <c r="N1677" s="62"/>
      <c r="O1677" s="62"/>
      <c r="P1677" s="75"/>
      <c r="Q1677" s="70"/>
      <c r="R1677" s="71"/>
      <c r="S1677" s="71"/>
      <c r="T1677" s="71"/>
      <c r="U1677" s="68"/>
    </row>
    <row r="1678" spans="2:21">
      <c r="B1678" s="62"/>
      <c r="C1678" s="62"/>
      <c r="D1678" s="80"/>
      <c r="E1678" s="80"/>
      <c r="F1678" s="81"/>
      <c r="G1678" s="73"/>
      <c r="H1678" s="76"/>
      <c r="I1678" s="62"/>
      <c r="J1678" s="62"/>
      <c r="K1678" s="54"/>
      <c r="L1678" s="74"/>
      <c r="M1678" s="62"/>
      <c r="N1678" s="62"/>
      <c r="O1678" s="62"/>
      <c r="P1678" s="75"/>
      <c r="Q1678" s="70"/>
      <c r="R1678" s="71"/>
      <c r="S1678" s="71"/>
      <c r="T1678" s="71"/>
      <c r="U1678" s="68"/>
    </row>
    <row r="1679" spans="2:21">
      <c r="B1679" s="62"/>
      <c r="C1679" s="62"/>
      <c r="D1679" s="80"/>
      <c r="E1679" s="80"/>
      <c r="F1679" s="81"/>
      <c r="G1679" s="73"/>
      <c r="H1679" s="76"/>
      <c r="I1679" s="62"/>
      <c r="J1679" s="62"/>
      <c r="K1679" s="54"/>
      <c r="L1679" s="74"/>
      <c r="M1679" s="62"/>
      <c r="N1679" s="62"/>
      <c r="O1679" s="62"/>
      <c r="P1679" s="75"/>
      <c r="Q1679" s="70"/>
      <c r="R1679" s="71"/>
      <c r="S1679" s="71"/>
      <c r="T1679" s="71"/>
      <c r="U1679" s="68"/>
    </row>
    <row r="1680" spans="2:21">
      <c r="B1680" s="62"/>
      <c r="C1680" s="62"/>
      <c r="D1680" s="80"/>
      <c r="E1680" s="80"/>
      <c r="F1680" s="81"/>
      <c r="G1680" s="73"/>
      <c r="H1680" s="76"/>
      <c r="I1680" s="62"/>
      <c r="J1680" s="62"/>
      <c r="K1680" s="54"/>
      <c r="L1680" s="74"/>
      <c r="M1680" s="62"/>
      <c r="N1680" s="62"/>
      <c r="O1680" s="62"/>
      <c r="P1680" s="75"/>
      <c r="Q1680" s="70"/>
      <c r="R1680" s="71"/>
      <c r="S1680" s="71"/>
      <c r="T1680" s="71"/>
      <c r="U1680" s="68"/>
    </row>
    <row r="1681" spans="2:21">
      <c r="B1681" s="62"/>
      <c r="C1681" s="62"/>
      <c r="D1681" s="80"/>
      <c r="E1681" s="80"/>
      <c r="F1681" s="81"/>
      <c r="G1681" s="73"/>
      <c r="H1681" s="76"/>
      <c r="I1681" s="62"/>
      <c r="J1681" s="62"/>
      <c r="K1681" s="54"/>
      <c r="L1681" s="74"/>
      <c r="M1681" s="62"/>
      <c r="N1681" s="62"/>
      <c r="O1681" s="62"/>
      <c r="P1681" s="75"/>
      <c r="Q1681" s="70"/>
      <c r="R1681" s="71"/>
      <c r="S1681" s="71"/>
      <c r="T1681" s="71"/>
      <c r="U1681" s="68"/>
    </row>
    <row r="1682" spans="2:21">
      <c r="B1682" s="62"/>
      <c r="C1682" s="62"/>
      <c r="D1682" s="80"/>
      <c r="E1682" s="80"/>
      <c r="F1682" s="81"/>
      <c r="G1682" s="73"/>
      <c r="H1682" s="76"/>
      <c r="I1682" s="62"/>
      <c r="J1682" s="62"/>
      <c r="K1682" s="54"/>
      <c r="L1682" s="74"/>
      <c r="M1682" s="62"/>
      <c r="N1682" s="62"/>
      <c r="O1682" s="62"/>
      <c r="P1682" s="75"/>
      <c r="Q1682" s="70"/>
      <c r="R1682" s="71"/>
      <c r="S1682" s="71"/>
      <c r="T1682" s="71"/>
      <c r="U1682" s="68"/>
    </row>
    <row r="1683" spans="2:21">
      <c r="B1683" s="62"/>
      <c r="C1683" s="62"/>
      <c r="D1683" s="80"/>
      <c r="E1683" s="80"/>
      <c r="F1683" s="81"/>
      <c r="G1683" s="72"/>
      <c r="H1683" s="76"/>
      <c r="I1683" s="62"/>
      <c r="J1683" s="62"/>
      <c r="K1683" s="54"/>
      <c r="L1683" s="74"/>
      <c r="M1683" s="62"/>
      <c r="N1683" s="62"/>
      <c r="O1683" s="62"/>
      <c r="P1683" s="77"/>
      <c r="Q1683" s="62"/>
      <c r="R1683" s="71"/>
      <c r="S1683" s="71"/>
      <c r="T1683" s="71"/>
      <c r="U1683" s="68"/>
    </row>
  </sheetData>
  <autoFilter ref="A9:AB1683" xr:uid="{45193829-7589-4DBB-A051-5FFB2CFB14F7}"/>
  <mergeCells count="10">
    <mergeCell ref="T9:T10"/>
    <mergeCell ref="T32:T33"/>
    <mergeCell ref="J31:Q31"/>
    <mergeCell ref="J8:Q8"/>
    <mergeCell ref="J1:Q1"/>
    <mergeCell ref="N2:P2"/>
    <mergeCell ref="N3:P3"/>
    <mergeCell ref="N4:P4"/>
    <mergeCell ref="N5:P5"/>
    <mergeCell ref="N6:P6"/>
  </mergeCells>
  <phoneticPr fontId="4" type="noConversion"/>
  <pageMargins left="0" right="0" top="0.55118110236220474" bottom="0.27559055118110237" header="0.31496062992125984" footer="0.31496062992125984"/>
  <pageSetup paperSize="9" scale="4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일별현황_2026</vt:lpstr>
      <vt:lpstr>26년 LIST (산학연)</vt:lpstr>
      <vt:lpstr>수행</vt:lpstr>
      <vt:lpstr>도장, prg</vt:lpstr>
      <vt:lpstr>담당자 연락처</vt:lpstr>
      <vt:lpstr>진행상황표</vt:lpstr>
      <vt:lpstr>'26년 LIST (산학연)'!Print_Area</vt:lpstr>
      <vt:lpstr>수행!Print_Area</vt:lpstr>
      <vt:lpstr>일별현황_2026!Print_Area</vt:lpstr>
      <vt:lpstr>진행상황표!Print_Area</vt:lpstr>
      <vt:lpstr>'26년 LIST (산학연)'!Print_Titles</vt:lpstr>
      <vt:lpstr>진행상황표!Print_Titles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AURI-CH</dc:creator>
  <cp:lastModifiedBy>민선 김</cp:lastModifiedBy>
  <cp:lastPrinted>2026-06-16T09:07:55Z</cp:lastPrinted>
  <dcterms:created xsi:type="dcterms:W3CDTF">2021-05-12T00:24:53Z</dcterms:created>
  <dcterms:modified xsi:type="dcterms:W3CDTF">2026-06-16T09:07:57Z</dcterms:modified>
</cp:coreProperties>
</file>