
<file path=[Content_Types].xml><?xml version="1.0" encoding="utf-8"?>
<Types xmlns="http://schemas.openxmlformats.org/package/2006/content-types">
  <Default Extension="rels" ContentType="application/vnd.openxmlformats-package.relationships+xml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vibe_2706\kiba_2026\docs\원가계산보고서샘플\"/>
    </mc:Choice>
  </mc:AlternateContent>
  <x:bookViews>
    <x:workbookView xWindow="0" yWindow="0" windowWidth="22788" windowHeight="8112" tabRatio="500"/>
  </x:bookViews>
  <x:sheets>
    <x:sheet name="Sheet1" sheetId="1" r:id="rId4"/>
  </x:sheets>
  <x:externalReferences>
    <x:externalReference r:id="rId5"/>
  </x:externalReferenc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<x:sst xmlns:r="http://schemas.openxmlformats.org/officeDocument/2006/relationships" xmlns:c="http://schemas.openxmlformats.org/drawingml/2006/chart" xmlns:x="http://schemas.openxmlformats.org/spreadsheetml/2006/main" count="229" uniqueCount="167">
  <x:si>
    <x:t>ROUND BAR-SS400</x:t>
  </x:si>
  <x:si>
    <x:t>HEATING CABLE</x:t>
  </x:si>
  <x:si>
    <x:t>6. 현장설치및 기존철거</x:t>
  </x:si>
  <x:si>
    <x:t>용접ELBOW-STS304</x:t>
  </x:si>
  <x:si>
    <x:t>HEX.B/N-STS304</x:t>
  </x:si>
  <x:si>
    <x:t>LIFT LUG-STS304</x:t>
  </x:si>
  <x:si>
    <x:t>MAN HOLE-STS304</x:t>
  </x:si>
  <x:si>
    <x:t>NOZZLE-STS304</x:t>
  </x:si>
  <x:si>
    <x:t>FLEXIBLE-STS304</x:t>
  </x:si>
  <x:si>
    <x:t>FLANGE-STS304</x:t>
  </x:si>
  <x:si>
    <x:t>ULKS (ALL SUS)</x:t>
  </x:si>
  <x:si>
    <x:t>HAND RAIL-SGP</x:t>
  </x:si>
  <x:si>
    <x:t>용접TEE-STS304</x:t>
  </x:si>
  <x:si>
    <x:t>LADDER-SS400</x:t>
  </x:si>
  <x:si>
    <x:t>비고</x:t>
  </x:si>
  <x:si>
    <x:t>대</x:t>
  </x:si>
  <x:si>
    <x:t>관급</x:t>
  </x:si>
  <x:si>
    <x:t>합계</x:t>
  </x:si>
  <x:si>
    <x:t>Φ19</x:t>
  </x:si>
  <x:si>
    <x:t>M16</x:t>
  </x:si>
  <x:si>
    <x:t>SH</x:t>
  </x:si>
  <x:si>
    <x:t>M</x:t>
  </x:si>
  <x:si>
    <x:t>수량</x:t>
  </x:si>
  <x:si>
    <x:t>SET</x:t>
  </x:si>
  <x:si>
    <x:t xml:space="preserve"> </x:t>
  </x:si>
  <x:si>
    <x:t>인</x:t>
  </x:si>
  <x:si>
    <x:t>EA</x:t>
  </x:si>
  <x:si>
    <x:t>비계공</x:t>
  </x:si>
  <x:si>
    <x:t>25A</x:t>
  </x:si>
  <x:si>
    <x:t>본</x:t>
  </x:si>
  <x:si>
    <x:t>50A</x:t>
  </x:si>
  <x:si>
    <x:t>식</x:t>
  </x:si>
  <x:si>
    <x:t>Φ18</x:t>
  </x:si>
  <x:si>
    <x:t>가공비</x:t>
  </x:si>
  <x:si>
    <x:t>30W</x:t>
  </x:si>
  <x:si>
    <x:t>제작비</x:t>
  </x:si>
  <x:si>
    <x:t>%</x:t>
  </x:si>
  <x:si>
    <x:t>2"</x:t>
  </x:si>
  <x:si>
    <x:t>t50</x:t>
  </x:si>
  <x:si>
    <x:t>LOT</x:t>
  </x:si>
  <x:si>
    <x:t>32A</x:t>
  </x:si>
  <x:si>
    <x:t>보온공</x:t>
  </x:si>
  <x:si>
    <x:t>합 계</x:t>
  </x:si>
  <x:si>
    <x:t>단위</x:t>
  </x:si>
  <x:si>
    <x:t>장비비</x:t>
  </x:si>
  <x:si>
    <x:t>가설비</x:t>
  </x:si>
  <x:si>
    <x:t>구분</x:t>
  </x:si>
  <x:si>
    <x:t>01</x:t>
  </x:si>
  <x:si>
    <x:t>운반비</x:t>
  </x:si>
  <x:si>
    <x:t>외주비</x:t>
  </x:si>
  <x:si>
    <x:t>t20</x:t>
  </x:si>
  <x:si>
    <x:t>BOTTOM CONE PLATE-STS304</x:t>
  </x:si>
  <x:si>
    <x:t>ROOF PLATE-STS304</x:t>
  </x:si>
  <x:si>
    <x:t>SHELL PLATE-STS304</x:t>
  </x:si>
  <x:si>
    <x:t>Q-COUPLING-STS304</x:t>
  </x:si>
  <x:si>
    <x:t>BREATH VALVE-STS304</x:t>
  </x:si>
  <x:si>
    <x:t>5. INSULATION 공사비</x:t>
  </x:si>
  <x:si>
    <x:t>TOP ANGLE-STS304</x:t>
  </x:si>
  <x:si>
    <x:t>LEVEL GAUGE-STS304</x:t>
  </x:si>
  <x:si>
    <x:t>4.HEATING CABLE설치공사</x:t>
  </x:si>
  <x:si>
    <x:t>BALL VALVE-STS304</x:t>
  </x:si>
  <x:si>
    <x:t>INSULATIN ANGLE-SS400</x:t>
  </x:si>
  <x:si>
    <x:t>INTERNAL LADDER-STS304</x:t>
  </x:si>
  <x:si>
    <x:t>LOADCELL FRAME-SS400</x:t>
  </x:si>
  <x:si>
    <x:t>CONTROL PANNEL(온도CONTROLLER)</x:t>
  </x:si>
  <x:si>
    <x:t>제1호표</x:t>
  </x:si>
  <x:si>
    <x:t>제2호표</x:t>
  </x:si>
  <x:si>
    <x:t>자재+인건비</x:t>
  </x:si>
  <x:si>
    <x:t>내역서의 합계(K)의 각 품명에서 재료비(F) + 노무비(H) + 경비(J) 합산값</x:t>
  </x:si>
  <x:si>
    <x:t>손료요율</x:t>
  </x:si>
  <x:si>
    <x:t>사용자항목2</x:t>
  </x:si>
  <x:si>
    <x:t>작업부산물</x:t>
  </x:si>
  <x:si>
    <x:t>관급자재대</x:t>
  </x:si>
  <x:si>
    <x:t>사용자항목1</x:t>
  </x:si>
  <x:si>
    <x:t>(단위: 원)</x:t>
  </x:si>
  <x:si>
    <x:t>기계경비</x:t>
  </x:si>
  <x:si>
    <x:t>사용자항목13</x:t>
  </x:si>
  <x:si>
    <x:t>기타잡자재비</x:t>
  </x:si>
  <x:si>
    <x:t>사용자항목16</x:t>
  </x:si>
  <x:si>
    <x:t>잡비제외분</x:t>
  </x:si>
  <x:si>
    <x:t>금   액</x:t>
  </x:si>
  <x:si>
    <x:t>간접재료비</x:t>
  </x:si>
  <x:si>
    <x:t>사급자재대</x:t>
  </x:si>
  <x:si>
    <x:t>공사내역서</x:t>
  </x:si>
  <x:si>
    <x:t>8915C</x:t>
  </x:si>
  <x:si>
    <x:t>노  무  비</x:t>
  </x:si>
  <x:si>
    <x:t>조달코드</x:t>
  </x:si>
  <x:si>
    <x:t>80A*10K</x:t>
  </x:si>
  <x:si>
    <x:t>적용구분</x:t>
  </x:si>
  <x:si>
    <x:t>품질관리비</x:t>
  </x:si>
  <x:si>
    <x:t>폐기물처리비</x:t>
  </x:si>
  <x:si>
    <x:t>안전관리비</x:t>
  </x:si>
  <x:si>
    <x:t>재  료  비</x:t>
  </x:si>
  <x:si>
    <x:t>산세척비</x:t>
  </x:si>
  <x:si>
    <x:t>□ 탱크 설비</x:t>
  </x:si>
  <x:si>
    <x:t>사용자항목6</x:t>
  </x:si>
  <x:si>
    <x:t>단  가</x:t>
  </x:si>
  <x:si>
    <x:t>합계구분</x:t>
  </x:si>
  <x:si>
    <x:t>전기판넬</x:t>
  </x:si>
  <x:si>
    <x:t>Φ500</x:t>
  </x:si>
  <x:si>
    <x:t>사용자항목15</x:t>
  </x:si>
  <x:si>
    <x:t xml:space="preserve">자재비의 </x:t>
  </x:si>
  <x:si>
    <x:t>품목구분</x:t>
  </x:si>
  <x:si>
    <x:t>2. 제작비</x:t>
  </x:si>
  <x:si>
    <x:t>50A,80A</x:t>
  </x:si>
  <x:si>
    <x:t>외부표시기</x:t>
  </x:si>
  <x:si>
    <x:t>사용자항목8</x:t>
  </x:si>
  <x:si>
    <x:t>사용자항목12</x:t>
  </x:si>
  <x:si>
    <x:t>인디케이터</x:t>
  </x:si>
  <x:si>
    <x:t>&lt;표 2&gt;</x:t>
  </x:si>
  <x:si>
    <x:t>손료구분</x:t>
  </x:si>
  <x:si>
    <x:t>사용자항목7</x:t>
  </x:si>
  <x:si>
    <x:t>비계설치및철거</x:t>
  </x:si>
  <x:si>
    <x:t>배관보온공사비</x:t>
  </x:si>
  <x:si>
    <x:t>사용자항목14</x:t>
  </x:si>
  <x:si>
    <x:t>사용자항목17</x:t>
  </x:si>
  <x:si>
    <x:t>사용자항목18</x:t>
  </x:si>
  <x:si>
    <x:t>사용자항목9</x:t>
  </x:si>
  <x:si>
    <x:t>추락방지장치</x:t>
  </x:si>
  <x:si>
    <x:t>사용자항목19</x:t>
  </x:si>
  <x:si>
    <x:t>사용자항목10</x:t>
  </x:si>
  <x:si>
    <x:t>사용자항목11</x:t>
  </x:si>
  <x:si>
    <x:t>50A*10K</x:t>
  </x:si>
  <x:si>
    <x:t>충수검사</x:t>
  </x:si>
  <x:si>
    <x:t>가바나식</x:t>
  </x:si>
  <x:si>
    <x:t>장비사용료</x:t>
  </x:si>
  <x:si>
    <x:t>3. 배관공사</x:t>
  </x:si>
  <x:si>
    <x:t>1. 자재비</x:t>
  </x:si>
  <x:si>
    <x:t>5. 안전장치</x:t>
  </x:si>
  <x:si>
    <x:t>안전블록</x:t>
  </x:si>
  <x:si>
    <x:t>AD510A</x:t>
  </x:si>
  <x:si>
    <x:t>보통인부</x:t>
  </x:si>
  <x:si>
    <x:t>현장설치비</x:t>
  </x:si>
  <x:si>
    <x:t>50A*S10</x:t>
  </x:si>
  <x:si>
    <x:t>현장배관공사비</x:t>
  </x:si>
  <x:si>
    <x:t>보온 인건비</x:t>
  </x:si>
  <x:si>
    <x:t>작업부산물(철거해체)</x:t>
  </x:si>
  <x:si>
    <x:t>L-65*65*t6</x:t>
  </x:si>
  <x:si>
    <x:t>PIPE-STS304</x:t>
  </x:si>
  <x:si>
    <x:t>FULL WATER</x:t>
  </x:si>
  <x:si>
    <x:t>규      격</x:t>
  </x:si>
  <x:si>
    <x:t>FB-50*t9</x:t>
  </x:si>
  <x:si>
    <x:t>LEG-SS400</x:t>
  </x:si>
  <x:si>
    <x:t>L-50*50*t6</x:t>
  </x:si>
  <x:si>
    <x:t>품      명</x:t>
  </x:si>
  <x:si>
    <x:t>경      비</x:t>
  </x:si>
  <x:si>
    <x:t>t6*5'*9200</x:t>
  </x:si>
  <x:si>
    <x:t>t8*5'*10'</x:t>
  </x:si>
  <x:si>
    <x:t>t5*5'*9200</x:t>
  </x:si>
  <x:si>
    <x:t>FLOT TYPE</x:t>
  </x:si>
  <x:si>
    <x:t>LOAD CELL</x:t>
  </x:si>
  <x:si>
    <x:t>기존TANK 철거</x:t>
  </x:si>
  <x:si>
    <x:t>ADIP-SUS 외함</x:t>
  </x:si>
  <x:si>
    <x:t>GASKET-EPDM</x:t>
  </x:si>
  <x:si>
    <x:t>Summing Box</x:t>
  </x:si>
  <x:si>
    <x:t>신규제작TANK 설치</x:t>
  </x:si>
  <x:si>
    <x:t>GLASS WOOL</x:t>
  </x:si>
  <x:si>
    <x:t>FB-38*t6</x:t>
  </x:si>
  <x:si>
    <x:t>FB-50*t6</x:t>
  </x:si>
  <x:si>
    <x:t>t4*5'*10'</x:t>
  </x:si>
  <x:si>
    <x:t>50A*L300</x:t>
  </x:si>
  <x:si>
    <x:t>AD310(4P)</x:t>
  </x:si>
  <x:si>
    <x:t>H-150*150</x:t>
  </x:si>
  <x:si>
    <x:t>COLOR SHEET</x:t>
  </x:si>
  <x:si>
    <x:t>용접부 비파괴검사</x:t>
  </x:si>
  <x:si>
    <x:t>PAINTING비</x:t>
  </x:si>
  <x:si>
    <x:t>COLOR CHECK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</x:si>
</x:sst>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&quot;&lt;표 1-&quot;###&quot;&gt;&quot;"/>
    <x:numFmt numFmtId="165" formatCode="_-* #,##0_-;\-* #,##0_-;_-* &quot;-&quot;_-;_-@"/>
  </x:numFmts>
  <x:fonts count="1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ptos Narrow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10"/>
          <x:color rgb="ff000000"/>
        </x:font>
      </mc:Fallback>
    </mc:AlternateContent>
    <x:font>
      <x:name val="Gulimche"/>
      <x:sz val="2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9"/>
          <x:color rgb="ff000000"/>
          <x:b val="1"/>
          <x:u/>
          <hs:underlineType val="1"/>
          <hs:underlineShape val="solid"/>
          <hs:underlineColor rgb="ff000000"/>
          <hs:size val="100"/>
          <hs:ratio val="100"/>
          <hs:spacing val="0"/>
          <hs:offset val="0"/>
        </x:font>
      </mc:Choice>
      <mc:Fallback>
        <x:font>
          <x:name val="Gulimche"/>
          <x:sz val="9"/>
          <x:color rgb="ff000000"/>
          <x:b val="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Gulim"/>
          <x:sz val="10"/>
          <x:color rgb="ff000000"/>
        </x:font>
      </mc:Fallback>
    </mc:AlternateContent>
    <x:font>
      <x:name val="Gulim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42">
    <x:xf numFmtId="0" fontId="0" fillId="0" borderId="0" xfId="0">
      <x:alignment horizontal="general" vertical="center"/>
    </x:xf>
    <x:xf numFmtId="164" fontId="7" fillId="0" borderId="0" xfId="1" applyNumberFormat="1" applyFont="1" applyAlignment="1">
      <x:alignment horizontal="left" vertical="center"/>
    </x:xf>
    <x:xf numFmtId="0" fontId="7" fillId="0" borderId="0" xfId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1" applyFont="1" applyAlignment="1">
          <x:alignment horizontal="center" vertical="center"/>
        </x:xf>
      </mc:Fallback>
    </mc:AlternateContent>
    <x:xf numFmtId="0" fontId="9" fillId="0" borderId="0" xfId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1" applyFont="1" applyAlignment="1">
          <x:alignment horizontal="center" vertical="center"/>
        </x:xf>
      </mc:Fallback>
    </mc:AlternateContent>
    <x:xf numFmtId="0" fontId="10" fillId="0" borderId="0" xfId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Font="1" applyAlignment="1">
          <x:alignment horizontal="center" vertical="center" wrapText="1"/>
        </x:xf>
      </mc:Fallback>
    </mc:AlternateContent>
    <x:xf numFmtId="0" fontId="7" fillId="0" borderId="0" xfId="1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0" xfId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1" applyFont="1" applyBorder="1" applyAlignment="1">
          <x:alignment horizontal="center" vertical="center" wrapText="1"/>
        </x:xf>
      </mc:Fallback>
    </mc:AlternateContent>
    <x:xf numFmtId="0" fontId="6" fillId="0" borderId="3" xfId="1" applyFont="1" applyBorder="1" applyAlignment="1">
      <x:alignment horizontal="general" vertical="center"/>
    </x:xf>
    <x:xf numFmtId="0" fontId="6" fillId="0" borderId="4" xfId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5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1" applyFont="1" applyBorder="1" applyAlignment="1">
          <x:alignment horizontal="center" vertical="center" wrapText="1"/>
        </x:xf>
      </mc:Fallback>
    </mc:AlternateContent>
    <x:xf numFmtId="0" fontId="11" fillId="0" borderId="0" xfId="1" applyFont="1" applyAlignment="1">
      <x:alignment horizontal="general" vertical="center"/>
    </x:xf>
    <x:xf numFmtId="0" fontId="7" fillId="0" borderId="5" xfId="1" quotePrefix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7" fillId="0" borderId="5" xfId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1" applyFont="1" applyBorder="1" applyAlignment="1">
          <x:alignment horizontal="center" vertical="center" wrapText="1"/>
        </x:xf>
      </mc:Fallback>
    </mc:AlternateContent>
    <x:xf numFmtId="0" fontId="7" fillId="0" borderId="5" xfId="1" applyFont="1" applyBorder="1" applyAlignment="1">
      <x:alignment horizontal="general" vertical="center" shrinkToFit="1"/>
    </x:xf>
    <x:xf numFmtId="0" fontId="7" fillId="0" borderId="6" xfId="1" applyFont="1" applyBorder="1" applyAlignment="1">
      <x:alignment horizontal="general" vertical="center"/>
    </x:xf>
    <x:xf numFmtId="0" fontId="12" fillId="0" borderId="5" xfId="1" quotePrefix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5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2" fillId="0" borderId="5" xfId="1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0" borderId="5" xfId="1" applyNumberFormat="1" applyFont="1" applyBorder="1" applyAlignment="1">
          <x:alignment horizontal="right" vertical="center"/>
        </x:xf>
      </mc:Fallback>
    </mc:AlternateContent>
    <x:xf numFmtId="0" fontId="12" fillId="0" borderId="5" xfId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7" fillId="0" borderId="5" xfId="1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5" xfId="1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5" xfId="1" applyNumberFormat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5" xfId="1" applyNumberFormat="1" applyFont="1" applyBorder="1" applyAlignment="1">
          <x:alignment horizontal="right" vertical="center" shrinkToFit="1"/>
        </x:xf>
      </mc:Fallback>
    </mc:AlternateContent>
    <x:xf numFmtId="0" fontId="7" fillId="0" borderId="0" xfId="1" quotePrefix="1" applyFont="1" applyAlignment="1">
      <x:alignment horizontal="general" vertical="center"/>
    </x:xf>
    <x:xf numFmtId="165" fontId="7" fillId="0" borderId="0" xfId="1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7" fillId="0" borderId="4" xfId="1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4" xfId="1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5" xfId="1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5" xfId="1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5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5" xfId="1" applyFont="1" applyBorder="1" applyAlignment="1">
          <x:alignment horizontal="center" vertical="center"/>
        </x:xf>
      </mc:Fallback>
    </mc:AlternateContent>
    <x:xf numFmtId="0" fontId="13" fillId="0" borderId="5" xfId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5" xfId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" xfId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1" applyFont="1" applyBorder="1" applyAlignment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1" applyFont="1" applyBorder="1" applyAlignment="1">
          <x:alignment horizontal="center" vertical="center"/>
        </x:xf>
      </mc:Fallback>
    </mc:AlternateContent>
    <x:xf numFmtId="0" fontId="11" fillId="0" borderId="0" xfId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1" fillId="0" borderId="0" xfId="1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0" borderId="0" xfId="1" applyNumberFormat="1" applyFont="1" applyAlignment="1">
          <x:alignment horizontal="right" vertical="center"/>
        </x:xf>
      </mc:Fallback>
    </mc:AlternateContent>
  </x:cellXfs>
  <x:cellStyles count="2">
    <x:cellStyle name="표준" xfId="0" builtinId="0" iLevel="0"/>
    <x:cellStyle name="Normal" xfId="1" builtinId="0"/>
  </x:cellStyles>
  <x:dxfs count="1">
    <x:dxf>
      <x:numFmt numFmtId="0" formatCode="General"/>
      <x:fill>
        <x:patternFill patternType="none"/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externalLink" Target="externalLinks/externalLink1.xml"  /></Relationships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(E)sample_&#50896;&#44032;&#44228;&#49328;&#48372;&#44256;&#49436;ver1.xlsx.xlsx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목차  (2)"/>
      <x:sheetName val="결과"/>
      <x:sheetName val="산정기준"/>
      <x:sheetName val="원가계산서"/>
      <x:sheetName val="집계표"/>
      <x:sheetName val="내역서"/>
      <x:sheetName val="일위대가목록"/>
      <x:sheetName val="일위대가표"/>
      <x:sheetName val="단가대비표"/>
      <x:sheetName val="간노비"/>
      <x:sheetName val="경비"/>
      <x:sheetName val="산재"/>
      <x:sheetName val="고용"/>
      <x:sheetName val="건강"/>
      <x:sheetName val="연금"/>
      <x:sheetName val="장기"/>
      <x:sheetName val="석면"/>
      <x:sheetName val="임금"/>
      <x:sheetName val="퇴공"/>
      <x:sheetName val="안전"/>
      <x:sheetName val="일반"/>
      <x:sheetName val="일반비율"/>
      <x:sheetName val="이윤"/>
      <x:sheetName val="이윤비율"/>
    </x:sheetNames>
    <x:sheetDataSet>
      <x:sheetData sheetId="0" refreshError="0"/>
      <x:sheetData sheetId="1" refreshError="0"/>
      <x:sheetData sheetId="2" refreshError="0"/>
      <x:sheetData sheetId="3" refreshError="0"/>
      <x:sheetData sheetId="4" refreshError="0"/>
      <x:sheetData sheetId="5" refreshError="0"/>
      <x:sheetData sheetId="6" refreshError="0">
        <x:row r="7">
          <x:cell r="E7">
            <x:v>494</x:v>
          </x:cell>
          <x:cell r="F7">
            <x:v>24724</x:v>
          </x:cell>
        </x:row>
        <x:row r="8">
          <x:cell r="F8">
            <x:v>5140</x:v>
          </x:cell>
        </x:row>
        <x:row r="9">
          <x:cell r="F9">
            <x:v>3053237</x:v>
          </x:cell>
          <x:cell r="G9">
            <x:v>0</x:v>
          </x:cell>
        </x:row>
        <x:row r="10">
          <x:cell r="F10">
            <x:v>1526617</x:v>
          </x:cell>
          <x:cell r="G10">
            <x:v>0</x:v>
          </x:cell>
        </x:row>
      </x:sheetData>
      <x:sheetData sheetId="7" refreshError="0"/>
      <x:sheetData sheetId="8" refreshError="0">
        <x:row r="7">
          <x:cell r="M7">
            <x:v>3400000</x:v>
          </x:cell>
        </x:row>
        <x:row r="8">
          <x:cell r="M8">
            <x:v>2877200</x:v>
          </x:cell>
        </x:row>
        <x:row r="9">
          <x:cell r="M9">
            <x:v>1898000</x:v>
          </x:cell>
        </x:row>
        <x:row r="10">
          <x:cell r="M10">
            <x:v>621600</x:v>
          </x:cell>
        </x:row>
        <x:row r="11">
          <x:cell r="M11">
            <x:v>75000</x:v>
          </x:cell>
        </x:row>
        <x:row r="12">
          <x:cell r="M12">
            <x:v>65000</x:v>
          </x:cell>
        </x:row>
        <x:row r="13">
          <x:cell r="M13">
            <x:v>65000</x:v>
          </x:cell>
        </x:row>
        <x:row r="14">
          <x:cell r="M14">
            <x:v>1100000</x:v>
          </x:cell>
        </x:row>
        <x:row r="15">
          <x:cell r="M15">
            <x:v>500000</x:v>
          </x:cell>
        </x:row>
        <x:row r="16">
          <x:cell r="M16">
            <x:v>420000</x:v>
          </x:cell>
        </x:row>
        <x:row r="17">
          <x:cell r="M17">
            <x:v>150000</x:v>
          </x:cell>
        </x:row>
        <x:row r="18">
          <x:cell r="M18">
            <x:v>550000</x:v>
          </x:cell>
        </x:row>
        <x:row r="19">
          <x:cell r="M19">
            <x:v>1400000</x:v>
          </x:cell>
        </x:row>
        <x:row r="20">
          <x:cell r="M20">
            <x:v>1450000</x:v>
          </x:cell>
        </x:row>
        <x:row r="21">
          <x:cell r="M21">
            <x:v>135000</x:v>
          </x:cell>
        </x:row>
        <x:row r="22">
          <x:cell r="M22">
            <x:v>30000</x:v>
          </x:cell>
        </x:row>
        <x:row r="23">
          <x:cell r="M23">
            <x:v>25000</x:v>
          </x:cell>
        </x:row>
        <x:row r="24">
          <x:cell r="M24">
            <x:v>30000</x:v>
          </x:cell>
        </x:row>
        <x:row r="25">
          <x:cell r="M25">
            <x:v>20000</x:v>
          </x:cell>
        </x:row>
        <x:row r="26">
          <x:cell r="M26">
            <x:v>15000</x:v>
          </x:cell>
        </x:row>
        <x:row r="27">
          <x:cell r="M27">
            <x:v>28000</x:v>
          </x:cell>
        </x:row>
        <x:row r="28">
          <x:cell r="M28">
            <x:v>83000</x:v>
          </x:cell>
        </x:row>
        <x:row r="29">
          <x:cell r="M29">
            <x:v>700000</x:v>
          </x:cell>
        </x:row>
        <x:row r="30">
          <x:cell r="M30">
            <x:v>50000</x:v>
          </x:cell>
        </x:row>
        <x:row r="31">
          <x:cell r="M31">
            <x:v>500000</x:v>
          </x:cell>
        </x:row>
        <x:row r="32">
          <x:cell r="M32">
            <x:v>2500000</x:v>
          </x:cell>
        </x:row>
        <x:row r="33">
          <x:cell r="M33">
            <x:v>15000000</x:v>
          </x:cell>
        </x:row>
        <x:row r="34">
          <x:cell r="M34">
            <x:v>1700000</x:v>
          </x:cell>
        </x:row>
        <x:row r="38">
          <x:cell r="M38">
            <x:v>150000</x:v>
          </x:cell>
        </x:row>
        <x:row r="39">
          <x:cell r="M39">
            <x:v>300000</x:v>
          </x:cell>
        </x:row>
        <x:row r="40">
          <x:cell r="M40">
            <x:v>16000</x:v>
          </x:cell>
        </x:row>
        <x:row r="41">
          <x:cell r="M41">
            <x:v>15000</x:v>
          </x:cell>
        </x:row>
        <x:row r="42">
          <x:cell r="M42">
            <x:v>24000</x:v>
          </x:cell>
        </x:row>
        <x:row r="43">
          <x:cell r="M43">
            <x:v>2000</x:v>
          </x:cell>
        </x:row>
        <x:row r="44">
          <x:cell r="M44">
            <x:v>90000</x:v>
          </x:cell>
        </x:row>
        <x:row r="45">
          <x:cell r="M45">
            <x:v>80000</x:v>
          </x:cell>
        </x:row>
        <x:row r="46">
          <x:cell r="M46">
            <x:v>80000</x:v>
          </x:cell>
        </x:row>
        <x:row r="47">
          <x:cell r="M47">
            <x:v>7000</x:v>
          </x:cell>
        </x:row>
        <x:row r="48">
          <x:cell r="M48">
            <x:v>3000000</x:v>
          </x:cell>
        </x:row>
        <x:row r="50">
          <x:cell r="M50">
            <x:v>800000</x:v>
          </x:cell>
        </x:row>
        <x:row r="51">
          <x:cell r="M51">
            <x:v>1200000</x:v>
          </x:cell>
        </x:row>
        <x:row r="52">
          <x:cell r="M52">
            <x:v>3000000</x:v>
          </x:cell>
        </x:row>
        <x:row r="53">
          <x:cell r="M53">
            <x:v>1200000</x:v>
          </x:cell>
        </x:row>
        <x:row r="54">
          <x:cell r="M54">
            <x:v>3000000</x:v>
          </x:cell>
        </x:row>
        <x:row r="56">
          <x:cell r="M56">
            <x:v>172068</x:v>
          </x:cell>
        </x:row>
        <x:row r="60">
          <x:cell r="M60">
            <x:v>281939</x:v>
          </x:cell>
        </x:row>
        <x:row r="63">
          <x:cell r="M63">
            <x:v>217012</x:v>
          </x:cell>
        </x:row>
      </x:sheetData>
      <x:sheetData sheetId="9" refreshError="0"/>
      <x:sheetData sheetId="10" refreshError="0"/>
      <x:sheetData sheetId="11" refreshError="0"/>
      <x:sheetData sheetId="12" refreshError="0"/>
      <x:sheetData sheetId="13" refreshError="0"/>
      <x:sheetData sheetId="14" refreshError="0"/>
      <x:sheetData sheetId="15" refreshError="0"/>
      <x:sheetData sheetId="16" refreshError="0"/>
      <x:sheetData sheetId="17" refreshError="0"/>
      <x:sheetData sheetId="18" refreshError="0"/>
      <x:sheetData sheetId="19" refreshError="0"/>
      <x:sheetData sheetId="20" refreshError="0"/>
      <x:sheetData sheetId="21" refreshError="0"/>
      <x:sheetData sheetId="22" refreshError="0"/>
      <x:sheetData sheetId="23" refreshError="0"/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Y75"/>
  <x:sheetViews>
    <x:sheetView tabSelected="1" topLeftCell="A1" zoomScaleNormal="75" zoomScaleSheetLayoutView="100" workbookViewId="0">
      <x:selection activeCell="A1" activeCellId="0" sqref="A1:D1"/>
    </x:sheetView>
  </x:sheetViews>
  <x:sheetFormatPr defaultColWidth="8.796875" defaultRowHeight="16.39999999999999857891"/>
  <x:cols>
    <x:col min="5" max="5" width="13.69921875" customWidth="1"/>
    <x:col min="6" max="6" width="14.3984375" customWidth="1"/>
    <x:col min="8" max="8" width="13.30078125" customWidth="1"/>
    <x:col min="9" max="9" width="11.69921875" customWidth="1"/>
    <x:col min="10" max="10" width="14.8984375" customWidth="1"/>
    <x:col min="11" max="11" width="15" customWidth="1"/>
  </x:cols>
  <x:sheetData>
    <x:row r="1" spans="1:51">
      <x:c r="A1" s="1" t="s">
        <x:v>109</x:v>
      </x:c>
      <x:c r="B1" s="1"/>
      <x:c r="C1" s="1"/>
      <x:c r="D1" s="1"/>
      <x:c r="E1" s="2"/>
      <x:c r="F1" s="2"/>
      <x:c r="G1" s="3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</x:row>
    <x:row r="2" spans="1:51" ht="24.94999999999999928946">
      <x:c r="A2" s="4" t="s">
        <x:v>83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  <x:c r="AC2" s="17"/>
      <x:c r="AD2" s="17"/>
      <x:c r="AE2" s="17"/>
      <x:c r="AF2" s="17"/>
      <x:c r="AG2" s="17"/>
      <x:c r="AH2" s="17"/>
      <x:c r="AI2" s="17"/>
      <x:c r="AJ2" s="17"/>
      <x:c r="AK2" s="17"/>
      <x:c r="AL2" s="17"/>
      <x:c r="AM2" s="17"/>
      <x:c r="AN2" s="17"/>
      <x:c r="AO2" s="17"/>
      <x:c r="AP2" s="17"/>
      <x:c r="AQ2" s="17"/>
      <x:c r="AR2" s="17"/>
      <x:c r="AS2" s="17"/>
      <x:c r="AT2" s="17"/>
      <x:c r="AU2" s="17"/>
      <x:c r="AV2" s="17"/>
      <x:c r="AW2" s="17"/>
      <x:c r="AX2" s="17"/>
      <x:c r="AY2" s="17"/>
    </x:row>
    <x:row r="3" spans="1:51" ht="24.94999999999999928946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  <x:c r="AC3" s="17"/>
      <x:c r="AD3" s="17"/>
      <x:c r="AE3" s="17"/>
      <x:c r="AF3" s="17"/>
      <x:c r="AG3" s="17"/>
      <x:c r="AH3" s="17"/>
      <x:c r="AI3" s="17"/>
      <x:c r="AJ3" s="17"/>
      <x:c r="AK3" s="17"/>
      <x:c r="AL3" s="17"/>
      <x:c r="AM3" s="17"/>
      <x:c r="AN3" s="17"/>
      <x:c r="AO3" s="17"/>
      <x:c r="AP3" s="17"/>
      <x:c r="AQ3" s="17"/>
      <x:c r="AR3" s="17"/>
      <x:c r="AS3" s="17"/>
      <x:c r="AT3" s="17"/>
      <x:c r="AU3" s="17"/>
      <x:c r="AV3" s="17"/>
      <x:c r="AW3" s="17"/>
      <x:c r="AX3" s="17"/>
      <x:c r="AY3" s="17"/>
    </x:row>
    <x:row r="4" spans="1:51">
      <x:c r="A4" s="6"/>
      <x:c r="B4" s="7"/>
      <x:c r="C4" s="6"/>
      <x:c r="D4" s="7"/>
      <x:c r="E4" s="6"/>
      <x:c r="F4" s="6"/>
      <x:c r="G4" s="6"/>
      <x:c r="H4" s="6"/>
      <x:c r="I4" s="6"/>
      <x:c r="J4" s="6"/>
      <x:c r="K4" s="6"/>
      <x:c r="L4" s="8" t="s">
        <x:v>74</x:v>
      </x:c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  <x:c r="AA4" s="17"/>
      <x:c r="AB4" s="17"/>
      <x:c r="AC4" s="17"/>
      <x:c r="AD4" s="17"/>
      <x:c r="AE4" s="17"/>
      <x:c r="AF4" s="17"/>
      <x:c r="AG4" s="17"/>
      <x:c r="AH4" s="17"/>
      <x:c r="AI4" s="17"/>
      <x:c r="AJ4" s="17"/>
      <x:c r="AK4" s="17"/>
      <x:c r="AL4" s="17"/>
      <x:c r="AM4" s="17"/>
      <x:c r="AN4" s="17"/>
      <x:c r="AO4" s="17"/>
      <x:c r="AP4" s="17"/>
      <x:c r="AQ4" s="17"/>
      <x:c r="AR4" s="17"/>
      <x:c r="AS4" s="17"/>
      <x:c r="AT4" s="17"/>
      <x:c r="AU4" s="17"/>
      <x:c r="AV4" s="17"/>
      <x:c r="AW4" s="17"/>
      <x:c r="AX4" s="17"/>
      <x:c r="AY4" s="17"/>
    </x:row>
    <x:row r="5" spans="1:51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10" t="s">
        <x:v>68</x:v>
      </x:c>
      <x:c r="L5" s="10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</x:row>
    <x:row r="6" spans="1:51">
      <x:c r="A6" s="9"/>
      <x:c r="B6" s="9"/>
      <x:c r="C6" s="9"/>
      <x:c r="D6" s="9"/>
      <x:c r="E6" s="11" t="s">
        <x:v>24</x:v>
      </x:c>
      <x:c r="F6" s="11"/>
      <x:c r="G6" s="11" t="s">
        <x:v>24</x:v>
      </x:c>
      <x:c r="H6" s="11"/>
      <x:c r="I6" s="9"/>
      <x:c r="J6" s="9"/>
      <x:c r="K6" s="10"/>
      <x:c r="L6" s="10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</x:row>
    <x:row r="7" spans="1:51">
      <x:c r="A7" s="12" t="s">
        <x:v>144</x:v>
      </x:c>
      <x:c r="B7" s="12" t="s">
        <x:v>140</x:v>
      </x:c>
      <x:c r="C7" s="12" t="s">
        <x:v>43</x:v>
      </x:c>
      <x:c r="D7" s="12" t="s">
        <x:v>22</x:v>
      </x:c>
      <x:c r="E7" s="13" t="s">
        <x:v>92</x:v>
      </x:c>
      <x:c r="F7" s="14"/>
      <x:c r="G7" s="13" t="s">
        <x:v>85</x:v>
      </x:c>
      <x:c r="H7" s="14"/>
      <x:c r="I7" s="13" t="s">
        <x:v>145</x:v>
      </x:c>
      <x:c r="J7" s="14"/>
      <x:c r="K7" s="12" t="s">
        <x:v>17</x:v>
      </x:c>
      <x:c r="L7" s="12" t="s">
        <x:v>14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</x:row>
    <x:row r="8" spans="1:51">
      <x:c r="A8" s="15"/>
      <x:c r="B8" s="15"/>
      <x:c r="C8" s="15"/>
      <x:c r="D8" s="15"/>
      <x:c r="E8" s="16" t="s">
        <x:v>96</x:v>
      </x:c>
      <x:c r="F8" s="16" t="s">
        <x:v>80</x:v>
      </x:c>
      <x:c r="G8" s="16" t="s">
        <x:v>96</x:v>
      </x:c>
      <x:c r="H8" s="16" t="s">
        <x:v>80</x:v>
      </x:c>
      <x:c r="I8" s="16" t="s">
        <x:v>96</x:v>
      </x:c>
      <x:c r="J8" s="16" t="s">
        <x:v>80</x:v>
      </x:c>
      <x:c r="K8" s="15"/>
      <x:c r="L8" s="15"/>
      <x:c r="M8" s="2" t="s">
        <x:v>69</x:v>
      </x:c>
      <x:c r="N8" s="2" t="s">
        <x:v>110</x:v>
      </x:c>
      <x:c r="O8" s="2" t="s">
        <x:v>88</x:v>
      </x:c>
      <x:c r="P8" s="2" t="s">
        <x:v>97</x:v>
      </x:c>
      <x:c r="Q8" s="2" t="s">
        <x:v>75</x:v>
      </x:c>
      <x:c r="R8" s="2" t="s">
        <x:v>48</x:v>
      </x:c>
      <x:c r="S8" s="2" t="s">
        <x:v>71</x:v>
      </x:c>
      <x:c r="T8" s="2" t="s">
        <x:v>16</x:v>
      </x:c>
      <x:c r="U8" s="2" t="s">
        <x:v>49</x:v>
      </x:c>
      <x:c r="V8" s="2" t="s">
        <x:v>44</x:v>
      </x:c>
      <x:c r="W8" s="2" t="s">
        <x:v>90</x:v>
      </x:c>
      <x:c r="X8" s="2" t="s">
        <x:v>45</x:v>
      </x:c>
      <x:c r="Y8" s="2" t="s">
        <x:v>79</x:v>
      </x:c>
      <x:c r="Z8" s="2" t="s">
        <x:v>82</x:v>
      </x:c>
      <x:c r="AA8" s="2" t="s">
        <x:v>72</x:v>
      </x:c>
      <x:c r="AB8" s="2" t="s">
        <x:v>73</x:v>
      </x:c>
      <x:c r="AC8" s="2" t="s">
        <x:v>70</x:v>
      </x:c>
      <x:c r="AD8" s="2" t="s">
        <x:v>91</x:v>
      </x:c>
      <x:c r="AE8" s="2" t="s">
        <x:v>89</x:v>
      </x:c>
      <x:c r="AF8" s="2" t="s">
        <x:v>136</x:v>
      </x:c>
      <x:c r="AG8" s="2" t="s">
        <x:v>95</x:v>
      </x:c>
      <x:c r="AH8" s="2" t="s">
        <x:v>111</x:v>
      </x:c>
      <x:c r="AI8" s="2" t="s">
        <x:v>106</x:v>
      </x:c>
      <x:c r="AJ8" s="2" t="s">
        <x:v>117</x:v>
      </x:c>
      <x:c r="AK8" s="2" t="s">
        <x:v>120</x:v>
      </x:c>
      <x:c r="AL8" s="2" t="s">
        <x:v>121</x:v>
      </x:c>
      <x:c r="AM8" s="2" t="s">
        <x:v>107</x:v>
      </x:c>
      <x:c r="AN8" s="2" t="s">
        <x:v>76</x:v>
      </x:c>
      <x:c r="AO8" s="2" t="s">
        <x:v>114</x:v>
      </x:c>
      <x:c r="AP8" s="2" t="s">
        <x:v>100</x:v>
      </x:c>
      <x:c r="AQ8" s="2" t="s">
        <x:v>78</x:v>
      </x:c>
      <x:c r="AR8" s="2" t="s">
        <x:v>115</x:v>
      </x:c>
      <x:c r="AS8" s="2" t="s">
        <x:v>116</x:v>
      </x:c>
      <x:c r="AT8" s="2" t="s">
        <x:v>119</x:v>
      </x:c>
      <x:c r="AU8" s="2" t="s">
        <x:v>81</x:v>
      </x:c>
      <x:c r="AV8" s="2" t="s">
        <x:v>102</x:v>
      </x:c>
      <x:c r="AW8" s="2" t="s">
        <x:v>86</x:v>
      </x:c>
      <x:c r="AX8" s="2" t="s">
        <x:v>46</x:v>
      </x:c>
      <x:c r="AY8" s="2"/>
    </x:row>
    <x:row r="9" spans="1:51">
      <x:c r="A9" s="18" t="s">
        <x:v>94</x:v>
      </x:c>
      <x:c r="B9" s="19"/>
      <x:c r="C9" s="20"/>
      <x:c r="D9" s="19"/>
      <x:c r="E9" s="21"/>
      <x:c r="F9" s="21"/>
      <x:c r="G9" s="21"/>
      <x:c r="H9" s="21"/>
      <x:c r="I9" s="21"/>
      <x:c r="J9" s="21"/>
      <x:c r="K9" s="21"/>
      <x:c r="L9" s="21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  <x:c r="AA9" s="22"/>
      <x:c r="AB9" s="22"/>
      <x:c r="AC9" s="22"/>
      <x:c r="AD9" s="22"/>
      <x:c r="AE9" s="22"/>
      <x:c r="AF9" s="22"/>
      <x:c r="AG9" s="22"/>
      <x:c r="AH9" s="22"/>
      <x:c r="AI9" s="22"/>
      <x:c r="AJ9" s="22"/>
      <x:c r="AK9" s="22"/>
      <x:c r="AL9" s="22"/>
      <x:c r="AM9" s="22"/>
      <x:c r="AN9" s="22"/>
      <x:c r="AO9" s="22"/>
      <x:c r="AP9" s="22"/>
      <x:c r="AQ9" s="22"/>
      <x:c r="AR9" s="22"/>
      <x:c r="AS9" s="22"/>
      <x:c r="AT9" s="22"/>
      <x:c r="AU9" s="22"/>
      <x:c r="AV9" s="22"/>
      <x:c r="AW9" s="22"/>
      <x:c r="AX9" s="22"/>
      <x:c r="AY9" s="22"/>
    </x:row>
    <x:row r="10" spans="1:51">
      <x:c r="A10" s="23" t="s">
        <x:v>127</x:v>
      </x:c>
      <x:c r="B10" s="24"/>
      <x:c r="C10" s="24"/>
      <x:c r="D10" s="24"/>
      <x:c r="E10" s="25"/>
      <x:c r="F10" s="21"/>
      <x:c r="G10" s="21"/>
      <x:c r="H10" s="21"/>
      <x:c r="I10" s="21"/>
      <x:c r="J10" s="21"/>
      <x:c r="K10" s="21"/>
      <x:c r="L10" s="21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  <x:c r="AA10" s="22"/>
      <x:c r="AB10" s="22"/>
      <x:c r="AC10" s="22"/>
      <x:c r="AD10" s="22"/>
      <x:c r="AE10" s="22"/>
      <x:c r="AF10" s="22"/>
      <x:c r="AG10" s="22"/>
      <x:c r="AH10" s="22"/>
      <x:c r="AI10" s="22"/>
      <x:c r="AJ10" s="22"/>
      <x:c r="AK10" s="22"/>
      <x:c r="AL10" s="22"/>
      <x:c r="AM10" s="22"/>
      <x:c r="AN10" s="22"/>
      <x:c r="AO10" s="22"/>
      <x:c r="AP10" s="22"/>
      <x:c r="AQ10" s="22"/>
      <x:c r="AR10" s="22"/>
      <x:c r="AS10" s="22"/>
      <x:c r="AT10" s="22"/>
      <x:c r="AU10" s="22"/>
      <x:c r="AV10" s="22"/>
      <x:c r="AW10" s="22"/>
      <x:c r="AX10" s="22"/>
      <x:c r="AY10" s="22"/>
    </x:row>
    <x:row r="11" spans="1:51">
      <x:c r="A11" s="26" t="s">
        <x:v>53</x:v>
      </x:c>
      <x:c r="B11" s="24" t="s">
        <x:v>146</x:v>
      </x:c>
      <x:c r="C11" s="24" t="s">
        <x:v>20</x:v>
      </x:c>
      <x:c r="D11" s="24">
        <x:v>2</x:v>
      </x:c>
      <x:c r="E11" s="25">
        <x:f>'[1]단가대비표'!M7</x:f>
        <x:v>3400000</x:v>
      </x:c>
      <x:c r="F11" s="27">
        <x:f t="shared" ref="F11:F35" si="0">D11*E11</x:f>
        <x:v>6800000</x:v>
      </x:c>
      <x:c r="G11" s="28"/>
      <x:c r="H11" s="28">
        <x:f>ROUNDDOWN(D11*G11,0)</x:f>
        <x:v>0</x:v>
      </x:c>
      <x:c r="I11" s="28"/>
      <x:c r="J11" s="28">
        <x:f>ROUNDDOWN(D11*I11,0)</x:f>
        <x:v>0</x:v>
      </x:c>
      <x:c r="K11" s="27">
        <x:f t="shared" ref="K11:K36" si="1">F11+H11+J11</x:f>
        <x:v>6800000</x:v>
      </x:c>
      <x:c r="L11" s="28"/>
      <x:c r="M11" s="2"/>
      <x:c r="N11" s="2" t="str">
        <x:f>"01"</x:f>
        <x:v>01</x:v>
      </x:c>
      <x:c r="O11" s="29" t="s">
        <x:v>75</x:v>
      </x:c>
      <x:c r="P11" s="2">
        <x:v>1</x:v>
      </x:c>
      <x:c r="Q11" s="30">
        <x:f>IF(O11="기계경비",J11,0)</x:f>
        <x:v>0</x:v>
      </x:c>
      <x:c r="R11" s="2">
        <x:f>IF(O11="운반비",K11,0)</x:f>
        <x:v>0</x:v>
      </x:c>
      <x:c r="S11" s="2">
        <x:f>IF(O11="작업부산물",F11,0)</x:f>
        <x:v>0</x:v>
      </x:c>
      <x:c r="T11" s="2">
        <x:f>IF(O11="관급",F11,0)</x:f>
        <x:v>0</x:v>
      </x:c>
      <x:c r="U11" s="2">
        <x:f>IF(O11="외주비",J11,0)</x:f>
        <x:v>0</x:v>
      </x:c>
      <x:c r="V11" s="2">
        <x:f>IF(O11="장비비",J11,0)</x:f>
        <x:v>0</x:v>
      </x:c>
      <x:c r="W11" s="2">
        <x:f>IF(O11="폐기물처리비",K11,0)</x:f>
        <x:v>0</x:v>
      </x:c>
      <x:c r="X11" s="2">
        <x:f>IF(O11="가설비",J11,0)</x:f>
        <x:v>0</x:v>
      </x:c>
      <x:c r="Y11" s="2">
        <x:f>IF(O11="잡비제외분",F11,0)</x:f>
        <x:v>0</x:v>
      </x:c>
      <x:c r="Z11" s="2">
        <x:f>IF(O11="사급자재대",K11,0)</x:f>
        <x:v>0</x:v>
      </x:c>
      <x:c r="AA11" s="2">
        <x:f>IF(O11="관급자재대",K11,0)</x:f>
        <x:v>0</x:v>
      </x:c>
      <x:c r="AB11" s="2">
        <x:f>IF(O11="사용자항목1",K11,0)</x:f>
        <x:v>0</x:v>
      </x:c>
      <x:c r="AC11" s="2">
        <x:f>IF(O11="사용자항목2",K11,0)</x:f>
        <x:v>0</x:v>
      </x:c>
      <x:c r="AD11" s="2">
        <x:f>IF(O11="안전관리비",K11,0)</x:f>
        <x:v>0</x:v>
      </x:c>
      <x:c r="AE11" s="2">
        <x:f>IF(O11="품질관리비",K11,0)</x:f>
        <x:v>0</x:v>
      </x:c>
      <x:c r="AF11" s="2">
        <x:f>IF(O11="작업부산물(철거해체)",K11,0)</x:f>
        <x:v>0</x:v>
      </x:c>
      <x:c r="AG11" s="2">
        <x:f>IF(O11="사용자항목6",K11,0)</x:f>
        <x:v>0</x:v>
      </x:c>
      <x:c r="AH11" s="2">
        <x:f>IF(O11="사용자항목7",K11,0)</x:f>
        <x:v>0</x:v>
      </x:c>
      <x:c r="AI11" s="2">
        <x:f>IF(O11="사용자항목8",K11,0)</x:f>
        <x:v>0</x:v>
      </x:c>
      <x:c r="AJ11" s="2">
        <x:f>IF(O11="사용자항목9",K11,0)</x:f>
        <x:v>0</x:v>
      </x:c>
      <x:c r="AK11" s="2">
        <x:f>IF(O11="사용자항목10",K11,0)</x:f>
        <x:v>0</x:v>
      </x:c>
      <x:c r="AL11" s="2">
        <x:f>IF(O11="사용자항목11",K11,0)</x:f>
        <x:v>0</x:v>
      </x:c>
      <x:c r="AM11" s="2">
        <x:f>IF(O11="사용자항목12",K11,0)</x:f>
        <x:v>0</x:v>
      </x:c>
      <x:c r="AN11" s="2">
        <x:f>IF(O11="사용자항목13",K11,0)</x:f>
        <x:v>0</x:v>
      </x:c>
      <x:c r="AO11" s="2">
        <x:f>IF(O11="사용자항목14",K11,0)</x:f>
        <x:v>0</x:v>
      </x:c>
      <x:c r="AP11" s="2">
        <x:f>IF(O11="사용자항목15",K11,0)</x:f>
        <x:v>0</x:v>
      </x:c>
      <x:c r="AQ11" s="2">
        <x:f>IF(O11="사용자항목16",K11,0)</x:f>
        <x:v>0</x:v>
      </x:c>
      <x:c r="AR11" s="2">
        <x:f>IF(O11="사용자항목17",K11,0)</x:f>
        <x:v>0</x:v>
      </x:c>
      <x:c r="AS11" s="2">
        <x:f>IF(O11="사용자항목18",K11,0)</x:f>
        <x:v>0</x:v>
      </x:c>
      <x:c r="AT11" s="2">
        <x:f>IF(O11="사용자항목19",K11,0)</x:f>
        <x:v>0</x:v>
      </x:c>
      <x:c r="AU11" s="2"/>
      <x:c r="AV11" s="2"/>
      <x:c r="AW11" s="2"/>
      <x:c r="AX11" s="2"/>
      <x:c r="AY11" s="31">
        <x:v>1800000</x:v>
      </x:c>
    </x:row>
    <x:row r="12" spans="1:51">
      <x:c r="A12" s="26" t="s">
        <x:v>53</x:v>
      </x:c>
      <x:c r="B12" s="24" t="s">
        <x:v>148</x:v>
      </x:c>
      <x:c r="C12" s="24" t="s">
        <x:v>20</x:v>
      </x:c>
      <x:c r="D12" s="24">
        <x:v>1</x:v>
      </x:c>
      <x:c r="E12" s="25">
        <x:f>'[1]단가대비표'!M8</x:f>
        <x:v>2877200</x:v>
      </x:c>
      <x:c r="F12" s="27">
        <x:f t="shared" si="0"/>
        <x:v>2877200</x:v>
      </x:c>
      <x:c r="G12" s="28"/>
      <x:c r="H12" s="28"/>
      <x:c r="I12" s="28"/>
      <x:c r="J12" s="28"/>
      <x:c r="K12" s="27">
        <x:f t="shared" si="1"/>
        <x:v>2877200</x:v>
      </x:c>
      <x:c r="L12" s="28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32"/>
    </x:row>
    <x:row r="13" spans="1:51">
      <x:c r="A13" s="26" t="s">
        <x:v>51</x:v>
      </x:c>
      <x:c r="B13" s="24" t="s">
        <x:v>147</x:v>
      </x:c>
      <x:c r="C13" s="24" t="s">
        <x:v>20</x:v>
      </x:c>
      <x:c r="D13" s="24">
        <x:v>2</x:v>
      </x:c>
      <x:c r="E13" s="25">
        <x:f>'[1]단가대비표'!M9</x:f>
        <x:v>1898000</x:v>
      </x:c>
      <x:c r="F13" s="27">
        <x:f t="shared" si="0"/>
        <x:v>3796000</x:v>
      </x:c>
      <x:c r="G13" s="28"/>
      <x:c r="H13" s="28"/>
      <x:c r="I13" s="28"/>
      <x:c r="J13" s="28"/>
      <x:c r="K13" s="27">
        <x:f t="shared" si="1"/>
        <x:v>3796000</x:v>
      </x:c>
      <x:c r="L13" s="28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32"/>
    </x:row>
    <x:row r="14" spans="1:51">
      <x:c r="A14" s="26" t="s">
        <x:v>52</x:v>
      </x:c>
      <x:c r="B14" s="24" t="s">
        <x:v>159</x:v>
      </x:c>
      <x:c r="C14" s="24" t="s">
        <x:v>20</x:v>
      </x:c>
      <x:c r="D14" s="24">
        <x:v>2</x:v>
      </x:c>
      <x:c r="E14" s="25">
        <x:f>'[1]단가대비표'!M10</x:f>
        <x:v>621600</x:v>
      </x:c>
      <x:c r="F14" s="27">
        <x:f t="shared" si="0"/>
        <x:v>1243200</x:v>
      </x:c>
      <x:c r="G14" s="28"/>
      <x:c r="H14" s="28"/>
      <x:c r="I14" s="28"/>
      <x:c r="J14" s="28"/>
      <x:c r="K14" s="27">
        <x:f t="shared" si="1"/>
        <x:v>1243200</x:v>
      </x:c>
      <x:c r="L14" s="28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32"/>
    </x:row>
    <x:row r="15" spans="1:51">
      <x:c r="A15" s="26" t="s">
        <x:v>57</x:v>
      </x:c>
      <x:c r="B15" s="24" t="s">
        <x:v>137</x:v>
      </x:c>
      <x:c r="C15" s="24" t="s">
        <x:v>21</x:v>
      </x:c>
      <x:c r="D15" s="24">
        <x:v>12</x:v>
      </x:c>
      <x:c r="E15" s="25">
        <x:f>'[1]단가대비표'!M11</x:f>
        <x:v>75000</x:v>
      </x:c>
      <x:c r="F15" s="27">
        <x:f t="shared" si="0"/>
        <x:v>900000</x:v>
      </x:c>
      <x:c r="G15" s="28"/>
      <x:c r="H15" s="28"/>
      <x:c r="I15" s="28"/>
      <x:c r="J15" s="28"/>
      <x:c r="K15" s="27">
        <x:f t="shared" si="1"/>
        <x:v>900000</x:v>
      </x:c>
      <x:c r="L15" s="28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32"/>
    </x:row>
    <x:row r="16" spans="1:51">
      <x:c r="A16" s="26" t="s">
        <x:v>142</x:v>
      </x:c>
      <x:c r="B16" s="24" t="s">
        <x:v>162</x:v>
      </x:c>
      <x:c r="C16" s="24" t="s">
        <x:v>21</x:v>
      </x:c>
      <x:c r="D16" s="24">
        <x:v>10</x:v>
      </x:c>
      <x:c r="E16" s="25">
        <x:f>'[1]단가대비표'!M12</x:f>
        <x:v>65000</x:v>
      </x:c>
      <x:c r="F16" s="27">
        <x:f t="shared" si="0"/>
        <x:v>650000</x:v>
      </x:c>
      <x:c r="G16" s="28"/>
      <x:c r="H16" s="28"/>
      <x:c r="I16" s="28"/>
      <x:c r="J16" s="28"/>
      <x:c r="K16" s="27">
        <x:f t="shared" si="1"/>
        <x:v>650000</x:v>
      </x:c>
      <x:c r="L16" s="28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32"/>
    </x:row>
    <x:row r="17" spans="1:51">
      <x:c r="A17" s="26" t="s">
        <x:v>63</x:v>
      </x:c>
      <x:c r="B17" s="24" t="s">
        <x:v>162</x:v>
      </x:c>
      <x:c r="C17" s="24" t="s">
        <x:v>21</x:v>
      </x:c>
      <x:c r="D17" s="24">
        <x:v>10</x:v>
      </x:c>
      <x:c r="E17" s="25">
        <x:f>'[1]단가대비표'!M13</x:f>
        <x:v>65000</x:v>
      </x:c>
      <x:c r="F17" s="27">
        <x:f t="shared" si="0"/>
        <x:v>650000</x:v>
      </x:c>
      <x:c r="G17" s="28"/>
      <x:c r="H17" s="28"/>
      <x:c r="I17" s="28"/>
      <x:c r="J17" s="28"/>
      <x:c r="K17" s="27">
        <x:f t="shared" si="1"/>
        <x:v>650000</x:v>
      </x:c>
      <x:c r="L17" s="28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32"/>
    </x:row>
    <x:row r="18" spans="1:51">
      <x:c r="A18" s="26" t="s">
        <x:v>150</x:v>
      </x:c>
      <x:c r="B18" s="24" t="s">
        <x:v>10</x:v>
      </x:c>
      <x:c r="C18" s="24" t="s">
        <x:v>26</x:v>
      </x:c>
      <x:c r="D18" s="24">
        <x:v>4</x:v>
      </x:c>
      <x:c r="E18" s="25">
        <x:f>'[1]단가대비표'!M14</x:f>
        <x:v>1100000</x:v>
      </x:c>
      <x:c r="F18" s="27">
        <x:f t="shared" si="0"/>
        <x:v>4400000</x:v>
      </x:c>
      <x:c r="G18" s="28"/>
      <x:c r="H18" s="28"/>
      <x:c r="I18" s="28"/>
      <x:c r="J18" s="28"/>
      <x:c r="K18" s="27">
        <x:f t="shared" si="1"/>
        <x:v>4400000</x:v>
      </x:c>
      <x:c r="L18" s="28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32"/>
    </x:row>
    <x:row r="19" spans="1:51">
      <x:c r="A19" s="26" t="s">
        <x:v>108</x:v>
      </x:c>
      <x:c r="B19" s="24" t="s">
        <x:v>130</x:v>
      </x:c>
      <x:c r="C19" s="24" t="s">
        <x:v>26</x:v>
      </x:c>
      <x:c r="D19" s="24">
        <x:v>1</x:v>
      </x:c>
      <x:c r="E19" s="25">
        <x:f>'[1]단가대비표'!M15</x:f>
        <x:v>500000</x:v>
      </x:c>
      <x:c r="F19" s="27">
        <x:f t="shared" si="0"/>
        <x:v>500000</x:v>
      </x:c>
      <x:c r="G19" s="28"/>
      <x:c r="H19" s="28"/>
      <x:c r="I19" s="28"/>
      <x:c r="J19" s="28"/>
      <x:c r="K19" s="27">
        <x:f t="shared" si="1"/>
        <x:v>500000</x:v>
      </x:c>
      <x:c r="L19" s="28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32"/>
    </x:row>
    <x:row r="20" spans="1:51">
      <x:c r="A20" s="26" t="s">
        <x:v>98</x:v>
      </x:c>
      <x:c r="B20" s="24" t="s">
        <x:v>152</x:v>
      </x:c>
      <x:c r="C20" s="24" t="s">
        <x:v>26</x:v>
      </x:c>
      <x:c r="D20" s="24">
        <x:v>1</x:v>
      </x:c>
      <x:c r="E20" s="25">
        <x:f>'[1]단가대비표'!M16</x:f>
        <x:v>420000</x:v>
      </x:c>
      <x:c r="F20" s="27">
        <x:f t="shared" si="0"/>
        <x:v>420000</x:v>
      </x:c>
      <x:c r="G20" s="28"/>
      <x:c r="H20" s="28"/>
      <x:c r="I20" s="28"/>
      <x:c r="J20" s="28"/>
      <x:c r="K20" s="27">
        <x:f t="shared" si="1"/>
        <x:v>420000</x:v>
      </x:c>
      <x:c r="L20" s="28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32"/>
    </x:row>
    <x:row r="21" spans="1:51">
      <x:c r="A21" s="26" t="s">
        <x:v>154</x:v>
      </x:c>
      <x:c r="B21" s="24" t="s">
        <x:v>161</x:v>
      </x:c>
      <x:c r="C21" s="24" t="s">
        <x:v>26</x:v>
      </x:c>
      <x:c r="D21" s="24">
        <x:v>1</x:v>
      </x:c>
      <x:c r="E21" s="25">
        <x:f>'[1]단가대비표'!M17</x:f>
        <x:v>150000</x:v>
      </x:c>
      <x:c r="F21" s="27">
        <x:f t="shared" si="0"/>
        <x:v>150000</x:v>
      </x:c>
      <x:c r="G21" s="28"/>
      <x:c r="H21" s="28"/>
      <x:c r="I21" s="28"/>
      <x:c r="J21" s="28"/>
      <x:c r="K21" s="27">
        <x:f t="shared" si="1"/>
        <x:v>150000</x:v>
      </x:c>
      <x:c r="L21" s="28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32"/>
    </x:row>
    <x:row r="22" spans="1:51">
      <x:c r="A22" s="26" t="s">
        <x:v>105</x:v>
      </x:c>
      <x:c r="B22" s="24" t="s">
        <x:v>84</x:v>
      </x:c>
      <x:c r="C22" s="24" t="s">
        <x:v>26</x:v>
      </x:c>
      <x:c r="D22" s="24">
        <x:v>1</x:v>
      </x:c>
      <x:c r="E22" s="25">
        <x:f>'[1]단가대비표'!M18</x:f>
        <x:v>550000</x:v>
      </x:c>
      <x:c r="F22" s="27">
        <x:f t="shared" si="0"/>
        <x:v>550000</x:v>
      </x:c>
      <x:c r="G22" s="28"/>
      <x:c r="H22" s="28"/>
      <x:c r="I22" s="28"/>
      <x:c r="J22" s="28"/>
      <x:c r="K22" s="27">
        <x:f t="shared" si="1"/>
        <x:v>550000</x:v>
      </x:c>
      <x:c r="L22" s="28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32"/>
    </x:row>
    <x:row r="23" spans="1:51">
      <x:c r="A23" s="26" t="s">
        <x:v>6</x:v>
      </x:c>
      <x:c r="B23" s="24" t="s">
        <x:v>99</x:v>
      </x:c>
      <x:c r="C23" s="24" t="s">
        <x:v>23</x:v>
      </x:c>
      <x:c r="D23" s="24">
        <x:v>1</x:v>
      </x:c>
      <x:c r="E23" s="25">
        <x:f>'[1]단가대비표'!M19</x:f>
        <x:v>1400000</x:v>
      </x:c>
      <x:c r="F23" s="27">
        <x:f t="shared" si="0"/>
        <x:v>1400000</x:v>
      </x:c>
      <x:c r="G23" s="28"/>
      <x:c r="H23" s="28"/>
      <x:c r="I23" s="28"/>
      <x:c r="J23" s="28"/>
      <x:c r="K23" s="27">
        <x:f t="shared" si="1"/>
        <x:v>1400000</x:v>
      </x:c>
      <x:c r="L23" s="28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32"/>
    </x:row>
    <x:row r="24" spans="1:51">
      <x:c r="A24" s="26" t="s">
        <x:v>55</x:v>
      </x:c>
      <x:c r="B24" s="24" t="s">
        <x:v>87</x:v>
      </x:c>
      <x:c r="C24" s="24" t="s">
        <x:v>26</x:v>
      </x:c>
      <x:c r="D24" s="24">
        <x:v>1</x:v>
      </x:c>
      <x:c r="E24" s="25">
        <x:f>'[1]단가대비표'!M20</x:f>
        <x:v>1450000</x:v>
      </x:c>
      <x:c r="F24" s="27">
        <x:f t="shared" si="0"/>
        <x:v>1450000</x:v>
      </x:c>
      <x:c r="G24" s="28"/>
      <x:c r="H24" s="28"/>
      <x:c r="I24" s="28"/>
      <x:c r="J24" s="28"/>
      <x:c r="K24" s="27">
        <x:f t="shared" si="1"/>
        <x:v>1450000</x:v>
      </x:c>
      <x:c r="L24" s="28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32"/>
    </x:row>
    <x:row r="25" spans="1:51">
      <x:c r="A25" s="26" t="s">
        <x:v>61</x:v>
      </x:c>
      <x:c r="B25" s="24" t="s">
        <x:v>143</x:v>
      </x:c>
      <x:c r="C25" s="24" t="s">
        <x:v>29</x:v>
      </x:c>
      <x:c r="D25" s="24">
        <x:v>10</x:v>
      </x:c>
      <x:c r="E25" s="25">
        <x:f>'[1]단가대비표'!M21</x:f>
        <x:v>135000</x:v>
      </x:c>
      <x:c r="F25" s="27">
        <x:f t="shared" si="0"/>
        <x:v>1350000</x:v>
      </x:c>
      <x:c r="G25" s="28"/>
      <x:c r="H25" s="28"/>
      <x:c r="I25" s="28"/>
      <x:c r="J25" s="28"/>
      <x:c r="K25" s="27">
        <x:f t="shared" si="1"/>
        <x:v>1350000</x:v>
      </x:c>
      <x:c r="L25" s="28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32"/>
    </x:row>
    <x:row r="26" spans="1:51">
      <x:c r="A26" s="26" t="s">
        <x:v>11</x:v>
      </x:c>
      <x:c r="B26" s="24" t="s">
        <x:v>40</x:v>
      </x:c>
      <x:c r="C26" s="24" t="s">
        <x:v>29</x:v>
      </x:c>
      <x:c r="D26" s="24">
        <x:v>2</x:v>
      </x:c>
      <x:c r="E26" s="25">
        <x:f>'[1]단가대비표'!M22</x:f>
        <x:v>30000</x:v>
      </x:c>
      <x:c r="F26" s="27">
        <x:f t="shared" si="0"/>
        <x:v>60000</x:v>
      </x:c>
      <x:c r="G26" s="28"/>
      <x:c r="H26" s="28"/>
      <x:c r="I26" s="28"/>
      <x:c r="J26" s="28"/>
      <x:c r="K26" s="27">
        <x:f t="shared" si="1"/>
        <x:v>60000</x:v>
      </x:c>
      <x:c r="L26" s="28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32"/>
    </x:row>
    <x:row r="27" spans="1:51">
      <x:c r="A27" s="26" t="s">
        <x:v>11</x:v>
      </x:c>
      <x:c r="B27" s="24" t="s">
        <x:v>28</x:v>
      </x:c>
      <x:c r="C27" s="24" t="s">
        <x:v>29</x:v>
      </x:c>
      <x:c r="D27" s="24">
        <x:v>5</x:v>
      </x:c>
      <x:c r="E27" s="25">
        <x:f>'[1]단가대비표'!M23</x:f>
        <x:v>25000</x:v>
      </x:c>
      <x:c r="F27" s="27">
        <x:f t="shared" si="0"/>
        <x:v>125000</x:v>
      </x:c>
      <x:c r="G27" s="28"/>
      <x:c r="H27" s="28"/>
      <x:c r="I27" s="28"/>
      <x:c r="J27" s="28"/>
      <x:c r="K27" s="27">
        <x:f t="shared" si="1"/>
        <x:v>125000</x:v>
      </x:c>
      <x:c r="L27" s="28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32"/>
    </x:row>
    <x:row r="28" spans="1:51">
      <x:c r="A28" s="26" t="s">
        <x:v>13</x:v>
      </x:c>
      <x:c r="B28" s="24" t="s">
        <x:v>141</x:v>
      </x:c>
      <x:c r="C28" s="24" t="s">
        <x:v>29</x:v>
      </x:c>
      <x:c r="D28" s="24">
        <x:v>3</x:v>
      </x:c>
      <x:c r="E28" s="25">
        <x:f>'[1]단가대비표'!M24</x:f>
        <x:v>30000</x:v>
      </x:c>
      <x:c r="F28" s="27">
        <x:f t="shared" si="0"/>
        <x:v>90000</x:v>
      </x:c>
      <x:c r="G28" s="28"/>
      <x:c r="H28" s="28"/>
      <x:c r="I28" s="28"/>
      <x:c r="J28" s="28"/>
      <x:c r="K28" s="27">
        <x:f t="shared" si="1"/>
        <x:v>90000</x:v>
      </x:c>
      <x:c r="L28" s="28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32"/>
    </x:row>
    <x:row r="29" spans="1:51">
      <x:c r="A29" s="26" t="s">
        <x:v>13</x:v>
      </x:c>
      <x:c r="B29" s="24" t="s">
        <x:v>158</x:v>
      </x:c>
      <x:c r="C29" s="24" t="s">
        <x:v>29</x:v>
      </x:c>
      <x:c r="D29" s="24">
        <x:v>3</x:v>
      </x:c>
      <x:c r="E29" s="25">
        <x:f>'[1]단가대비표'!M25</x:f>
        <x:v>20000</x:v>
      </x:c>
      <x:c r="F29" s="27">
        <x:f t="shared" si="0"/>
        <x:v>60000</x:v>
      </x:c>
      <x:c r="G29" s="28"/>
      <x:c r="H29" s="28"/>
      <x:c r="I29" s="28"/>
      <x:c r="J29" s="28"/>
      <x:c r="K29" s="27">
        <x:f t="shared" si="1"/>
        <x:v>60000</x:v>
      </x:c>
      <x:c r="L29" s="28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32"/>
    </x:row>
    <x:row r="30" spans="1:51">
      <x:c r="A30" s="26" t="s">
        <x:v>13</x:v>
      </x:c>
      <x:c r="B30" s="24" t="s">
        <x:v>157</x:v>
      </x:c>
      <x:c r="C30" s="24" t="s">
        <x:v>29</x:v>
      </x:c>
      <x:c r="D30" s="24">
        <x:v>5</x:v>
      </x:c>
      <x:c r="E30" s="25">
        <x:f>'[1]단가대비표'!M26</x:f>
        <x:v>15000</x:v>
      </x:c>
      <x:c r="F30" s="27">
        <x:f t="shared" si="0"/>
        <x:v>75000</x:v>
      </x:c>
      <x:c r="G30" s="28"/>
      <x:c r="H30" s="28"/>
      <x:c r="I30" s="28"/>
      <x:c r="J30" s="28"/>
      <x:c r="K30" s="27">
        <x:f t="shared" si="1"/>
        <x:v>75000</x:v>
      </x:c>
      <x:c r="L30" s="28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32"/>
    </x:row>
    <x:row r="31" spans="1:51">
      <x:c r="A31" s="26" t="s">
        <x:v>0</x:v>
      </x:c>
      <x:c r="B31" s="24" t="s">
        <x:v>18</x:v>
      </x:c>
      <x:c r="C31" s="24" t="s">
        <x:v>29</x:v>
      </x:c>
      <x:c r="D31" s="24">
        <x:v>1.5</x:v>
      </x:c>
      <x:c r="E31" s="25">
        <x:f>'[1]단가대비표'!M27</x:f>
        <x:v>28000</x:v>
      </x:c>
      <x:c r="F31" s="27">
        <x:f t="shared" si="0"/>
        <x:v>42000</x:v>
      </x:c>
      <x:c r="G31" s="28"/>
      <x:c r="H31" s="28"/>
      <x:c r="I31" s="28"/>
      <x:c r="J31" s="28"/>
      <x:c r="K31" s="27">
        <x:f t="shared" si="1"/>
        <x:v>42000</x:v>
      </x:c>
      <x:c r="L31" s="28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32"/>
    </x:row>
    <x:row r="32" spans="1:51">
      <x:c r="A32" s="26" t="s">
        <x:v>62</x:v>
      </x:c>
      <x:c r="B32" s="24" t="s">
        <x:v>32</x:v>
      </x:c>
      <x:c r="C32" s="24" t="s">
        <x:v>29</x:v>
      </x:c>
      <x:c r="D32" s="24">
        <x:v>3</x:v>
      </x:c>
      <x:c r="E32" s="25">
        <x:f>'[1]단가대비표'!M28</x:f>
        <x:v>83000</x:v>
      </x:c>
      <x:c r="F32" s="27">
        <x:f t="shared" si="0"/>
        <x:v>249000</x:v>
      </x:c>
      <x:c r="G32" s="28"/>
      <x:c r="H32" s="28"/>
      <x:c r="I32" s="28"/>
      <x:c r="J32" s="28"/>
      <x:c r="K32" s="27">
        <x:f t="shared" si="1"/>
        <x:v>249000</x:v>
      </x:c>
      <x:c r="L32" s="28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32"/>
    </x:row>
    <x:row r="33" spans="1:51">
      <x:c r="A33" s="26" t="s">
        <x:v>58</x:v>
      </x:c>
      <x:c r="B33" s="24" t="s">
        <x:v>149</x:v>
      </x:c>
      <x:c r="C33" s="24" t="s">
        <x:v>23</x:v>
      </x:c>
      <x:c r="D33" s="24">
        <x:v>1</x:v>
      </x:c>
      <x:c r="E33" s="25">
        <x:f>'[1]단가대비표'!M29</x:f>
        <x:v>700000</x:v>
      </x:c>
      <x:c r="F33" s="27">
        <x:f t="shared" si="0"/>
        <x:v>700000</x:v>
      </x:c>
      <x:c r="G33" s="28"/>
      <x:c r="H33" s="28"/>
      <x:c r="I33" s="28"/>
      <x:c r="J33" s="28"/>
      <x:c r="K33" s="27">
        <x:f t="shared" si="1"/>
        <x:v>700000</x:v>
      </x:c>
      <x:c r="L33" s="28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32"/>
    </x:row>
    <x:row r="34" spans="1:51">
      <x:c r="A34" s="26" t="s">
        <x:v>5</x:v>
      </x:c>
      <x:c r="B34" s="24" t="s">
        <x:v>50</x:v>
      </x:c>
      <x:c r="C34" s="24" t="s">
        <x:v>26</x:v>
      </x:c>
      <x:c r="D34" s="24">
        <x:v>4</x:v>
      </x:c>
      <x:c r="E34" s="25">
        <x:f>'[1]단가대비표'!M30</x:f>
        <x:v>50000</x:v>
      </x:c>
      <x:c r="F34" s="27">
        <x:f t="shared" si="0"/>
        <x:v>200000</x:v>
      </x:c>
      <x:c r="G34" s="28"/>
      <x:c r="H34" s="28"/>
      <x:c r="I34" s="28"/>
      <x:c r="J34" s="28"/>
      <x:c r="K34" s="27">
        <x:f t="shared" si="1"/>
        <x:v>200000</x:v>
      </x:c>
      <x:c r="L34" s="28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32"/>
    </x:row>
    <x:row r="35" spans="1:51">
      <x:c r="A35" s="26" t="s">
        <x:v>7</x:v>
      </x:c>
      <x:c r="B35" s="24" t="s">
        <x:v>104</x:v>
      </x:c>
      <x:c r="C35" s="24" t="s">
        <x:v>39</x:v>
      </x:c>
      <x:c r="D35" s="24">
        <x:v>1</x:v>
      </x:c>
      <x:c r="E35" s="25">
        <x:f>'[1]단가대비표'!M31</x:f>
        <x:v>500000</x:v>
      </x:c>
      <x:c r="F35" s="27">
        <x:f t="shared" si="0"/>
        <x:v>500000</x:v>
      </x:c>
      <x:c r="G35" s="28"/>
      <x:c r="H35" s="28"/>
      <x:c r="I35" s="28"/>
      <x:c r="J35" s="28"/>
      <x:c r="K35" s="27">
        <x:f t="shared" si="1"/>
        <x:v>500000</x:v>
      </x:c>
      <x:c r="L35" s="28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32"/>
    </x:row>
    <x:row r="36" spans="1:51">
      <x:c r="A36" s="26" t="s">
        <x:v>77</x:v>
      </x:c>
      <x:c r="B36" s="24" t="s">
        <x:v>101</x:v>
      </x:c>
      <x:c r="C36" s="24" t="s">
        <x:v>36</x:v>
      </x:c>
      <x:c r="D36" s="24">
        <x:v>2</x:v>
      </x:c>
      <x:c r="E36" s="25">
        <x:f>SUM(F11:F35)</x:f>
        <x:v>29237400</x:v>
      </x:c>
      <x:c r="F36" s="27">
        <x:f>TRUNC(E36*2%,0)</x:f>
        <x:v>584748</x:v>
      </x:c>
      <x:c r="G36" s="28"/>
      <x:c r="H36" s="28"/>
      <x:c r="I36" s="28"/>
      <x:c r="J36" s="28"/>
      <x:c r="K36" s="27">
        <x:f t="shared" si="1"/>
        <x:v>584748</x:v>
      </x:c>
      <x:c r="L36" s="28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32"/>
    </x:row>
    <x:row r="37" spans="1:51">
      <x:c r="A37" s="26" t="s">
        <x:v>103</x:v>
      </x:c>
      <x:c r="B37" s="33"/>
      <x:c r="C37" s="24"/>
      <x:c r="D37" s="24"/>
      <x:c r="E37" s="25"/>
      <x:c r="F37" s="27"/>
      <x:c r="G37" s="28"/>
      <x:c r="H37" s="28"/>
      <x:c r="I37" s="28"/>
      <x:c r="J37" s="28"/>
      <x:c r="K37" s="27"/>
      <x:c r="L37" s="28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32"/>
    </x:row>
    <x:row r="38" spans="1:51">
      <x:c r="A38" s="26" t="s">
        <x:v>33</x:v>
      </x:c>
      <x:c r="B38" s="24"/>
      <x:c r="C38" s="24" t="s">
        <x:v>39</x:v>
      </x:c>
      <x:c r="D38" s="24">
        <x:v>1</x:v>
      </x:c>
      <x:c r="E38" s="25">
        <x:f>'[1]단가대비표'!M32</x:f>
        <x:v>2500000</x:v>
      </x:c>
      <x:c r="F38" s="27">
        <x:f t="shared" ref="F38:F40" si="2">D38*E38</x:f>
        <x:v>2500000</x:v>
      </x:c>
      <x:c r="G38" s="28"/>
      <x:c r="H38" s="28"/>
      <x:c r="I38" s="28"/>
      <x:c r="J38" s="28"/>
      <x:c r="K38" s="27">
        <x:f t="shared" ref="K38:K43" si="3">F38+H38+J38</x:f>
        <x:v>2500000</x:v>
      </x:c>
      <x:c r="L38" s="28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32"/>
    </x:row>
    <x:row r="39" spans="1:51">
      <x:c r="A39" s="26" t="s">
        <x:v>35</x:v>
      </x:c>
      <x:c r="B39" s="24"/>
      <x:c r="C39" s="24" t="s">
        <x:v>39</x:v>
      </x:c>
      <x:c r="D39" s="24">
        <x:v>1</x:v>
      </x:c>
      <x:c r="E39" s="25">
        <x:f>'[1]단가대비표'!M33</x:f>
        <x:v>15000000</x:v>
      </x:c>
      <x:c r="F39" s="27">
        <x:f t="shared" si="2"/>
        <x:v>15000000</x:v>
      </x:c>
      <x:c r="G39" s="28"/>
      <x:c r="H39" s="28"/>
      <x:c r="I39" s="28"/>
      <x:c r="J39" s="28"/>
      <x:c r="K39" s="27">
        <x:f t="shared" si="3"/>
        <x:v>15000000</x:v>
      </x:c>
      <x:c r="L39" s="28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32"/>
    </x:row>
    <x:row r="40" spans="1:51">
      <x:c r="A40" s="26" t="s">
        <x:v>165</x:v>
      </x:c>
      <x:c r="B40" s="24"/>
      <x:c r="C40" s="24" t="s">
        <x:v>39</x:v>
      </x:c>
      <x:c r="D40" s="24">
        <x:v>1</x:v>
      </x:c>
      <x:c r="E40" s="25">
        <x:f>'[1]단가대비표'!M34</x:f>
        <x:v>1700000</x:v>
      </x:c>
      <x:c r="F40" s="27">
        <x:f t="shared" si="2"/>
        <x:v>1700000</x:v>
      </x:c>
      <x:c r="G40" s="28"/>
      <x:c r="H40" s="28"/>
      <x:c r="I40" s="28"/>
      <x:c r="J40" s="28"/>
      <x:c r="K40" s="27">
        <x:f t="shared" si="3"/>
        <x:v>1700000</x:v>
      </x:c>
      <x:c r="L40" s="28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32"/>
    </x:row>
    <x:row r="41" spans="1:51">
      <x:c r="A41" s="26" t="s">
        <x:v>164</x:v>
      </x:c>
      <x:c r="B41" s="24" t="s">
        <x:v>166</x:v>
      </x:c>
      <x:c r="C41" s="24" t="s">
        <x:v>39</x:v>
      </x:c>
      <x:c r="D41" s="24">
        <x:v>1</x:v>
      </x:c>
      <x:c r="E41" s="25"/>
      <x:c r="F41" s="27"/>
      <x:c r="G41" s="28"/>
      <x:c r="H41" s="28"/>
      <x:c r="I41" s="25">
        <x:f>'[1]단가대비표'!M32</x:f>
        <x:v>2500000</x:v>
      </x:c>
      <x:c r="J41" s="27">
        <x:f t="shared" ref="J41:J43" si="4">D41*I41</x:f>
        <x:v>2500000</x:v>
      </x:c>
      <x:c r="K41" s="27">
        <x:f t="shared" si="3"/>
        <x:v>2500000</x:v>
      </x:c>
      <x:c r="L41" s="28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32"/>
    </x:row>
    <x:row r="42" spans="1:51">
      <x:c r="A42" s="26" t="s">
        <x:v>93</x:v>
      </x:c>
      <x:c r="B42" s="24"/>
      <x:c r="C42" s="33" t="s">
        <x:v>39</x:v>
      </x:c>
      <x:c r="D42" s="33">
        <x:v>1</x:v>
      </x:c>
      <x:c r="E42" s="25"/>
      <x:c r="F42" s="27"/>
      <x:c r="G42" s="28"/>
      <x:c r="H42" s="28"/>
      <x:c r="I42" s="25">
        <x:f>'[1]단가대비표'!M33</x:f>
        <x:v>15000000</x:v>
      </x:c>
      <x:c r="J42" s="27">
        <x:f t="shared" si="4"/>
        <x:v>15000000</x:v>
      </x:c>
      <x:c r="K42" s="27">
        <x:f t="shared" si="3"/>
        <x:v>15000000</x:v>
      </x:c>
      <x:c r="L42" s="28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32"/>
    </x:row>
    <x:row r="43" spans="1:51">
      <x:c r="A43" s="26" t="s">
        <x:v>123</x:v>
      </x:c>
      <x:c r="B43" s="24" t="s">
        <x:v>139</x:v>
      </x:c>
      <x:c r="C43" s="33" t="s">
        <x:v>39</x:v>
      </x:c>
      <x:c r="D43" s="33">
        <x:v>1</x:v>
      </x:c>
      <x:c r="E43" s="25"/>
      <x:c r="F43" s="27"/>
      <x:c r="G43" s="28"/>
      <x:c r="H43" s="28"/>
      <x:c r="I43" s="25">
        <x:f>'[1]단가대비표'!M34</x:f>
        <x:v>1700000</x:v>
      </x:c>
      <x:c r="J43" s="27">
        <x:f t="shared" si="4"/>
        <x:v>1700000</x:v>
      </x:c>
      <x:c r="K43" s="27">
        <x:f t="shared" si="3"/>
        <x:v>1700000</x:v>
      </x:c>
      <x:c r="L43" s="28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32"/>
    </x:row>
    <x:row r="44" spans="1:51">
      <x:c r="A44" s="23" t="s">
        <x:v>126</x:v>
      </x:c>
      <x:c r="B44" s="24"/>
      <x:c r="C44" s="24"/>
      <x:c r="D44" s="24"/>
      <x:c r="E44" s="25"/>
      <x:c r="F44" s="27"/>
      <x:c r="G44" s="28"/>
      <x:c r="H44" s="28"/>
      <x:c r="I44" s="19"/>
      <x:c r="J44" s="19"/>
      <x:c r="K44" s="27"/>
      <x:c r="L44" s="28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32"/>
    </x:row>
    <x:row r="45" spans="1:51">
      <x:c r="A45" s="26" t="s">
        <x:v>138</x:v>
      </x:c>
      <x:c r="B45" s="24" t="s">
        <x:v>133</x:v>
      </x:c>
      <x:c r="C45" s="24" t="s">
        <x:v>29</x:v>
      </x:c>
      <x:c r="D45" s="24">
        <x:v>2</x:v>
      </x:c>
      <x:c r="E45" s="25">
        <x:f>'[1]단가대비표'!M38</x:f>
        <x:v>150000</x:v>
      </x:c>
      <x:c r="F45" s="27">
        <x:f t="shared" ref="F45:F54" si="5">D45*E45</x:f>
        <x:v>300000</x:v>
      </x:c>
      <x:c r="G45" s="28"/>
      <x:c r="H45" s="28"/>
      <x:c r="I45" s="28"/>
      <x:c r="J45" s="28"/>
      <x:c r="K45" s="27">
        <x:f t="shared" ref="K45:K54" si="6">F45+H45+J45</x:f>
        <x:v>300000</x:v>
      </x:c>
      <x:c r="L45" s="28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32"/>
    </x:row>
    <x:row r="46" spans="1:51">
      <x:c r="A46" s="26" t="s">
        <x:v>60</x:v>
      </x:c>
      <x:c r="B46" s="24" t="s">
        <x:v>122</x:v>
      </x:c>
      <x:c r="C46" s="24" t="s">
        <x:v>26</x:v>
      </x:c>
      <x:c r="D46" s="24">
        <x:v>4</x:v>
      </x:c>
      <x:c r="E46" s="25">
        <x:f>'[1]단가대비표'!M39</x:f>
        <x:v>300000</x:v>
      </x:c>
      <x:c r="F46" s="27">
        <x:f t="shared" si="5"/>
        <x:v>1200000</x:v>
      </x:c>
      <x:c r="G46" s="28"/>
      <x:c r="H46" s="28"/>
      <x:c r="I46" s="28"/>
      <x:c r="J46" s="28"/>
      <x:c r="K46" s="27">
        <x:f t="shared" si="6"/>
        <x:v>1200000</x:v>
      </x:c>
      <x:c r="L46" s="28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32"/>
    </x:row>
    <x:row r="47" spans="1:51">
      <x:c r="A47" s="26" t="s">
        <x:v>12</x:v>
      </x:c>
      <x:c r="B47" s="24" t="s">
        <x:v>133</x:v>
      </x:c>
      <x:c r="C47" s="24" t="s">
        <x:v>26</x:v>
      </x:c>
      <x:c r="D47" s="24">
        <x:v>1</x:v>
      </x:c>
      <x:c r="E47" s="25">
        <x:f>'[1]단가대비표'!M40</x:f>
        <x:v>16000</x:v>
      </x:c>
      <x:c r="F47" s="27">
        <x:f t="shared" si="5"/>
        <x:v>16000</x:v>
      </x:c>
      <x:c r="G47" s="28"/>
      <x:c r="H47" s="28"/>
      <x:c r="I47" s="28"/>
      <x:c r="J47" s="28"/>
      <x:c r="K47" s="27">
        <x:f t="shared" si="6"/>
        <x:v>16000</x:v>
      </x:c>
      <x:c r="L47" s="28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32"/>
    </x:row>
    <x:row r="48" spans="1:51">
      <x:c r="A48" s="26" t="s">
        <x:v>3</x:v>
      </x:c>
      <x:c r="B48" s="24" t="s">
        <x:v>133</x:v>
      </x:c>
      <x:c r="C48" s="24" t="s">
        <x:v>26</x:v>
      </x:c>
      <x:c r="D48" s="24">
        <x:v>10</x:v>
      </x:c>
      <x:c r="E48" s="25">
        <x:f>'[1]단가대비표'!M41</x:f>
        <x:v>15000</x:v>
      </x:c>
      <x:c r="F48" s="27">
        <x:f t="shared" si="5"/>
        <x:v>150000</x:v>
      </x:c>
      <x:c r="G48" s="28"/>
      <x:c r="H48" s="28"/>
      <x:c r="I48" s="28"/>
      <x:c r="J48" s="28"/>
      <x:c r="K48" s="27">
        <x:f t="shared" si="6"/>
        <x:v>150000</x:v>
      </x:c>
      <x:c r="L48" s="28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32"/>
    </x:row>
    <x:row r="49" spans="1:51">
      <x:c r="A49" s="26" t="s">
        <x:v>9</x:v>
      </x:c>
      <x:c r="B49" s="24" t="s">
        <x:v>122</x:v>
      </x:c>
      <x:c r="C49" s="24" t="s">
        <x:v>26</x:v>
      </x:c>
      <x:c r="D49" s="24">
        <x:v>13</x:v>
      </x:c>
      <x:c r="E49" s="25">
        <x:f>'[1]단가대비표'!M42</x:f>
        <x:v>24000</x:v>
      </x:c>
      <x:c r="F49" s="27">
        <x:f t="shared" si="5"/>
        <x:v>312000</x:v>
      </x:c>
      <x:c r="G49" s="28"/>
      <x:c r="H49" s="28"/>
      <x:c r="I49" s="28"/>
      <x:c r="J49" s="28"/>
      <x:c r="K49" s="27">
        <x:f t="shared" si="6"/>
        <x:v>312000</x:v>
      </x:c>
      <x:c r="L49" s="28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32"/>
    </x:row>
    <x:row r="50" spans="1:51">
      <x:c r="A50" s="26" t="s">
        <x:v>153</x:v>
      </x:c>
      <x:c r="B50" s="24" t="s">
        <x:v>30</x:v>
      </x:c>
      <x:c r="C50" s="24" t="s">
        <x:v>26</x:v>
      </x:c>
      <x:c r="D50" s="24">
        <x:v>12</x:v>
      </x:c>
      <x:c r="E50" s="25">
        <x:f>'[1]단가대비표'!M43</x:f>
        <x:v>2000</x:v>
      </x:c>
      <x:c r="F50" s="27">
        <x:f t="shared" si="5"/>
        <x:v>24000</x:v>
      </x:c>
      <x:c r="G50" s="28"/>
      <x:c r="H50" s="28"/>
      <x:c r="I50" s="28"/>
      <x:c r="J50" s="28"/>
      <x:c r="K50" s="27">
        <x:f t="shared" si="6"/>
        <x:v>24000</x:v>
      </x:c>
      <x:c r="L50" s="28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32"/>
    </x:row>
    <x:row r="51" spans="1:51">
      <x:c r="A51" s="26" t="s">
        <x:v>8</x:v>
      </x:c>
      <x:c r="B51" s="24" t="s">
        <x:v>160</x:v>
      </x:c>
      <x:c r="C51" s="24" t="s">
        <x:v>26</x:v>
      </x:c>
      <x:c r="D51" s="24">
        <x:v>2</x:v>
      </x:c>
      <x:c r="E51" s="25">
        <x:f>'[1]단가대비표'!M44</x:f>
        <x:v>90000</x:v>
      </x:c>
      <x:c r="F51" s="27">
        <x:f t="shared" si="5"/>
        <x:v>180000</x:v>
      </x:c>
      <x:c r="G51" s="28"/>
      <x:c r="H51" s="28"/>
      <x:c r="I51" s="28"/>
      <x:c r="J51" s="28"/>
      <x:c r="K51" s="27">
        <x:f t="shared" si="6"/>
        <x:v>180000</x:v>
      </x:c>
      <x:c r="L51" s="28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32"/>
    </x:row>
    <x:row r="52" spans="1:51">
      <x:c r="A52" s="26" t="s">
        <x:v>4</x:v>
      </x:c>
      <x:c r="B52" s="24" t="s">
        <x:v>19</x:v>
      </x:c>
      <x:c r="C52" s="24" t="s">
        <x:v>39</x:v>
      </x:c>
      <x:c r="D52" s="24">
        <x:v>1</x:v>
      </x:c>
      <x:c r="E52" s="25">
        <x:f>'[1]단가대비표'!M45</x:f>
        <x:v>80000</x:v>
      </x:c>
      <x:c r="F52" s="27">
        <x:f t="shared" si="5"/>
        <x:v>80000</x:v>
      </x:c>
      <x:c r="G52" s="28"/>
      <x:c r="H52" s="28"/>
      <x:c r="I52" s="28"/>
      <x:c r="J52" s="28"/>
      <x:c r="K52" s="27">
        <x:f t="shared" si="6"/>
        <x:v>80000</x:v>
      </x:c>
      <x:c r="L52" s="28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32"/>
    </x:row>
    <x:row r="53" spans="1:51">
      <x:c r="A53" s="26" t="s">
        <x:v>54</x:v>
      </x:c>
      <x:c r="B53" s="24" t="s">
        <x:v>37</x:v>
      </x:c>
      <x:c r="C53" s="24" t="s">
        <x:v>23</x:v>
      </x:c>
      <x:c r="D53" s="24">
        <x:v>2</x:v>
      </x:c>
      <x:c r="E53" s="25">
        <x:f>'[1]단가대비표'!M46</x:f>
        <x:v>80000</x:v>
      </x:c>
      <x:c r="F53" s="27">
        <x:f t="shared" si="5"/>
        <x:v>160000</x:v>
      </x:c>
      <x:c r="G53" s="28"/>
      <x:c r="H53" s="28"/>
      <x:c r="I53" s="28"/>
      <x:c r="J53" s="28"/>
      <x:c r="K53" s="27">
        <x:f t="shared" si="6"/>
        <x:v>160000</x:v>
      </x:c>
      <x:c r="L53" s="28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32"/>
    </x:row>
    <x:row r="54" spans="1:51">
      <x:c r="A54" s="26" t="s">
        <x:v>134</x:v>
      </x:c>
      <x:c r="B54" s="24"/>
      <x:c r="C54" s="24" t="s">
        <x:v>21</x:v>
      </x:c>
      <x:c r="D54" s="24">
        <x:v>12</x:v>
      </x:c>
      <x:c r="E54" s="25">
        <x:f>'[1]일위대가목록'!E7</x:f>
        <x:v>494</x:v>
      </x:c>
      <x:c r="F54" s="27">
        <x:f t="shared" si="5"/>
        <x:v>5928</x:v>
      </x:c>
      <x:c r="G54" s="25">
        <x:f>'[1]일위대가목록'!F7</x:f>
        <x:v>24724</x:v>
      </x:c>
      <x:c r="H54" s="28">
        <x:f>D54*G54</x:f>
        <x:v>296688</x:v>
      </x:c>
      <x:c r="I54" s="28"/>
      <x:c r="J54" s="28"/>
      <x:c r="K54" s="27">
        <x:f t="shared" si="6"/>
        <x:v>302616</x:v>
      </x:c>
      <x:c r="L54" s="28" t="s">
        <x:v>65</x:v>
      </x:c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32"/>
    </x:row>
    <x:row r="55" spans="1:51">
      <x:c r="A55" s="26" t="s">
        <x:v>59</x:v>
      </x:c>
      <x:c r="B55" s="33"/>
      <x:c r="C55" s="24"/>
      <x:c r="D55" s="24"/>
      <x:c r="E55" s="25"/>
      <x:c r="F55" s="27"/>
      <x:c r="G55" s="28"/>
      <x:c r="H55" s="28"/>
      <x:c r="I55" s="28"/>
      <x:c r="J55" s="28"/>
      <x:c r="K55" s="27"/>
      <x:c r="L55" s="28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32"/>
    </x:row>
    <x:row r="56" spans="1:51">
      <x:c r="A56" s="26" t="s">
        <x:v>1</x:v>
      </x:c>
      <x:c r="B56" s="33" t="s">
        <x:v>34</x:v>
      </x:c>
      <x:c r="C56" s="24" t="s">
        <x:v>21</x:v>
      </x:c>
      <x:c r="D56" s="24">
        <x:v>400</x:v>
      </x:c>
      <x:c r="E56" s="25">
        <x:f>'[1]단가대비표'!M47</x:f>
        <x:v>7000</x:v>
      </x:c>
      <x:c r="F56" s="27">
        <x:f t="shared" ref="F56:F57" si="7">D56*E56</x:f>
        <x:v>2800000</x:v>
      </x:c>
      <x:c r="G56" s="28"/>
      <x:c r="H56" s="28"/>
      <x:c r="I56" s="28"/>
      <x:c r="J56" s="28"/>
      <x:c r="K56" s="27">
        <x:f t="shared" ref="K56:K65" si="8">F56+H56+J56</x:f>
        <x:v>2800000</x:v>
      </x:c>
      <x:c r="L56" s="28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32"/>
    </x:row>
    <x:row r="57" spans="1:51">
      <x:c r="A57" s="26" t="s">
        <x:v>64</x:v>
      </x:c>
      <x:c r="B57" s="33"/>
      <x:c r="C57" s="24" t="s">
        <x:v>23</x:v>
      </x:c>
      <x:c r="D57" s="24">
        <x:v>1</x:v>
      </x:c>
      <x:c r="E57" s="25">
        <x:f>'[1]단가대비표'!M48</x:f>
        <x:v>3000000</x:v>
      </x:c>
      <x:c r="F57" s="27">
        <x:f t="shared" si="7"/>
        <x:v>3000000</x:v>
      </x:c>
      <x:c r="G57" s="28"/>
      <x:c r="H57" s="28"/>
      <x:c r="I57" s="28"/>
      <x:c r="J57" s="28"/>
      <x:c r="K57" s="27">
        <x:f t="shared" si="8"/>
        <x:v>3000000</x:v>
      </x:c>
      <x:c r="L57" s="28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32"/>
    </x:row>
    <x:row r="58" spans="1:51">
      <x:c r="A58" s="26" t="s">
        <x:v>132</x:v>
      </x:c>
      <x:c r="B58" s="34"/>
      <x:c r="C58" s="24" t="s">
        <x:v>21</x:v>
      </x:c>
      <x:c r="D58" s="33">
        <x:f>D56</x:f>
        <x:v>400</x:v>
      </x:c>
      <x:c r="E58" s="35"/>
      <x:c r="F58" s="36"/>
      <x:c r="G58" s="25">
        <x:f>'[1]일위대가목록'!F8</x:f>
        <x:v>5140</x:v>
      </x:c>
      <x:c r="H58" s="28">
        <x:f>D58*G58</x:f>
        <x:v>2056000</x:v>
      </x:c>
      <x:c r="I58" s="28"/>
      <x:c r="J58" s="28"/>
      <x:c r="K58" s="27">
        <x:f t="shared" si="8"/>
        <x:v>2056000</x:v>
      </x:c>
      <x:c r="L58" s="28" t="s">
        <x:v>66</x:v>
      </x:c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32"/>
    </x:row>
    <x:row r="59" spans="1:51">
      <x:c r="A59" s="26" t="s">
        <x:v>56</x:v>
      </x:c>
      <x:c r="B59" s="24"/>
      <x:c r="C59" s="24"/>
      <x:c r="D59" s="24"/>
      <x:c r="E59" s="35"/>
      <x:c r="F59" s="36"/>
      <x:c r="G59" s="37"/>
      <x:c r="H59" s="28"/>
      <x:c r="I59" s="28"/>
      <x:c r="J59" s="28"/>
      <x:c r="K59" s="27">
        <x:f t="shared" si="8"/>
        <x:v>0</x:v>
      </x:c>
      <x:c r="L59" s="28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32"/>
    </x:row>
    <x:row r="60" spans="1:51">
      <x:c r="A60" s="26" t="s">
        <x:v>156</x:v>
      </x:c>
      <x:c r="B60" s="24" t="s">
        <x:v>38</x:v>
      </x:c>
      <x:c r="C60" s="24" t="s">
        <x:v>39</x:v>
      </x:c>
      <x:c r="D60" s="24">
        <x:v>1</x:v>
      </x:c>
      <x:c r="E60" s="25">
        <x:f>'[1]단가대비표'!M50</x:f>
        <x:v>800000</x:v>
      </x:c>
      <x:c r="F60" s="27">
        <x:f t="shared" ref="F60:F61" si="9">D60*E60</x:f>
        <x:v>800000</x:v>
      </x:c>
      <x:c r="G60" s="28"/>
      <x:c r="H60" s="28"/>
      <x:c r="I60" s="28"/>
      <x:c r="J60" s="28"/>
      <x:c r="K60" s="27">
        <x:f t="shared" si="8"/>
        <x:v>800000</x:v>
      </x:c>
      <x:c r="L60" s="28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32"/>
    </x:row>
    <x:row r="61" spans="1:51">
      <x:c r="A61" s="26" t="s">
        <x:v>163</x:v>
      </x:c>
      <x:c r="B61" s="24"/>
      <x:c r="C61" s="24" t="s">
        <x:v>39</x:v>
      </x:c>
      <x:c r="D61" s="24">
        <x:v>1</x:v>
      </x:c>
      <x:c r="E61" s="25">
        <x:f>'[1]단가대비표'!M51</x:f>
        <x:v>1200000</x:v>
      </x:c>
      <x:c r="F61" s="27">
        <x:f t="shared" si="9"/>
        <x:v>1200000</x:v>
      </x:c>
      <x:c r="G61" s="28"/>
      <x:c r="H61" s="28"/>
      <x:c r="I61" s="28"/>
      <x:c r="J61" s="28"/>
      <x:c r="K61" s="27">
        <x:f t="shared" si="8"/>
        <x:v>1200000</x:v>
      </x:c>
      <x:c r="L61" s="28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32"/>
    </x:row>
    <x:row r="62" spans="1:51">
      <x:c r="A62" s="26" t="s">
        <x:v>135</x:v>
      </x:c>
      <x:c r="B62" s="24" t="s">
        <x:v>41</x:v>
      </x:c>
      <x:c r="C62" s="24" t="s">
        <x:v>25</x:v>
      </x:c>
      <x:c r="D62" s="24">
        <x:v>10</x:v>
      </x:c>
      <x:c r="E62" s="25"/>
      <x:c r="F62" s="27"/>
      <x:c r="G62" s="25">
        <x:f>'[1]단가대비표'!M63</x:f>
        <x:v>217012</x:v>
      </x:c>
      <x:c r="H62" s="27">
        <x:f>D62*G62</x:f>
        <x:v>2170120</x:v>
      </x:c>
      <x:c r="I62" s="37"/>
      <x:c r="J62" s="28"/>
      <x:c r="K62" s="27">
        <x:f t="shared" si="8"/>
        <x:v>2170120</x:v>
      </x:c>
      <x:c r="L62" s="28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37">
        <x:v>5500000</x:v>
      </x:c>
    </x:row>
    <x:row r="63" spans="1:51">
      <x:c r="A63" s="26" t="s">
        <x:v>113</x:v>
      </x:c>
      <x:c r="B63" s="24" t="s">
        <x:v>67</x:v>
      </x:c>
      <x:c r="C63" s="24" t="s">
        <x:v>39</x:v>
      </x:c>
      <x:c r="D63" s="24">
        <x:v>1</x:v>
      </x:c>
      <x:c r="E63" s="25">
        <x:f>'[1]단가대비표'!M52</x:f>
        <x:v>3000000</x:v>
      </x:c>
      <x:c r="F63" s="27">
        <x:f>D63*E63</x:f>
        <x:v>3000000</x:v>
      </x:c>
      <x:c r="G63" s="25"/>
      <x:c r="H63" s="27"/>
      <x:c r="I63" s="37"/>
      <x:c r="J63" s="28"/>
      <x:c r="K63" s="27">
        <x:f t="shared" si="8"/>
        <x:v>3000000</x:v>
      </x:c>
      <x:c r="L63" s="28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37">
        <x:v>3000000</x:v>
      </x:c>
    </x:row>
    <x:row r="64" spans="1:51">
      <x:c r="A64" s="26" t="s">
        <x:v>112</x:v>
      </x:c>
      <x:c r="B64" s="24" t="s">
        <x:v>27</x:v>
      </x:c>
      <x:c r="C64" s="24" t="s">
        <x:v>25</x:v>
      </x:c>
      <x:c r="D64" s="24">
        <x:v>6</x:v>
      </x:c>
      <x:c r="E64" s="25"/>
      <x:c r="F64" s="27"/>
      <x:c r="G64" s="25">
        <x:f>'[1]단가대비표'!M60</x:f>
        <x:v>281939</x:v>
      </x:c>
      <x:c r="H64" s="27">
        <x:f t="shared" ref="H64:H65" si="10">D64*G64</x:f>
        <x:v>1691634</x:v>
      </x:c>
      <x:c r="I64" s="37"/>
      <x:c r="J64" s="28"/>
      <x:c r="K64" s="27">
        <x:f t="shared" si="8"/>
        <x:v>1691634</x:v>
      </x:c>
      <x:c r="L64" s="28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37">
        <x:v>3500000</x:v>
      </x:c>
    </x:row>
    <x:row r="65" spans="1:51">
      <x:c r="A65" s="26"/>
      <x:c r="B65" s="24" t="s">
        <x:v>131</x:v>
      </x:c>
      <x:c r="C65" s="24" t="s">
        <x:v>25</x:v>
      </x:c>
      <x:c r="D65" s="24">
        <x:v>6</x:v>
      </x:c>
      <x:c r="E65" s="25"/>
      <x:c r="F65" s="27"/>
      <x:c r="G65" s="25">
        <x:f>'[1]단가대비표'!M56</x:f>
        <x:v>172068</x:v>
      </x:c>
      <x:c r="H65" s="27">
        <x:f t="shared" si="10"/>
        <x:v>1032408</x:v>
      </x:c>
      <x:c r="I65" s="37"/>
      <x:c r="J65" s="28"/>
      <x:c r="K65" s="27">
        <x:f t="shared" si="8"/>
        <x:v>1032408</x:v>
      </x:c>
      <x:c r="L65" s="28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37"/>
    </x:row>
    <x:row r="66" spans="1:51">
      <x:c r="A66" s="26" t="s">
        <x:v>2</x:v>
      </x:c>
      <x:c r="B66" s="24"/>
      <x:c r="C66" s="24"/>
      <x:c r="D66" s="24"/>
      <x:c r="E66" s="25"/>
      <x:c r="F66" s="27"/>
      <x:c r="G66" s="28"/>
      <x:c r="H66" s="28"/>
      <x:c r="I66" s="28"/>
      <x:c r="J66" s="28"/>
      <x:c r="K66" s="27"/>
      <x:c r="L66" s="28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32"/>
    </x:row>
    <x:row r="67" spans="1:51">
      <x:c r="A67" s="26" t="s">
        <x:v>151</x:v>
      </x:c>
      <x:c r="B67" s="24"/>
      <x:c r="C67" s="24" t="s">
        <x:v>15</x:v>
      </x:c>
      <x:c r="D67" s="24">
        <x:v>1</x:v>
      </x:c>
      <x:c r="E67" s="35"/>
      <x:c r="F67" s="36"/>
      <x:c r="G67" s="25">
        <x:f>'[1]일위대가목록'!F9</x:f>
        <x:v>3053237</x:v>
      </x:c>
      <x:c r="H67" s="27">
        <x:f t="shared" ref="H67:H68" si="11">D67*G67</x:f>
        <x:v>3053237</x:v>
      </x:c>
      <x:c r="I67" s="37">
        <x:f>'[1]일위대가목록'!G9</x:f>
        <x:v>0</x:v>
      </x:c>
      <x:c r="J67" s="37"/>
      <x:c r="K67" s="27">
        <x:f t="shared" ref="K67:K70" si="12">F67+H67+J67</x:f>
        <x:v>3053237</x:v>
      </x:c>
      <x:c r="L67" s="28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32"/>
    </x:row>
    <x:row r="68" spans="1:51">
      <x:c r="A68" s="26" t="s">
        <x:v>155</x:v>
      </x:c>
      <x:c r="B68" s="24"/>
      <x:c r="C68" s="24" t="s">
        <x:v>15</x:v>
      </x:c>
      <x:c r="D68" s="24">
        <x:v>1</x:v>
      </x:c>
      <x:c r="E68" s="35"/>
      <x:c r="F68" s="36"/>
      <x:c r="G68" s="25">
        <x:f>'[1]일위대가목록'!F10</x:f>
        <x:v>1526617</x:v>
      </x:c>
      <x:c r="H68" s="27">
        <x:f t="shared" si="11"/>
        <x:v>1526617</x:v>
      </x:c>
      <x:c r="I68" s="37">
        <x:f>'[1]일위대가목록'!G10</x:f>
        <x:v>0</x:v>
      </x:c>
      <x:c r="J68" s="37"/>
      <x:c r="K68" s="27">
        <x:f t="shared" si="12"/>
        <x:v>1526617</x:v>
      </x:c>
      <x:c r="L68" s="28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32"/>
    </x:row>
    <x:row r="69" spans="1:51">
      <x:c r="A69" s="26" t="s">
        <x:v>48</x:v>
      </x:c>
      <x:c r="B69" s="24"/>
      <x:c r="C69" s="24" t="s">
        <x:v>39</x:v>
      </x:c>
      <x:c r="D69" s="24">
        <x:v>1</x:v>
      </x:c>
      <x:c r="E69" s="25"/>
      <x:c r="F69" s="27"/>
      <x:c r="G69" s="28"/>
      <x:c r="H69" s="28"/>
      <x:c r="I69" s="25">
        <x:f>'[1]단가대비표'!M53</x:f>
        <x:v>1200000</x:v>
      </x:c>
      <x:c r="J69" s="27">
        <x:f t="shared" ref="J69:J70" si="13">D69*I69</x:f>
        <x:v>1200000</x:v>
      </x:c>
      <x:c r="K69" s="27">
        <x:f t="shared" si="12"/>
        <x:v>1200000</x:v>
      </x:c>
      <x:c r="L69" s="28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32"/>
    </x:row>
    <x:row r="70" spans="1:51">
      <x:c r="A70" s="26" t="s">
        <x:v>125</x:v>
      </x:c>
      <x:c r="B70" s="24"/>
      <x:c r="C70" s="24" t="s">
        <x:v>39</x:v>
      </x:c>
      <x:c r="D70" s="24">
        <x:v>1</x:v>
      </x:c>
      <x:c r="E70" s="25"/>
      <x:c r="F70" s="27"/>
      <x:c r="G70" s="28"/>
      <x:c r="H70" s="28"/>
      <x:c r="I70" s="25">
        <x:f>'[1]단가대비표'!M54</x:f>
        <x:v>3000000</x:v>
      </x:c>
      <x:c r="J70" s="27">
        <x:f t="shared" si="13"/>
        <x:v>3000000</x:v>
      </x:c>
      <x:c r="K70" s="27">
        <x:f t="shared" si="12"/>
        <x:v>3000000</x:v>
      </x:c>
      <x:c r="L70" s="28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32"/>
    </x:row>
    <x:row r="71" spans="1:51">
      <x:c r="A71" s="38" t="s">
        <x:v>42</x:v>
      </x:c>
      <x:c r="B71" s="38"/>
      <x:c r="C71" s="38"/>
      <x:c r="D71" s="38"/>
      <x:c r="E71" s="27"/>
      <x:c r="F71" s="27">
        <x:f>SUM(F11:F70)</x:f>
        <x:v>62250076</x:v>
      </x:c>
      <x:c r="G71" s="27"/>
      <x:c r="H71" s="27">
        <x:f>SUM(H11:H70)</x:f>
        <x:v>11826704</x:v>
      </x:c>
      <x:c r="I71" s="27"/>
      <x:c r="J71" s="27">
        <x:f t="shared" ref="J71:K71" si="14">SUM(J11:J70)</x:f>
        <x:v>23400000</x:v>
      </x:c>
      <x:c r="K71" s="27">
        <x:f t="shared" si="14"/>
        <x:v>97476780</x:v>
      </x:c>
      <x:c r="L71" s="27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spans="1:51">
      <x:c r="A72" s="39"/>
      <x:c r="B72" s="40"/>
      <x:c r="C72" s="40"/>
      <x:c r="D72" s="40"/>
      <x:c r="E72" s="41"/>
      <x:c r="F72" s="41"/>
      <x:c r="G72" s="41"/>
      <x:c r="H72" s="41"/>
      <x:c r="I72" s="41"/>
      <x:c r="J72" s="41"/>
      <x:c r="K72" s="41"/>
      <x:c r="L72" s="41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  <x:c r="AC72" s="17"/>
      <x:c r="AD72" s="17"/>
      <x:c r="AE72" s="17"/>
      <x:c r="AF72" s="17"/>
      <x:c r="AG72" s="17"/>
      <x:c r="AH72" s="17"/>
      <x:c r="AI72" s="17"/>
      <x:c r="AJ72" s="17"/>
      <x:c r="AK72" s="17"/>
      <x:c r="AL72" s="17"/>
      <x:c r="AM72" s="17"/>
      <x:c r="AN72" s="17"/>
      <x:c r="AO72" s="17"/>
      <x:c r="AP72" s="17"/>
      <x:c r="AQ72" s="17"/>
      <x:c r="AR72" s="17"/>
      <x:c r="AS72" s="17"/>
      <x:c r="AT72" s="17"/>
      <x:c r="AU72" s="17"/>
      <x:c r="AV72" s="17"/>
      <x:c r="AW72" s="17"/>
      <x:c r="AX72" s="17"/>
      <x:c r="AY72" s="17"/>
    </x:row>
    <x:row r="73" spans="1:51">
      <x:c r="A73" s="39" t="s">
        <x:v>128</x:v>
      </x:c>
      <x:c r="B73" s="40"/>
      <x:c r="C73" s="40"/>
      <x:c r="D73" s="40"/>
      <x:c r="E73" s="41"/>
      <x:c r="F73" s="41"/>
      <x:c r="G73" s="41"/>
      <x:c r="H73" s="41"/>
      <x:c r="I73" s="41"/>
      <x:c r="J73" s="41"/>
      <x:c r="K73" s="41"/>
      <x:c r="L73" s="41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  <x:c r="AC73" s="17"/>
      <x:c r="AD73" s="17"/>
      <x:c r="AE73" s="17"/>
      <x:c r="AF73" s="17"/>
      <x:c r="AG73" s="17"/>
      <x:c r="AH73" s="17"/>
      <x:c r="AI73" s="17"/>
      <x:c r="AJ73" s="17"/>
      <x:c r="AK73" s="17"/>
      <x:c r="AL73" s="17"/>
      <x:c r="AM73" s="17"/>
      <x:c r="AN73" s="17"/>
      <x:c r="AO73" s="17"/>
      <x:c r="AP73" s="17"/>
      <x:c r="AQ73" s="17"/>
      <x:c r="AR73" s="17"/>
      <x:c r="AS73" s="17"/>
      <x:c r="AT73" s="17"/>
      <x:c r="AU73" s="17"/>
      <x:c r="AV73" s="17"/>
      <x:c r="AW73" s="17"/>
      <x:c r="AX73" s="17"/>
      <x:c r="AY73" s="17"/>
    </x:row>
    <x:row r="74" spans="1:51">
      <x:c r="A74" s="39" t="s">
        <x:v>118</x:v>
      </x:c>
      <x:c r="B74" s="40" t="s">
        <x:v>124</x:v>
      </x:c>
      <x:c r="C74" s="40" t="s">
        <x:v>31</x:v>
      </x:c>
      <x:c r="D74" s="40">
        <x:v>1</x:v>
      </x:c>
      <x:c r="E74" s="41">
        <x:v>2300000</x:v>
      </x:c>
      <x:c r="F74" s="41">
        <x:v>2300000</x:v>
      </x:c>
      <x:c r="G74" s="41"/>
      <x:c r="H74" s="41"/>
      <x:c r="I74" s="41"/>
      <x:c r="J74" s="41"/>
      <x:c r="K74" s="41">
        <x:v>2300000</x:v>
      </x:c>
      <x:c r="L74" s="41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  <x:c r="AC74" s="17"/>
      <x:c r="AD74" s="17"/>
      <x:c r="AE74" s="17"/>
      <x:c r="AF74" s="17"/>
      <x:c r="AG74" s="17"/>
      <x:c r="AH74" s="17"/>
      <x:c r="AI74" s="17"/>
      <x:c r="AJ74" s="17"/>
      <x:c r="AK74" s="17"/>
      <x:c r="AL74" s="17"/>
      <x:c r="AM74" s="17"/>
      <x:c r="AN74" s="17"/>
      <x:c r="AO74" s="17"/>
      <x:c r="AP74" s="17"/>
      <x:c r="AQ74" s="17"/>
      <x:c r="AR74" s="17"/>
      <x:c r="AS74" s="17"/>
      <x:c r="AT74" s="17"/>
      <x:c r="AU74" s="17"/>
      <x:c r="AV74" s="17"/>
      <x:c r="AW74" s="17"/>
      <x:c r="AX74" s="17"/>
      <x:c r="AY74" s="17">
        <x:v>2300000</x:v>
      </x:c>
    </x:row>
    <x:row r="75" spans="1:51">
      <x:c r="A75" s="39" t="s">
        <x:v>129</x:v>
      </x:c>
      <x:c r="B75" s="40"/>
      <x:c r="C75" s="40" t="s">
        <x:v>31</x:v>
      </x:c>
      <x:c r="D75" s="40">
        <x:v>1</x:v>
      </x:c>
      <x:c r="E75" s="41">
        <x:v>700000</x:v>
      </x:c>
      <x:c r="F75" s="41">
        <x:v>700000</x:v>
      </x:c>
      <x:c r="G75" s="41"/>
      <x:c r="H75" s="41"/>
      <x:c r="I75" s="41"/>
      <x:c r="J75" s="41"/>
      <x:c r="K75" s="41">
        <x:v>700000</x:v>
      </x:c>
      <x:c r="L75" s="41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  <x:c r="AC75" s="17"/>
      <x:c r="AD75" s="17"/>
      <x:c r="AE75" s="17"/>
      <x:c r="AF75" s="17"/>
      <x:c r="AG75" s="17"/>
      <x:c r="AH75" s="17"/>
      <x:c r="AI75" s="17"/>
      <x:c r="AJ75" s="17"/>
      <x:c r="AK75" s="17"/>
      <x:c r="AL75" s="17"/>
      <x:c r="AM75" s="17"/>
      <x:c r="AN75" s="17"/>
      <x:c r="AO75" s="17"/>
      <x:c r="AP75" s="17"/>
      <x:c r="AQ75" s="17"/>
      <x:c r="AR75" s="17"/>
      <x:c r="AS75" s="17"/>
      <x:c r="AT75" s="17"/>
      <x:c r="AU75" s="17"/>
      <x:c r="AV75" s="17"/>
      <x:c r="AW75" s="17"/>
      <x:c r="AX75" s="17"/>
      <x:c r="AY75" s="17">
        <x:v>700000</x:v>
      </x:c>
    </x:row>
  </x:sheetData>
  <x:mergeCells count="14">
    <x:mergeCell ref="A1:D1"/>
    <x:mergeCell ref="A2:L2"/>
    <x:mergeCell ref="K5:L6"/>
    <x:mergeCell ref="E6:F6"/>
    <x:mergeCell ref="G6:H6"/>
    <x:mergeCell ref="A7:A8"/>
    <x:mergeCell ref="B7:B8"/>
    <x:mergeCell ref="C7:C8"/>
    <x:mergeCell ref="D7:D8"/>
    <x:mergeCell ref="E7:F7"/>
    <x:mergeCell ref="G7:H7"/>
    <x:mergeCell ref="I7:J7"/>
    <x:mergeCell ref="K7:K8"/>
    <x:mergeCell ref="L7:L8"/>
  </x:mergeCells>
  <x:conditionalFormatting sqref="A9:A10 G11:J40 G41:H43 G44:J53 G55:J57 G59:J61 G66:J66 G69:H70 H54:J54 H58:J58 I62:J65 I67:J68 L11:L70 AY62:AY65">
    <x:cfRule type="containsText" dxfId="0" priority="1" stopIfTrue="1" operator="containsText" text=".">
      <x:formula>NOT(ISERROR(SEARCH(("."),(A9))))</x:formula>
    </x:cfRule>
  </x:conditionalFormatting>
  <x:conditionalFormatting sqref="A9:A10 G11:J40 G41:H43 G44:J53 G55:J57 G59:J61 G66:J66 G69:H70 H54:J54 H58:J58 I62:J65 I67:J68 L11:L70 AY62:AY65">
    <x:cfRule type="containsText" dxfId="0" priority="2" stopIfTrue="1" operator="containsText" text=".">
      <x:formula>ISERROR(SEARCH(("."),(A9)))</x:formula>
    </x:cfRule>
  </x:conditionalFormatting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revision>1</cp:revision>
  <dcterms:created xsi:type="dcterms:W3CDTF">2026-06-27T15:27:26.690</dcterms:created>
  <dcterms:modified xsi:type="dcterms:W3CDTF">2026-06-27T15:32:13.724</dcterms:modified>
  <cp:version>1300.0100.01</cp:version>
</cp:coreProperties>
</file>