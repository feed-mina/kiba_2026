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vibe_2706\kiba_2026\docs\원가계산보고서샘플\"/>
    </mc:Choice>
  </mc:AlternateContent>
  <x:bookViews>
    <x:workbookView xWindow="0" yWindow="0" windowWidth="11244" windowHeight="8088" tabRatio="500"/>
  </x:bookViews>
  <x:sheets>
    <x:sheet name="Sheet1" sheetId="1" r:id="rId4"/>
  </x:sheets>
  <x:externalReferences>
    <x:externalReference r:id="rId5"/>
  </x:externalReferenc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Samsung</x:author>
  </x:authors>
  <x:commentList>
    <x:comment ref="L8:L8" authorId="0">
      <x:text>
        <x:r>
          <x:rPr>
            <x:rFont val="굴림"/>
            <x:sz val="11.25"/>
            <x:color rgb="ff000000"/>
          </x:rPr>
          <x:t>======
ID#AAAB9NJTqdE
민예린    (2026-06-26 06:49:42)
일위대가표 금액(L) = 재료비 금액(F) + 노무비 금액(H) + 경비 금액(J)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<x:sst xmlns:r="http://schemas.openxmlformats.org/officeDocument/2006/relationships" xmlns:c="http://schemas.openxmlformats.org/drawingml/2006/chart" xmlns:x="http://schemas.openxmlformats.org/spreadsheetml/2006/main" count="63" uniqueCount="35">
  <x:si>
    <x:t>배관공</x:t>
  </x:si>
  <x:si>
    <x:t>인</x:t>
  </x:si>
  <x:si>
    <x:t>비계공</x:t>
  </x:si>
  <x:si>
    <x:t>식</x:t>
  </x:si>
  <x:si>
    <x:t>단위</x:t>
  </x:si>
  <x:si>
    <x:t>[일위  1호] - [강관 용접 배관   M]</x:t>
  </x:si>
  <x:si>
    <x:t>※ 표준품셈 : 설비13-5-14,1 50% 적용</x:t>
  </x:si>
  <x:si>
    <x:t>※ 표준품셈 : 설비1-1-2 참조</x:t>
  </x:si>
  <x:si>
    <x:t>※ 표준품셈 : 설비3-4-1 참조</x:t>
  </x:si>
  <x:si>
    <x:t>공구손료 및 경장비의 기계경비</x:t>
  </x:si>
  <x:si>
    <x:t>[일위  3호] - [탱크설치  대]</x:t>
  </x:si>
  <x:si>
    <x:t>[일위  2호] - [발열선 설치  M]</x:t>
  </x:si>
  <x:si>
    <x:t>※ 표준품셈 : 설비13-5-14,1 참조</x:t>
  </x:si>
  <x:si>
    <x:t>[일위  4호] - [탱크철거  대]</x:t>
  </x:si>
  <x:si>
    <x:t>건설기계운전사</x:t>
  </x:si>
  <x:si>
    <x:t>비  고</x:t>
  </x:si>
  <x:si>
    <x:t>(단위: 원)</x:t>
  </x:si>
  <x:si>
    <x:t>금   액</x:t>
  </x:si>
  <x:si>
    <x:t>노  무  비</x:t>
  </x:si>
  <x:si>
    <x:t>재  료  비</x:t>
  </x:si>
  <x:si>
    <x:t>단  가</x:t>
  </x:si>
  <x:si>
    <x:t>기계설비공</x:t>
  </x:si>
  <x:si>
    <x:t>인력품의 2%</x:t>
  </x:si>
  <x:si>
    <x:t>수  량</x:t>
  </x:si>
  <x:si>
    <x:t>특별인부</x:t>
  </x:si>
  <x:si>
    <x:t>&lt;표 4&gt;</x:t>
  </x:si>
  <x:si>
    <x:t>일위대가표</x:t>
  </x:si>
  <x:si>
    <x:t>보통인부</x:t>
  </x:si>
  <x:si>
    <x:t>합  계</x:t>
  </x:si>
  <x:si>
    <x:t>형틀목공</x:t>
  </x:si>
  <x:si>
    <x:t>경      비</x:t>
  </x:si>
  <x:si>
    <x:t>합      계</x:t>
  </x:si>
  <x:si>
    <x:t>품        명</x:t>
  </x:si>
  <x:si>
    <x:t>규        격</x:t>
  </x:si>
  <x:si>
    <x:t>플랜트기계설치공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</x:si>
</x:sst>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&quot;&lt;표 1-&quot;###&quot;&gt;&quot;"/>
    <x:numFmt numFmtId="165" formatCode="_-* #,##0_-;\-* #,##0_-;_-* &quot;-&quot;_-;_-@"/>
  </x:numFmts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ptos Narrow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0"/>
          <x:color rgb="ff000000"/>
        </x:font>
      </mc:Fallback>
    </mc:AlternateContent>
    <x:font>
      <x:name val="Gulimche"/>
      <x:sz val="2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9"/>
          <x:color rgb="ff000000"/>
          <x:b val="1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Gulimche"/>
          <x:sz val="9"/>
          <x:color rgb="ff0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Gulimche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.25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1.25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28">
    <x:xf numFmtId="0" fontId="0" fillId="0" borderId="0" xfId="0">
      <x:alignment horizontal="general" vertical="center"/>
    </x:xf>
    <x:xf numFmtId="164" fontId="7" fillId="0" borderId="0" xfId="1" applyNumberFormat="1" applyFont="1" applyAlignment="1">
      <x:alignment horizontal="left" vertical="center"/>
    </x:xf>
    <x:xf numFmtId="0" fontId="7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x:xf numFmtId="0" fontId="9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1" applyFont="1" applyBorder="1" applyAlignment="1">
          <x:alignment horizontal="center" vertical="center" wrapText="1"/>
        </x:xf>
      </mc:Fallback>
    </mc:AlternateContent>
    <x:xf numFmtId="0" fontId="6" fillId="0" borderId="3" xfId="1" applyFont="1" applyBorder="1" applyAlignment="1">
      <x:alignment horizontal="general" vertical="center"/>
    </x:xf>
    <x:xf numFmtId="0" fontId="6" fillId="0" borderId="4" xfId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5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applyFont="1" applyBorder="1" applyAlignment="1">
          <x:alignment horizontal="center" vertical="center" wrapText="1"/>
        </x:xf>
      </mc:Fallback>
    </mc:AlternateContent>
    <x:xf numFmtId="0" fontId="12" fillId="0" borderId="2" xfId="1" quotePrefix="1" applyFont="1" applyBorder="1" applyAlignment="1">
      <x:alignment horizontal="left" vertical="center" shrinkToFit="1"/>
    </x:xf>
    <x:xf numFmtId="0" fontId="12" fillId="0" borderId="5" xfId="1" applyFont="1" applyBorder="1" applyAlignment="1">
      <x:alignment horizontal="general" vertical="center" shrinkToFit="1"/>
    </x:xf>
    <x:xf numFmtId="0" fontId="12" fillId="0" borderId="5" xfId="1" applyFont="1" applyBorder="1" applyAlignment="1">
      <x:alignment horizontal="left" vertical="center" shrinkToFit="1"/>
    </x:xf>
    <x:xf numFmtId="0" fontId="11" fillId="0" borderId="2" xfId="1" quotePrefix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1" fillId="0" borderId="5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1" quotePrefix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quotePrefix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0" borderId="5" xfId="1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5" xfId="1" applyNumberFormat="1" applyFont="1" applyBorder="1" applyAlignment="1">
          <x:alignment horizontal="right" vertical="center" shrinkToFit="1"/>
        </x:xf>
      </mc:Fallback>
    </mc:AlternateContent>
    <x:xf numFmtId="0" fontId="11" fillId="0" borderId="5" xfId="1" applyFont="1" applyBorder="1" applyAlignment="1">
      <x:alignment horizontal="left" vertical="center" shrinkToFit="1"/>
    </x:xf>
    <x:xf numFmtId="0" fontId="11" fillId="0" borderId="2" xfId="1" applyFont="1" applyBorder="1" applyAlignment="1">
      <x:alignment horizontal="left" vertical="center" shrinkToFit="1"/>
    </x:xf>
    <x:xf numFmtId="0" fontId="11" fillId="0" borderId="2" xfId="1" quotePrefix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1" fillId="0" borderId="2" xfId="1" quotePrefix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1" quotePrefix="1" applyFont="1" applyBorder="1" applyAlignment="1">
          <x:alignment horizontal="center" vertical="center" shrinkToFit="1"/>
        </x:xf>
      </mc:Fallback>
    </mc:AlternateContent>
    <x:xf numFmtId="0" fontId="13" fillId="0" borderId="0" xfId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1" applyFont="1" applyAlignment="1">
          <x:alignment horizontal="right" vertical="center"/>
        </x:xf>
      </mc:Fallback>
    </mc:AlternateContent>
  </x:cellXfs>
  <x:cellStyles count="2">
    <x:cellStyle name="표준" xfId="0" builtinId="0" iLevel="0"/>
    <x:cellStyle name="Normal" xfId="1" builtinId="0"/>
  </x:cellStyles>
  <x:dxfs count="1">
    <x:dxf>
      <x:numFmt numFmtId="0" formatCode="General"/>
      <x:fill>
        <x:patternFill patternType="none"/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(E)sample_&#50896;&#44032;&#44228;&#49328;&#48372;&#44256;&#49436;ver1.xlsx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목차  (2)"/>
      <x:sheetName val="결과"/>
      <x:sheetName val="산정기준"/>
      <x:sheetName val="원가계산서"/>
      <x:sheetName val="집계표"/>
      <x:sheetName val="내역서"/>
      <x:sheetName val="일위대가목록"/>
      <x:sheetName val="일위대가표"/>
      <x:sheetName val="단가대비표"/>
      <x:sheetName val="간노비"/>
      <x:sheetName val="경비"/>
      <x:sheetName val="산재"/>
      <x:sheetName val="고용"/>
      <x:sheetName val="건강"/>
      <x:sheetName val="연금"/>
      <x:sheetName val="장기"/>
      <x:sheetName val="석면"/>
      <x:sheetName val="임금"/>
      <x:sheetName val="퇴공"/>
      <x:sheetName val="안전"/>
      <x:sheetName val="일반"/>
      <x:sheetName val="일반비율"/>
      <x:sheetName val="이윤"/>
      <x:sheetName val="이윤비율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/>
      <x:sheetData sheetId="6" refreshError="0"/>
      <x:sheetData sheetId="7" refreshError="0"/>
      <x:sheetData sheetId="8" refreshError="0">
        <x:row r="55">
          <x:cell r="M55">
            <x:v>247897</x:v>
          </x:cell>
        </x:row>
        <x:row r="56">
          <x:cell r="M56">
            <x:v>172068</x:v>
          </x:cell>
        </x:row>
        <x:row r="57">
          <x:cell r="M57">
            <x:v>241698</x:v>
          </x:cell>
        </x:row>
        <x:row r="58">
          <x:cell r="M58">
            <x:v>275790</x:v>
          </x:cell>
        </x:row>
        <x:row r="59">
          <x:cell r="M59">
            <x:v>230376</x:v>
          </x:cell>
        </x:row>
        <x:row r="60">
          <x:cell r="M60">
            <x:v>281939</x:v>
          </x:cell>
        </x:row>
        <x:row r="61">
          <x:cell r="M61">
            <x:v>283297</x:v>
          </x:cell>
        </x:row>
        <x:row r="62">
          <x:cell r="M62">
            <x:v>226122</x:v>
          </x:cell>
        </x:row>
      </x:sheetData>
      <x:sheetData sheetId="9" refreshError="0"/>
      <x:sheetData sheetId="10" refreshError="0"/>
      <x:sheetData sheetId="11" refreshError="0"/>
      <x:sheetData sheetId="12" refreshError="0"/>
      <x:sheetData sheetId="13" refreshError="0"/>
      <x:sheetData sheetId="14" refreshError="0"/>
      <x:sheetData sheetId="15" refreshError="0"/>
      <x:sheetData sheetId="16" refreshError="0"/>
      <x:sheetData sheetId="17" refreshError="0"/>
      <x:sheetData sheetId="18" refreshError="0"/>
      <x:sheetData sheetId="19" refreshError="0"/>
      <x:sheetData sheetId="20" refreshError="0"/>
      <x:sheetData sheetId="21" refreshError="0"/>
      <x:sheetData sheetId="22" refreshError="0"/>
      <x:sheetData sheetId="23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102"/>
  <x:sheetViews>
    <x:sheetView tabSelected="1" topLeftCell="A1" zoomScaleNormal="75" zoomScaleSheetLayoutView="100" workbookViewId="0">
      <x:selection activeCell="A3" activeCellId="0" sqref="A3:A3"/>
    </x:sheetView>
  </x:sheetViews>
  <x:sheetFormatPr defaultColWidth="8.796875" defaultRowHeight="16.39999999999999857891"/>
  <x:sheetData>
    <x:row r="1" spans="1:13">
      <x:c r="A1" s="1" t="s">
        <x:v>25</x:v>
      </x:c>
      <x:c r="B1" s="1"/>
      <x:c r="C1" s="1"/>
      <x:c r="D1" s="1"/>
      <x:c r="E1" s="2"/>
      <x:c r="F1" s="2"/>
      <x:c r="G1" s="3"/>
      <x:c r="H1" s="2"/>
      <x:c r="I1" s="2"/>
      <x:c r="J1" s="2"/>
      <x:c r="K1" s="2"/>
      <x:c r="L1" s="2"/>
      <x:c r="M1" s="2"/>
    </x:row>
    <x:row r="2" spans="1:13" ht="24.94999999999999928946">
      <x:c r="A2" s="4" t="s">
        <x:v>26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spans="1:13" ht="24.94999999999999928946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spans="1:13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7" t="s">
        <x:v>16</x:v>
      </x:c>
    </x:row>
    <x:row r="5" spans="1:13">
      <x:c r="A5" s="8" t="s">
        <x:v>32</x:v>
      </x:c>
      <x:c r="B5" s="8" t="s">
        <x:v>33</x:v>
      </x:c>
      <x:c r="C5" s="8" t="s">
        <x:v>4</x:v>
      </x:c>
      <x:c r="D5" s="8" t="s">
        <x:v>23</x:v>
      </x:c>
      <x:c r="E5" s="9" t="s">
        <x:v>19</x:v>
      </x:c>
      <x:c r="F5" s="10"/>
      <x:c r="G5" s="9" t="s">
        <x:v>18</x:v>
      </x:c>
      <x:c r="H5" s="10"/>
      <x:c r="I5" s="9" t="s">
        <x:v>30</x:v>
      </x:c>
      <x:c r="J5" s="10"/>
      <x:c r="K5" s="9" t="s">
        <x:v>31</x:v>
      </x:c>
      <x:c r="L5" s="10"/>
      <x:c r="M5" s="8" t="s">
        <x:v>15</x:v>
      </x:c>
    </x:row>
    <x:row r="6" spans="1:13">
      <x:c r="A6" s="11"/>
      <x:c r="B6" s="11"/>
      <x:c r="C6" s="11"/>
      <x:c r="D6" s="11"/>
      <x:c r="E6" s="12" t="s">
        <x:v>20</x:v>
      </x:c>
      <x:c r="F6" s="12" t="s">
        <x:v>17</x:v>
      </x:c>
      <x:c r="G6" s="12" t="s">
        <x:v>20</x:v>
      </x:c>
      <x:c r="H6" s="12" t="s">
        <x:v>17</x:v>
      </x:c>
      <x:c r="I6" s="12" t="s">
        <x:v>20</x:v>
      </x:c>
      <x:c r="J6" s="12" t="s">
        <x:v>17</x:v>
      </x:c>
      <x:c r="K6" s="12" t="s">
        <x:v>20</x:v>
      </x:c>
      <x:c r="L6" s="12" t="s">
        <x:v>17</x:v>
      </x:c>
      <x:c r="M6" s="11"/>
    </x:row>
    <x:row r="7" spans="1:13">
      <x:c r="A7" s="13" t="s">
        <x:v>5</x:v>
      </x:c>
      <x:c r="B7" s="10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5"/>
    </x:row>
    <x:row r="8" spans="1:13">
      <x:c r="A8" s="16" t="s">
        <x:v>0</x:v>
      </x:c>
      <x:c r="B8" s="17"/>
      <x:c r="C8" s="18" t="s">
        <x:v>1</x:v>
      </x:c>
      <x:c r="D8" s="19">
        <x:v>0.081000000000000005</x:v>
      </x:c>
      <x:c r="E8" s="19">
        <x:v>0</x:v>
      </x:c>
      <x:c r="F8" s="19">
        <x:f>ROUNDDOWN(D8*E8,1)</x:f>
        <x:v>0</x:v>
      </x:c>
      <x:c r="G8" s="20">
        <x:f>'[1]단가대비표'!M55</x:f>
        <x:v>247897</x:v>
      </x:c>
      <x:c r="H8" s="19">
        <x:f t="shared" ref="H8:H9" si="0">TRUNC(D8*G8,0)</x:f>
        <x:v>20079</x:v>
      </x:c>
      <x:c r="I8" s="19">
        <x:v>0</x:v>
      </x:c>
      <x:c r="J8" s="19">
        <x:f t="shared" ref="J8:J9" si="1">ROUNDDOWN(D8*I8,1)</x:f>
        <x:v>0</x:v>
      </x:c>
      <x:c r="K8" s="20">
        <x:f t="shared" ref="K8:L9" si="2">E8+G8+I8</x:f>
        <x:v>247897</x:v>
      </x:c>
      <x:c r="L8" s="19">
        <x:f t="shared" si="2"/>
        <x:v>20079</x:v>
      </x:c>
      <x:c r="M8" s="21"/>
    </x:row>
    <x:row r="9" spans="1:13">
      <x:c r="A9" s="16" t="s">
        <x:v>27</x:v>
      </x:c>
      <x:c r="B9" s="17"/>
      <x:c r="C9" s="18" t="s">
        <x:v>1</x:v>
      </x:c>
      <x:c r="D9" s="19">
        <x:v>0.027000000000000002</x:v>
      </x:c>
      <x:c r="E9" s="19"/>
      <x:c r="F9" s="19"/>
      <x:c r="G9" s="20">
        <x:f>'[1]단가대비표'!M56</x:f>
        <x:v>172068</x:v>
      </x:c>
      <x:c r="H9" s="19">
        <x:f t="shared" si="0"/>
        <x:v>4645</x:v>
      </x:c>
      <x:c r="I9" s="19">
        <x:v>0</x:v>
      </x:c>
      <x:c r="J9" s="19">
        <x:f t="shared" si="1"/>
        <x:v>0</x:v>
      </x:c>
      <x:c r="K9" s="20">
        <x:f t="shared" si="2"/>
        <x:v>172068</x:v>
      </x:c>
      <x:c r="L9" s="19">
        <x:f t="shared" si="2"/>
        <x:v>4645</x:v>
      </x:c>
      <x:c r="M9" s="21"/>
    </x:row>
    <x:row r="10" spans="1:13">
      <x:c r="A10" s="16" t="s">
        <x:v>9</x:v>
      </x:c>
      <x:c r="B10" s="18" t="s">
        <x:v>22</x:v>
      </x:c>
      <x:c r="C10" s="18" t="s">
        <x:v>3</x:v>
      </x:c>
      <x:c r="D10" s="19">
        <x:v>1</x:v>
      </x:c>
      <x:c r="E10" s="19">
        <x:f>TRUNC(SUM(H8:H9)*2%,0)</x:f>
        <x:v>494</x:v>
      </x:c>
      <x:c r="F10" s="19">
        <x:f>D10*E10</x:f>
        <x:v>494</x:v>
      </x:c>
      <x:c r="G10" s="20"/>
      <x:c r="H10" s="19"/>
      <x:c r="I10" s="19"/>
      <x:c r="J10" s="19"/>
      <x:c r="K10" s="19"/>
      <x:c r="L10" s="19"/>
      <x:c r="M10" s="21"/>
    </x:row>
    <x:row r="11" spans="1:13">
      <x:c r="A11" s="22"/>
      <x:c r="B11" s="17"/>
      <x:c r="C11" s="17"/>
      <x:c r="D11" s="19"/>
      <x:c r="E11" s="19"/>
      <x:c r="F11" s="19"/>
      <x:c r="G11" s="20"/>
      <x:c r="H11" s="19"/>
      <x:c r="I11" s="19"/>
      <x:c r="J11" s="19"/>
      <x:c r="K11" s="19"/>
      <x:c r="L11" s="19"/>
      <x:c r="M11" s="21"/>
    </x:row>
    <x:row r="12" spans="1:13">
      <x:c r="A12" s="22"/>
      <x:c r="B12" s="21"/>
      <x:c r="C12" s="17"/>
      <x:c r="D12" s="19"/>
      <x:c r="E12" s="19"/>
      <x:c r="F12" s="19"/>
      <x:c r="G12" s="20"/>
      <x:c r="H12" s="19"/>
      <x:c r="I12" s="19"/>
      <x:c r="J12" s="19"/>
      <x:c r="K12" s="19"/>
      <x:c r="L12" s="19"/>
      <x:c r="M12" s="21"/>
    </x:row>
    <x:row r="13" spans="1:13">
      <x:c r="A13" s="22"/>
      <x:c r="B13" s="21"/>
      <x:c r="C13" s="17"/>
      <x:c r="D13" s="19"/>
      <x:c r="E13" s="19"/>
      <x:c r="F13" s="19"/>
      <x:c r="G13" s="20"/>
      <x:c r="H13" s="19"/>
      <x:c r="I13" s="19"/>
      <x:c r="J13" s="19"/>
      <x:c r="K13" s="19"/>
      <x:c r="L13" s="19"/>
      <x:c r="M13" s="21"/>
    </x:row>
    <x:row r="14" spans="1:13">
      <x:c r="A14" s="22"/>
      <x:c r="B14" s="21"/>
      <x:c r="C14" s="17"/>
      <x:c r="D14" s="19"/>
      <x:c r="E14" s="19"/>
      <x:c r="F14" s="19"/>
      <x:c r="G14" s="20"/>
      <x:c r="H14" s="19"/>
      <x:c r="I14" s="19"/>
      <x:c r="J14" s="19"/>
      <x:c r="K14" s="19"/>
      <x:c r="L14" s="19"/>
      <x:c r="M14" s="21"/>
    </x:row>
    <x:row r="15" spans="1:13">
      <x:c r="A15" s="22"/>
      <x:c r="B15" s="21"/>
      <x:c r="C15" s="17"/>
      <x:c r="D15" s="19"/>
      <x:c r="E15" s="19"/>
      <x:c r="F15" s="19"/>
      <x:c r="G15" s="20"/>
      <x:c r="H15" s="19"/>
      <x:c r="I15" s="19"/>
      <x:c r="J15" s="19"/>
      <x:c r="K15" s="19"/>
      <x:c r="L15" s="19"/>
      <x:c r="M15" s="21"/>
    </x:row>
    <x:row r="16" spans="1:13">
      <x:c r="A16" s="22"/>
      <x:c r="B16" s="21"/>
      <x:c r="C16" s="17"/>
      <x:c r="D16" s="19"/>
      <x:c r="E16" s="19"/>
      <x:c r="F16" s="19"/>
      <x:c r="G16" s="20"/>
      <x:c r="H16" s="19"/>
      <x:c r="I16" s="19"/>
      <x:c r="J16" s="19"/>
      <x:c r="K16" s="19"/>
      <x:c r="L16" s="19"/>
      <x:c r="M16" s="21"/>
    </x:row>
    <x:row r="17" spans="1:13">
      <x:c r="A17" s="22"/>
      <x:c r="B17" s="21"/>
      <x:c r="C17" s="17"/>
      <x:c r="D17" s="19"/>
      <x:c r="E17" s="19"/>
      <x:c r="F17" s="19"/>
      <x:c r="G17" s="20"/>
      <x:c r="H17" s="19"/>
      <x:c r="I17" s="19"/>
      <x:c r="J17" s="19"/>
      <x:c r="K17" s="19"/>
      <x:c r="L17" s="19"/>
      <x:c r="M17" s="21"/>
    </x:row>
    <x:row r="18" spans="1:13">
      <x:c r="A18" s="23" t="s">
        <x:v>7</x:v>
      </x:c>
      <x:c r="B18" s="10"/>
      <x:c r="C18" s="17"/>
      <x:c r="D18" s="19"/>
      <x:c r="E18" s="19"/>
      <x:c r="F18" s="19"/>
      <x:c r="G18" s="19"/>
      <x:c r="H18" s="19"/>
      <x:c r="I18" s="19"/>
      <x:c r="J18" s="19"/>
      <x:c r="K18" s="19"/>
      <x:c r="L18" s="19"/>
      <x:c r="M18" s="21"/>
    </x:row>
    <x:row r="19" spans="1:13">
      <x:c r="A19" s="22"/>
      <x:c r="B19" s="21"/>
      <x:c r="C19" s="17"/>
      <x:c r="D19" s="19"/>
      <x:c r="E19" s="19"/>
      <x:c r="F19" s="19"/>
      <x:c r="G19" s="19"/>
      <x:c r="H19" s="19"/>
      <x:c r="I19" s="19"/>
      <x:c r="J19" s="19"/>
      <x:c r="K19" s="19"/>
      <x:c r="L19" s="19"/>
      <x:c r="M19" s="21"/>
    </x:row>
    <x:row r="20" spans="1:13">
      <x:c r="A20" s="22"/>
      <x:c r="B20" s="21"/>
      <x:c r="C20" s="17"/>
      <x:c r="D20" s="19"/>
      <x:c r="E20" s="19"/>
      <x:c r="F20" s="19"/>
      <x:c r="G20" s="19"/>
      <x:c r="H20" s="19"/>
      <x:c r="I20" s="19"/>
      <x:c r="J20" s="19"/>
      <x:c r="K20" s="19"/>
      <x:c r="L20" s="19"/>
      <x:c r="M20" s="21"/>
    </x:row>
    <x:row r="21" spans="1:13">
      <x:c r="A21" s="24" t="s">
        <x:v>28</x:v>
      </x:c>
      <x:c r="B21" s="21"/>
      <x:c r="C21" s="17"/>
      <x:c r="D21" s="19"/>
      <x:c r="E21" s="19"/>
      <x:c r="F21" s="19">
        <x:f>SUM(F8:F14)</x:f>
        <x:v>494</x:v>
      </x:c>
      <x:c r="G21" s="19"/>
      <x:c r="H21" s="19">
        <x:f>SUM(H8:H14)</x:f>
        <x:v>24724</x:v>
      </x:c>
      <x:c r="I21" s="19"/>
      <x:c r="J21" s="19">
        <x:f>SUM(J8:J14)</x:f>
        <x:v>0</x:v>
      </x:c>
      <x:c r="K21" s="19"/>
      <x:c r="L21" s="19">
        <x:f>SUM(L8:L14)</x:f>
        <x:v>24724</x:v>
      </x:c>
      <x:c r="M21" s="21"/>
    </x:row>
    <x:row r="22" spans="1:13">
      <x:c r="A22" s="13" t="s">
        <x:v>11</x:v>
      </x:c>
      <x:c r="B22" s="10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</x:row>
    <x:row r="23" spans="1:13">
      <x:c r="A23" s="16" t="s">
        <x:v>21</x:v>
      </x:c>
      <x:c r="B23" s="17"/>
      <x:c r="C23" s="18" t="s">
        <x:v>1</x:v>
      </x:c>
      <x:c r="D23" s="19">
        <x:v>0.017000000000000001</x:v>
      </x:c>
      <x:c r="E23" s="19">
        <x:v>0</x:v>
      </x:c>
      <x:c r="F23" s="19">
        <x:f>ROUNDDOWN(D23*E23,1)</x:f>
        <x:v>0</x:v>
      </x:c>
      <x:c r="G23" s="20">
        <x:f>'[1]단가대비표'!M57</x:f>
        <x:v>241698</x:v>
      </x:c>
      <x:c r="H23" s="19">
        <x:f t="shared" ref="H23:H24" si="3">TRUNC(D23*G23,0)</x:f>
        <x:v>4108</x:v>
      </x:c>
      <x:c r="I23" s="19">
        <x:v>0</x:v>
      </x:c>
      <x:c r="J23" s="19">
        <x:f t="shared" ref="J23:J24" si="4">ROUNDDOWN(D23*I23,1)</x:f>
        <x:v>0</x:v>
      </x:c>
      <x:c r="K23" s="20">
        <x:f t="shared" ref="K23:L24" si="5">E23+G23+I23</x:f>
        <x:v>241698</x:v>
      </x:c>
      <x:c r="L23" s="19">
        <x:f t="shared" si="5"/>
        <x:v>4108</x:v>
      </x:c>
      <x:c r="M23" s="21"/>
    </x:row>
    <x:row r="24" spans="1:13">
      <x:c r="A24" s="16" t="s">
        <x:v>27</x:v>
      </x:c>
      <x:c r="B24" s="17"/>
      <x:c r="C24" s="18" t="s">
        <x:v>1</x:v>
      </x:c>
      <x:c r="D24" s="19">
        <x:v>0.0059999999999999998</x:v>
      </x:c>
      <x:c r="E24" s="19"/>
      <x:c r="F24" s="19"/>
      <x:c r="G24" s="20">
        <x:f>'[1]단가대비표'!M56</x:f>
        <x:v>172068</x:v>
      </x:c>
      <x:c r="H24" s="19">
        <x:f t="shared" si="3"/>
        <x:v>1032</x:v>
      </x:c>
      <x:c r="I24" s="19">
        <x:v>0</x:v>
      </x:c>
      <x:c r="J24" s="19">
        <x:f t="shared" si="4"/>
        <x:v>0</x:v>
      </x:c>
      <x:c r="K24" s="20">
        <x:f t="shared" si="5"/>
        <x:v>172068</x:v>
      </x:c>
      <x:c r="L24" s="19">
        <x:f t="shared" si="5"/>
        <x:v>1032</x:v>
      </x:c>
      <x:c r="M24" s="21"/>
    </x:row>
    <x:row r="25" spans="1:13">
      <x:c r="A25" s="22"/>
      <x:c r="B25" s="17"/>
      <x:c r="C25" s="17"/>
      <x:c r="D25" s="19"/>
      <x:c r="E25" s="19"/>
      <x:c r="F25" s="19"/>
      <x:c r="G25" s="20"/>
      <x:c r="H25" s="19"/>
      <x:c r="I25" s="19"/>
      <x:c r="J25" s="19"/>
      <x:c r="K25" s="19"/>
      <x:c r="L25" s="19"/>
      <x:c r="M25" s="21"/>
    </x:row>
    <x:row r="26" spans="1:13">
      <x:c r="A26" s="22"/>
      <x:c r="B26" s="17"/>
      <x:c r="C26" s="17"/>
      <x:c r="D26" s="19"/>
      <x:c r="E26" s="19"/>
      <x:c r="F26" s="19"/>
      <x:c r="G26" s="20"/>
      <x:c r="H26" s="19"/>
      <x:c r="I26" s="19"/>
      <x:c r="J26" s="19"/>
      <x:c r="K26" s="19"/>
      <x:c r="L26" s="19"/>
      <x:c r="M26" s="21"/>
    </x:row>
    <x:row r="27" spans="1:13">
      <x:c r="A27" s="22"/>
      <x:c r="B27" s="17"/>
      <x:c r="C27" s="17"/>
      <x:c r="D27" s="19"/>
      <x:c r="E27" s="19"/>
      <x:c r="F27" s="19"/>
      <x:c r="G27" s="20"/>
      <x:c r="H27" s="19"/>
      <x:c r="I27" s="19"/>
      <x:c r="J27" s="19"/>
      <x:c r="K27" s="19"/>
      <x:c r="L27" s="19"/>
      <x:c r="M27" s="21"/>
    </x:row>
    <x:row r="28" spans="1:13">
      <x:c r="A28" s="22"/>
      <x:c r="B28" s="17"/>
      <x:c r="C28" s="17"/>
      <x:c r="D28" s="19"/>
      <x:c r="E28" s="19"/>
      <x:c r="F28" s="19"/>
      <x:c r="G28" s="20"/>
      <x:c r="H28" s="19"/>
      <x:c r="I28" s="19"/>
      <x:c r="J28" s="19"/>
      <x:c r="K28" s="19"/>
      <x:c r="L28" s="19"/>
      <x:c r="M28" s="21"/>
    </x:row>
    <x:row r="29" spans="1:13">
      <x:c r="A29" s="22"/>
      <x:c r="B29" s="17"/>
      <x:c r="C29" s="17"/>
      <x:c r="D29" s="19"/>
      <x:c r="E29" s="19"/>
      <x:c r="F29" s="19"/>
      <x:c r="G29" s="20"/>
      <x:c r="H29" s="19"/>
      <x:c r="I29" s="19"/>
      <x:c r="J29" s="19"/>
      <x:c r="K29" s="19"/>
      <x:c r="L29" s="19"/>
      <x:c r="M29" s="21"/>
    </x:row>
    <x:row r="30" spans="1:13">
      <x:c r="A30" s="22"/>
      <x:c r="B30" s="17"/>
      <x:c r="C30" s="17"/>
      <x:c r="D30" s="19"/>
      <x:c r="E30" s="19"/>
      <x:c r="F30" s="19"/>
      <x:c r="G30" s="20"/>
      <x:c r="H30" s="19"/>
      <x:c r="I30" s="19"/>
      <x:c r="J30" s="19"/>
      <x:c r="K30" s="19"/>
      <x:c r="L30" s="19"/>
      <x:c r="M30" s="21"/>
    </x:row>
    <x:row r="31" spans="1:13">
      <x:c r="A31" s="22"/>
      <x:c r="B31" s="17"/>
      <x:c r="C31" s="17"/>
      <x:c r="D31" s="19"/>
      <x:c r="E31" s="19"/>
      <x:c r="F31" s="19"/>
      <x:c r="G31" s="20"/>
      <x:c r="H31" s="19"/>
      <x:c r="I31" s="19"/>
      <x:c r="J31" s="19"/>
      <x:c r="K31" s="19"/>
      <x:c r="L31" s="19"/>
      <x:c r="M31" s="21"/>
    </x:row>
    <x:row r="32" spans="1:13">
      <x:c r="A32" s="22"/>
      <x:c r="B32" s="17"/>
      <x:c r="C32" s="17"/>
      <x:c r="D32" s="19"/>
      <x:c r="E32" s="19"/>
      <x:c r="F32" s="19"/>
      <x:c r="G32" s="20"/>
      <x:c r="H32" s="19"/>
      <x:c r="I32" s="19"/>
      <x:c r="J32" s="19"/>
      <x:c r="K32" s="19"/>
      <x:c r="L32" s="19"/>
      <x:c r="M32" s="21"/>
    </x:row>
    <x:row r="33" spans="1:13">
      <x:c r="A33" s="23" t="s">
        <x:v>8</x:v>
      </x:c>
      <x:c r="B33" s="10"/>
      <x:c r="C33" s="17"/>
      <x:c r="D33" s="19"/>
      <x:c r="E33" s="19"/>
      <x:c r="F33" s="19"/>
      <x:c r="G33" s="19"/>
      <x:c r="H33" s="19"/>
      <x:c r="I33" s="19"/>
      <x:c r="J33" s="19"/>
      <x:c r="K33" s="19"/>
      <x:c r="L33" s="19"/>
      <x:c r="M33" s="21"/>
    </x:row>
    <x:row r="34" spans="1:13">
      <x:c r="A34" s="22"/>
      <x:c r="B34" s="17"/>
      <x:c r="C34" s="17"/>
      <x:c r="D34" s="19"/>
      <x:c r="E34" s="19"/>
      <x:c r="F34" s="19"/>
      <x:c r="G34" s="20"/>
      <x:c r="H34" s="19"/>
      <x:c r="I34" s="19"/>
      <x:c r="J34" s="19"/>
      <x:c r="K34" s="19"/>
      <x:c r="L34" s="19"/>
      <x:c r="M34" s="21"/>
    </x:row>
    <x:row r="35" spans="1:13">
      <x:c r="A35" s="21"/>
      <x:c r="B35" s="21"/>
      <x:c r="C35" s="17"/>
      <x:c r="D35" s="19"/>
      <x:c r="E35" s="19"/>
      <x:c r="F35" s="19"/>
      <x:c r="G35" s="19"/>
      <x:c r="H35" s="19"/>
      <x:c r="I35" s="19"/>
      <x:c r="J35" s="19"/>
      <x:c r="K35" s="19"/>
      <x:c r="L35" s="19"/>
      <x:c r="M35" s="21"/>
    </x:row>
    <x:row r="36" spans="1:13">
      <x:c r="A36" s="18" t="s">
        <x:v>28</x:v>
      </x:c>
      <x:c r="B36" s="21"/>
      <x:c r="C36" s="17"/>
      <x:c r="D36" s="19"/>
      <x:c r="E36" s="19"/>
      <x:c r="F36" s="19">
        <x:f>ROUNDDOWN(SUMIF(Q23:Q35,"1",F23:F35),0)</x:f>
        <x:v>0</x:v>
      </x:c>
      <x:c r="G36" s="19"/>
      <x:c r="H36" s="19">
        <x:f>ROUNDDOWN(SUMIF(Q23:Q35,"1",H23:H35),0)</x:f>
        <x:v>0</x:v>
      </x:c>
      <x:c r="I36" s="19"/>
      <x:c r="J36" s="19">
        <x:f>SUM(J23:J35)</x:f>
        <x:v>0</x:v>
      </x:c>
      <x:c r="K36" s="19"/>
      <x:c r="L36" s="19">
        <x:f>SUM(L23:L35)</x:f>
        <x:v>5140</x:v>
      </x:c>
      <x:c r="M36" s="21"/>
    </x:row>
    <x:row r="37" spans="1:13">
      <x:c r="A37" s="21"/>
      <x:c r="B37" s="21"/>
      <x:c r="C37" s="17"/>
      <x:c r="D37" s="19"/>
      <x:c r="E37" s="19"/>
      <x:c r="F37" s="19"/>
      <x:c r="G37" s="19"/>
      <x:c r="H37" s="19"/>
      <x:c r="I37" s="19"/>
      <x:c r="J37" s="19"/>
      <x:c r="K37" s="19"/>
      <x:c r="L37" s="19"/>
      <x:c r="M37" s="21"/>
    </x:row>
    <x:row r="38" spans="1:13">
      <x:c r="A38" s="13" t="s">
        <x:v>10</x:v>
      </x:c>
      <x:c r="B38" s="10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</x:row>
    <x:row r="39" spans="1:13">
      <x:c r="A39" s="16" t="s">
        <x:v>29</x:v>
      </x:c>
      <x:c r="B39" s="17"/>
      <x:c r="C39" s="18" t="s">
        <x:v>1</x:v>
      </x:c>
      <x:c r="D39" s="19">
        <x:v>0.13</x:v>
      </x:c>
      <x:c r="E39" s="19">
        <x:v>0</x:v>
      </x:c>
      <x:c r="F39" s="19">
        <x:f>ROUNDDOWN(D39*E39,1)</x:f>
        <x:v>0</x:v>
      </x:c>
      <x:c r="G39" s="20">
        <x:f>'[1]단가대비표'!M58</x:f>
        <x:v>275790</x:v>
      </x:c>
      <x:c r="H39" s="19">
        <x:f t="shared" ref="H39:H43" si="6">TRUNC(D39*G39,0)</x:f>
        <x:v>35852</x:v>
      </x:c>
      <x:c r="I39" s="19">
        <x:v>0</x:v>
      </x:c>
      <x:c r="J39" s="19">
        <x:f t="shared" ref="J39:J43" si="7">ROUNDDOWN(D39*I39,1)</x:f>
        <x:v>0</x:v>
      </x:c>
      <x:c r="K39" s="20">
        <x:f t="shared" ref="K39:L43" si="8">E39+G39+I39</x:f>
        <x:v>275790</x:v>
      </x:c>
      <x:c r="L39" s="19">
        <x:f t="shared" si="8"/>
        <x:v>35852</x:v>
      </x:c>
      <x:c r="M39" s="21"/>
    </x:row>
    <x:row r="40" spans="1:13">
      <x:c r="A40" s="16" t="s">
        <x:v>34</x:v>
      </x:c>
      <x:c r="B40" s="17"/>
      <x:c r="C40" s="18" t="s">
        <x:v>1</x:v>
      </x:c>
      <x:c r="D40" s="19">
        <x:v>2.1299999999999999</x:v>
      </x:c>
      <x:c r="E40" s="19"/>
      <x:c r="F40" s="19"/>
      <x:c r="G40" s="20">
        <x:f>'[1]단가대비표'!M59</x:f>
        <x:v>230376</x:v>
      </x:c>
      <x:c r="H40" s="19">
        <x:f t="shared" si="6"/>
        <x:v>490700</x:v>
      </x:c>
      <x:c r="I40" s="19">
        <x:v>0</x:v>
      </x:c>
      <x:c r="J40" s="19">
        <x:f t="shared" si="7"/>
        <x:v>0</x:v>
      </x:c>
      <x:c r="K40" s="20">
        <x:f t="shared" si="8"/>
        <x:v>230376</x:v>
      </x:c>
      <x:c r="L40" s="19">
        <x:f t="shared" si="8"/>
        <x:v>490700</x:v>
      </x:c>
      <x:c r="M40" s="21"/>
    </x:row>
    <x:row r="41" spans="1:13">
      <x:c r="A41" s="16" t="s">
        <x:v>2</x:v>
      </x:c>
      <x:c r="B41" s="17"/>
      <x:c r="C41" s="18" t="s">
        <x:v>1</x:v>
      </x:c>
      <x:c r="D41" s="19">
        <x:v>0.23000000000000001</x:v>
      </x:c>
      <x:c r="E41" s="19"/>
      <x:c r="F41" s="19"/>
      <x:c r="G41" s="20">
        <x:f>'[1]단가대비표'!M60</x:f>
        <x:v>281939</x:v>
      </x:c>
      <x:c r="H41" s="19">
        <x:f t="shared" si="6"/>
        <x:v>64845</x:v>
      </x:c>
      <x:c r="I41" s="19">
        <x:v>0</x:v>
      </x:c>
      <x:c r="J41" s="19">
        <x:f t="shared" si="7"/>
        <x:v>0</x:v>
      </x:c>
      <x:c r="K41" s="20">
        <x:f t="shared" si="8"/>
        <x:v>281939</x:v>
      </x:c>
      <x:c r="L41" s="19">
        <x:f t="shared" si="8"/>
        <x:v>64845</x:v>
      </x:c>
      <x:c r="M41" s="21"/>
    </x:row>
    <x:row r="42" spans="1:13">
      <x:c r="A42" s="16" t="s">
        <x:v>14</x:v>
      </x:c>
      <x:c r="B42" s="17"/>
      <x:c r="C42" s="18" t="s">
        <x:v>1</x:v>
      </x:c>
      <x:c r="D42" s="19">
        <x:v>0.78000000000000003</x:v>
      </x:c>
      <x:c r="E42" s="19"/>
      <x:c r="F42" s="19"/>
      <x:c r="G42" s="20">
        <x:f>'[1]단가대비표'!M61</x:f>
        <x:v>283297</x:v>
      </x:c>
      <x:c r="H42" s="19">
        <x:f t="shared" si="6"/>
        <x:v>220971</x:v>
      </x:c>
      <x:c r="I42" s="19">
        <x:v>0</x:v>
      </x:c>
      <x:c r="J42" s="19">
        <x:f t="shared" si="7"/>
        <x:v>0</x:v>
      </x:c>
      <x:c r="K42" s="20">
        <x:f t="shared" si="8"/>
        <x:v>283297</x:v>
      </x:c>
      <x:c r="L42" s="19">
        <x:f t="shared" si="8"/>
        <x:v>220971</x:v>
      </x:c>
      <x:c r="M42" s="21"/>
    </x:row>
    <x:row r="43" spans="1:13">
      <x:c r="A43" s="16" t="s">
        <x:v>24</x:v>
      </x:c>
      <x:c r="B43" s="17"/>
      <x:c r="C43" s="18" t="s">
        <x:v>1</x:v>
      </x:c>
      <x:c r="D43" s="19">
        <x:v>9.9100000000000001</x:v>
      </x:c>
      <x:c r="E43" s="19"/>
      <x:c r="F43" s="19"/>
      <x:c r="G43" s="20">
        <x:f>'[1]단가대비표'!M62</x:f>
        <x:v>226122</x:v>
      </x:c>
      <x:c r="H43" s="19">
        <x:f t="shared" si="6"/>
        <x:v>2240869</x:v>
      </x:c>
      <x:c r="I43" s="19">
        <x:v>0</x:v>
      </x:c>
      <x:c r="J43" s="19">
        <x:f t="shared" si="7"/>
        <x:v>0</x:v>
      </x:c>
      <x:c r="K43" s="20">
        <x:f t="shared" si="8"/>
        <x:v>226122</x:v>
      </x:c>
      <x:c r="L43" s="19">
        <x:f t="shared" si="8"/>
        <x:v>2240869</x:v>
      </x:c>
      <x:c r="M43" s="21"/>
    </x:row>
    <x:row r="44" spans="1:13">
      <x:c r="A44" s="22"/>
      <x:c r="B44" s="17"/>
      <x:c r="C44" s="17"/>
      <x:c r="D44" s="19"/>
      <x:c r="E44" s="19"/>
      <x:c r="F44" s="19"/>
      <x:c r="G44" s="20"/>
      <x:c r="H44" s="19"/>
      <x:c r="I44" s="19"/>
      <x:c r="J44" s="19"/>
      <x:c r="K44" s="19"/>
      <x:c r="L44" s="19"/>
      <x:c r="M44" s="21"/>
    </x:row>
    <x:row r="45" spans="1:13">
      <x:c r="A45" s="22"/>
      <x:c r="B45" s="17"/>
      <x:c r="C45" s="17"/>
      <x:c r="D45" s="19"/>
      <x:c r="E45" s="19"/>
      <x:c r="F45" s="19"/>
      <x:c r="G45" s="20"/>
      <x:c r="H45" s="19"/>
      <x:c r="I45" s="19"/>
      <x:c r="J45" s="19"/>
      <x:c r="K45" s="19"/>
      <x:c r="L45" s="19"/>
      <x:c r="M45" s="21"/>
    </x:row>
    <x:row r="46" spans="1:13">
      <x:c r="A46" s="22"/>
      <x:c r="B46" s="17"/>
      <x:c r="C46" s="17"/>
      <x:c r="D46" s="19"/>
      <x:c r="E46" s="19"/>
      <x:c r="F46" s="19"/>
      <x:c r="G46" s="20"/>
      <x:c r="H46" s="19"/>
      <x:c r="I46" s="19"/>
      <x:c r="J46" s="19"/>
      <x:c r="K46" s="19"/>
      <x:c r="L46" s="19"/>
      <x:c r="M46" s="21"/>
    </x:row>
    <x:row r="47" spans="1:13">
      <x:c r="A47" s="22"/>
      <x:c r="B47" s="17"/>
      <x:c r="C47" s="17"/>
      <x:c r="D47" s="19"/>
      <x:c r="E47" s="19"/>
      <x:c r="F47" s="19"/>
      <x:c r="G47" s="20"/>
      <x:c r="H47" s="19"/>
      <x:c r="I47" s="19"/>
      <x:c r="J47" s="19"/>
      <x:c r="K47" s="19"/>
      <x:c r="L47" s="19"/>
      <x:c r="M47" s="21"/>
    </x:row>
    <x:row r="48" spans="1:13">
      <x:c r="A48" s="22"/>
      <x:c r="B48" s="17"/>
      <x:c r="C48" s="17"/>
      <x:c r="D48" s="19"/>
      <x:c r="E48" s="19"/>
      <x:c r="F48" s="19"/>
      <x:c r="G48" s="20"/>
      <x:c r="H48" s="19"/>
      <x:c r="I48" s="19"/>
      <x:c r="J48" s="19"/>
      <x:c r="K48" s="19"/>
      <x:c r="L48" s="19"/>
      <x:c r="M48" s="21"/>
    </x:row>
    <x:row r="49" spans="1:13">
      <x:c r="A49" s="23" t="s">
        <x:v>12</x:v>
      </x:c>
      <x:c r="B49" s="10"/>
      <x:c r="C49" s="17"/>
      <x:c r="D49" s="19"/>
      <x:c r="E49" s="19"/>
      <x:c r="F49" s="19"/>
      <x:c r="G49" s="19"/>
      <x:c r="H49" s="19"/>
      <x:c r="I49" s="19"/>
      <x:c r="J49" s="19"/>
      <x:c r="K49" s="19"/>
      <x:c r="L49" s="19"/>
      <x:c r="M49" s="21"/>
    </x:row>
    <x:row r="50" spans="1:13">
      <x:c r="A50" s="22"/>
      <x:c r="B50" s="17"/>
      <x:c r="C50" s="17"/>
      <x:c r="D50" s="19"/>
      <x:c r="E50" s="19"/>
      <x:c r="F50" s="19"/>
      <x:c r="G50" s="20"/>
      <x:c r="H50" s="19"/>
      <x:c r="I50" s="19"/>
      <x:c r="J50" s="19"/>
      <x:c r="K50" s="19"/>
      <x:c r="L50" s="19"/>
      <x:c r="M50" s="21"/>
    </x:row>
    <x:row r="51" spans="1:13">
      <x:c r="A51" s="21"/>
      <x:c r="B51" s="21"/>
      <x:c r="C51" s="17"/>
      <x:c r="D51" s="19"/>
      <x:c r="E51" s="19"/>
      <x:c r="F51" s="19"/>
      <x:c r="G51" s="19"/>
      <x:c r="H51" s="19"/>
      <x:c r="I51" s="19"/>
      <x:c r="J51" s="19"/>
      <x:c r="K51" s="19"/>
      <x:c r="L51" s="19"/>
      <x:c r="M51" s="21"/>
    </x:row>
    <x:row r="52" spans="1:13">
      <x:c r="A52" s="18" t="s">
        <x:v>28</x:v>
      </x:c>
      <x:c r="B52" s="21"/>
      <x:c r="C52" s="17"/>
      <x:c r="D52" s="19"/>
      <x:c r="E52" s="19"/>
      <x:c r="F52" s="19">
        <x:f>ROUNDDOWN(SUMIF(Q39:Q51,"1",F39:F51),0)</x:f>
        <x:v>0</x:v>
      </x:c>
      <x:c r="G52" s="19"/>
      <x:c r="H52" s="19">
        <x:f>ROUNDDOWN(SUMIF(Q39:Q51,"1",H39:H51),0)</x:f>
        <x:v>0</x:v>
      </x:c>
      <x:c r="I52" s="19"/>
      <x:c r="J52" s="19">
        <x:f>SUM(J39:J51)</x:f>
        <x:v>0</x:v>
      </x:c>
      <x:c r="K52" s="19"/>
      <x:c r="L52" s="19">
        <x:f>SUM(L39:L51)</x:f>
        <x:v>3053237</x:v>
      </x:c>
      <x:c r="M52" s="21"/>
    </x:row>
    <x:row r="53" spans="1:13">
      <x:c r="A53" s="21"/>
      <x:c r="B53" s="21"/>
      <x:c r="C53" s="17"/>
      <x:c r="D53" s="19"/>
      <x:c r="E53" s="19"/>
      <x:c r="F53" s="19"/>
      <x:c r="G53" s="19"/>
      <x:c r="H53" s="19"/>
      <x:c r="I53" s="19"/>
      <x:c r="J53" s="19"/>
      <x:c r="K53" s="19"/>
      <x:c r="L53" s="19"/>
      <x:c r="M53" s="21"/>
    </x:row>
    <x:row r="54" spans="1:13">
      <x:c r="A54" s="13" t="s">
        <x:v>13</x:v>
      </x:c>
      <x:c r="B54" s="10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</x:row>
    <x:row r="55" spans="1:13">
      <x:c r="A55" s="16" t="s">
        <x:v>29</x:v>
      </x:c>
      <x:c r="B55" s="17"/>
      <x:c r="C55" s="18" t="s">
        <x:v>1</x:v>
      </x:c>
      <x:c r="D55" s="19">
        <x:f>0.13*50%</x:f>
        <x:v>0.065000000000000002</x:v>
      </x:c>
      <x:c r="E55" s="19">
        <x:v>0</x:v>
      </x:c>
      <x:c r="F55" s="19">
        <x:f>ROUNDDOWN(D55*E55,1)</x:f>
        <x:v>0</x:v>
      </x:c>
      <x:c r="G55" s="20">
        <x:f>'[1]단가대비표'!M58</x:f>
        <x:v>275790</x:v>
      </x:c>
      <x:c r="H55" s="19">
        <x:f t="shared" ref="H55:H59" si="9">TRUNC(D55*G55,0)</x:f>
        <x:v>17926</x:v>
      </x:c>
      <x:c r="I55" s="19">
        <x:v>0</x:v>
      </x:c>
      <x:c r="J55" s="19">
        <x:f t="shared" ref="J55:J59" si="10">ROUNDDOWN(D55*I55,1)</x:f>
        <x:v>0</x:v>
      </x:c>
      <x:c r="K55" s="20">
        <x:f t="shared" ref="K55:L59" si="11">E55+G55+I55</x:f>
        <x:v>275790</x:v>
      </x:c>
      <x:c r="L55" s="19">
        <x:f t="shared" si="11"/>
        <x:v>17926</x:v>
      </x:c>
      <x:c r="M55" s="21"/>
    </x:row>
    <x:row r="56" spans="1:13">
      <x:c r="A56" s="16" t="s">
        <x:v>34</x:v>
      </x:c>
      <x:c r="B56" s="17"/>
      <x:c r="C56" s="18" t="s">
        <x:v>1</x:v>
      </x:c>
      <x:c r="D56" s="19">
        <x:f>2.13*50%</x:f>
        <x:v>1.0649999999999999</x:v>
      </x:c>
      <x:c r="E56" s="19"/>
      <x:c r="F56" s="19"/>
      <x:c r="G56" s="20">
        <x:f>'[1]단가대비표'!M59</x:f>
        <x:v>230376</x:v>
      </x:c>
      <x:c r="H56" s="19">
        <x:f t="shared" si="9"/>
        <x:v>245350</x:v>
      </x:c>
      <x:c r="I56" s="19">
        <x:v>0</x:v>
      </x:c>
      <x:c r="J56" s="19">
        <x:f t="shared" si="10"/>
        <x:v>0</x:v>
      </x:c>
      <x:c r="K56" s="20">
        <x:f t="shared" si="11"/>
        <x:v>230376</x:v>
      </x:c>
      <x:c r="L56" s="19">
        <x:f t="shared" si="11"/>
        <x:v>245350</x:v>
      </x:c>
      <x:c r="M56" s="21"/>
    </x:row>
    <x:row r="57" spans="1:13">
      <x:c r="A57" s="16" t="s">
        <x:v>2</x:v>
      </x:c>
      <x:c r="B57" s="17"/>
      <x:c r="C57" s="18" t="s">
        <x:v>1</x:v>
      </x:c>
      <x:c r="D57" s="19">
        <x:f>0.23*50%</x:f>
        <x:v>0.115</x:v>
      </x:c>
      <x:c r="E57" s="19"/>
      <x:c r="F57" s="19"/>
      <x:c r="G57" s="20">
        <x:f>'[1]단가대비표'!M60</x:f>
        <x:v>281939</x:v>
      </x:c>
      <x:c r="H57" s="19">
        <x:f t="shared" si="9"/>
        <x:v>32422</x:v>
      </x:c>
      <x:c r="I57" s="19">
        <x:v>0</x:v>
      </x:c>
      <x:c r="J57" s="19">
        <x:f t="shared" si="10"/>
        <x:v>0</x:v>
      </x:c>
      <x:c r="K57" s="20">
        <x:f t="shared" si="11"/>
        <x:v>281939</x:v>
      </x:c>
      <x:c r="L57" s="19">
        <x:f t="shared" si="11"/>
        <x:v>32422</x:v>
      </x:c>
      <x:c r="M57" s="21"/>
    </x:row>
    <x:row r="58" spans="1:13">
      <x:c r="A58" s="16" t="s">
        <x:v>14</x:v>
      </x:c>
      <x:c r="B58" s="17"/>
      <x:c r="C58" s="18" t="s">
        <x:v>1</x:v>
      </x:c>
      <x:c r="D58" s="19">
        <x:f>0.78*50%</x:f>
        <x:v>0.39000000000000001</x:v>
      </x:c>
      <x:c r="E58" s="19"/>
      <x:c r="F58" s="19"/>
      <x:c r="G58" s="20">
        <x:f>'[1]단가대비표'!M61</x:f>
        <x:v>283297</x:v>
      </x:c>
      <x:c r="H58" s="19">
        <x:f t="shared" si="9"/>
        <x:v>110485</x:v>
      </x:c>
      <x:c r="I58" s="19">
        <x:v>0</x:v>
      </x:c>
      <x:c r="J58" s="19">
        <x:f t="shared" si="10"/>
        <x:v>0</x:v>
      </x:c>
      <x:c r="K58" s="20">
        <x:f t="shared" si="11"/>
        <x:v>283297</x:v>
      </x:c>
      <x:c r="L58" s="19">
        <x:f t="shared" si="11"/>
        <x:v>110485</x:v>
      </x:c>
      <x:c r="M58" s="21"/>
    </x:row>
    <x:row r="59" spans="1:13">
      <x:c r="A59" s="16" t="s">
        <x:v>24</x:v>
      </x:c>
      <x:c r="B59" s="17"/>
      <x:c r="C59" s="18" t="s">
        <x:v>1</x:v>
      </x:c>
      <x:c r="D59" s="19">
        <x:f>9.91*50%</x:f>
        <x:v>4.9550000000000001</x:v>
      </x:c>
      <x:c r="E59" s="19"/>
      <x:c r="F59" s="19"/>
      <x:c r="G59" s="20">
        <x:f>'[1]단가대비표'!M62</x:f>
        <x:v>226122</x:v>
      </x:c>
      <x:c r="H59" s="19">
        <x:f t="shared" si="9"/>
        <x:v>1120434</x:v>
      </x:c>
      <x:c r="I59" s="19">
        <x:v>0</x:v>
      </x:c>
      <x:c r="J59" s="19">
        <x:f t="shared" si="10"/>
        <x:v>0</x:v>
      </x:c>
      <x:c r="K59" s="20">
        <x:f t="shared" si="11"/>
        <x:v>226122</x:v>
      </x:c>
      <x:c r="L59" s="19">
        <x:f t="shared" si="11"/>
        <x:v>1120434</x:v>
      </x:c>
      <x:c r="M59" s="21"/>
    </x:row>
    <x:row r="60" spans="1:13">
      <x:c r="A60" s="22"/>
      <x:c r="B60" s="17"/>
      <x:c r="C60" s="17"/>
      <x:c r="D60" s="19"/>
      <x:c r="E60" s="19"/>
      <x:c r="F60" s="19"/>
      <x:c r="G60" s="20"/>
      <x:c r="H60" s="19"/>
      <x:c r="I60" s="19"/>
      <x:c r="J60" s="19"/>
      <x:c r="K60" s="19"/>
      <x:c r="L60" s="19"/>
      <x:c r="M60" s="21"/>
    </x:row>
    <x:row r="61" spans="1:13">
      <x:c r="A61" s="22"/>
      <x:c r="B61" s="17"/>
      <x:c r="C61" s="17"/>
      <x:c r="D61" s="19"/>
      <x:c r="E61" s="19"/>
      <x:c r="F61" s="19"/>
      <x:c r="G61" s="20"/>
      <x:c r="H61" s="19"/>
      <x:c r="I61" s="19"/>
      <x:c r="J61" s="19"/>
      <x:c r="K61" s="19"/>
      <x:c r="L61" s="19"/>
      <x:c r="M61" s="21"/>
    </x:row>
    <x:row r="62" spans="1:13">
      <x:c r="A62" s="22"/>
      <x:c r="B62" s="17"/>
      <x:c r="C62" s="17"/>
      <x:c r="D62" s="19"/>
      <x:c r="E62" s="19"/>
      <x:c r="F62" s="19"/>
      <x:c r="G62" s="20"/>
      <x:c r="H62" s="19"/>
      <x:c r="I62" s="19"/>
      <x:c r="J62" s="19"/>
      <x:c r="K62" s="19"/>
      <x:c r="L62" s="19"/>
      <x:c r="M62" s="21"/>
    </x:row>
    <x:row r="63" spans="1:13">
      <x:c r="A63" s="22"/>
      <x:c r="B63" s="17"/>
      <x:c r="C63" s="17"/>
      <x:c r="D63" s="19"/>
      <x:c r="E63" s="19"/>
      <x:c r="F63" s="19"/>
      <x:c r="G63" s="20"/>
      <x:c r="H63" s="19"/>
      <x:c r="I63" s="19"/>
      <x:c r="J63" s="19"/>
      <x:c r="K63" s="19"/>
      <x:c r="L63" s="19"/>
      <x:c r="M63" s="21"/>
    </x:row>
    <x:row r="64" spans="1:13">
      <x:c r="A64" s="22"/>
      <x:c r="B64" s="17"/>
      <x:c r="C64" s="17"/>
      <x:c r="D64" s="19"/>
      <x:c r="E64" s="19"/>
      <x:c r="F64" s="19"/>
      <x:c r="G64" s="20"/>
      <x:c r="H64" s="19"/>
      <x:c r="I64" s="19"/>
      <x:c r="J64" s="19"/>
      <x:c r="K64" s="19"/>
      <x:c r="L64" s="19"/>
      <x:c r="M64" s="21"/>
    </x:row>
    <x:row r="65" spans="1:13">
      <x:c r="A65" s="22"/>
      <x:c r="B65" s="17"/>
      <x:c r="C65" s="17"/>
      <x:c r="D65" s="19"/>
      <x:c r="E65" s="19"/>
      <x:c r="F65" s="19"/>
      <x:c r="G65" s="20"/>
      <x:c r="H65" s="19"/>
      <x:c r="I65" s="19"/>
      <x:c r="J65" s="19"/>
      <x:c r="K65" s="19"/>
      <x:c r="L65" s="19"/>
      <x:c r="M65" s="21"/>
    </x:row>
    <x:row r="66" spans="1:13">
      <x:c r="A66" s="23" t="s">
        <x:v>6</x:v>
      </x:c>
      <x:c r="B66" s="10"/>
      <x:c r="C66" s="17"/>
      <x:c r="D66" s="19"/>
      <x:c r="E66" s="19"/>
      <x:c r="F66" s="19"/>
      <x:c r="G66" s="19"/>
      <x:c r="H66" s="19"/>
      <x:c r="I66" s="19"/>
      <x:c r="J66" s="19"/>
      <x:c r="K66" s="19"/>
      <x:c r="L66" s="19"/>
      <x:c r="M66" s="21"/>
    </x:row>
    <x:row r="67" spans="1:13">
      <x:c r="A67" s="22"/>
      <x:c r="B67" s="17"/>
      <x:c r="C67" s="17"/>
      <x:c r="D67" s="19"/>
      <x:c r="E67" s="19"/>
      <x:c r="F67" s="19"/>
      <x:c r="G67" s="20"/>
      <x:c r="H67" s="19"/>
      <x:c r="I67" s="19"/>
      <x:c r="J67" s="19"/>
      <x:c r="K67" s="19"/>
      <x:c r="L67" s="19"/>
      <x:c r="M67" s="21"/>
    </x:row>
    <x:row r="68" spans="1:13">
      <x:c r="A68" s="21"/>
      <x:c r="B68" s="21"/>
      <x:c r="C68" s="17"/>
      <x:c r="D68" s="19"/>
      <x:c r="E68" s="19"/>
      <x:c r="F68" s="19"/>
      <x:c r="G68" s="19"/>
      <x:c r="H68" s="19"/>
      <x:c r="I68" s="19"/>
      <x:c r="J68" s="19"/>
      <x:c r="K68" s="19"/>
      <x:c r="L68" s="19"/>
      <x:c r="M68" s="21"/>
    </x:row>
    <x:row r="69" spans="1:13">
      <x:c r="A69" s="18" t="s">
        <x:v>28</x:v>
      </x:c>
      <x:c r="B69" s="21"/>
      <x:c r="C69" s="17"/>
      <x:c r="D69" s="19"/>
      <x:c r="E69" s="19"/>
      <x:c r="F69" s="19">
        <x:f>ROUNDDOWN(SUMIF(Q55:Q68,"1",F55:F68),0)</x:f>
        <x:v>0</x:v>
      </x:c>
      <x:c r="G69" s="19"/>
      <x:c r="H69" s="19">
        <x:f>ROUNDDOWN(SUMIF(Q55:Q68,"1",H55:H68),0)</x:f>
        <x:v>0</x:v>
      </x:c>
      <x:c r="I69" s="19"/>
      <x:c r="J69" s="19">
        <x:f>SUM(J55:J68)</x:f>
        <x:v>0</x:v>
      </x:c>
      <x:c r="K69" s="19"/>
      <x:c r="L69" s="19">
        <x:f>SUM(L55:L68)</x:f>
        <x:v>1526617</x:v>
      </x:c>
      <x:c r="M69" s="21"/>
    </x:row>
    <x:row r="70" spans="1:13">
      <x:c r="A70" s="21"/>
      <x:c r="B70" s="21"/>
      <x:c r="C70" s="17"/>
      <x:c r="D70" s="19"/>
      <x:c r="E70" s="19"/>
      <x:c r="F70" s="19"/>
      <x:c r="G70" s="19"/>
      <x:c r="H70" s="19"/>
      <x:c r="I70" s="19"/>
      <x:c r="J70" s="19"/>
      <x:c r="K70" s="19"/>
      <x:c r="L70" s="19"/>
      <x:c r="M70" s="21"/>
    </x:row>
    <x:row r="71" spans="1:13">
      <x:c r="A71" s="25"/>
      <x:c r="B71" s="25"/>
      <x:c r="C71" s="26"/>
      <x:c r="D71" s="27"/>
      <x:c r="E71" s="27"/>
      <x:c r="F71" s="27"/>
      <x:c r="G71" s="27"/>
      <x:c r="H71" s="27"/>
      <x:c r="I71" s="27"/>
      <x:c r="J71" s="27"/>
      <x:c r="K71" s="27"/>
      <x:c r="L71" s="27"/>
      <x:c r="M71" s="25"/>
    </x:row>
    <x:row r="72" spans="1:13">
      <x:c r="A72" s="25"/>
      <x:c r="B72" s="25"/>
      <x:c r="C72" s="26"/>
      <x:c r="D72" s="27"/>
      <x:c r="E72" s="27"/>
      <x:c r="F72" s="27"/>
      <x:c r="G72" s="27"/>
      <x:c r="H72" s="27"/>
      <x:c r="I72" s="27"/>
      <x:c r="J72" s="27"/>
      <x:c r="K72" s="27"/>
      <x:c r="L72" s="27"/>
      <x:c r="M72" s="25"/>
    </x:row>
    <x:row r="73" spans="1:13">
      <x:c r="A73" s="25"/>
      <x:c r="B73" s="25"/>
      <x:c r="C73" s="26"/>
      <x:c r="D73" s="27"/>
      <x:c r="E73" s="27"/>
      <x:c r="F73" s="27"/>
      <x:c r="G73" s="27"/>
      <x:c r="H73" s="27"/>
      <x:c r="I73" s="27"/>
      <x:c r="J73" s="27"/>
      <x:c r="K73" s="27"/>
      <x:c r="L73" s="27"/>
      <x:c r="M73" s="25"/>
    </x:row>
    <x:row r="74" spans="1:13">
      <x:c r="A74" s="25"/>
      <x:c r="B74" s="25"/>
      <x:c r="C74" s="26"/>
      <x:c r="D74" s="27"/>
      <x:c r="E74" s="27"/>
      <x:c r="F74" s="27"/>
      <x:c r="G74" s="27"/>
      <x:c r="H74" s="27"/>
      <x:c r="I74" s="27"/>
      <x:c r="J74" s="27"/>
      <x:c r="K74" s="27"/>
      <x:c r="L74" s="27"/>
      <x:c r="M74" s="25"/>
    </x:row>
    <x:row r="75" spans="1:13">
      <x:c r="A75" s="25"/>
      <x:c r="B75" s="25"/>
      <x:c r="C75" s="26"/>
      <x:c r="D75" s="27"/>
      <x:c r="E75" s="27"/>
      <x:c r="F75" s="27"/>
      <x:c r="G75" s="27"/>
      <x:c r="H75" s="27"/>
      <x:c r="I75" s="27"/>
      <x:c r="J75" s="27"/>
      <x:c r="K75" s="27"/>
      <x:c r="L75" s="27"/>
      <x:c r="M75" s="25"/>
    </x:row>
    <x:row r="76" spans="1:13">
      <x:c r="A76" s="25"/>
      <x:c r="B76" s="25"/>
      <x:c r="C76" s="26"/>
      <x:c r="D76" s="27"/>
      <x:c r="E76" s="27"/>
      <x:c r="F76" s="27"/>
      <x:c r="G76" s="27"/>
      <x:c r="H76" s="27"/>
      <x:c r="I76" s="27"/>
      <x:c r="J76" s="27"/>
      <x:c r="K76" s="27"/>
      <x:c r="L76" s="27"/>
      <x:c r="M76" s="25"/>
    </x:row>
    <x:row r="77" spans="1:13">
      <x:c r="A77" s="25"/>
      <x:c r="B77" s="25"/>
      <x:c r="C77" s="26"/>
      <x:c r="D77" s="27"/>
      <x:c r="E77" s="27"/>
      <x:c r="F77" s="27"/>
      <x:c r="G77" s="27"/>
      <x:c r="H77" s="27"/>
      <x:c r="I77" s="27"/>
      <x:c r="J77" s="27"/>
      <x:c r="K77" s="27"/>
      <x:c r="L77" s="27"/>
      <x:c r="M77" s="25"/>
    </x:row>
    <x:row r="78" spans="1:13">
      <x:c r="A78" s="25"/>
      <x:c r="B78" s="25"/>
      <x:c r="C78" s="26"/>
      <x:c r="D78" s="27"/>
      <x:c r="E78" s="27"/>
      <x:c r="F78" s="27"/>
      <x:c r="G78" s="27"/>
      <x:c r="H78" s="27"/>
      <x:c r="I78" s="27"/>
      <x:c r="J78" s="27"/>
      <x:c r="K78" s="27"/>
      <x:c r="L78" s="27"/>
      <x:c r="M78" s="25"/>
    </x:row>
    <x:row r="79" spans="1:13">
      <x:c r="A79" s="25"/>
      <x:c r="B79" s="25"/>
      <x:c r="C79" s="26"/>
      <x:c r="D79" s="27"/>
      <x:c r="E79" s="27"/>
      <x:c r="F79" s="27"/>
      <x:c r="G79" s="27"/>
      <x:c r="H79" s="27"/>
      <x:c r="I79" s="27"/>
      <x:c r="J79" s="27"/>
      <x:c r="K79" s="27"/>
      <x:c r="L79" s="27"/>
      <x:c r="M79" s="25"/>
    </x:row>
    <x:row r="80" spans="1:13">
      <x:c r="A80" s="25"/>
      <x:c r="B80" s="25"/>
      <x:c r="C80" s="26"/>
      <x:c r="D80" s="27"/>
      <x:c r="E80" s="27"/>
      <x:c r="F80" s="27"/>
      <x:c r="G80" s="27"/>
      <x:c r="H80" s="27"/>
      <x:c r="I80" s="27"/>
      <x:c r="J80" s="27"/>
      <x:c r="K80" s="27"/>
      <x:c r="L80" s="27"/>
      <x:c r="M80" s="25"/>
    </x:row>
    <x:row r="81" spans="1:13">
      <x:c r="A81" s="25"/>
      <x:c r="B81" s="25"/>
      <x:c r="C81" s="26"/>
      <x:c r="D81" s="27"/>
      <x:c r="E81" s="27"/>
      <x:c r="F81" s="27"/>
      <x:c r="G81" s="27"/>
      <x:c r="H81" s="27"/>
      <x:c r="I81" s="27"/>
      <x:c r="J81" s="27"/>
      <x:c r="K81" s="27"/>
      <x:c r="L81" s="27"/>
      <x:c r="M81" s="25"/>
    </x:row>
    <x:row r="82" spans="1:13">
      <x:c r="A82" s="25"/>
      <x:c r="B82" s="25"/>
      <x:c r="C82" s="26"/>
      <x:c r="D82" s="27"/>
      <x:c r="E82" s="27"/>
      <x:c r="F82" s="27"/>
      <x:c r="G82" s="27"/>
      <x:c r="H82" s="27"/>
      <x:c r="I82" s="27"/>
      <x:c r="J82" s="27"/>
      <x:c r="K82" s="27"/>
      <x:c r="L82" s="27"/>
      <x:c r="M82" s="25"/>
    </x:row>
    <x:row r="83" spans="1:13">
      <x:c r="A83" s="25"/>
      <x:c r="B83" s="25"/>
      <x:c r="C83" s="26"/>
      <x:c r="D83" s="27"/>
      <x:c r="E83" s="27"/>
      <x:c r="F83" s="27"/>
      <x:c r="G83" s="27"/>
      <x:c r="H83" s="27"/>
      <x:c r="I83" s="27"/>
      <x:c r="J83" s="27"/>
      <x:c r="K83" s="27"/>
      <x:c r="L83" s="27"/>
      <x:c r="M83" s="25"/>
    </x:row>
    <x:row r="84" spans="1:13">
      <x:c r="A84" s="25"/>
      <x:c r="B84" s="25"/>
      <x:c r="C84" s="26"/>
      <x:c r="D84" s="27"/>
      <x:c r="E84" s="27"/>
      <x:c r="F84" s="27"/>
      <x:c r="G84" s="27"/>
      <x:c r="H84" s="27"/>
      <x:c r="I84" s="27"/>
      <x:c r="J84" s="27"/>
      <x:c r="K84" s="27"/>
      <x:c r="L84" s="27"/>
      <x:c r="M84" s="25"/>
    </x:row>
    <x:row r="85" spans="1:13">
      <x:c r="A85" s="25"/>
      <x:c r="B85" s="25"/>
      <x:c r="C85" s="26"/>
      <x:c r="D85" s="27"/>
      <x:c r="E85" s="27"/>
      <x:c r="F85" s="27"/>
      <x:c r="G85" s="27"/>
      <x:c r="H85" s="27"/>
      <x:c r="I85" s="27"/>
      <x:c r="J85" s="27"/>
      <x:c r="K85" s="27"/>
      <x:c r="L85" s="27"/>
      <x:c r="M85" s="25"/>
    </x:row>
    <x:row r="86" spans="1:13">
      <x:c r="A86" s="25"/>
      <x:c r="B86" s="25"/>
      <x:c r="C86" s="26"/>
      <x:c r="D86" s="27"/>
      <x:c r="E86" s="27"/>
      <x:c r="F86" s="27"/>
      <x:c r="G86" s="27"/>
      <x:c r="H86" s="27"/>
      <x:c r="I86" s="27"/>
      <x:c r="J86" s="27"/>
      <x:c r="K86" s="27"/>
      <x:c r="L86" s="27"/>
      <x:c r="M86" s="25"/>
    </x:row>
    <x:row r="87" spans="1:13">
      <x:c r="A87" s="25"/>
      <x:c r="B87" s="25"/>
      <x:c r="C87" s="26"/>
      <x:c r="D87" s="27"/>
      <x:c r="E87" s="27"/>
      <x:c r="F87" s="27"/>
      <x:c r="G87" s="27"/>
      <x:c r="H87" s="27"/>
      <x:c r="I87" s="27"/>
      <x:c r="J87" s="27"/>
      <x:c r="K87" s="27"/>
      <x:c r="L87" s="27"/>
      <x:c r="M87" s="25"/>
    </x:row>
    <x:row r="88" spans="1:13">
      <x:c r="A88" s="25"/>
      <x:c r="B88" s="25"/>
      <x:c r="C88" s="26"/>
      <x:c r="D88" s="27"/>
      <x:c r="E88" s="27"/>
      <x:c r="F88" s="27"/>
      <x:c r="G88" s="27"/>
      <x:c r="H88" s="27"/>
      <x:c r="I88" s="27"/>
      <x:c r="J88" s="27"/>
      <x:c r="K88" s="27"/>
      <x:c r="L88" s="27"/>
      <x:c r="M88" s="25"/>
    </x:row>
    <x:row r="89" spans="1:13">
      <x:c r="A89" s="25"/>
      <x:c r="B89" s="25"/>
      <x:c r="C89" s="26"/>
      <x:c r="D89" s="27"/>
      <x:c r="E89" s="27"/>
      <x:c r="F89" s="27"/>
      <x:c r="G89" s="27"/>
      <x:c r="H89" s="27"/>
      <x:c r="I89" s="27"/>
      <x:c r="J89" s="27"/>
      <x:c r="K89" s="27"/>
      <x:c r="L89" s="27"/>
      <x:c r="M89" s="25"/>
    </x:row>
    <x:row r="90" spans="1:13">
      <x:c r="A90" s="25"/>
      <x:c r="B90" s="25"/>
      <x:c r="C90" s="26"/>
      <x:c r="D90" s="27"/>
      <x:c r="E90" s="27"/>
      <x:c r="F90" s="27"/>
      <x:c r="G90" s="27"/>
      <x:c r="H90" s="27"/>
      <x:c r="I90" s="27"/>
      <x:c r="J90" s="27"/>
      <x:c r="K90" s="27"/>
      <x:c r="L90" s="27"/>
      <x:c r="M90" s="25"/>
    </x:row>
    <x:row r="91" spans="1:13">
      <x:c r="A91" s="25"/>
      <x:c r="B91" s="25"/>
      <x:c r="C91" s="26"/>
      <x:c r="D91" s="27"/>
      <x:c r="E91" s="27"/>
      <x:c r="F91" s="27"/>
      <x:c r="G91" s="27"/>
      <x:c r="H91" s="27"/>
      <x:c r="I91" s="27"/>
      <x:c r="J91" s="27"/>
      <x:c r="K91" s="27"/>
      <x:c r="L91" s="27"/>
      <x:c r="M91" s="25"/>
    </x:row>
    <x:row r="92" spans="1:13">
      <x:c r="A92" s="25"/>
      <x:c r="B92" s="25"/>
      <x:c r="C92" s="26"/>
      <x:c r="D92" s="27"/>
      <x:c r="E92" s="27"/>
      <x:c r="F92" s="27"/>
      <x:c r="G92" s="27"/>
      <x:c r="H92" s="27"/>
      <x:c r="I92" s="27"/>
      <x:c r="J92" s="27"/>
      <x:c r="K92" s="27"/>
      <x:c r="L92" s="27"/>
      <x:c r="M92" s="25"/>
    </x:row>
    <x:row r="93" spans="1:13">
      <x:c r="A93" s="25"/>
      <x:c r="B93" s="25"/>
      <x:c r="C93" s="26"/>
      <x:c r="D93" s="27"/>
      <x:c r="E93" s="27"/>
      <x:c r="F93" s="27"/>
      <x:c r="G93" s="27"/>
      <x:c r="H93" s="27"/>
      <x:c r="I93" s="27"/>
      <x:c r="J93" s="27"/>
      <x:c r="K93" s="27"/>
      <x:c r="L93" s="27"/>
      <x:c r="M93" s="25"/>
    </x:row>
    <x:row r="94" spans="1:13">
      <x:c r="A94" s="25"/>
      <x:c r="B94" s="25"/>
      <x:c r="C94" s="26"/>
      <x:c r="D94" s="27"/>
      <x:c r="E94" s="27"/>
      <x:c r="F94" s="27"/>
      <x:c r="G94" s="27"/>
      <x:c r="H94" s="27"/>
      <x:c r="I94" s="27"/>
      <x:c r="J94" s="27"/>
      <x:c r="K94" s="27"/>
      <x:c r="L94" s="27"/>
      <x:c r="M94" s="25"/>
    </x:row>
    <x:row r="95" spans="1:13">
      <x:c r="A95" s="25"/>
      <x:c r="B95" s="25"/>
      <x:c r="C95" s="26"/>
      <x:c r="D95" s="27"/>
      <x:c r="E95" s="27"/>
      <x:c r="F95" s="27"/>
      <x:c r="G95" s="27"/>
      <x:c r="H95" s="27"/>
      <x:c r="I95" s="27"/>
      <x:c r="J95" s="27"/>
      <x:c r="K95" s="27"/>
      <x:c r="L95" s="27"/>
      <x:c r="M95" s="25"/>
    </x:row>
    <x:row r="96" spans="1:13">
      <x:c r="A96" s="25"/>
      <x:c r="B96" s="25"/>
      <x:c r="C96" s="26"/>
      <x:c r="D96" s="27"/>
      <x:c r="E96" s="27"/>
      <x:c r="F96" s="27"/>
      <x:c r="G96" s="27"/>
      <x:c r="H96" s="27"/>
      <x:c r="I96" s="27"/>
      <x:c r="J96" s="27"/>
      <x:c r="K96" s="27"/>
      <x:c r="L96" s="27"/>
      <x:c r="M96" s="25"/>
    </x:row>
    <x:row r="97" spans="1:13">
      <x:c r="A97" s="25"/>
      <x:c r="B97" s="25"/>
      <x:c r="C97" s="26"/>
      <x:c r="D97" s="27"/>
      <x:c r="E97" s="27"/>
      <x:c r="F97" s="27"/>
      <x:c r="G97" s="27"/>
      <x:c r="H97" s="27"/>
      <x:c r="I97" s="27"/>
      <x:c r="J97" s="27"/>
      <x:c r="K97" s="27"/>
      <x:c r="L97" s="27"/>
      <x:c r="M97" s="25"/>
    </x:row>
    <x:row r="98" spans="1:13">
      <x:c r="A98" s="25"/>
      <x:c r="B98" s="25"/>
      <x:c r="C98" s="26"/>
      <x:c r="D98" s="27"/>
      <x:c r="E98" s="27"/>
      <x:c r="F98" s="27"/>
      <x:c r="G98" s="27"/>
      <x:c r="H98" s="27"/>
      <x:c r="I98" s="27"/>
      <x:c r="J98" s="27"/>
      <x:c r="K98" s="27"/>
      <x:c r="L98" s="27"/>
      <x:c r="M98" s="25"/>
    </x:row>
    <x:row r="99" spans="1:13">
      <x:c r="A99" s="25"/>
      <x:c r="B99" s="25"/>
      <x:c r="C99" s="26"/>
      <x:c r="D99" s="27"/>
      <x:c r="E99" s="27"/>
      <x:c r="F99" s="27"/>
      <x:c r="G99" s="27"/>
      <x:c r="H99" s="27"/>
      <x:c r="I99" s="27"/>
      <x:c r="J99" s="27"/>
      <x:c r="K99" s="27"/>
      <x:c r="L99" s="27"/>
      <x:c r="M99" s="25"/>
    </x:row>
    <x:row r="100" spans="1:13">
      <x:c r="A100" s="25"/>
      <x:c r="B100" s="25"/>
      <x:c r="C100" s="26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5"/>
    </x:row>
    <x:row r="101" spans="1:13">
      <x:c r="A101" s="25"/>
      <x:c r="B101" s="25"/>
      <x:c r="C101" s="26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5"/>
    </x:row>
    <x:row r="102" spans="1:13">
      <x:c r="A102" s="25"/>
      <x:c r="B102" s="25"/>
      <x:c r="C102" s="26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5"/>
    </x:row>
  </x:sheetData>
  <x:mergeCells count="19">
    <x:mergeCell ref="A1:D1"/>
    <x:mergeCell ref="A2:M2"/>
    <x:mergeCell ref="A5:A6"/>
    <x:mergeCell ref="B5:B6"/>
    <x:mergeCell ref="C5:C6"/>
    <x:mergeCell ref="D5:D6"/>
    <x:mergeCell ref="E5:F5"/>
    <x:mergeCell ref="G5:H5"/>
    <x:mergeCell ref="I5:J5"/>
    <x:mergeCell ref="K5:L5"/>
    <x:mergeCell ref="M5:M6"/>
    <x:mergeCell ref="A7:B7"/>
    <x:mergeCell ref="A18:B18"/>
    <x:mergeCell ref="A22:B22"/>
    <x:mergeCell ref="A33:B33"/>
    <x:mergeCell ref="A38:B38"/>
    <x:mergeCell ref="A49:B49"/>
    <x:mergeCell ref="A54:B54"/>
    <x:mergeCell ref="A66:B66"/>
  </x:mergeCells>
  <x:conditionalFormatting sqref="A55:M65 A67:M70 A39:M48 A50:M53 A23:M32 A34:M37 A21:M21 A22:A22 C22:M22 A66:A66 C66:M66 A54:A54 C54:M54 A49:A49 C49:M49 A38:A38 C38:M38 A33:A33 C33:M33 A7:A7 A8:M17 M7:M7 A18:A20 C18:M20">
    <x:cfRule type="containsText" dxfId="0" priority="1" stopIfTrue="1" operator="containsText" text=".">
      <x:formula>NOT(ISERROR(SEARCH(("."),(A7))))</x:formula>
    </x:cfRule>
  </x:conditionalFormatting>
  <x:conditionalFormatting sqref="A55:M65 A67:M70 A39:M48 A50:M53 A23:M32 A34:M37 A21:M21 A22:A22 C22:M22 A66:A66 C66:M66 A54:A54 C54:M54 A49:A49 C49:M49 A38:A38 C38:M38 A33:A33 C33:M33 A7:A7 A8:M17 M7:M7 A18:A20 C18:M20">
    <x:cfRule type="containsText" dxfId="0" priority="2" stopIfTrue="1" operator="containsText" text=".">
      <x:formula>ISERROR(SEARCH(("."),(A7)))</x:formula>
    </x:cfRule>
  </x:conditionalFormatting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3</cp:revision>
  <dcterms:created xsi:type="dcterms:W3CDTF">2026-06-27T15:25:33.601</dcterms:created>
  <dcterms:modified xsi:type="dcterms:W3CDTF">2026-06-27T15:36:30.240</dcterms:modified>
  <cp:version>1300.0100.01</cp:version>
</cp:coreProperties>
</file>