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vibe_2706\kiba_2026\docs\원가계산보고서샘플\"/>
    </mc:Choice>
  </mc:AlternateContent>
  <x:bookViews>
    <x:workbookView xWindow="0" yWindow="0" windowWidth="22788" windowHeight="811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<x:sst xmlns:r="http://schemas.openxmlformats.org/officeDocument/2006/relationships" xmlns:c="http://schemas.openxmlformats.org/drawingml/2006/chart" xmlns:x="http://schemas.openxmlformats.org/spreadsheetml/2006/main" count="176" uniqueCount="114">
  <x:si>
    <x:t>ROUND BAR-SS400</x:t>
  </x:si>
  <x:si>
    <x:t>HEATING CABLE</x:t>
  </x:si>
  <x:si>
    <x:t>용접ELBOW-STS304</x:t>
  </x:si>
  <x:si>
    <x:t>HEX.B/N-STS304</x:t>
  </x:si>
  <x:si>
    <x:t>LIFT LUG-STS304</x:t>
  </x:si>
  <x:si>
    <x:t>MAN HOLE-STS304</x:t>
  </x:si>
  <x:si>
    <x:t>NOZZLE-STS304</x:t>
  </x:si>
  <x:si>
    <x:t>FLEXIBLE-STS304</x:t>
  </x:si>
  <x:si>
    <x:t>FLANGE-STS304</x:t>
  </x:si>
  <x:si>
    <x:t>조사기준 : 2026년 6월</x:t>
  </x:si>
  <x:si>
    <x:t>ULKS (ALL SUS)</x:t>
  </x:si>
  <x:si>
    <x:t>HAND RAIL-SGP</x:t>
  </x:si>
  <x:si>
    <x:t>용접TEE-STS304</x:t>
  </x:si>
  <x:si>
    <x:t>LADDER-SS400</x:t>
  </x:si>
  <x:si>
    <x:t>배관공</x:t>
  </x:si>
  <x:si>
    <x:t>Φ19</x:t>
  </x:si>
  <x:si>
    <x:t>M16</x:t>
  </x:si>
  <x:si>
    <x:t>C업체</x:t>
  </x:si>
  <x:si>
    <x:t>비 고</x:t>
  </x:si>
  <x:si>
    <x:t>SH</x:t>
  </x:si>
  <x:si>
    <x:t>M</x:t>
  </x:si>
  <x:si>
    <x:t>"</x:t>
  </x:si>
  <x:si>
    <x:t>SET</x:t>
  </x:si>
  <x:si>
    <x:t>A업체</x:t>
  </x:si>
  <x:si>
    <x:t>인</x:t>
  </x:si>
  <x:si>
    <x:t>EA</x:t>
  </x:si>
  <x:si>
    <x:t>비계공</x:t>
  </x:si>
  <x:si>
    <x:t>B업체</x:t>
  </x:si>
  <x:si>
    <x:t>25A</x:t>
  </x:si>
  <x:si>
    <x:t>본</x:t>
  </x:si>
  <x:si>
    <x:t>50A</x:t>
  </x:si>
  <x:si>
    <x:t>Φ18</x:t>
  </x:si>
  <x:si>
    <x:t>가공비</x:t>
  </x:si>
  <x:si>
    <x:t>30W</x:t>
  </x:si>
  <x:si>
    <x:t>제작비</x:t>
  </x:si>
  <x:si>
    <x:t>2"</x:t>
  </x:si>
  <x:si>
    <x:t>t50</x:t>
  </x:si>
  <x:si>
    <x:t>LOT</x:t>
  </x:si>
  <x:si>
    <x:t>32A</x:t>
  </x:si>
  <x:si>
    <x:t>보온공</x:t>
  </x:si>
  <x:si>
    <x:t>단위</x:t>
  </x:si>
  <x:si>
    <x:t>운반비</x:t>
  </x:si>
  <x:si>
    <x:t>t20</x:t>
  </x:si>
  <x:si>
    <x:t>단가</x:t>
  </x:si>
  <x:si>
    <x:t>BOTTOM CONE PLATE-STS304</x:t>
  </x:si>
  <x:si>
    <x:t>ROOF PLATE-STS304</x:t>
  </x:si>
  <x:si>
    <x:t>SHELL PLATE-STS304</x:t>
  </x:si>
  <x:si>
    <x:t>단가대비표의 조사단가는 수기입력</x:t>
  </x:si>
  <x:si>
    <x:t>Q-COUPLING-STS304</x:t>
  </x:si>
  <x:si>
    <x:t>BREATH VALVE-STS304</x:t>
  </x:si>
  <x:si>
    <x:t>TOP ANGLE-STS304</x:t>
  </x:si>
  <x:si>
    <x:t>LEVEL GAUGE-STS304</x:t>
  </x:si>
  <x:si>
    <x:t>BALL VALVE-STS304</x:t>
  </x:si>
  <x:si>
    <x:t>INSULATIN ANGLE-SS400</x:t>
  </x:si>
  <x:si>
    <x:t>INTERNAL LADDER-STS304</x:t>
  </x:si>
  <x:si>
    <x:t>LOADCELL FRAME-SS400</x:t>
  </x:si>
  <x:si>
    <x:t xml:space="preserve">배관공(55)~보온공(63) 까지 적용단가 (M)은 수기 </x:t>
  </x:si>
  <x:si>
    <x:t>CONTROL PANNEL(온도CONTROLLER)</x:t>
  </x:si>
  <x:si>
    <x:t>규     격</x:t>
  </x:si>
  <x:si>
    <x:t>품     명</x:t>
  </x:si>
  <x:si>
    <x:t>Page</x:t>
  </x:si>
  <x:si>
    <x:t>&lt;표 5&gt;</x:t>
  </x:si>
  <x:si>
    <x:t>건설기계운전사</x:t>
  </x:si>
  <x:si>
    <x:t>자재+인건비</x:t>
  </x:si>
  <x:si>
    <x:t>물가정보</x:t>
  </x:si>
  <x:si>
    <x:t>8915C</x:t>
  </x:si>
  <x:si>
    <x:t>80A*10K</x:t>
  </x:si>
  <x:si>
    <x:t>산세척비</x:t>
  </x:si>
  <x:si>
    <x:t>전기판넬</x:t>
  </x:si>
  <x:si>
    <x:t>Φ500</x:t>
  </x:si>
  <x:si>
    <x:t>50A,80A</x:t>
  </x:si>
  <x:si>
    <x:t>외부표시기</x:t>
  </x:si>
  <x:si>
    <x:t>인디케이터</x:t>
  </x:si>
  <x:si>
    <x:t>기계설비공</x:t>
  </x:si>
  <x:si>
    <x:t>배관보온공사비</x:t>
  </x:si>
  <x:si>
    <x:t>50A*10K</x:t>
  </x:si>
  <x:si>
    <x:t>특별인부</x:t>
  </x:si>
  <x:si>
    <x:t>충수검사</x:t>
  </x:si>
  <x:si>
    <x:t>장비사용료</x:t>
  </x:si>
  <x:si>
    <x:t>AD510A</x:t>
  </x:si>
  <x:si>
    <x:t>조사단가</x:t>
  </x:si>
  <x:si>
    <x:t>보통인부</x:t>
  </x:si>
  <x:si>
    <x:t>현장설치비</x:t>
  </x:si>
  <x:si>
    <x:t>적용단가</x:t>
  </x:si>
  <x:si>
    <x:t>50A*S10</x:t>
  </x:si>
  <x:si>
    <x:t>거래가격</x:t>
  </x:si>
  <x:si>
    <x:t>형틀목공</x:t>
  </x:si>
  <x:si>
    <x:t>L-65*65*t6</x:t>
  </x:si>
  <x:si>
    <x:t>PIPE-STS304</x:t>
  </x:si>
  <x:si>
    <x:t>FULL WATER</x:t>
  </x:si>
  <x:si>
    <x:t>FB-50*t9</x:t>
  </x:si>
  <x:si>
    <x:t>LEG-SS400</x:t>
  </x:si>
  <x:si>
    <x:t>L-50*50*t6</x:t>
  </x:si>
  <x:si>
    <x:t>t6*5'*9200</x:t>
  </x:si>
  <x:si>
    <x:t>t8*5'*10'</x:t>
  </x:si>
  <x:si>
    <x:t>t5*5'*9200</x:t>
  </x:si>
  <x:si>
    <x:t>FLOT TYPE</x:t>
  </x:si>
  <x:si>
    <x:t>LOAD CELL</x:t>
  </x:si>
  <x:si>
    <x:t>ADIP-SUS 외함</x:t>
  </x:si>
  <x:si>
    <x:t>GASKET-EPDM</x:t>
  </x:si>
  <x:si>
    <x:t>Summing Box</x:t>
  </x:si>
  <x:si>
    <x:t>GLASS WOOL</x:t>
  </x:si>
  <x:si>
    <x:t>FB-38*t6</x:t>
  </x:si>
  <x:si>
    <x:t>FB-50*t6</x:t>
  </x:si>
  <x:si>
    <x:t>t4*5'*10'</x:t>
  </x:si>
  <x:si>
    <x:t>50A*L300</x:t>
  </x:si>
  <x:si>
    <x:t>AD310(4P)</x:t>
  </x:si>
  <x:si>
    <x:t>H-150*150</x:t>
  </x:si>
  <x:si>
    <x:t>단 가 대 비 표</x:t>
  </x:si>
  <x:si>
    <x:t>COLOR SHEET</x:t>
  </x:si>
  <x:si>
    <x:t>용접부 비파괴검사</x:t>
  </x:si>
  <x:si>
    <x:t>플랜트기계설치공</x:t>
  </x:si>
  <x:si>
    <x:t>PAINTING비</x:t>
  </x:si>
  <x:si>
    <x:t>COLOR CHECK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</x:si>
</x:sst>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&quot;&lt;표 1-&quot;###&quot;&gt;&quot;"/>
    <x:numFmt numFmtId="165" formatCode="_-* #,##0_-;\-* #,##0_-;_-* &quot;-&quot;_-;_-@"/>
  </x:numFmts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ptos Narrow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10"/>
          <x:color rgb="ff000000"/>
        </x:font>
      </mc:Fallback>
    </mc:AlternateContent>
    <x:font>
      <x:name val="Gulimche"/>
      <x:sz val="2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9"/>
          <x:color rgb="ff000000"/>
          <x:b val="1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Gulimche"/>
          <x:sz val="9"/>
          <x:color rgb="ff000000"/>
          <x:b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11"/>
          <x:color rgb="ff00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37">
    <x:xf numFmtId="0" fontId="0" fillId="0" borderId="0" xfId="0">
      <x:alignment horizontal="general" vertical="center"/>
    </x:xf>
    <x:xf numFmtId="164" fontId="7" fillId="0" borderId="0" xfId="1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Font="1" applyAlignment="1">
          <x:alignment horizontal="center" vertical="center"/>
        </x:xf>
      </mc:Fallback>
    </mc:AlternateContent>
    <x:xf numFmtId="0" fontId="7" fillId="0" borderId="0" xfId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1" applyFont="1" applyAlignment="1">
          <x:alignment horizontal="center" vertical="center" shrinkToFit="1"/>
        </x:xf>
      </mc:Fallback>
    </mc:AlternateContent>
    <x:xf numFmtId="0" fontId="9" fillId="0" borderId="0" xfId="1" applyFont="1" applyAlignment="1">
      <x:alignment horizontal="general" vertical="center"/>
    </x:xf>
    <x:xf numFmtId="0" fontId="9" fillId="0" borderId="0" xfId="1" applyFont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9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1" applyFont="1" applyAlignment="1">
          <x:alignment horizontal="center" vertical="center"/>
        </x:xf>
      </mc:Fallback>
    </mc:AlternateContent>
    <x:xf numFmtId="0" fontId="9" fillId="0" borderId="0" xfId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0" xfId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1" applyFont="1" applyBorder="1" applyAlignment="1">
          <x:alignment horizontal="center" vertical="center" wrapText="1"/>
        </x:xf>
      </mc:Fallback>
    </mc:AlternateContent>
    <x:xf numFmtId="0" fontId="6" fillId="0" borderId="3" xfId="1" applyFont="1" applyBorder="1" applyAlignment="1">
      <x:alignment horizontal="general" vertical="center"/>
    </x:xf>
    <x:xf numFmtId="0" fontId="6" fillId="0" borderId="4" xfId="1" applyFont="1" applyBorder="1" applyAlignment="1">
      <x:alignment horizontal="general" vertical="center"/>
    </x:xf>
    <x:xf numFmtId="0" fontId="6" fillId="0" borderId="5" xfId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6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1" applyFont="1" applyBorder="1" applyAlignment="1">
          <x:alignment horizontal="center" vertical="center" wrapText="1"/>
        </x:xf>
      </mc:Fallback>
    </mc:AlternateContent>
    <x:xf numFmtId="0" fontId="7" fillId="0" borderId="6" xfId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7" fillId="0" borderId="6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1" applyFont="1" applyBorder="1" applyAlignment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6" xfId="1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6" xfId="1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6" xfId="1" applyNumberFormat="1" applyFont="1" applyBorder="1" applyAlignment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6" xfId="1" applyNumberFormat="1" applyFont="1" applyBorder="1" applyAlignment="1">
          <x:alignment horizontal="right" vertical="center" shrinkToFit="1"/>
        </x:xf>
      </mc:Fallback>
    </mc:AlternateContent>
    <x:xf numFmtId="0" fontId="7" fillId="0" borderId="6" xfId="1" applyFont="1" applyBorder="1" applyAlignment="1">
      <x:alignment horizontal="left" vertical="center" shrinkToFit="1"/>
    </x:xf>
    <x:xf numFmtId="0" fontId="7" fillId="0" borderId="6" xfId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6" xfId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1" applyFont="1" applyBorder="1" applyAlignment="1">
          <x:alignment horizontal="right" vertical="center"/>
        </x:xf>
      </mc:Fallback>
    </mc:AlternateContent>
    <x:xf numFmtId="165" fontId="7" fillId="0" borderId="6" xfId="1" applyNumberFormat="1" applyFont="1" applyBorder="1" applyAlignment="1">
      <x:alignment horizontal="general" vertical="center"/>
    </x:xf>
    <x:xf numFmtId="0" fontId="7" fillId="0" borderId="6" xfId="1" applyFont="1" applyBorder="1" applyAlignment="1">
      <x:alignment horizontal="general" vertical="center"/>
    </x:xf>
    <x:xf numFmtId="0" fontId="7" fillId="0" borderId="6" xfId="1" quotePrefix="1" applyFont="1" applyBorder="1" applyAlignment="1">
      <x:alignment horizontal="left" vertical="center" shrinkToFit="1"/>
    </x:xf>
    <x:xf numFmtId="0" fontId="7" fillId="0" borderId="1" xfId="1" applyFont="1" applyBorder="1" applyAlignment="1">
      <x:alignment horizontal="left" vertical="center" wrapText="1"/>
    </x:xf>
    <x:xf numFmtId="0" fontId="6" fillId="0" borderId="7" xfId="1" applyFont="1" applyBorder="1" applyAlignment="1">
      <x:alignment horizontal="general" vertical="center"/>
    </x:xf>
    <x:xf numFmtId="0" fontId="11" fillId="0" borderId="0" xfId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0" xfId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1" applyFont="1" applyAlignment="1">
          <x:alignment horizontal="center" vertical="center"/>
        </x:xf>
      </mc:Fallback>
    </mc:AlternateContent>
  </x:cellXfs>
  <x:cellStyles count="2">
    <x:cellStyle name="표준" xfId="0" builtinId="0" iLevel="0"/>
    <x:cellStyle name="Normal" xfId="1" builtinId="0"/>
  </x:cellStyles>
  <x:dxfs count="1">
    <x:dxf>
      <x:numFmt numFmtId="0" formatCode="General"/>
      <x:fill>
        <x:patternFill patternType="none"/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101"/>
  <x:sheetViews>
    <x:sheetView tabSelected="1" topLeftCell="A1" zoomScaleNormal="75" zoomScaleSheetLayoutView="100" workbookViewId="0">
      <x:selection activeCell="A65" activeCellId="0" sqref="A65:A65"/>
    </x:sheetView>
  </x:sheetViews>
  <x:sheetFormatPr defaultColWidth="8.796875" defaultRowHeight="16.39999999999999857891"/>
  <x:cols>
    <x:col min="10" max="10" width="16.30078125" customWidth="1"/>
  </x:cols>
  <x:sheetData>
    <x:row r="1" spans="1:14">
      <x:c r="A1" s="1" t="s">
        <x:v>61</x:v>
      </x:c>
      <x:c r="B1" s="1"/>
      <x:c r="C1" s="1"/>
      <x:c r="D1" s="1"/>
      <x:c r="E1" s="2"/>
      <x:c r="F1" s="3"/>
      <x:c r="G1" s="2"/>
      <x:c r="H1" s="3"/>
      <x:c r="I1" s="3"/>
      <x:c r="J1" s="3"/>
      <x:c r="K1" s="3"/>
      <x:c r="L1" s="3"/>
      <x:c r="M1" s="3"/>
      <x:c r="N1" s="3"/>
    </x:row>
    <x:row r="2" spans="1:14" ht="24.94999999999999928946">
      <x:c r="A2" s="4" t="s">
        <x:v>108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spans="1:14" ht="24.94999999999999928946">
      <x:c r="A3" s="5"/>
      <x:c r="B3" s="5"/>
      <x:c r="C3" s="6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 spans="1:14">
      <x:c r="A4" s="7"/>
      <x:c r="B4" s="7"/>
      <x:c r="C4" s="8"/>
      <x:c r="D4" s="7"/>
      <x:c r="E4" s="9"/>
      <x:c r="F4" s="7"/>
      <x:c r="G4" s="7"/>
      <x:c r="H4" s="7"/>
      <x:c r="I4" s="7"/>
      <x:c r="J4" s="10" t="s">
        <x:v>47</x:v>
      </x:c>
      <x:c r="K4" s="10"/>
      <x:c r="L4" s="10"/>
      <x:c r="M4" s="7"/>
      <x:c r="N4" s="11" t="s">
        <x:v>9</x:v>
      </x:c>
    </x:row>
    <x:row r="5" spans="1:14">
      <x:c r="A5" s="12" t="s">
        <x:v>59</x:v>
      </x:c>
      <x:c r="B5" s="12" t="s">
        <x:v>58</x:v>
      </x:c>
      <x:c r="C5" s="13" t="s">
        <x:v>40</x:v>
      </x:c>
      <x:c r="D5" s="14" t="s">
        <x:v>85</x:v>
      </x:c>
      <x:c r="E5" s="15"/>
      <x:c r="F5" s="14" t="s">
        <x:v>64</x:v>
      </x:c>
      <x:c r="G5" s="15"/>
      <x:c r="H5" s="14" t="s">
        <x:v>64</x:v>
      </x:c>
      <x:c r="I5" s="15"/>
      <x:c r="J5" s="14" t="s">
        <x:v>80</x:v>
      </x:c>
      <x:c r="K5" s="16"/>
      <x:c r="L5" s="15"/>
      <x:c r="M5" s="12" t="s">
        <x:v>83</x:v>
      </x:c>
      <x:c r="N5" s="12" t="s">
        <x:v>18</x:v>
      </x:c>
    </x:row>
    <x:row r="6" spans="1:14">
      <x:c r="A6" s="17"/>
      <x:c r="B6" s="17"/>
      <x:c r="C6" s="17"/>
      <x:c r="D6" s="18" t="s">
        <x:v>43</x:v>
      </x:c>
      <x:c r="E6" s="18" t="s">
        <x:v>60</x:v>
      </x:c>
      <x:c r="F6" s="18" t="s">
        <x:v>43</x:v>
      </x:c>
      <x:c r="G6" s="18" t="s">
        <x:v>60</x:v>
      </x:c>
      <x:c r="H6" s="18" t="s">
        <x:v>43</x:v>
      </x:c>
      <x:c r="I6" s="18" t="s">
        <x:v>60</x:v>
      </x:c>
      <x:c r="J6" s="18" t="s">
        <x:v>23</x:v>
      </x:c>
      <x:c r="K6" s="18" t="s">
        <x:v>27</x:v>
      </x:c>
      <x:c r="L6" s="18" t="s">
        <x:v>17</x:v>
      </x:c>
      <x:c r="M6" s="17"/>
      <x:c r="N6" s="17"/>
    </x:row>
    <x:row r="7" spans="1:14">
      <x:c r="A7" s="19" t="s">
        <x:v>46</x:v>
      </x:c>
      <x:c r="B7" s="20" t="s">
        <x:v>93</x:v>
      </x:c>
      <x:c r="C7" s="20" t="s">
        <x:v>19</x:v>
      </x:c>
      <x:c r="D7" s="21"/>
      <x:c r="E7" s="22"/>
      <x:c r="F7" s="21"/>
      <x:c r="G7" s="21"/>
      <x:c r="H7" s="21"/>
      <x:c r="I7" s="21"/>
      <x:c r="J7" s="23">
        <x:v>3400000</x:v>
      </x:c>
      <x:c r="K7" s="24">
        <x:v>14700000</x:v>
      </x:c>
      <x:c r="L7" s="24">
        <x:v>9660000</x:v>
      </x:c>
      <x:c r="M7" s="24">
        <x:f t="shared" ref="M7:M54" si="0">MIN(D7,H7,J7)</x:f>
        <x:v>3400000</x:v>
      </x:c>
      <x:c r="N7" s="25"/>
    </x:row>
    <x:row r="8" spans="1:14">
      <x:c r="A8" s="19" t="s">
        <x:v>21</x:v>
      </x:c>
      <x:c r="B8" s="20" t="s">
        <x:v>95</x:v>
      </x:c>
      <x:c r="C8" s="20" t="s">
        <x:v>19</x:v>
      </x:c>
      <x:c r="D8" s="21"/>
      <x:c r="E8" s="22"/>
      <x:c r="F8" s="21"/>
      <x:c r="G8" s="21"/>
      <x:c r="H8" s="21"/>
      <x:c r="I8" s="21"/>
      <x:c r="J8" s="23">
        <x:v>2877200</x:v>
      </x:c>
      <x:c r="K8" s="24"/>
      <x:c r="L8" s="24"/>
      <x:c r="M8" s="24">
        <x:f t="shared" si="0"/>
        <x:v>2877200</x:v>
      </x:c>
      <x:c r="N8" s="25"/>
    </x:row>
    <x:row r="9" spans="1:14">
      <x:c r="A9" s="19" t="s">
        <x:v>44</x:v>
      </x:c>
      <x:c r="B9" s="20" t="s">
        <x:v>94</x:v>
      </x:c>
      <x:c r="C9" s="20" t="s">
        <x:v>19</x:v>
      </x:c>
      <x:c r="D9" s="21"/>
      <x:c r="E9" s="22"/>
      <x:c r="F9" s="21"/>
      <x:c r="G9" s="21"/>
      <x:c r="H9" s="21"/>
      <x:c r="I9" s="21"/>
      <x:c r="J9" s="23">
        <x:v>1898000</x:v>
      </x:c>
      <x:c r="K9" s="24"/>
      <x:c r="L9" s="24">
        <x:v>2580000</x:v>
      </x:c>
      <x:c r="M9" s="24">
        <x:f t="shared" si="0"/>
        <x:v>1898000</x:v>
      </x:c>
      <x:c r="N9" s="25"/>
    </x:row>
    <x:row r="10" spans="1:14">
      <x:c r="A10" s="19" t="s">
        <x:v>45</x:v>
      </x:c>
      <x:c r="B10" s="20" t="s">
        <x:v>104</x:v>
      </x:c>
      <x:c r="C10" s="20" t="s">
        <x:v>19</x:v>
      </x:c>
      <x:c r="D10" s="21"/>
      <x:c r="E10" s="22"/>
      <x:c r="F10" s="21"/>
      <x:c r="G10" s="21"/>
      <x:c r="H10" s="21"/>
      <x:c r="I10" s="21"/>
      <x:c r="J10" s="23">
        <x:v>621600</x:v>
      </x:c>
      <x:c r="K10" s="24"/>
      <x:c r="L10" s="24">
        <x:v>1260000</x:v>
      </x:c>
      <x:c r="M10" s="24">
        <x:f t="shared" si="0"/>
        <x:v>621600</x:v>
      </x:c>
      <x:c r="N10" s="25"/>
    </x:row>
    <x:row r="11" spans="1:14">
      <x:c r="A11" s="19" t="s">
        <x:v>50</x:v>
      </x:c>
      <x:c r="B11" s="20" t="s">
        <x:v>87</x:v>
      </x:c>
      <x:c r="C11" s="20" t="s">
        <x:v>20</x:v>
      </x:c>
      <x:c r="D11" s="21"/>
      <x:c r="E11" s="22"/>
      <x:c r="F11" s="21"/>
      <x:c r="G11" s="21"/>
      <x:c r="H11" s="21"/>
      <x:c r="I11" s="21"/>
      <x:c r="J11" s="23">
        <x:v>75000</x:v>
      </x:c>
      <x:c r="K11" s="24"/>
      <x:c r="L11" s="24"/>
      <x:c r="M11" s="24">
        <x:f t="shared" si="0"/>
        <x:v>75000</x:v>
      </x:c>
      <x:c r="N11" s="25"/>
    </x:row>
    <x:row r="12" spans="1:14">
      <x:c r="A12" s="19" t="s">
        <x:v>91</x:v>
      </x:c>
      <x:c r="B12" s="20" t="s">
        <x:v>107</x:v>
      </x:c>
      <x:c r="C12" s="20" t="s">
        <x:v>20</x:v>
      </x:c>
      <x:c r="D12" s="21"/>
      <x:c r="E12" s="22"/>
      <x:c r="F12" s="21"/>
      <x:c r="G12" s="21"/>
      <x:c r="H12" s="21"/>
      <x:c r="I12" s="21"/>
      <x:c r="J12" s="23">
        <x:v>65000</x:v>
      </x:c>
      <x:c r="K12" s="24"/>
      <x:c r="L12" s="24"/>
      <x:c r="M12" s="24">
        <x:f t="shared" si="0"/>
        <x:v>65000</x:v>
      </x:c>
      <x:c r="N12" s="25"/>
    </x:row>
    <x:row r="13" spans="1:14">
      <x:c r="A13" s="19" t="s">
        <x:v>55</x:v>
      </x:c>
      <x:c r="B13" s="20" t="s">
        <x:v>107</x:v>
      </x:c>
      <x:c r="C13" s="20" t="s">
        <x:v>20</x:v>
      </x:c>
      <x:c r="D13" s="21"/>
      <x:c r="E13" s="22"/>
      <x:c r="F13" s="21"/>
      <x:c r="G13" s="21"/>
      <x:c r="H13" s="21"/>
      <x:c r="I13" s="21"/>
      <x:c r="J13" s="23">
        <x:v>65000</x:v>
      </x:c>
      <x:c r="K13" s="24"/>
      <x:c r="L13" s="24"/>
      <x:c r="M13" s="24">
        <x:f t="shared" si="0"/>
        <x:v>65000</x:v>
      </x:c>
      <x:c r="N13" s="26"/>
    </x:row>
    <x:row r="14" spans="1:14">
      <x:c r="A14" s="19" t="s">
        <x:v>97</x:v>
      </x:c>
      <x:c r="B14" s="20" t="s">
        <x:v>10</x:v>
      </x:c>
      <x:c r="C14" s="20" t="s">
        <x:v>25</x:v>
      </x:c>
      <x:c r="D14" s="21"/>
      <x:c r="E14" s="22"/>
      <x:c r="F14" s="21"/>
      <x:c r="G14" s="21"/>
      <x:c r="H14" s="21"/>
      <x:c r="I14" s="21"/>
      <x:c r="J14" s="23">
        <x:v>1100000</x:v>
      </x:c>
      <x:c r="K14" s="24"/>
      <x:c r="L14" s="24"/>
      <x:c r="M14" s="24">
        <x:f t="shared" si="0"/>
        <x:v>1100000</x:v>
      </x:c>
      <x:c r="N14" s="26"/>
    </x:row>
    <x:row r="15" spans="1:14">
      <x:c r="A15" s="19" t="s">
        <x:v>72</x:v>
      </x:c>
      <x:c r="B15" s="20" t="s">
        <x:v>79</x:v>
      </x:c>
      <x:c r="C15" s="20" t="s">
        <x:v>25</x:v>
      </x:c>
      <x:c r="D15" s="21"/>
      <x:c r="E15" s="22"/>
      <x:c r="F15" s="21"/>
      <x:c r="G15" s="21"/>
      <x:c r="H15" s="21"/>
      <x:c r="I15" s="21"/>
      <x:c r="J15" s="23">
        <x:v>500000</x:v>
      </x:c>
      <x:c r="K15" s="24"/>
      <x:c r="L15" s="24"/>
      <x:c r="M15" s="24">
        <x:f t="shared" si="0"/>
        <x:v>500000</x:v>
      </x:c>
      <x:c r="N15" s="26"/>
    </x:row>
    <x:row r="16" spans="1:14">
      <x:c r="A16" s="19" t="s">
        <x:v>68</x:v>
      </x:c>
      <x:c r="B16" s="20" t="s">
        <x:v>98</x:v>
      </x:c>
      <x:c r="C16" s="20" t="s">
        <x:v>25</x:v>
      </x:c>
      <x:c r="D16" s="21"/>
      <x:c r="E16" s="22"/>
      <x:c r="F16" s="21"/>
      <x:c r="G16" s="21"/>
      <x:c r="H16" s="21"/>
      <x:c r="I16" s="21"/>
      <x:c r="J16" s="23">
        <x:v>420000</x:v>
      </x:c>
      <x:c r="K16" s="24"/>
      <x:c r="L16" s="24"/>
      <x:c r="M16" s="24">
        <x:f t="shared" si="0"/>
        <x:v>420000</x:v>
      </x:c>
      <x:c r="N16" s="26"/>
    </x:row>
    <x:row r="17" spans="1:14">
      <x:c r="A17" s="19" t="s">
        <x:v>100</x:v>
      </x:c>
      <x:c r="B17" s="20" t="s">
        <x:v>106</x:v>
      </x:c>
      <x:c r="C17" s="20" t="s">
        <x:v>25</x:v>
      </x:c>
      <x:c r="D17" s="21"/>
      <x:c r="E17" s="22"/>
      <x:c r="F17" s="21"/>
      <x:c r="G17" s="21"/>
      <x:c r="H17" s="21"/>
      <x:c r="I17" s="21"/>
      <x:c r="J17" s="23">
        <x:v>150000</x:v>
      </x:c>
      <x:c r="K17" s="24"/>
      <x:c r="L17" s="24"/>
      <x:c r="M17" s="24">
        <x:f t="shared" si="0"/>
        <x:v>150000</x:v>
      </x:c>
      <x:c r="N17" s="26"/>
    </x:row>
    <x:row r="18" spans="1:14">
      <x:c r="A18" s="19" t="s">
        <x:v>71</x:v>
      </x:c>
      <x:c r="B18" s="20" t="s">
        <x:v>65</x:v>
      </x:c>
      <x:c r="C18" s="20" t="s">
        <x:v>25</x:v>
      </x:c>
      <x:c r="D18" s="21"/>
      <x:c r="E18" s="22"/>
      <x:c r="F18" s="21"/>
      <x:c r="G18" s="21"/>
      <x:c r="H18" s="21"/>
      <x:c r="I18" s="21"/>
      <x:c r="J18" s="23">
        <x:v>550000</x:v>
      </x:c>
      <x:c r="K18" s="24"/>
      <x:c r="L18" s="24"/>
      <x:c r="M18" s="24">
        <x:f t="shared" si="0"/>
        <x:v>550000</x:v>
      </x:c>
      <x:c r="N18" s="26"/>
    </x:row>
    <x:row r="19" spans="1:14">
      <x:c r="A19" s="19" t="s">
        <x:v>5</x:v>
      </x:c>
      <x:c r="B19" s="20" t="s">
        <x:v>69</x:v>
      </x:c>
      <x:c r="C19" s="20" t="s">
        <x:v>22</x:v>
      </x:c>
      <x:c r="D19" s="21"/>
      <x:c r="E19" s="22"/>
      <x:c r="F19" s="21"/>
      <x:c r="G19" s="21"/>
      <x:c r="H19" s="21"/>
      <x:c r="I19" s="21"/>
      <x:c r="J19" s="23">
        <x:v>1400000</x:v>
      </x:c>
      <x:c r="K19" s="24">
        <x:v>1000000</x:v>
      </x:c>
      <x:c r="L19" s="24"/>
      <x:c r="M19" s="24">
        <x:f t="shared" si="0"/>
        <x:v>1400000</x:v>
      </x:c>
      <x:c r="N19" s="26"/>
    </x:row>
    <x:row r="20" spans="1:14">
      <x:c r="A20" s="19" t="s">
        <x:v>49</x:v>
      </x:c>
      <x:c r="B20" s="20" t="s">
        <x:v>66</x:v>
      </x:c>
      <x:c r="C20" s="20" t="s">
        <x:v>25</x:v>
      </x:c>
      <x:c r="D20" s="21"/>
      <x:c r="E20" s="22"/>
      <x:c r="F20" s="21"/>
      <x:c r="G20" s="21"/>
      <x:c r="H20" s="21"/>
      <x:c r="I20" s="21"/>
      <x:c r="J20" s="23">
        <x:v>1450000</x:v>
      </x:c>
      <x:c r="K20" s="24">
        <x:v>1500000</x:v>
      </x:c>
      <x:c r="L20" s="24">
        <x:v>2500000</x:v>
      </x:c>
      <x:c r="M20" s="24">
        <x:f t="shared" si="0"/>
        <x:v>1450000</x:v>
      </x:c>
      <x:c r="N20" s="26"/>
    </x:row>
    <x:row r="21" spans="1:14">
      <x:c r="A21" s="19" t="s">
        <x:v>53</x:v>
      </x:c>
      <x:c r="B21" s="20" t="s">
        <x:v>92</x:v>
      </x:c>
      <x:c r="C21" s="20" t="s">
        <x:v>29</x:v>
      </x:c>
      <x:c r="D21" s="21"/>
      <x:c r="E21" s="22"/>
      <x:c r="F21" s="21"/>
      <x:c r="G21" s="21"/>
      <x:c r="H21" s="21"/>
      <x:c r="I21" s="21"/>
      <x:c r="J21" s="23">
        <x:v>135000</x:v>
      </x:c>
      <x:c r="K21" s="24"/>
      <x:c r="L21" s="24"/>
      <x:c r="M21" s="24">
        <x:f t="shared" si="0"/>
        <x:v>135000</x:v>
      </x:c>
      <x:c r="N21" s="26"/>
    </x:row>
    <x:row r="22" spans="1:14">
      <x:c r="A22" s="19" t="s">
        <x:v>11</x:v>
      </x:c>
      <x:c r="B22" s="20" t="s">
        <x:v>38</x:v>
      </x:c>
      <x:c r="C22" s="20" t="s">
        <x:v>29</x:v>
      </x:c>
      <x:c r="D22" s="21"/>
      <x:c r="E22" s="22"/>
      <x:c r="F22" s="21"/>
      <x:c r="G22" s="21"/>
      <x:c r="H22" s="21"/>
      <x:c r="I22" s="21"/>
      <x:c r="J22" s="23">
        <x:v>30000</x:v>
      </x:c>
      <x:c r="K22" s="24">
        <x:v>3000000</x:v>
      </x:c>
      <x:c r="L22" s="24"/>
      <x:c r="M22" s="24">
        <x:f t="shared" si="0"/>
        <x:v>30000</x:v>
      </x:c>
      <x:c r="N22" s="26"/>
    </x:row>
    <x:row r="23" spans="1:14">
      <x:c r="A23" s="19" t="s">
        <x:v>21</x:v>
      </x:c>
      <x:c r="B23" s="20" t="s">
        <x:v>28</x:v>
      </x:c>
      <x:c r="C23" s="20" t="s">
        <x:v>29</x:v>
      </x:c>
      <x:c r="D23" s="21"/>
      <x:c r="E23" s="22"/>
      <x:c r="F23" s="21"/>
      <x:c r="G23" s="21"/>
      <x:c r="H23" s="21"/>
      <x:c r="I23" s="21"/>
      <x:c r="J23" s="23">
        <x:v>25000</x:v>
      </x:c>
      <x:c r="K23" s="24"/>
      <x:c r="L23" s="24"/>
      <x:c r="M23" s="24">
        <x:f t="shared" si="0"/>
        <x:v>25000</x:v>
      </x:c>
      <x:c r="N23" s="26"/>
    </x:row>
    <x:row r="24" spans="1:14">
      <x:c r="A24" s="19" t="s">
        <x:v>13</x:v>
      </x:c>
      <x:c r="B24" s="20" t="s">
        <x:v>90</x:v>
      </x:c>
      <x:c r="C24" s="20" t="s">
        <x:v>29</x:v>
      </x:c>
      <x:c r="D24" s="21"/>
      <x:c r="E24" s="22"/>
      <x:c r="F24" s="21"/>
      <x:c r="G24" s="21"/>
      <x:c r="H24" s="21"/>
      <x:c r="I24" s="21"/>
      <x:c r="J24" s="23">
        <x:v>30000</x:v>
      </x:c>
      <x:c r="K24" s="24">
        <x:v>3000000</x:v>
      </x:c>
      <x:c r="L24" s="24"/>
      <x:c r="M24" s="24">
        <x:f t="shared" si="0"/>
        <x:v>30000</x:v>
      </x:c>
      <x:c r="N24" s="26"/>
    </x:row>
    <x:row r="25" spans="1:14">
      <x:c r="A25" s="19" t="s">
        <x:v>21</x:v>
      </x:c>
      <x:c r="B25" s="20" t="s">
        <x:v>103</x:v>
      </x:c>
      <x:c r="C25" s="20" t="s">
        <x:v>29</x:v>
      </x:c>
      <x:c r="D25" s="21"/>
      <x:c r="E25" s="22"/>
      <x:c r="F25" s="21"/>
      <x:c r="G25" s="21"/>
      <x:c r="H25" s="21"/>
      <x:c r="I25" s="21"/>
      <x:c r="J25" s="23">
        <x:v>20000</x:v>
      </x:c>
      <x:c r="K25" s="24"/>
      <x:c r="L25" s="24"/>
      <x:c r="M25" s="24">
        <x:f t="shared" si="0"/>
        <x:v>20000</x:v>
      </x:c>
      <x:c r="N25" s="26"/>
    </x:row>
    <x:row r="26" spans="1:14">
      <x:c r="A26" s="19" t="s">
        <x:v>21</x:v>
      </x:c>
      <x:c r="B26" s="20" t="s">
        <x:v>102</x:v>
      </x:c>
      <x:c r="C26" s="20" t="s">
        <x:v>29</x:v>
      </x:c>
      <x:c r="D26" s="21"/>
      <x:c r="E26" s="22"/>
      <x:c r="F26" s="21"/>
      <x:c r="G26" s="21"/>
      <x:c r="H26" s="21"/>
      <x:c r="I26" s="21"/>
      <x:c r="J26" s="23">
        <x:v>15000</x:v>
      </x:c>
      <x:c r="K26" s="24"/>
      <x:c r="L26" s="24"/>
      <x:c r="M26" s="24">
        <x:f t="shared" si="0"/>
        <x:v>15000</x:v>
      </x:c>
      <x:c r="N26" s="26"/>
    </x:row>
    <x:row r="27" spans="1:14">
      <x:c r="A27" s="19" t="s">
        <x:v>0</x:v>
      </x:c>
      <x:c r="B27" s="20" t="s">
        <x:v>15</x:v>
      </x:c>
      <x:c r="C27" s="20" t="s">
        <x:v>29</x:v>
      </x:c>
      <x:c r="D27" s="21"/>
      <x:c r="E27" s="22"/>
      <x:c r="F27" s="21"/>
      <x:c r="G27" s="21"/>
      <x:c r="H27" s="21"/>
      <x:c r="I27" s="21"/>
      <x:c r="J27" s="23">
        <x:v>28000</x:v>
      </x:c>
      <x:c r="K27" s="24"/>
      <x:c r="L27" s="24"/>
      <x:c r="M27" s="24">
        <x:f t="shared" si="0"/>
        <x:v>28000</x:v>
      </x:c>
      <x:c r="N27" s="26"/>
    </x:row>
    <x:row r="28" spans="1:14">
      <x:c r="A28" s="19" t="s">
        <x:v>54</x:v>
      </x:c>
      <x:c r="B28" s="20" t="s">
        <x:v>31</x:v>
      </x:c>
      <x:c r="C28" s="20" t="s">
        <x:v>29</x:v>
      </x:c>
      <x:c r="D28" s="21"/>
      <x:c r="E28" s="22"/>
      <x:c r="F28" s="21"/>
      <x:c r="G28" s="21"/>
      <x:c r="H28" s="21"/>
      <x:c r="I28" s="21"/>
      <x:c r="J28" s="23">
        <x:v>83000</x:v>
      </x:c>
      <x:c r="K28" s="24"/>
      <x:c r="L28" s="24"/>
      <x:c r="M28" s="24">
        <x:f t="shared" si="0"/>
        <x:v>83000</x:v>
      </x:c>
      <x:c r="N28" s="26"/>
    </x:row>
    <x:row r="29" spans="1:14">
      <x:c r="A29" s="19" t="s">
        <x:v>51</x:v>
      </x:c>
      <x:c r="B29" s="20" t="s">
        <x:v>96</x:v>
      </x:c>
      <x:c r="C29" s="20" t="s">
        <x:v>22</x:v>
      </x:c>
      <x:c r="D29" s="21"/>
      <x:c r="E29" s="22"/>
      <x:c r="F29" s="21"/>
      <x:c r="G29" s="21"/>
      <x:c r="H29" s="21"/>
      <x:c r="I29" s="21"/>
      <x:c r="J29" s="23">
        <x:v>700000</x:v>
      </x:c>
      <x:c r="K29" s="24">
        <x:v>3000000</x:v>
      </x:c>
      <x:c r="L29" s="24"/>
      <x:c r="M29" s="24">
        <x:f t="shared" si="0"/>
        <x:v>700000</x:v>
      </x:c>
      <x:c r="N29" s="26"/>
    </x:row>
    <x:row r="30" spans="1:14">
      <x:c r="A30" s="19" t="s">
        <x:v>4</x:v>
      </x:c>
      <x:c r="B30" s="20" t="s">
        <x:v>42</x:v>
      </x:c>
      <x:c r="C30" s="20" t="s">
        <x:v>25</x:v>
      </x:c>
      <x:c r="D30" s="21"/>
      <x:c r="E30" s="22"/>
      <x:c r="F30" s="21"/>
      <x:c r="G30" s="21"/>
      <x:c r="H30" s="21"/>
      <x:c r="I30" s="21"/>
      <x:c r="J30" s="23">
        <x:v>50000</x:v>
      </x:c>
      <x:c r="K30" s="24">
        <x:v>1500000</x:v>
      </x:c>
      <x:c r="L30" s="24">
        <x:v>200000</x:v>
      </x:c>
      <x:c r="M30" s="24">
        <x:f t="shared" si="0"/>
        <x:v>50000</x:v>
      </x:c>
      <x:c r="N30" s="26"/>
    </x:row>
    <x:row r="31" spans="1:14">
      <x:c r="A31" s="19" t="s">
        <x:v>6</x:v>
      </x:c>
      <x:c r="B31" s="20" t="s">
        <x:v>70</x:v>
      </x:c>
      <x:c r="C31" s="20" t="s">
        <x:v>37</x:v>
      </x:c>
      <x:c r="D31" s="21"/>
      <x:c r="E31" s="22"/>
      <x:c r="F31" s="21"/>
      <x:c r="G31" s="21"/>
      <x:c r="H31" s="21"/>
      <x:c r="I31" s="21"/>
      <x:c r="J31" s="23">
        <x:v>500000</x:v>
      </x:c>
      <x:c r="K31" s="24"/>
      <x:c r="L31" s="24">
        <x:v>1000000</x:v>
      </x:c>
      <x:c r="M31" s="24">
        <x:f t="shared" si="0"/>
        <x:v>500000</x:v>
      </x:c>
      <x:c r="N31" s="26"/>
    </x:row>
    <x:row r="32" spans="1:14">
      <x:c r="A32" s="19" t="s">
        <x:v>32</x:v>
      </x:c>
      <x:c r="B32" s="20"/>
      <x:c r="C32" s="20" t="s">
        <x:v>37</x:v>
      </x:c>
      <x:c r="D32" s="27"/>
      <x:c r="E32" s="20"/>
      <x:c r="F32" s="27"/>
      <x:c r="G32" s="27"/>
      <x:c r="H32" s="27"/>
      <x:c r="I32" s="27"/>
      <x:c r="J32" s="28">
        <x:v>2500000</x:v>
      </x:c>
      <x:c r="K32" s="24">
        <x:v>2500000</x:v>
      </x:c>
      <x:c r="L32" s="24">
        <x:v>3500000</x:v>
      </x:c>
      <x:c r="M32" s="24">
        <x:f t="shared" si="0"/>
        <x:v>2500000</x:v>
      </x:c>
      <x:c r="N32" s="26"/>
    </x:row>
    <x:row r="33" spans="1:14">
      <x:c r="A33" s="19" t="s">
        <x:v>34</x:v>
      </x:c>
      <x:c r="B33" s="20"/>
      <x:c r="C33" s="20" t="s">
        <x:v>37</x:v>
      </x:c>
      <x:c r="D33" s="27"/>
      <x:c r="E33" s="20"/>
      <x:c r="F33" s="27"/>
      <x:c r="G33" s="27"/>
      <x:c r="H33" s="27"/>
      <x:c r="I33" s="27"/>
      <x:c r="J33" s="28">
        <x:v>15000000</x:v>
      </x:c>
      <x:c r="K33" s="24">
        <x:v>20000000</x:v>
      </x:c>
      <x:c r="L33" s="24">
        <x:v>22000000</x:v>
      </x:c>
      <x:c r="M33" s="24">
        <x:f t="shared" si="0"/>
        <x:v>15000000</x:v>
      </x:c>
      <x:c r="N33" s="26"/>
    </x:row>
    <x:row r="34" spans="1:14">
      <x:c r="A34" s="19" t="s">
        <x:v>112</x:v>
      </x:c>
      <x:c r="B34" s="20"/>
      <x:c r="C34" s="20" t="s">
        <x:v>37</x:v>
      </x:c>
      <x:c r="D34" s="27"/>
      <x:c r="E34" s="20"/>
      <x:c r="F34" s="27"/>
      <x:c r="G34" s="27"/>
      <x:c r="H34" s="27"/>
      <x:c r="I34" s="27"/>
      <x:c r="J34" s="28">
        <x:v>1700000</x:v>
      </x:c>
      <x:c r="K34" s="21"/>
      <x:c r="L34" s="21"/>
      <x:c r="M34" s="24">
        <x:f t="shared" si="0"/>
        <x:v>1700000</x:v>
      </x:c>
      <x:c r="N34" s="26"/>
    </x:row>
    <x:row r="35" spans="1:14">
      <x:c r="A35" s="19" t="s">
        <x:v>110</x:v>
      </x:c>
      <x:c r="B35" s="20" t="s">
        <x:v>113</x:v>
      </x:c>
      <x:c r="C35" s="20" t="s">
        <x:v>37</x:v>
      </x:c>
      <x:c r="D35" s="27"/>
      <x:c r="E35" s="20"/>
      <x:c r="F35" s="27"/>
      <x:c r="G35" s="27"/>
      <x:c r="H35" s="27"/>
      <x:c r="I35" s="27"/>
      <x:c r="J35" s="28">
        <x:v>2700000</x:v>
      </x:c>
      <x:c r="K35" s="21"/>
      <x:c r="L35" s="24">
        <x:v>4000000</x:v>
      </x:c>
      <x:c r="M35" s="24">
        <x:f t="shared" si="0"/>
        <x:v>2700000</x:v>
      </x:c>
      <x:c r="N35" s="26"/>
    </x:row>
    <x:row r="36" spans="1:14">
      <x:c r="A36" s="19" t="s">
        <x:v>67</x:v>
      </x:c>
      <x:c r="B36" s="20"/>
      <x:c r="C36" s="20" t="s">
        <x:v>37</x:v>
      </x:c>
      <x:c r="D36" s="27"/>
      <x:c r="E36" s="20"/>
      <x:c r="F36" s="27"/>
      <x:c r="G36" s="27"/>
      <x:c r="H36" s="27"/>
      <x:c r="I36" s="27"/>
      <x:c r="J36" s="28">
        <x:v>3500000</x:v>
      </x:c>
      <x:c r="K36" s="21"/>
      <x:c r="L36" s="24">
        <x:v>4000000</x:v>
      </x:c>
      <x:c r="M36" s="24">
        <x:f t="shared" si="0"/>
        <x:v>3500000</x:v>
      </x:c>
      <x:c r="N36" s="26"/>
    </x:row>
    <x:row r="37" spans="1:14">
      <x:c r="A37" s="19" t="s">
        <x:v>77</x:v>
      </x:c>
      <x:c r="B37" s="20" t="s">
        <x:v>89</x:v>
      </x:c>
      <x:c r="C37" s="20" t="s">
        <x:v>37</x:v>
      </x:c>
      <x:c r="D37" s="27"/>
      <x:c r="E37" s="20"/>
      <x:c r="F37" s="27"/>
      <x:c r="G37" s="27"/>
      <x:c r="H37" s="27"/>
      <x:c r="I37" s="27"/>
      <x:c r="J37" s="28">
        <x:v>1500000</x:v>
      </x:c>
      <x:c r="K37" s="27"/>
      <x:c r="L37" s="24">
        <x:v>3000000</x:v>
      </x:c>
      <x:c r="M37" s="24">
        <x:f t="shared" si="0"/>
        <x:v>1500000</x:v>
      </x:c>
      <x:c r="N37" s="26"/>
    </x:row>
    <x:row r="38" spans="1:14">
      <x:c r="A38" s="19" t="s">
        <x:v>88</x:v>
      </x:c>
      <x:c r="B38" s="20" t="s">
        <x:v>84</x:v>
      </x:c>
      <x:c r="C38" s="20" t="s">
        <x:v>29</x:v>
      </x:c>
      <x:c r="D38" s="27"/>
      <x:c r="E38" s="20"/>
      <x:c r="F38" s="27"/>
      <x:c r="G38" s="27"/>
      <x:c r="H38" s="27"/>
      <x:c r="I38" s="27"/>
      <x:c r="J38" s="23">
        <x:v>150000</x:v>
      </x:c>
      <x:c r="K38" s="24">
        <x:v>10100000</x:v>
      </x:c>
      <x:c r="L38" s="24"/>
      <x:c r="M38" s="24">
        <x:f t="shared" si="0"/>
        <x:v>150000</x:v>
      </x:c>
      <x:c r="N38" s="26"/>
    </x:row>
    <x:row r="39" spans="1:14">
      <x:c r="A39" s="19" t="s">
        <x:v>52</x:v>
      </x:c>
      <x:c r="B39" s="20" t="s">
        <x:v>75</x:v>
      </x:c>
      <x:c r="C39" s="20" t="s">
        <x:v>25</x:v>
      </x:c>
      <x:c r="D39" s="27"/>
      <x:c r="E39" s="20"/>
      <x:c r="F39" s="27"/>
      <x:c r="G39" s="27"/>
      <x:c r="H39" s="27"/>
      <x:c r="I39" s="27"/>
      <x:c r="J39" s="23">
        <x:v>300000</x:v>
      </x:c>
      <x:c r="K39" s="27"/>
      <x:c r="L39" s="27"/>
      <x:c r="M39" s="24">
        <x:f t="shared" si="0"/>
        <x:v>300000</x:v>
      </x:c>
      <x:c r="N39" s="26"/>
    </x:row>
    <x:row r="40" spans="1:14">
      <x:c r="A40" s="19" t="s">
        <x:v>12</x:v>
      </x:c>
      <x:c r="B40" s="20" t="s">
        <x:v>84</x:v>
      </x:c>
      <x:c r="C40" s="20" t="s">
        <x:v>25</x:v>
      </x:c>
      <x:c r="D40" s="27"/>
      <x:c r="E40" s="20"/>
      <x:c r="F40" s="27"/>
      <x:c r="G40" s="27"/>
      <x:c r="H40" s="27"/>
      <x:c r="I40" s="27"/>
      <x:c r="J40" s="23">
        <x:v>16000</x:v>
      </x:c>
      <x:c r="K40" s="27"/>
      <x:c r="L40" s="27"/>
      <x:c r="M40" s="24">
        <x:f t="shared" si="0"/>
        <x:v>16000</x:v>
      </x:c>
      <x:c r="N40" s="26"/>
    </x:row>
    <x:row r="41" spans="1:14">
      <x:c r="A41" s="19" t="s">
        <x:v>2</x:v>
      </x:c>
      <x:c r="B41" s="20" t="s">
        <x:v>84</x:v>
      </x:c>
      <x:c r="C41" s="20" t="s">
        <x:v>25</x:v>
      </x:c>
      <x:c r="D41" s="27"/>
      <x:c r="E41" s="20"/>
      <x:c r="F41" s="27"/>
      <x:c r="G41" s="27"/>
      <x:c r="H41" s="27"/>
      <x:c r="I41" s="27"/>
      <x:c r="J41" s="23">
        <x:v>15000</x:v>
      </x:c>
      <x:c r="K41" s="27"/>
      <x:c r="L41" s="27"/>
      <x:c r="M41" s="24">
        <x:f t="shared" si="0"/>
        <x:v>15000</x:v>
      </x:c>
      <x:c r="N41" s="26"/>
    </x:row>
    <x:row r="42" spans="1:14">
      <x:c r="A42" s="19" t="s">
        <x:v>8</x:v>
      </x:c>
      <x:c r="B42" s="20" t="s">
        <x:v>75</x:v>
      </x:c>
      <x:c r="C42" s="20" t="s">
        <x:v>25</x:v>
      </x:c>
      <x:c r="D42" s="27"/>
      <x:c r="E42" s="20"/>
      <x:c r="F42" s="27"/>
      <x:c r="G42" s="27"/>
      <x:c r="H42" s="27"/>
      <x:c r="I42" s="27"/>
      <x:c r="J42" s="23">
        <x:v>24000</x:v>
      </x:c>
      <x:c r="K42" s="27"/>
      <x:c r="L42" s="27"/>
      <x:c r="M42" s="24">
        <x:f t="shared" si="0"/>
        <x:v>24000</x:v>
      </x:c>
      <x:c r="N42" s="26"/>
    </x:row>
    <x:row r="43" spans="1:14">
      <x:c r="A43" s="19" t="s">
        <x:v>99</x:v>
      </x:c>
      <x:c r="B43" s="20" t="s">
        <x:v>30</x:v>
      </x:c>
      <x:c r="C43" s="20" t="s">
        <x:v>25</x:v>
      </x:c>
      <x:c r="D43" s="27"/>
      <x:c r="E43" s="20"/>
      <x:c r="F43" s="27"/>
      <x:c r="G43" s="27"/>
      <x:c r="H43" s="27"/>
      <x:c r="I43" s="27"/>
      <x:c r="J43" s="23">
        <x:v>2000</x:v>
      </x:c>
      <x:c r="K43" s="27"/>
      <x:c r="L43" s="27"/>
      <x:c r="M43" s="24">
        <x:f t="shared" si="0"/>
        <x:v>2000</x:v>
      </x:c>
      <x:c r="N43" s="26"/>
    </x:row>
    <x:row r="44" spans="1:14">
      <x:c r="A44" s="19" t="s">
        <x:v>7</x:v>
      </x:c>
      <x:c r="B44" s="20" t="s">
        <x:v>105</x:v>
      </x:c>
      <x:c r="C44" s="20" t="s">
        <x:v>25</x:v>
      </x:c>
      <x:c r="D44" s="27"/>
      <x:c r="E44" s="20"/>
      <x:c r="F44" s="27"/>
      <x:c r="G44" s="27"/>
      <x:c r="H44" s="27"/>
      <x:c r="I44" s="27"/>
      <x:c r="J44" s="23">
        <x:v>90000</x:v>
      </x:c>
      <x:c r="K44" s="27"/>
      <x:c r="L44" s="27"/>
      <x:c r="M44" s="24">
        <x:f t="shared" si="0"/>
        <x:v>90000</x:v>
      </x:c>
      <x:c r="N44" s="26"/>
    </x:row>
    <x:row r="45" spans="1:14">
      <x:c r="A45" s="19" t="s">
        <x:v>3</x:v>
      </x:c>
      <x:c r="B45" s="20" t="s">
        <x:v>16</x:v>
      </x:c>
      <x:c r="C45" s="20" t="s">
        <x:v>37</x:v>
      </x:c>
      <x:c r="D45" s="27"/>
      <x:c r="E45" s="20"/>
      <x:c r="F45" s="27"/>
      <x:c r="G45" s="27"/>
      <x:c r="H45" s="27"/>
      <x:c r="I45" s="27"/>
      <x:c r="J45" s="23">
        <x:v>80000</x:v>
      </x:c>
      <x:c r="K45" s="27"/>
      <x:c r="L45" s="27"/>
      <x:c r="M45" s="24">
        <x:f t="shared" si="0"/>
        <x:v>80000</x:v>
      </x:c>
      <x:c r="N45" s="26"/>
    </x:row>
    <x:row r="46" spans="1:14">
      <x:c r="A46" s="19" t="s">
        <x:v>48</x:v>
      </x:c>
      <x:c r="B46" s="20" t="s">
        <x:v>35</x:v>
      </x:c>
      <x:c r="C46" s="20" t="s">
        <x:v>22</x:v>
      </x:c>
      <x:c r="D46" s="27"/>
      <x:c r="E46" s="20"/>
      <x:c r="F46" s="27"/>
      <x:c r="G46" s="27"/>
      <x:c r="H46" s="27"/>
      <x:c r="I46" s="27"/>
      <x:c r="J46" s="23">
        <x:v>80000</x:v>
      </x:c>
      <x:c r="K46" s="27"/>
      <x:c r="L46" s="27"/>
      <x:c r="M46" s="24">
        <x:f t="shared" si="0"/>
        <x:v>80000</x:v>
      </x:c>
      <x:c r="N46" s="26"/>
    </x:row>
    <x:row r="47" spans="1:14">
      <x:c r="A47" s="19" t="s">
        <x:v>1</x:v>
      </x:c>
      <x:c r="B47" s="20" t="s">
        <x:v>33</x:v>
      </x:c>
      <x:c r="C47" s="20" t="s">
        <x:v>20</x:v>
      </x:c>
      <x:c r="D47" s="23">
        <x:v>14000</x:v>
      </x:c>
      <x:c r="E47" s="20">
        <x:v>1009</x:v>
      </x:c>
      <x:c r="F47" s="27"/>
      <x:c r="G47" s="27"/>
      <x:c r="H47" s="27"/>
      <x:c r="I47" s="27"/>
      <x:c r="J47" s="23">
        <x:v>7000</x:v>
      </x:c>
      <x:c r="K47" s="24">
        <x:v>9000000</x:v>
      </x:c>
      <x:c r="L47" s="24">
        <x:v>5000000</x:v>
      </x:c>
      <x:c r="M47" s="24">
        <x:f t="shared" si="0"/>
        <x:v>7000</x:v>
      </x:c>
      <x:c r="N47" s="26"/>
    </x:row>
    <x:row r="48" spans="1:14">
      <x:c r="A48" s="19" t="s">
        <x:v>57</x:v>
      </x:c>
      <x:c r="B48" s="20"/>
      <x:c r="C48" s="20" t="s">
        <x:v>22</x:v>
      </x:c>
      <x:c r="D48" s="27"/>
      <x:c r="E48" s="20"/>
      <x:c r="F48" s="27"/>
      <x:c r="G48" s="27"/>
      <x:c r="H48" s="27"/>
      <x:c r="I48" s="27"/>
      <x:c r="J48" s="23">
        <x:v>3000000</x:v>
      </x:c>
      <x:c r="K48" s="24">
        <x:v>5000000</x:v>
      </x:c>
      <x:c r="L48" s="24">
        <x:v>2500000</x:v>
      </x:c>
      <x:c r="M48" s="24">
        <x:f t="shared" si="0"/>
        <x:v>3000000</x:v>
      </x:c>
      <x:c r="N48" s="26"/>
    </x:row>
    <x:row r="49" spans="1:14">
      <x:c r="A49" s="19" t="s">
        <x:v>82</x:v>
      </x:c>
      <x:c r="B49" s="29"/>
      <x:c r="C49" s="20" t="s">
        <x:v>37</x:v>
      </x:c>
      <x:c r="D49" s="27"/>
      <x:c r="E49" s="20"/>
      <x:c r="F49" s="27"/>
      <x:c r="G49" s="27"/>
      <x:c r="H49" s="27"/>
      <x:c r="I49" s="27"/>
      <x:c r="J49" s="23">
        <x:v>1200000</x:v>
      </x:c>
      <x:c r="K49" s="24"/>
      <x:c r="L49" s="24"/>
      <x:c r="M49" s="24">
        <x:f t="shared" si="0"/>
        <x:v>1200000</x:v>
      </x:c>
      <x:c r="N49" s="26"/>
    </x:row>
    <x:row r="50" spans="1:14">
      <x:c r="A50" s="19" t="s">
        <x:v>101</x:v>
      </x:c>
      <x:c r="B50" s="20" t="s">
        <x:v>36</x:v>
      </x:c>
      <x:c r="C50" s="20" t="s">
        <x:v>37</x:v>
      </x:c>
      <x:c r="D50" s="27"/>
      <x:c r="E50" s="20"/>
      <x:c r="F50" s="27"/>
      <x:c r="G50" s="27"/>
      <x:c r="H50" s="27"/>
      <x:c r="I50" s="27"/>
      <x:c r="J50" s="23">
        <x:v>800000</x:v>
      </x:c>
      <x:c r="K50" s="27"/>
      <x:c r="L50" s="24">
        <x:v>4000000</x:v>
      </x:c>
      <x:c r="M50" s="24">
        <x:f t="shared" si="0"/>
        <x:v>800000</x:v>
      </x:c>
      <x:c r="N50" s="26"/>
    </x:row>
    <x:row r="51" spans="1:14">
      <x:c r="A51" s="19" t="s">
        <x:v>109</x:v>
      </x:c>
      <x:c r="B51" s="20"/>
      <x:c r="C51" s="20" t="s">
        <x:v>37</x:v>
      </x:c>
      <x:c r="D51" s="27"/>
      <x:c r="E51" s="20"/>
      <x:c r="F51" s="27"/>
      <x:c r="G51" s="27"/>
      <x:c r="H51" s="27"/>
      <x:c r="I51" s="27"/>
      <x:c r="J51" s="23">
        <x:v>1200000</x:v>
      </x:c>
      <x:c r="K51" s="27"/>
      <x:c r="L51" s="24">
        <x:v>4500000</x:v>
      </x:c>
      <x:c r="M51" s="24">
        <x:f t="shared" si="0"/>
        <x:v>1200000</x:v>
      </x:c>
      <x:c r="N51" s="26"/>
    </x:row>
    <x:row r="52" spans="1:14">
      <x:c r="A52" s="19" t="s">
        <x:v>74</x:v>
      </x:c>
      <x:c r="B52" s="20" t="s">
        <x:v>63</x:v>
      </x:c>
      <x:c r="C52" s="20" t="s">
        <x:v>37</x:v>
      </x:c>
      <x:c r="D52" s="27"/>
      <x:c r="E52" s="20"/>
      <x:c r="F52" s="27"/>
      <x:c r="G52" s="27"/>
      <x:c r="H52" s="27"/>
      <x:c r="I52" s="27"/>
      <x:c r="J52" s="23">
        <x:v>3000000</x:v>
      </x:c>
      <x:c r="K52" s="27"/>
      <x:c r="L52" s="24"/>
      <x:c r="M52" s="24">
        <x:f t="shared" si="0"/>
        <x:v>3000000</x:v>
      </x:c>
      <x:c r="N52" s="26"/>
    </x:row>
    <x:row r="53" spans="1:14">
      <x:c r="A53" s="19" t="s">
        <x:v>41</x:v>
      </x:c>
      <x:c r="B53" s="20"/>
      <x:c r="C53" s="20" t="s">
        <x:v>37</x:v>
      </x:c>
      <x:c r="D53" s="27"/>
      <x:c r="E53" s="20"/>
      <x:c r="F53" s="27"/>
      <x:c r="G53" s="27"/>
      <x:c r="H53" s="27"/>
      <x:c r="I53" s="27"/>
      <x:c r="J53" s="23">
        <x:v>1200000</x:v>
      </x:c>
      <x:c r="K53" s="24">
        <x:v>4500000</x:v>
      </x:c>
      <x:c r="L53" s="24">
        <x:v>2000000</x:v>
      </x:c>
      <x:c r="M53" s="24">
        <x:f t="shared" si="0"/>
        <x:v>1200000</x:v>
      </x:c>
      <x:c r="N53" s="26"/>
    </x:row>
    <x:row r="54" spans="1:14">
      <x:c r="A54" s="19" t="s">
        <x:v>78</x:v>
      </x:c>
      <x:c r="B54" s="20"/>
      <x:c r="C54" s="20" t="s">
        <x:v>37</x:v>
      </x:c>
      <x:c r="D54" s="27"/>
      <x:c r="E54" s="20"/>
      <x:c r="F54" s="27"/>
      <x:c r="G54" s="27"/>
      <x:c r="H54" s="27"/>
      <x:c r="I54" s="27"/>
      <x:c r="J54" s="23">
        <x:v>3000000</x:v>
      </x:c>
      <x:c r="K54" s="27"/>
      <x:c r="L54" s="24">
        <x:v>2000000</x:v>
      </x:c>
      <x:c r="M54" s="24">
        <x:f t="shared" si="0"/>
        <x:v>3000000</x:v>
      </x:c>
      <x:c r="N54" s="26"/>
    </x:row>
    <x:row r="55" spans="1:14">
      <x:c r="A55" s="30" t="s">
        <x:v>14</x:v>
      </x:c>
      <x:c r="B55" s="26"/>
      <x:c r="C55" s="22" t="s">
        <x:v>24</x:v>
      </x:c>
      <x:c r="D55" s="27"/>
      <x:c r="E55" s="20"/>
      <x:c r="F55" s="27"/>
      <x:c r="G55" s="27"/>
      <x:c r="H55" s="27"/>
      <x:c r="I55" s="27"/>
      <x:c r="J55" s="27"/>
      <x:c r="K55" s="27"/>
      <x:c r="L55" s="27"/>
      <x:c r="M55" s="24">
        <x:v>247897</x:v>
      </x:c>
      <x:c r="N55" s="31" t="s">
        <x:v>56</x:v>
      </x:c>
    </x:row>
    <x:row r="56" spans="1:14">
      <x:c r="A56" s="30" t="s">
        <x:v>81</x:v>
      </x:c>
      <x:c r="B56" s="26"/>
      <x:c r="C56" s="22" t="s">
        <x:v>24</x:v>
      </x:c>
      <x:c r="D56" s="27"/>
      <x:c r="E56" s="20"/>
      <x:c r="F56" s="27"/>
      <x:c r="G56" s="27"/>
      <x:c r="H56" s="27"/>
      <x:c r="I56" s="27"/>
      <x:c r="J56" s="27"/>
      <x:c r="K56" s="27"/>
      <x:c r="L56" s="27"/>
      <x:c r="M56" s="24">
        <x:v>172068</x:v>
      </x:c>
      <x:c r="N56" s="32"/>
    </x:row>
    <x:row r="57" spans="1:14">
      <x:c r="A57" s="26" t="s">
        <x:v>73</x:v>
      </x:c>
      <x:c r="B57" s="26"/>
      <x:c r="C57" s="22" t="s">
        <x:v>24</x:v>
      </x:c>
      <x:c r="D57" s="27"/>
      <x:c r="E57" s="20"/>
      <x:c r="F57" s="27"/>
      <x:c r="G57" s="27"/>
      <x:c r="H57" s="27"/>
      <x:c r="I57" s="27"/>
      <x:c r="J57" s="27"/>
      <x:c r="K57" s="27"/>
      <x:c r="L57" s="27"/>
      <x:c r="M57" s="23">
        <x:v>241698</x:v>
      </x:c>
      <x:c r="N57" s="32"/>
    </x:row>
    <x:row r="58" spans="1:14">
      <x:c r="A58" s="30" t="s">
        <x:v>86</x:v>
      </x:c>
      <x:c r="B58" s="26"/>
      <x:c r="C58" s="22" t="s">
        <x:v>24</x:v>
      </x:c>
      <x:c r="D58" s="27"/>
      <x:c r="E58" s="20"/>
      <x:c r="F58" s="27"/>
      <x:c r="G58" s="27"/>
      <x:c r="H58" s="27"/>
      <x:c r="I58" s="27"/>
      <x:c r="J58" s="27"/>
      <x:c r="K58" s="27"/>
      <x:c r="L58" s="27"/>
      <x:c r="M58" s="23">
        <x:v>275790</x:v>
      </x:c>
      <x:c r="N58" s="32"/>
    </x:row>
    <x:row r="59" spans="1:14">
      <x:c r="A59" s="30" t="s">
        <x:v>111</x:v>
      </x:c>
      <x:c r="B59" s="26"/>
      <x:c r="C59" s="22" t="s">
        <x:v>24</x:v>
      </x:c>
      <x:c r="D59" s="27"/>
      <x:c r="E59" s="20"/>
      <x:c r="F59" s="27"/>
      <x:c r="G59" s="27"/>
      <x:c r="H59" s="27"/>
      <x:c r="I59" s="27"/>
      <x:c r="J59" s="27"/>
      <x:c r="K59" s="27"/>
      <x:c r="L59" s="27"/>
      <x:c r="M59" s="23">
        <x:v>230376</x:v>
      </x:c>
      <x:c r="N59" s="32"/>
    </x:row>
    <x:row r="60" spans="1:14">
      <x:c r="A60" s="30" t="s">
        <x:v>26</x:v>
      </x:c>
      <x:c r="B60" s="26"/>
      <x:c r="C60" s="22" t="s">
        <x:v>24</x:v>
      </x:c>
      <x:c r="D60" s="27"/>
      <x:c r="E60" s="20"/>
      <x:c r="F60" s="27"/>
      <x:c r="G60" s="27"/>
      <x:c r="H60" s="27"/>
      <x:c r="I60" s="27"/>
      <x:c r="J60" s="27"/>
      <x:c r="K60" s="27"/>
      <x:c r="L60" s="27"/>
      <x:c r="M60" s="23">
        <x:v>281939</x:v>
      </x:c>
      <x:c r="N60" s="32"/>
    </x:row>
    <x:row r="61" spans="1:14">
      <x:c r="A61" s="30" t="s">
        <x:v>62</x:v>
      </x:c>
      <x:c r="B61" s="26"/>
      <x:c r="C61" s="22" t="s">
        <x:v>24</x:v>
      </x:c>
      <x:c r="D61" s="27"/>
      <x:c r="E61" s="20"/>
      <x:c r="F61" s="27"/>
      <x:c r="G61" s="27"/>
      <x:c r="H61" s="27"/>
      <x:c r="I61" s="27"/>
      <x:c r="J61" s="27"/>
      <x:c r="K61" s="27"/>
      <x:c r="L61" s="27"/>
      <x:c r="M61" s="23">
        <x:v>283297</x:v>
      </x:c>
      <x:c r="N61" s="32"/>
    </x:row>
    <x:row r="62" spans="1:14">
      <x:c r="A62" s="30" t="s">
        <x:v>76</x:v>
      </x:c>
      <x:c r="B62" s="26"/>
      <x:c r="C62" s="22" t="s">
        <x:v>24</x:v>
      </x:c>
      <x:c r="D62" s="27"/>
      <x:c r="E62" s="20"/>
      <x:c r="F62" s="27"/>
      <x:c r="G62" s="27"/>
      <x:c r="H62" s="27"/>
      <x:c r="I62" s="27"/>
      <x:c r="J62" s="27"/>
      <x:c r="K62" s="27"/>
      <x:c r="L62" s="27"/>
      <x:c r="M62" s="23">
        <x:v>226122</x:v>
      </x:c>
      <x:c r="N62" s="32"/>
    </x:row>
    <x:row r="63" spans="1:14">
      <x:c r="A63" s="30" t="s">
        <x:v>39</x:v>
      </x:c>
      <x:c r="B63" s="26"/>
      <x:c r="C63" s="22" t="s">
        <x:v>24</x:v>
      </x:c>
      <x:c r="D63" s="27"/>
      <x:c r="E63" s="20"/>
      <x:c r="F63" s="27"/>
      <x:c r="G63" s="27"/>
      <x:c r="H63" s="27"/>
      <x:c r="I63" s="27"/>
      <x:c r="J63" s="27"/>
      <x:c r="K63" s="27"/>
      <x:c r="L63" s="27"/>
      <x:c r="M63" s="23">
        <x:v>217012</x:v>
      </x:c>
      <x:c r="N63" s="17"/>
    </x:row>
    <x:row r="64" spans="1:14">
      <x:c r="A64" s="33"/>
      <x:c r="B64" s="33"/>
      <x:c r="C64" s="34"/>
      <x:c r="D64" s="35"/>
      <x:c r="E64" s="36"/>
      <x:c r="F64" s="35"/>
      <x:c r="G64" s="35"/>
      <x:c r="H64" s="35"/>
      <x:c r="I64" s="35"/>
      <x:c r="J64" s="35"/>
      <x:c r="K64" s="35"/>
      <x:c r="L64" s="35"/>
      <x:c r="M64" s="35"/>
      <x:c r="N64" s="33"/>
    </x:row>
    <x:row r="65" spans="1:14">
      <x:c r="A65" s="33"/>
      <x:c r="B65" s="33"/>
      <x:c r="C65" s="34"/>
      <x:c r="D65" s="35"/>
      <x:c r="E65" s="36"/>
      <x:c r="F65" s="35"/>
      <x:c r="G65" s="35"/>
      <x:c r="H65" s="35"/>
      <x:c r="I65" s="35"/>
      <x:c r="J65" s="35"/>
      <x:c r="K65" s="35"/>
      <x:c r="L65" s="35"/>
      <x:c r="M65" s="35"/>
      <x:c r="N65" s="33"/>
    </x:row>
    <x:row r="66" spans="1:14">
      <x:c r="A66" s="33"/>
      <x:c r="B66" s="33"/>
      <x:c r="C66" s="34"/>
      <x:c r="D66" s="35"/>
      <x:c r="E66" s="36"/>
      <x:c r="F66" s="35"/>
      <x:c r="G66" s="35"/>
      <x:c r="H66" s="35"/>
      <x:c r="I66" s="35"/>
      <x:c r="J66" s="35"/>
      <x:c r="K66" s="35"/>
      <x:c r="L66" s="35"/>
      <x:c r="M66" s="35"/>
      <x:c r="N66" s="33"/>
    </x:row>
    <x:row r="67" spans="1:14">
      <x:c r="A67" s="33"/>
      <x:c r="B67" s="33"/>
      <x:c r="C67" s="34"/>
      <x:c r="D67" s="35"/>
      <x:c r="E67" s="36"/>
      <x:c r="F67" s="35"/>
      <x:c r="G67" s="35"/>
      <x:c r="H67" s="35"/>
      <x:c r="I67" s="35"/>
      <x:c r="J67" s="35"/>
      <x:c r="K67" s="35"/>
      <x:c r="L67" s="35"/>
      <x:c r="M67" s="35"/>
      <x:c r="N67" s="33"/>
    </x:row>
    <x:row r="68" spans="1:14">
      <x:c r="A68" s="33"/>
      <x:c r="B68" s="33"/>
      <x:c r="C68" s="34"/>
      <x:c r="D68" s="35"/>
      <x:c r="E68" s="36"/>
      <x:c r="F68" s="35"/>
      <x:c r="G68" s="35"/>
      <x:c r="H68" s="35"/>
      <x:c r="I68" s="35"/>
      <x:c r="J68" s="35"/>
      <x:c r="K68" s="35"/>
      <x:c r="L68" s="35"/>
      <x:c r="M68" s="35"/>
      <x:c r="N68" s="33"/>
    </x:row>
    <x:row r="69" spans="1:14">
      <x:c r="A69" s="33"/>
      <x:c r="B69" s="33"/>
      <x:c r="C69" s="34"/>
      <x:c r="D69" s="35"/>
      <x:c r="E69" s="36"/>
      <x:c r="F69" s="35"/>
      <x:c r="G69" s="35"/>
      <x:c r="H69" s="35"/>
      <x:c r="I69" s="35"/>
      <x:c r="J69" s="35"/>
      <x:c r="K69" s="35"/>
      <x:c r="L69" s="35"/>
      <x:c r="M69" s="35"/>
      <x:c r="N69" s="33"/>
    </x:row>
    <x:row r="70" spans="1:14">
      <x:c r="A70" s="33"/>
      <x:c r="B70" s="33"/>
      <x:c r="C70" s="34"/>
      <x:c r="D70" s="35"/>
      <x:c r="E70" s="36"/>
      <x:c r="F70" s="35"/>
      <x:c r="G70" s="35"/>
      <x:c r="H70" s="35"/>
      <x:c r="I70" s="35"/>
      <x:c r="J70" s="35"/>
      <x:c r="K70" s="35"/>
      <x:c r="L70" s="35"/>
      <x:c r="M70" s="35"/>
      <x:c r="N70" s="33"/>
    </x:row>
    <x:row r="71" spans="1:14">
      <x:c r="A71" s="33"/>
      <x:c r="B71" s="33"/>
      <x:c r="C71" s="34"/>
      <x:c r="D71" s="35"/>
      <x:c r="E71" s="36"/>
      <x:c r="F71" s="35"/>
      <x:c r="G71" s="35"/>
      <x:c r="H71" s="35"/>
      <x:c r="I71" s="35"/>
      <x:c r="J71" s="35"/>
      <x:c r="K71" s="35"/>
      <x:c r="L71" s="35"/>
      <x:c r="M71" s="35"/>
      <x:c r="N71" s="33"/>
    </x:row>
    <x:row r="72" spans="1:14">
      <x:c r="A72" s="33"/>
      <x:c r="B72" s="33"/>
      <x:c r="C72" s="34"/>
      <x:c r="D72" s="35"/>
      <x:c r="E72" s="36"/>
      <x:c r="F72" s="35"/>
      <x:c r="G72" s="35"/>
      <x:c r="H72" s="35"/>
      <x:c r="I72" s="35"/>
      <x:c r="J72" s="35"/>
      <x:c r="K72" s="35"/>
      <x:c r="L72" s="35"/>
      <x:c r="M72" s="35"/>
      <x:c r="N72" s="33"/>
    </x:row>
    <x:row r="73" spans="1:14">
      <x:c r="A73" s="33"/>
      <x:c r="B73" s="33"/>
      <x:c r="C73" s="34"/>
      <x:c r="D73" s="35"/>
      <x:c r="E73" s="36"/>
      <x:c r="F73" s="35"/>
      <x:c r="G73" s="35"/>
      <x:c r="H73" s="35"/>
      <x:c r="I73" s="35"/>
      <x:c r="J73" s="35"/>
      <x:c r="K73" s="35"/>
      <x:c r="L73" s="35"/>
      <x:c r="M73" s="35"/>
      <x:c r="N73" s="33"/>
    </x:row>
    <x:row r="74" spans="1:14">
      <x:c r="A74" s="33"/>
      <x:c r="B74" s="33"/>
      <x:c r="C74" s="34"/>
      <x:c r="D74" s="35"/>
      <x:c r="E74" s="36"/>
      <x:c r="F74" s="35"/>
      <x:c r="G74" s="35"/>
      <x:c r="H74" s="35"/>
      <x:c r="I74" s="35"/>
      <x:c r="J74" s="35"/>
      <x:c r="K74" s="35"/>
      <x:c r="L74" s="35"/>
      <x:c r="M74" s="35"/>
      <x:c r="N74" s="33"/>
    </x:row>
    <x:row r="75" spans="1:14">
      <x:c r="A75" s="33"/>
      <x:c r="B75" s="33"/>
      <x:c r="C75" s="34"/>
      <x:c r="D75" s="35"/>
      <x:c r="E75" s="36"/>
      <x:c r="F75" s="35"/>
      <x:c r="G75" s="35"/>
      <x:c r="H75" s="35"/>
      <x:c r="I75" s="35"/>
      <x:c r="J75" s="35"/>
      <x:c r="K75" s="35"/>
      <x:c r="L75" s="35"/>
      <x:c r="M75" s="35"/>
      <x:c r="N75" s="33"/>
    </x:row>
    <x:row r="76" spans="1:14">
      <x:c r="A76" s="33"/>
      <x:c r="B76" s="33"/>
      <x:c r="C76" s="34"/>
      <x:c r="D76" s="35"/>
      <x:c r="E76" s="36"/>
      <x:c r="F76" s="35"/>
      <x:c r="G76" s="35"/>
      <x:c r="H76" s="35"/>
      <x:c r="I76" s="35"/>
      <x:c r="J76" s="35"/>
      <x:c r="K76" s="35"/>
      <x:c r="L76" s="35"/>
      <x:c r="M76" s="35"/>
      <x:c r="N76" s="33"/>
    </x:row>
    <x:row r="77" spans="1:14">
      <x:c r="A77" s="33"/>
      <x:c r="B77" s="33"/>
      <x:c r="C77" s="34"/>
      <x:c r="D77" s="35"/>
      <x:c r="E77" s="36"/>
      <x:c r="F77" s="35"/>
      <x:c r="G77" s="35"/>
      <x:c r="H77" s="35"/>
      <x:c r="I77" s="35"/>
      <x:c r="J77" s="35"/>
      <x:c r="K77" s="35"/>
      <x:c r="L77" s="35"/>
      <x:c r="M77" s="35"/>
      <x:c r="N77" s="33"/>
    </x:row>
    <x:row r="78" spans="1:14">
      <x:c r="A78" s="33"/>
      <x:c r="B78" s="33"/>
      <x:c r="C78" s="34"/>
      <x:c r="D78" s="35"/>
      <x:c r="E78" s="36"/>
      <x:c r="F78" s="35"/>
      <x:c r="G78" s="35"/>
      <x:c r="H78" s="35"/>
      <x:c r="I78" s="35"/>
      <x:c r="J78" s="35"/>
      <x:c r="K78" s="35"/>
      <x:c r="L78" s="35"/>
      <x:c r="M78" s="35"/>
      <x:c r="N78" s="33"/>
    </x:row>
    <x:row r="79" spans="1:14">
      <x:c r="A79" s="33"/>
      <x:c r="B79" s="33"/>
      <x:c r="C79" s="34"/>
      <x:c r="D79" s="35"/>
      <x:c r="E79" s="36"/>
      <x:c r="F79" s="35"/>
      <x:c r="G79" s="35"/>
      <x:c r="H79" s="35"/>
      <x:c r="I79" s="35"/>
      <x:c r="J79" s="35"/>
      <x:c r="K79" s="35"/>
      <x:c r="L79" s="35"/>
      <x:c r="M79" s="35"/>
      <x:c r="N79" s="33"/>
    </x:row>
    <x:row r="80" spans="1:14">
      <x:c r="A80" s="33"/>
      <x:c r="B80" s="33"/>
      <x:c r="C80" s="34"/>
      <x:c r="D80" s="35"/>
      <x:c r="E80" s="36"/>
      <x:c r="F80" s="35"/>
      <x:c r="G80" s="35"/>
      <x:c r="H80" s="35"/>
      <x:c r="I80" s="35"/>
      <x:c r="J80" s="35"/>
      <x:c r="K80" s="35"/>
      <x:c r="L80" s="35"/>
      <x:c r="M80" s="35"/>
      <x:c r="N80" s="33"/>
    </x:row>
    <x:row r="81" spans="1:14">
      <x:c r="A81" s="33"/>
      <x:c r="B81" s="33"/>
      <x:c r="C81" s="34"/>
      <x:c r="D81" s="35"/>
      <x:c r="E81" s="36"/>
      <x:c r="F81" s="35"/>
      <x:c r="G81" s="35"/>
      <x:c r="H81" s="35"/>
      <x:c r="I81" s="35"/>
      <x:c r="J81" s="35"/>
      <x:c r="K81" s="35"/>
      <x:c r="L81" s="35"/>
      <x:c r="M81" s="35"/>
      <x:c r="N81" s="33"/>
    </x:row>
    <x:row r="82" spans="1:14">
      <x:c r="A82" s="33"/>
      <x:c r="B82" s="33"/>
      <x:c r="C82" s="34"/>
      <x:c r="D82" s="35"/>
      <x:c r="E82" s="36"/>
      <x:c r="F82" s="35"/>
      <x:c r="G82" s="35"/>
      <x:c r="H82" s="35"/>
      <x:c r="I82" s="35"/>
      <x:c r="J82" s="35"/>
      <x:c r="K82" s="35"/>
      <x:c r="L82" s="35"/>
      <x:c r="M82" s="35"/>
      <x:c r="N82" s="33"/>
    </x:row>
    <x:row r="83" spans="1:14">
      <x:c r="A83" s="33"/>
      <x:c r="B83" s="33"/>
      <x:c r="C83" s="34"/>
      <x:c r="D83" s="35"/>
      <x:c r="E83" s="36"/>
      <x:c r="F83" s="35"/>
      <x:c r="G83" s="35"/>
      <x:c r="H83" s="35"/>
      <x:c r="I83" s="35"/>
      <x:c r="J83" s="35"/>
      <x:c r="K83" s="35"/>
      <x:c r="L83" s="35"/>
      <x:c r="M83" s="35"/>
      <x:c r="N83" s="33"/>
    </x:row>
    <x:row r="84" spans="1:14">
      <x:c r="A84" s="33"/>
      <x:c r="B84" s="33"/>
      <x:c r="C84" s="34"/>
      <x:c r="D84" s="35"/>
      <x:c r="E84" s="36"/>
      <x:c r="F84" s="35"/>
      <x:c r="G84" s="35"/>
      <x:c r="H84" s="35"/>
      <x:c r="I84" s="35"/>
      <x:c r="J84" s="35"/>
      <x:c r="K84" s="35"/>
      <x:c r="L84" s="35"/>
      <x:c r="M84" s="35"/>
      <x:c r="N84" s="33"/>
    </x:row>
    <x:row r="85" spans="1:14">
      <x:c r="A85" s="33"/>
      <x:c r="B85" s="33"/>
      <x:c r="C85" s="34"/>
      <x:c r="D85" s="35"/>
      <x:c r="E85" s="36"/>
      <x:c r="F85" s="35"/>
      <x:c r="G85" s="35"/>
      <x:c r="H85" s="35"/>
      <x:c r="I85" s="35"/>
      <x:c r="J85" s="35"/>
      <x:c r="K85" s="35"/>
      <x:c r="L85" s="35"/>
      <x:c r="M85" s="35"/>
      <x:c r="N85" s="33"/>
    </x:row>
    <x:row r="86" spans="1:14">
      <x:c r="A86" s="33"/>
      <x:c r="B86" s="33"/>
      <x:c r="C86" s="34"/>
      <x:c r="D86" s="35"/>
      <x:c r="E86" s="36"/>
      <x:c r="F86" s="35"/>
      <x:c r="G86" s="35"/>
      <x:c r="H86" s="35"/>
      <x:c r="I86" s="35"/>
      <x:c r="J86" s="35"/>
      <x:c r="K86" s="35"/>
      <x:c r="L86" s="35"/>
      <x:c r="M86" s="35"/>
      <x:c r="N86" s="33"/>
    </x:row>
    <x:row r="87" spans="1:14">
      <x:c r="A87" s="33"/>
      <x:c r="B87" s="33"/>
      <x:c r="C87" s="34"/>
      <x:c r="D87" s="35"/>
      <x:c r="E87" s="36"/>
      <x:c r="F87" s="35"/>
      <x:c r="G87" s="35"/>
      <x:c r="H87" s="35"/>
      <x:c r="I87" s="35"/>
      <x:c r="J87" s="35"/>
      <x:c r="K87" s="35"/>
      <x:c r="L87" s="35"/>
      <x:c r="M87" s="35"/>
      <x:c r="N87" s="33"/>
    </x:row>
    <x:row r="88" spans="1:14">
      <x:c r="A88" s="33"/>
      <x:c r="B88" s="33"/>
      <x:c r="C88" s="34"/>
      <x:c r="D88" s="35"/>
      <x:c r="E88" s="36"/>
      <x:c r="F88" s="35"/>
      <x:c r="G88" s="35"/>
      <x:c r="H88" s="35"/>
      <x:c r="I88" s="35"/>
      <x:c r="J88" s="35"/>
      <x:c r="K88" s="35"/>
      <x:c r="L88" s="35"/>
      <x:c r="M88" s="35"/>
      <x:c r="N88" s="33"/>
    </x:row>
    <x:row r="89" spans="1:14">
      <x:c r="A89" s="33"/>
      <x:c r="B89" s="33"/>
      <x:c r="C89" s="34"/>
      <x:c r="D89" s="35"/>
      <x:c r="E89" s="36"/>
      <x:c r="F89" s="35"/>
      <x:c r="G89" s="35"/>
      <x:c r="H89" s="35"/>
      <x:c r="I89" s="35"/>
      <x:c r="J89" s="35"/>
      <x:c r="K89" s="35"/>
      <x:c r="L89" s="35"/>
      <x:c r="M89" s="35"/>
      <x:c r="N89" s="33"/>
    </x:row>
    <x:row r="90" spans="1:14">
      <x:c r="A90" s="33"/>
      <x:c r="B90" s="33"/>
      <x:c r="C90" s="34"/>
      <x:c r="D90" s="35"/>
      <x:c r="E90" s="36"/>
      <x:c r="F90" s="35"/>
      <x:c r="G90" s="35"/>
      <x:c r="H90" s="35"/>
      <x:c r="I90" s="35"/>
      <x:c r="J90" s="35"/>
      <x:c r="K90" s="35"/>
      <x:c r="L90" s="35"/>
      <x:c r="M90" s="35"/>
      <x:c r="N90" s="33"/>
    </x:row>
    <x:row r="91" spans="1:14">
      <x:c r="A91" s="33"/>
      <x:c r="B91" s="33"/>
      <x:c r="C91" s="34"/>
      <x:c r="D91" s="35"/>
      <x:c r="E91" s="36"/>
      <x:c r="F91" s="35"/>
      <x:c r="G91" s="35"/>
      <x:c r="H91" s="35"/>
      <x:c r="I91" s="35"/>
      <x:c r="J91" s="35"/>
      <x:c r="K91" s="35"/>
      <x:c r="L91" s="35"/>
      <x:c r="M91" s="35"/>
      <x:c r="N91" s="33"/>
    </x:row>
    <x:row r="92" spans="1:14">
      <x:c r="A92" s="33"/>
      <x:c r="B92" s="33"/>
      <x:c r="C92" s="34"/>
      <x:c r="D92" s="35"/>
      <x:c r="E92" s="36"/>
      <x:c r="F92" s="35"/>
      <x:c r="G92" s="35"/>
      <x:c r="H92" s="35"/>
      <x:c r="I92" s="35"/>
      <x:c r="J92" s="35"/>
      <x:c r="K92" s="35"/>
      <x:c r="L92" s="35"/>
      <x:c r="M92" s="35"/>
      <x:c r="N92" s="33"/>
    </x:row>
    <x:row r="93" spans="1:14">
      <x:c r="A93" s="33"/>
      <x:c r="B93" s="33"/>
      <x:c r="C93" s="34"/>
      <x:c r="D93" s="35"/>
      <x:c r="E93" s="36"/>
      <x:c r="F93" s="35"/>
      <x:c r="G93" s="35"/>
      <x:c r="H93" s="35"/>
      <x:c r="I93" s="35"/>
      <x:c r="J93" s="35"/>
      <x:c r="K93" s="35"/>
      <x:c r="L93" s="35"/>
      <x:c r="M93" s="35"/>
      <x:c r="N93" s="33"/>
    </x:row>
    <x:row r="94" spans="1:14">
      <x:c r="A94" s="33"/>
      <x:c r="B94" s="33"/>
      <x:c r="C94" s="34"/>
      <x:c r="D94" s="35"/>
      <x:c r="E94" s="36"/>
      <x:c r="F94" s="35"/>
      <x:c r="G94" s="35"/>
      <x:c r="H94" s="35"/>
      <x:c r="I94" s="35"/>
      <x:c r="J94" s="35"/>
      <x:c r="K94" s="35"/>
      <x:c r="L94" s="35"/>
      <x:c r="M94" s="35"/>
      <x:c r="N94" s="33"/>
    </x:row>
    <x:row r="95" spans="1:14">
      <x:c r="A95" s="33"/>
      <x:c r="B95" s="33"/>
      <x:c r="C95" s="34"/>
      <x:c r="D95" s="35"/>
      <x:c r="E95" s="36"/>
      <x:c r="F95" s="35"/>
      <x:c r="G95" s="35"/>
      <x:c r="H95" s="35"/>
      <x:c r="I95" s="35"/>
      <x:c r="J95" s="35"/>
      <x:c r="K95" s="35"/>
      <x:c r="L95" s="35"/>
      <x:c r="M95" s="35"/>
      <x:c r="N95" s="33"/>
    </x:row>
    <x:row r="96" spans="1:14">
      <x:c r="A96" s="33"/>
      <x:c r="B96" s="33"/>
      <x:c r="C96" s="34"/>
      <x:c r="D96" s="35"/>
      <x:c r="E96" s="36"/>
      <x:c r="F96" s="35"/>
      <x:c r="G96" s="35"/>
      <x:c r="H96" s="35"/>
      <x:c r="I96" s="35"/>
      <x:c r="J96" s="35"/>
      <x:c r="K96" s="35"/>
      <x:c r="L96" s="35"/>
      <x:c r="M96" s="35"/>
      <x:c r="N96" s="33"/>
    </x:row>
    <x:row r="97" spans="1:14">
      <x:c r="A97" s="33"/>
      <x:c r="B97" s="33"/>
      <x:c r="C97" s="34"/>
      <x:c r="D97" s="35"/>
      <x:c r="E97" s="36"/>
      <x:c r="F97" s="35"/>
      <x:c r="G97" s="35"/>
      <x:c r="H97" s="35"/>
      <x:c r="I97" s="35"/>
      <x:c r="J97" s="35"/>
      <x:c r="K97" s="35"/>
      <x:c r="L97" s="35"/>
      <x:c r="M97" s="35"/>
      <x:c r="N97" s="33"/>
    </x:row>
    <x:row r="98" spans="1:14">
      <x:c r="A98" s="33"/>
      <x:c r="B98" s="33"/>
      <x:c r="C98" s="34"/>
      <x:c r="D98" s="35"/>
      <x:c r="E98" s="36"/>
      <x:c r="F98" s="35"/>
      <x:c r="G98" s="35"/>
      <x:c r="H98" s="35"/>
      <x:c r="I98" s="35"/>
      <x:c r="J98" s="35"/>
      <x:c r="K98" s="35"/>
      <x:c r="L98" s="35"/>
      <x:c r="M98" s="35"/>
      <x:c r="N98" s="33"/>
    </x:row>
    <x:row r="99" spans="1:14">
      <x:c r="A99" s="33"/>
      <x:c r="B99" s="33"/>
      <x:c r="C99" s="34"/>
      <x:c r="D99" s="35"/>
      <x:c r="E99" s="36"/>
      <x:c r="F99" s="35"/>
      <x:c r="G99" s="35"/>
      <x:c r="H99" s="35"/>
      <x:c r="I99" s="35"/>
      <x:c r="J99" s="35"/>
      <x:c r="K99" s="35"/>
      <x:c r="L99" s="35"/>
      <x:c r="M99" s="35"/>
      <x:c r="N99" s="33"/>
    </x:row>
    <x:row r="100" spans="1:14">
      <x:c r="A100" s="33"/>
      <x:c r="B100" s="33"/>
      <x:c r="C100" s="34"/>
      <x:c r="D100" s="35"/>
      <x:c r="E100" s="36"/>
      <x:c r="F100" s="35"/>
      <x:c r="G100" s="35"/>
      <x:c r="H100" s="35"/>
      <x:c r="I100" s="35"/>
      <x:c r="J100" s="35"/>
      <x:c r="K100" s="35"/>
      <x:c r="L100" s="35"/>
      <x:c r="M100" s="35"/>
      <x:c r="N100" s="33"/>
    </x:row>
    <x:row r="101" spans="1:14">
      <x:c r="A101" s="33"/>
      <x:c r="B101" s="33"/>
      <x:c r="C101" s="34"/>
      <x:c r="D101" s="35"/>
      <x:c r="E101" s="36"/>
      <x:c r="F101" s="35"/>
      <x:c r="G101" s="35"/>
      <x:c r="H101" s="35"/>
      <x:c r="I101" s="35"/>
      <x:c r="J101" s="35"/>
      <x:c r="K101" s="35"/>
      <x:c r="L101" s="35"/>
      <x:c r="M101" s="35"/>
      <x:c r="N101" s="33"/>
    </x:row>
  </x:sheetData>
  <x:mergeCells count="13">
    <x:mergeCell ref="A1:D1"/>
    <x:mergeCell ref="A2:N2"/>
    <x:mergeCell ref="J4:L4"/>
    <x:mergeCell ref="A5:A6"/>
    <x:mergeCell ref="B5:B6"/>
    <x:mergeCell ref="C5:C6"/>
    <x:mergeCell ref="D5:E5"/>
    <x:mergeCell ref="F5:G5"/>
    <x:mergeCell ref="H5:I5"/>
    <x:mergeCell ref="J5:L5"/>
    <x:mergeCell ref="M5:M6"/>
    <x:mergeCell ref="N5:N6"/>
    <x:mergeCell ref="N55:N63"/>
  </x:mergeCells>
  <x:conditionalFormatting sqref="D7:I12 N7:N12 A55:A56 A58:A63">
    <x:cfRule type="containsText" dxfId="0" priority="1" stopIfTrue="1" operator="containsText" text=".">
      <x:formula>NOT(ISERROR(SEARCH(("."),(A7))))</x:formula>
    </x:cfRule>
  </x:conditionalFormatting>
  <x:conditionalFormatting sqref="D7:I12 N7:N12 A55:A56 A58:A63">
    <x:cfRule type="containsText" dxfId="0" priority="2" stopIfTrue="1" operator="containsText" text=".">
      <x:formula>ISERROR(SEARCH(("."),(A7)))</x:formula>
    </x:cfRule>
  </x:conditionalFormatting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3</cp:revision>
  <dcterms:created xsi:type="dcterms:W3CDTF">2026-06-27T15:23:20.318</dcterms:created>
  <dcterms:modified xsi:type="dcterms:W3CDTF">2026-06-27T15:37:44.843</dcterms:modified>
  <cp:version>1300.0100.01</cp:version>
</cp:coreProperties>
</file>